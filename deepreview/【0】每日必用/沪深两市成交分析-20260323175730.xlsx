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ThisWorkbook"/>
  <xr:revisionPtr revIDLastSave="0" documentId="13_ncr:1_{4C897CF3-B9B4-4F67-99FD-C0DFEDDA0F4E}" xr6:coauthVersionLast="36" xr6:coauthVersionMax="36" xr10:uidLastSave="{00000000-0000-0000-0000-000000000000}"/>
  <bookViews>
    <workbookView xWindow="0" yWindow="0" windowWidth="28800" windowHeight="12060" firstSheet="1" activeTab="1" xr2:uid="{00000000-000D-0000-FFFF-FFFF00000000}"/>
  </bookViews>
  <sheets>
    <sheet name="Wind模板" sheetId="9" state="veryHidden" r:id="rId1"/>
    <sheet name="沪深两市成交分析" sheetId="1" r:id="rId2"/>
    <sheet name="沪深两市实时成交明细" sheetId="8" state="hidden" r:id="rId3"/>
    <sheet name="沪深两市历史成交" sheetId="10" state="hidden" r:id="rId4"/>
    <sheet name="沪深两市成交汇总" sheetId="14" state="hidden" r:id="rId5"/>
    <sheet name="沪市成交情况" sheetId="11" state="hidden" r:id="rId6"/>
    <sheet name="深市成交情况" sheetId="13" state="hidden" r:id="rId7"/>
  </sheets>
  <externalReferences>
    <externalReference r:id="rId8"/>
  </externalReferences>
  <definedNames>
    <definedName name="Date1" localSheetId="3">OFFSET(沪深两市历史成交!$F$4,1,0,沪深两市历史成交!$J$3,1)</definedName>
    <definedName name="Ind1_1" localSheetId="3">OFFSET(沪深两市历史成交!$G$4,1,0,沪深两市历史成交!$J$3,1)</definedName>
    <definedName name="Ind1_2" localSheetId="3">OFFSET(沪深两市历史成交!$H$4,1,0,沪深两市历史成交!$J$3,1)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D31" i="1" l="1"/>
  <c r="E29" i="1" l="1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2074" i="10"/>
  <c r="E2075" i="10"/>
  <c r="E2076" i="10"/>
  <c r="E2077" i="10"/>
  <c r="E2078" i="10"/>
  <c r="E2079" i="10"/>
  <c r="E2080" i="10"/>
  <c r="E2081" i="10"/>
  <c r="E2082" i="10"/>
  <c r="E2083" i="10"/>
  <c r="E2084" i="10"/>
  <c r="E2085" i="10"/>
  <c r="E2086" i="10"/>
  <c r="E2087" i="10"/>
  <c r="E2088" i="10"/>
  <c r="E2089" i="10"/>
  <c r="E2090" i="10"/>
  <c r="E2091" i="10"/>
  <c r="E2092" i="10"/>
  <c r="E2093" i="10"/>
  <c r="E2094" i="10"/>
  <c r="E2095" i="10"/>
  <c r="E2096" i="10"/>
  <c r="E2097" i="10"/>
  <c r="E2098" i="10"/>
  <c r="E2099" i="10"/>
  <c r="E2100" i="10"/>
  <c r="E2101" i="10"/>
  <c r="E2102" i="10"/>
  <c r="E2103" i="10"/>
  <c r="E2104" i="10"/>
  <c r="E2105" i="10"/>
  <c r="E2106" i="10"/>
  <c r="E2107" i="10"/>
  <c r="E2108" i="10"/>
  <c r="E2109" i="10"/>
  <c r="E2110" i="10"/>
  <c r="E2111" i="10"/>
  <c r="E2112" i="10"/>
  <c r="E2113" i="10"/>
  <c r="E2114" i="10"/>
  <c r="E2115" i="10"/>
  <c r="E2116" i="10"/>
  <c r="E2117" i="10"/>
  <c r="E2118" i="10"/>
  <c r="E2119" i="10"/>
  <c r="E2120" i="10"/>
  <c r="E2121" i="10"/>
  <c r="E2122" i="10"/>
  <c r="E2123" i="10"/>
  <c r="E2124" i="10"/>
  <c r="E2125" i="10"/>
  <c r="E2126" i="10"/>
  <c r="E2127" i="10"/>
  <c r="E2128" i="10"/>
  <c r="E2129" i="10"/>
  <c r="E2130" i="10"/>
  <c r="E2131" i="10"/>
  <c r="E2132" i="10"/>
  <c r="E2133" i="10"/>
  <c r="E2134" i="10"/>
  <c r="E2135" i="10"/>
  <c r="E2136" i="10"/>
  <c r="E2137" i="10"/>
  <c r="E2138" i="10"/>
  <c r="E2139" i="10"/>
  <c r="E2140" i="10"/>
  <c r="E2141" i="10"/>
  <c r="E2142" i="10"/>
  <c r="E2143" i="10"/>
  <c r="E2144" i="10"/>
  <c r="E2145" i="10"/>
  <c r="E2146" i="10"/>
  <c r="E2147" i="10"/>
  <c r="E2148" i="10"/>
  <c r="E2149" i="10"/>
  <c r="E2150" i="10"/>
  <c r="E2151" i="10"/>
  <c r="E2152" i="10"/>
  <c r="E2153" i="10"/>
  <c r="E2154" i="10"/>
  <c r="E2155" i="10"/>
  <c r="E2156" i="10"/>
  <c r="E2157" i="10"/>
  <c r="E2158" i="10"/>
  <c r="E2159" i="10"/>
  <c r="E2160" i="10"/>
  <c r="E2161" i="10"/>
  <c r="E2162" i="10"/>
  <c r="E2163" i="10"/>
  <c r="E2164" i="10"/>
  <c r="E2165" i="10"/>
  <c r="E2166" i="10"/>
  <c r="E2167" i="10"/>
  <c r="E2168" i="10"/>
  <c r="E2169" i="10"/>
  <c r="E2170" i="10"/>
  <c r="E2171" i="10"/>
  <c r="E2172" i="10"/>
  <c r="E2173" i="10"/>
  <c r="E2174" i="10"/>
  <c r="E2175" i="10"/>
  <c r="E2176" i="10"/>
  <c r="E2177" i="10"/>
  <c r="E2178" i="10"/>
  <c r="E2179" i="10"/>
  <c r="E2180" i="10"/>
  <c r="E2181" i="10"/>
  <c r="E2182" i="10"/>
  <c r="E2183" i="10"/>
  <c r="E2184" i="10"/>
  <c r="E2185" i="10"/>
  <c r="E2186" i="10"/>
  <c r="E2187" i="10"/>
  <c r="E2188" i="10"/>
  <c r="E2189" i="10"/>
  <c r="E2190" i="10"/>
  <c r="E2191" i="10"/>
  <c r="E2192" i="10"/>
  <c r="E2193" i="10"/>
  <c r="E2194" i="10"/>
  <c r="E2195" i="10"/>
  <c r="E2196" i="10"/>
  <c r="E2197" i="10"/>
  <c r="E2198" i="10"/>
  <c r="E2199" i="10"/>
  <c r="E2200" i="10"/>
  <c r="E2201" i="10"/>
  <c r="E2202" i="10"/>
  <c r="E2203" i="10"/>
  <c r="E2204" i="10"/>
  <c r="E2205" i="10"/>
  <c r="E2206" i="10"/>
  <c r="E2207" i="10"/>
  <c r="E2208" i="10"/>
  <c r="E2209" i="10"/>
  <c r="E2210" i="10"/>
  <c r="E2211" i="10"/>
  <c r="E2212" i="10"/>
  <c r="E2213" i="10"/>
  <c r="E2214" i="10"/>
  <c r="E2215" i="10"/>
  <c r="E2216" i="10"/>
  <c r="E2217" i="10"/>
  <c r="E2218" i="10"/>
  <c r="E2219" i="10"/>
  <c r="E2220" i="10"/>
  <c r="E2221" i="10"/>
  <c r="E2222" i="10"/>
  <c r="E2223" i="10"/>
  <c r="E2224" i="10"/>
  <c r="E2225" i="10"/>
  <c r="E2226" i="10"/>
  <c r="E2227" i="10"/>
  <c r="E2228" i="10"/>
  <c r="E2229" i="10"/>
  <c r="E2230" i="10"/>
  <c r="E2231" i="10"/>
  <c r="E2232" i="10"/>
  <c r="E2233" i="10"/>
  <c r="E2234" i="10"/>
  <c r="E2235" i="10"/>
  <c r="E2236" i="10"/>
  <c r="E2237" i="10"/>
  <c r="E2238" i="10"/>
  <c r="E2239" i="10"/>
  <c r="E2240" i="10"/>
  <c r="E2241" i="10"/>
  <c r="E2242" i="10"/>
  <c r="E2243" i="10"/>
  <c r="E2244" i="10"/>
  <c r="E2245" i="10"/>
  <c r="E2246" i="10"/>
  <c r="E2247" i="10"/>
  <c r="E2248" i="10"/>
  <c r="E2249" i="10"/>
  <c r="E2250" i="10"/>
  <c r="E2251" i="10"/>
  <c r="E2252" i="10"/>
  <c r="E2253" i="10"/>
  <c r="E2254" i="10"/>
  <c r="E2255" i="10"/>
  <c r="E2256" i="10"/>
  <c r="E2257" i="10"/>
  <c r="E2258" i="10"/>
  <c r="E2259" i="10"/>
  <c r="E2260" i="10"/>
  <c r="E2261" i="10"/>
  <c r="E2262" i="10"/>
  <c r="E2263" i="10"/>
  <c r="E2264" i="10"/>
  <c r="E2265" i="10"/>
  <c r="E2266" i="10"/>
  <c r="E2267" i="10"/>
  <c r="E2268" i="10"/>
  <c r="E2269" i="10"/>
  <c r="E2270" i="10"/>
  <c r="E2271" i="10"/>
  <c r="E2272" i="10"/>
  <c r="E2273" i="10"/>
  <c r="E2274" i="10"/>
  <c r="E2275" i="10"/>
  <c r="E2276" i="10"/>
  <c r="E2277" i="10"/>
  <c r="E2278" i="10"/>
  <c r="E2279" i="10"/>
  <c r="E2280" i="10"/>
  <c r="E2281" i="10"/>
  <c r="E2282" i="10"/>
  <c r="E2283" i="10"/>
  <c r="E2284" i="10"/>
  <c r="E2285" i="10"/>
  <c r="E2286" i="10"/>
  <c r="E2287" i="10"/>
  <c r="E2288" i="10"/>
  <c r="E2289" i="10"/>
  <c r="E2290" i="10"/>
  <c r="E2291" i="10"/>
  <c r="E2292" i="10"/>
  <c r="E2293" i="10"/>
  <c r="E2294" i="10"/>
  <c r="E2295" i="10"/>
  <c r="E2296" i="10"/>
  <c r="E2297" i="10"/>
  <c r="E2298" i="10"/>
  <c r="E2299" i="10"/>
  <c r="E2300" i="10"/>
  <c r="E2301" i="10"/>
  <c r="E2302" i="10"/>
  <c r="E2303" i="10"/>
  <c r="E2304" i="10"/>
  <c r="E2305" i="10"/>
  <c r="E2306" i="10"/>
  <c r="E2307" i="10"/>
  <c r="E2308" i="10"/>
  <c r="E2309" i="10"/>
  <c r="E2310" i="10"/>
  <c r="E2311" i="10"/>
  <c r="E2312" i="10"/>
  <c r="E2313" i="10"/>
  <c r="E2314" i="10"/>
  <c r="E2315" i="10"/>
  <c r="E2316" i="10"/>
  <c r="E2317" i="10"/>
  <c r="E2318" i="10"/>
  <c r="E2319" i="10"/>
  <c r="E2320" i="10"/>
  <c r="E2321" i="10"/>
  <c r="E2322" i="10"/>
  <c r="E2323" i="10"/>
  <c r="E2324" i="10"/>
  <c r="E2325" i="10"/>
  <c r="E2326" i="10"/>
  <c r="E2327" i="10"/>
  <c r="E2328" i="10"/>
  <c r="E2329" i="10"/>
  <c r="E2330" i="10"/>
  <c r="E2331" i="10"/>
  <c r="E2332" i="10"/>
  <c r="E2333" i="10"/>
  <c r="E2334" i="10"/>
  <c r="E2335" i="10"/>
  <c r="E2336" i="10"/>
  <c r="E2337" i="10"/>
  <c r="E2338" i="10"/>
  <c r="E2339" i="10"/>
  <c r="E2340" i="10"/>
  <c r="E2341" i="10"/>
  <c r="E2342" i="10"/>
  <c r="E2343" i="10"/>
  <c r="E2344" i="10"/>
  <c r="E2345" i="10"/>
  <c r="E2346" i="10"/>
  <c r="E2347" i="10"/>
  <c r="E2348" i="10"/>
  <c r="E2349" i="10"/>
  <c r="E2350" i="10"/>
  <c r="E2351" i="10"/>
  <c r="E2352" i="10"/>
  <c r="E2353" i="10"/>
  <c r="E2354" i="10"/>
  <c r="E2355" i="10"/>
  <c r="E2356" i="10"/>
  <c r="E2357" i="10"/>
  <c r="E2358" i="10"/>
  <c r="E2359" i="10"/>
  <c r="E2360" i="10"/>
  <c r="E2361" i="10"/>
  <c r="E2362" i="10"/>
  <c r="E2363" i="10"/>
  <c r="E2364" i="10"/>
  <c r="E2365" i="10"/>
  <c r="E2366" i="10"/>
  <c r="E2367" i="10"/>
  <c r="E2368" i="10"/>
  <c r="E2369" i="10"/>
  <c r="E2370" i="10"/>
  <c r="E2371" i="10"/>
  <c r="E2372" i="10"/>
  <c r="E2373" i="10"/>
  <c r="E2374" i="10"/>
  <c r="E2375" i="10"/>
  <c r="E2376" i="10"/>
  <c r="E2377" i="10"/>
  <c r="E2378" i="10"/>
  <c r="E2379" i="10"/>
  <c r="E2380" i="10"/>
  <c r="E2381" i="10"/>
  <c r="E2382" i="10"/>
  <c r="E2383" i="10"/>
  <c r="E2384" i="10"/>
  <c r="E2385" i="10"/>
  <c r="E2386" i="10"/>
  <c r="E2387" i="10"/>
  <c r="E2388" i="10"/>
  <c r="E2389" i="10"/>
  <c r="E2390" i="10"/>
  <c r="E2391" i="10"/>
  <c r="E2392" i="10"/>
  <c r="E2393" i="10"/>
  <c r="E2394" i="10"/>
  <c r="E2395" i="10"/>
  <c r="E2396" i="10"/>
  <c r="E2397" i="10"/>
  <c r="E2398" i="10"/>
  <c r="E2399" i="10"/>
  <c r="E2400" i="10"/>
  <c r="E2401" i="10"/>
  <c r="E2402" i="10"/>
  <c r="E2403" i="10"/>
  <c r="E2404" i="10"/>
  <c r="E2405" i="10"/>
  <c r="E2406" i="10"/>
  <c r="E2407" i="10"/>
  <c r="E2408" i="10"/>
  <c r="E2409" i="10"/>
  <c r="E2410" i="10"/>
  <c r="E2411" i="10"/>
  <c r="E2412" i="10"/>
  <c r="E2413" i="10"/>
  <c r="E2414" i="10"/>
  <c r="E2415" i="10"/>
  <c r="E2416" i="10"/>
  <c r="E2417" i="10"/>
  <c r="E2418" i="10"/>
  <c r="E2419" i="10"/>
  <c r="E2420" i="10"/>
  <c r="E2421" i="10"/>
  <c r="E2422" i="10"/>
  <c r="E2423" i="10"/>
  <c r="E2424" i="10"/>
  <c r="E2425" i="10"/>
  <c r="E2426" i="10"/>
  <c r="E2427" i="10"/>
  <c r="E2428" i="10"/>
  <c r="E2429" i="10"/>
  <c r="E2430" i="10"/>
  <c r="E2431" i="10"/>
  <c r="E2432" i="10"/>
  <c r="E2433" i="10"/>
  <c r="E2434" i="10"/>
  <c r="E2435" i="10"/>
  <c r="E2436" i="10"/>
  <c r="E2437" i="10"/>
  <c r="E2438" i="10"/>
  <c r="E2439" i="10"/>
  <c r="E2440" i="10"/>
  <c r="E2441" i="10"/>
  <c r="E2442" i="10"/>
  <c r="E2443" i="10"/>
  <c r="E2444" i="10"/>
  <c r="E2445" i="10"/>
  <c r="E2446" i="10"/>
  <c r="E2447" i="10"/>
  <c r="E2448" i="10"/>
  <c r="E2449" i="10"/>
  <c r="E2450" i="10"/>
  <c r="E2451" i="10"/>
  <c r="E2452" i="10"/>
  <c r="E2453" i="10"/>
  <c r="E2454" i="10"/>
  <c r="E2455" i="10"/>
  <c r="E2456" i="10"/>
  <c r="E2457" i="10"/>
  <c r="E2458" i="10"/>
  <c r="E2459" i="10"/>
  <c r="E2460" i="10"/>
  <c r="E2461" i="10"/>
  <c r="E2462" i="10"/>
  <c r="E2463" i="10"/>
  <c r="E2464" i="10"/>
  <c r="E2465" i="10"/>
  <c r="E2466" i="10"/>
  <c r="E2467" i="10"/>
  <c r="E2468" i="10"/>
  <c r="E2469" i="10"/>
  <c r="E2470" i="10"/>
  <c r="E2471" i="10"/>
  <c r="E2472" i="10"/>
  <c r="E2473" i="10"/>
  <c r="E2474" i="10"/>
  <c r="E2475" i="10"/>
  <c r="E2476" i="10"/>
  <c r="E2477" i="10"/>
  <c r="E2478" i="10"/>
  <c r="E2479" i="10"/>
  <c r="E2480" i="10"/>
  <c r="E2481" i="10"/>
  <c r="E2482" i="10"/>
  <c r="E2483" i="10"/>
  <c r="E2484" i="10"/>
  <c r="E2485" i="10"/>
  <c r="E2486" i="10"/>
  <c r="E2487" i="10"/>
  <c r="E2488" i="10"/>
  <c r="E2489" i="10"/>
  <c r="E2490" i="10"/>
  <c r="E2491" i="10"/>
  <c r="E2492" i="10"/>
  <c r="E2493" i="10"/>
  <c r="E2494" i="10"/>
  <c r="E2495" i="10"/>
  <c r="E2496" i="10"/>
  <c r="E2497" i="10"/>
  <c r="E2498" i="10"/>
  <c r="E2499" i="10"/>
  <c r="E2500" i="10"/>
  <c r="E2501" i="10"/>
  <c r="E2502" i="10"/>
  <c r="E2503" i="10"/>
  <c r="E2504" i="10"/>
  <c r="E2505" i="10"/>
  <c r="E2506" i="10"/>
  <c r="E2507" i="10"/>
  <c r="E2508" i="10"/>
  <c r="E2509" i="10"/>
  <c r="E2510" i="10"/>
  <c r="E2511" i="10"/>
  <c r="E2512" i="10"/>
  <c r="E2513" i="10"/>
  <c r="E2514" i="10"/>
  <c r="E2515" i="10"/>
  <c r="E2516" i="10"/>
  <c r="E2517" i="10"/>
  <c r="E2518" i="10"/>
  <c r="E2519" i="10"/>
  <c r="E2520" i="10"/>
  <c r="E2521" i="10"/>
  <c r="E2522" i="10"/>
  <c r="E2523" i="10"/>
  <c r="E2524" i="10"/>
  <c r="E2525" i="10"/>
  <c r="E2526" i="10"/>
  <c r="E2527" i="10"/>
  <c r="E2528" i="10"/>
  <c r="E2529" i="10"/>
  <c r="E2530" i="10"/>
  <c r="E2531" i="10"/>
  <c r="E2532" i="10"/>
  <c r="E2533" i="10"/>
  <c r="E2534" i="10"/>
  <c r="E2535" i="10"/>
  <c r="E2536" i="10"/>
  <c r="E2537" i="10"/>
  <c r="E2538" i="10"/>
  <c r="E2539" i="10"/>
  <c r="E2540" i="10"/>
  <c r="E2541" i="10"/>
  <c r="E2542" i="10"/>
  <c r="E2543" i="10"/>
  <c r="E2544" i="10"/>
  <c r="E2545" i="10"/>
  <c r="E2546" i="10"/>
  <c r="E2547" i="10"/>
  <c r="E2548" i="10"/>
  <c r="E2549" i="10"/>
  <c r="E2550" i="10"/>
  <c r="E2551" i="10"/>
  <c r="E2552" i="10"/>
  <c r="E2553" i="10"/>
  <c r="E2554" i="10"/>
  <c r="E2555" i="10"/>
  <c r="E2556" i="10"/>
  <c r="E2557" i="10"/>
  <c r="E2558" i="10"/>
  <c r="E2559" i="10"/>
  <c r="E2560" i="10"/>
  <c r="E2561" i="10"/>
  <c r="E2562" i="10"/>
  <c r="E2563" i="10"/>
  <c r="E2564" i="10"/>
  <c r="E2565" i="10"/>
  <c r="E2566" i="10"/>
  <c r="E2567" i="10"/>
  <c r="E2568" i="10"/>
  <c r="E2569" i="10"/>
  <c r="E2570" i="10"/>
  <c r="E2571" i="10"/>
  <c r="E2572" i="10"/>
  <c r="E2573" i="10"/>
  <c r="E2574" i="10"/>
  <c r="E2575" i="10"/>
  <c r="E2576" i="10"/>
  <c r="E2577" i="10"/>
  <c r="E2578" i="10"/>
  <c r="E2579" i="10"/>
  <c r="E2580" i="10"/>
  <c r="E2581" i="10"/>
  <c r="E2582" i="10"/>
  <c r="E2583" i="10"/>
  <c r="E2584" i="10"/>
  <c r="E2585" i="10"/>
  <c r="E2586" i="10"/>
  <c r="E2587" i="10"/>
  <c r="E2588" i="10"/>
  <c r="E2589" i="10"/>
  <c r="E2590" i="10"/>
  <c r="E2591" i="10"/>
  <c r="E2592" i="10"/>
  <c r="E2593" i="10"/>
  <c r="E2594" i="10"/>
  <c r="E2595" i="10"/>
  <c r="E2596" i="10"/>
  <c r="E2597" i="10"/>
  <c r="E2598" i="10"/>
  <c r="E2599" i="10"/>
  <c r="E2600" i="10"/>
  <c r="E2601" i="10"/>
  <c r="E2602" i="10"/>
  <c r="E2603" i="10"/>
  <c r="E2604" i="10"/>
  <c r="E2605" i="10"/>
  <c r="E2606" i="10"/>
  <c r="E2607" i="10"/>
  <c r="E2608" i="10"/>
  <c r="E2609" i="10"/>
  <c r="E2610" i="10"/>
  <c r="E2611" i="10"/>
  <c r="E2612" i="10"/>
  <c r="E2613" i="10"/>
  <c r="E2614" i="10"/>
  <c r="E2615" i="10"/>
  <c r="E2616" i="10"/>
  <c r="E2617" i="10"/>
  <c r="E2618" i="10"/>
  <c r="E2619" i="10"/>
  <c r="E2620" i="10"/>
  <c r="E2621" i="10"/>
  <c r="E2622" i="10"/>
  <c r="E2623" i="10"/>
  <c r="E2624" i="10"/>
  <c r="E2625" i="10"/>
  <c r="E2626" i="10"/>
  <c r="E2627" i="10"/>
  <c r="E2628" i="10"/>
  <c r="E2629" i="10"/>
  <c r="E2630" i="10"/>
  <c r="E2631" i="10"/>
  <c r="E2632" i="10"/>
  <c r="E2633" i="10"/>
  <c r="E2634" i="10"/>
  <c r="E2635" i="10"/>
  <c r="E2636" i="10"/>
  <c r="E2637" i="10"/>
  <c r="E2638" i="10"/>
  <c r="E2639" i="10"/>
  <c r="E2640" i="10"/>
  <c r="E2641" i="10"/>
  <c r="E2642" i="10"/>
  <c r="E2643" i="10"/>
  <c r="E2644" i="10"/>
  <c r="E2645" i="10"/>
  <c r="E2646" i="10"/>
  <c r="E2647" i="10"/>
  <c r="E2648" i="10"/>
  <c r="E2649" i="10"/>
  <c r="E2650" i="10"/>
  <c r="E2651" i="10"/>
  <c r="E2652" i="10"/>
  <c r="E2653" i="10"/>
  <c r="E2654" i="10"/>
  <c r="E2655" i="10"/>
  <c r="E2656" i="10"/>
  <c r="E2657" i="10"/>
  <c r="E2658" i="10"/>
  <c r="E2659" i="10"/>
  <c r="E2660" i="10"/>
  <c r="E2661" i="10"/>
  <c r="E2662" i="10"/>
  <c r="E2663" i="10"/>
  <c r="E2664" i="10"/>
  <c r="E2665" i="10"/>
  <c r="E2666" i="10"/>
  <c r="E2667" i="10"/>
  <c r="E2668" i="10"/>
  <c r="E2669" i="10"/>
  <c r="E2670" i="10"/>
  <c r="E2671" i="10"/>
  <c r="E2672" i="10"/>
  <c r="E2673" i="10"/>
  <c r="E2674" i="10"/>
  <c r="E2675" i="10"/>
  <c r="E2676" i="10"/>
  <c r="E2677" i="10"/>
  <c r="E2678" i="10"/>
  <c r="E2679" i="10"/>
  <c r="E2680" i="10"/>
  <c r="E2681" i="10"/>
  <c r="E2682" i="10"/>
  <c r="E2683" i="10"/>
  <c r="E2684" i="10"/>
  <c r="E2685" i="10"/>
  <c r="E2686" i="10"/>
  <c r="E2687" i="10"/>
  <c r="E2688" i="10"/>
  <c r="E2689" i="10"/>
  <c r="E2690" i="10"/>
  <c r="E2691" i="10"/>
  <c r="E2692" i="10"/>
  <c r="E2693" i="10"/>
  <c r="E2694" i="10"/>
  <c r="E2695" i="10"/>
  <c r="E2696" i="10"/>
  <c r="E2697" i="10"/>
  <c r="E2698" i="10"/>
  <c r="E2699" i="10"/>
  <c r="E2700" i="10"/>
  <c r="E2701" i="10"/>
  <c r="E2702" i="10"/>
  <c r="E2703" i="10"/>
  <c r="E2704" i="10"/>
  <c r="E2705" i="10"/>
  <c r="E2706" i="10"/>
  <c r="E2707" i="10"/>
  <c r="E2708" i="10"/>
  <c r="E2709" i="10"/>
  <c r="E2710" i="10"/>
  <c r="E2711" i="10"/>
  <c r="E2712" i="10"/>
  <c r="E2713" i="10"/>
  <c r="E2714" i="10"/>
  <c r="E2715" i="10"/>
  <c r="E2716" i="10"/>
  <c r="E2717" i="10"/>
  <c r="E2718" i="10"/>
  <c r="E2719" i="10"/>
  <c r="E2720" i="10"/>
  <c r="E2721" i="10"/>
  <c r="E2722" i="10"/>
  <c r="E2723" i="10"/>
  <c r="E2724" i="10"/>
  <c r="E2725" i="10"/>
  <c r="E2726" i="10"/>
  <c r="E2727" i="10"/>
  <c r="E2728" i="10"/>
  <c r="E2729" i="10"/>
  <c r="E2730" i="10"/>
  <c r="E2731" i="10"/>
  <c r="E2732" i="10"/>
  <c r="E2733" i="10"/>
  <c r="E2734" i="10"/>
  <c r="E2735" i="10"/>
  <c r="E2736" i="10"/>
  <c r="E2737" i="10"/>
  <c r="E2738" i="10"/>
  <c r="E2739" i="10"/>
  <c r="E2740" i="10"/>
  <c r="E2741" i="10"/>
  <c r="E2742" i="10"/>
  <c r="E2743" i="10"/>
  <c r="E2744" i="10"/>
  <c r="E2745" i="10"/>
  <c r="E2746" i="10"/>
  <c r="E2747" i="10"/>
  <c r="E2748" i="10"/>
  <c r="E2749" i="10"/>
  <c r="E2750" i="10"/>
  <c r="E2751" i="10"/>
  <c r="E2752" i="10"/>
  <c r="E2753" i="10"/>
  <c r="E2754" i="10"/>
  <c r="E2755" i="10"/>
  <c r="E2756" i="10"/>
  <c r="E2757" i="10"/>
  <c r="E2758" i="10"/>
  <c r="E2759" i="10"/>
  <c r="E2760" i="10"/>
  <c r="E2761" i="10"/>
  <c r="E2762" i="10"/>
  <c r="E2763" i="10"/>
  <c r="E2764" i="10"/>
  <c r="E2765" i="10"/>
  <c r="E2766" i="10"/>
  <c r="E2767" i="10"/>
  <c r="E2768" i="10"/>
  <c r="E2769" i="10"/>
  <c r="E2770" i="10"/>
  <c r="E2771" i="10"/>
  <c r="E2772" i="10"/>
  <c r="E2773" i="10"/>
  <c r="E2774" i="10"/>
  <c r="E2775" i="10"/>
  <c r="E2776" i="10"/>
  <c r="E2777" i="10"/>
  <c r="E2778" i="10"/>
  <c r="E2779" i="10"/>
  <c r="E2780" i="10"/>
  <c r="E2781" i="10"/>
  <c r="E2782" i="10"/>
  <c r="E2783" i="10"/>
  <c r="E2784" i="10"/>
  <c r="E2785" i="10"/>
  <c r="E2786" i="10"/>
  <c r="E2787" i="10"/>
  <c r="E2788" i="10"/>
  <c r="E2789" i="10"/>
  <c r="E2790" i="10"/>
  <c r="E2791" i="10"/>
  <c r="E2792" i="10"/>
  <c r="E2793" i="10"/>
  <c r="E2794" i="10"/>
  <c r="E2795" i="10"/>
  <c r="E2796" i="10"/>
  <c r="E2797" i="10"/>
  <c r="E2798" i="10"/>
  <c r="E2799" i="10"/>
  <c r="E2800" i="10"/>
  <c r="E2801" i="10"/>
  <c r="E2802" i="10"/>
  <c r="E2803" i="10"/>
  <c r="E2804" i="10"/>
  <c r="E2805" i="10"/>
  <c r="E2806" i="10"/>
  <c r="E2807" i="10"/>
  <c r="E2808" i="10"/>
  <c r="E2809" i="10"/>
  <c r="E2810" i="10"/>
  <c r="E2811" i="10"/>
  <c r="E2812" i="10"/>
  <c r="E2813" i="10"/>
  <c r="E2814" i="10"/>
  <c r="E2815" i="10"/>
  <c r="E2816" i="10"/>
  <c r="E2817" i="10"/>
  <c r="E2818" i="10"/>
  <c r="E2819" i="10"/>
  <c r="E2820" i="10"/>
  <c r="E2821" i="10"/>
  <c r="E2822" i="10"/>
  <c r="E2823" i="10"/>
  <c r="E2824" i="10"/>
  <c r="E2825" i="10"/>
  <c r="E2826" i="10"/>
  <c r="E2827" i="10"/>
  <c r="E2828" i="10"/>
  <c r="E2829" i="10"/>
  <c r="E2830" i="10"/>
  <c r="E2831" i="10"/>
  <c r="E2832" i="10"/>
  <c r="E2833" i="10"/>
  <c r="E2834" i="10"/>
  <c r="E2835" i="10"/>
  <c r="E2836" i="10"/>
  <c r="E2837" i="10"/>
  <c r="E2838" i="10"/>
  <c r="E2839" i="10"/>
  <c r="E2840" i="10"/>
  <c r="E2841" i="10"/>
  <c r="E2842" i="10"/>
  <c r="E2843" i="10"/>
  <c r="E2844" i="10"/>
  <c r="E2845" i="10"/>
  <c r="E2846" i="10"/>
  <c r="E2847" i="10"/>
  <c r="E2848" i="10"/>
  <c r="E2849" i="10"/>
  <c r="E2850" i="10"/>
  <c r="E2851" i="10"/>
  <c r="E2852" i="10"/>
  <c r="E2853" i="10"/>
  <c r="E2854" i="10"/>
  <c r="E2855" i="10"/>
  <c r="E2856" i="10"/>
  <c r="E2857" i="10"/>
  <c r="E2858" i="10"/>
  <c r="E2859" i="10"/>
  <c r="E2860" i="10"/>
  <c r="E2861" i="10"/>
  <c r="E2862" i="10"/>
  <c r="E2863" i="10"/>
  <c r="E2864" i="10"/>
  <c r="E2865" i="10"/>
  <c r="E2866" i="10"/>
  <c r="E2867" i="10"/>
  <c r="E2868" i="10"/>
  <c r="E2869" i="10"/>
  <c r="E2870" i="10"/>
  <c r="E2871" i="10"/>
  <c r="E2872" i="10"/>
  <c r="E2873" i="10"/>
  <c r="E2874" i="10"/>
  <c r="E2875" i="10"/>
  <c r="E2876" i="10"/>
  <c r="E2877" i="10"/>
  <c r="E2878" i="10"/>
  <c r="E2879" i="10"/>
  <c r="E2880" i="10"/>
  <c r="E2881" i="10"/>
  <c r="E2882" i="10"/>
  <c r="E2883" i="10"/>
  <c r="E2884" i="10"/>
  <c r="E2885" i="10"/>
  <c r="E2886" i="10"/>
  <c r="E2887" i="10"/>
  <c r="E2888" i="10"/>
  <c r="E2889" i="10"/>
  <c r="E2890" i="10"/>
  <c r="E2891" i="10"/>
  <c r="E2892" i="10"/>
  <c r="E2893" i="10"/>
  <c r="E2894" i="10"/>
  <c r="E2895" i="10"/>
  <c r="E2896" i="10"/>
  <c r="E2897" i="10"/>
  <c r="E2898" i="10"/>
  <c r="E2899" i="10"/>
  <c r="E2900" i="10"/>
  <c r="E2901" i="10"/>
  <c r="E2902" i="10"/>
  <c r="E2903" i="10"/>
  <c r="E2904" i="10"/>
  <c r="E2905" i="10"/>
  <c r="E2906" i="10"/>
  <c r="E2907" i="10"/>
  <c r="E2908" i="10"/>
  <c r="E2909" i="10"/>
  <c r="E2910" i="10"/>
  <c r="E2911" i="10"/>
  <c r="E2912" i="10"/>
  <c r="E2913" i="10"/>
  <c r="E2914" i="10"/>
  <c r="E2915" i="10"/>
  <c r="E2916" i="10"/>
  <c r="E2917" i="10"/>
  <c r="E2918" i="10"/>
  <c r="E2919" i="10"/>
  <c r="E2920" i="10"/>
  <c r="E2921" i="10"/>
  <c r="E2922" i="10"/>
  <c r="E2923" i="10"/>
  <c r="E2924" i="10"/>
  <c r="E2925" i="10"/>
  <c r="E2926" i="10"/>
  <c r="E2927" i="10"/>
  <c r="E2928" i="10"/>
  <c r="E2929" i="10"/>
  <c r="E2930" i="10"/>
  <c r="E2931" i="10"/>
  <c r="E2932" i="10"/>
  <c r="E2933" i="10"/>
  <c r="E2934" i="10"/>
  <c r="E2935" i="10"/>
  <c r="E2936" i="10"/>
  <c r="E2937" i="10"/>
  <c r="E2938" i="10"/>
  <c r="E2939" i="10"/>
  <c r="E2940" i="10"/>
  <c r="E2941" i="10"/>
  <c r="E2942" i="10"/>
  <c r="E2943" i="10"/>
  <c r="E2944" i="10"/>
  <c r="E2945" i="10"/>
  <c r="E2946" i="10"/>
  <c r="E2947" i="10"/>
  <c r="E2948" i="10"/>
  <c r="E2949" i="10"/>
  <c r="E2950" i="10"/>
  <c r="E2951" i="10"/>
  <c r="E2952" i="10"/>
  <c r="E2953" i="10"/>
  <c r="E2954" i="10"/>
  <c r="E2955" i="10"/>
  <c r="E2956" i="10"/>
  <c r="E2957" i="10"/>
  <c r="E2958" i="10"/>
  <c r="E2959" i="10"/>
  <c r="E2960" i="10"/>
  <c r="E2961" i="10"/>
  <c r="E2962" i="10"/>
  <c r="E2963" i="10"/>
  <c r="E2964" i="10"/>
  <c r="E2965" i="10"/>
  <c r="E2966" i="10"/>
  <c r="E2967" i="10"/>
  <c r="E2968" i="10"/>
  <c r="E2969" i="10"/>
  <c r="E2970" i="10"/>
  <c r="E2971" i="10"/>
  <c r="E2972" i="10"/>
  <c r="E2973" i="10"/>
  <c r="E2974" i="10"/>
  <c r="E2975" i="10"/>
  <c r="E2976" i="10"/>
  <c r="E2977" i="10"/>
  <c r="E2978" i="10"/>
  <c r="E2979" i="10"/>
  <c r="E2980" i="10"/>
  <c r="E2981" i="10"/>
  <c r="E2982" i="10"/>
  <c r="E2983" i="10"/>
  <c r="E2984" i="10"/>
  <c r="E2985" i="10"/>
  <c r="E2986" i="10"/>
  <c r="E2987" i="10"/>
  <c r="E2988" i="10"/>
  <c r="E2989" i="10"/>
  <c r="E2990" i="10"/>
  <c r="E2991" i="10"/>
  <c r="E2992" i="10"/>
  <c r="E2993" i="10"/>
  <c r="E2994" i="10"/>
  <c r="E2995" i="10"/>
  <c r="E2996" i="10"/>
  <c r="E2997" i="10"/>
  <c r="E2998" i="10"/>
  <c r="E2999" i="10"/>
  <c r="E3000" i="10"/>
  <c r="E3001" i="10"/>
  <c r="E3002" i="10"/>
  <c r="E3003" i="10"/>
  <c r="E3004" i="10"/>
  <c r="E3005" i="10"/>
  <c r="E3006" i="10"/>
  <c r="E3007" i="10"/>
  <c r="E3008" i="10"/>
  <c r="E3009" i="10"/>
  <c r="E3010" i="10"/>
  <c r="E3011" i="10"/>
  <c r="E3012" i="10"/>
  <c r="E3013" i="10"/>
  <c r="E3014" i="10"/>
  <c r="E3015" i="10"/>
  <c r="E3016" i="10"/>
  <c r="E3017" i="10"/>
  <c r="E3018" i="10"/>
  <c r="E3019" i="10"/>
  <c r="E3020" i="10"/>
  <c r="E3021" i="10"/>
  <c r="E3022" i="10"/>
  <c r="E3023" i="10"/>
  <c r="E3024" i="10"/>
  <c r="E3025" i="10"/>
  <c r="E3026" i="10"/>
  <c r="E3027" i="10"/>
  <c r="E3028" i="10"/>
  <c r="E3029" i="10"/>
  <c r="E3030" i="10"/>
  <c r="E3031" i="10"/>
  <c r="E3032" i="10"/>
  <c r="E3033" i="10"/>
  <c r="E3034" i="10"/>
  <c r="E3035" i="10"/>
  <c r="E3036" i="10"/>
  <c r="E3037" i="10"/>
  <c r="E3038" i="10"/>
  <c r="E3039" i="10"/>
  <c r="E3040" i="10"/>
  <c r="E3041" i="10"/>
  <c r="E3042" i="10"/>
  <c r="E3043" i="10"/>
  <c r="E3044" i="10"/>
  <c r="E3045" i="10"/>
  <c r="E3046" i="10"/>
  <c r="E3047" i="10"/>
  <c r="E3048" i="10"/>
  <c r="E3049" i="10"/>
  <c r="E3050" i="10"/>
  <c r="E3051" i="10"/>
  <c r="E3052" i="10"/>
  <c r="E3053" i="10"/>
  <c r="E3054" i="10"/>
  <c r="E3055" i="10"/>
  <c r="E3056" i="10"/>
  <c r="E3057" i="10"/>
  <c r="E3058" i="10"/>
  <c r="E3059" i="10"/>
  <c r="E3060" i="10"/>
  <c r="E3061" i="10"/>
  <c r="E3062" i="10"/>
  <c r="E3063" i="10"/>
  <c r="E3064" i="10"/>
  <c r="E3065" i="10"/>
  <c r="E3066" i="10"/>
  <c r="E3067" i="10"/>
  <c r="E3068" i="10"/>
  <c r="E3069" i="10"/>
  <c r="E3070" i="10"/>
  <c r="E3071" i="10"/>
  <c r="E3072" i="10"/>
  <c r="E3073" i="10"/>
  <c r="E3074" i="10"/>
  <c r="E3075" i="10"/>
  <c r="E3076" i="10"/>
  <c r="E3077" i="10"/>
  <c r="E3078" i="10"/>
  <c r="E3079" i="10"/>
  <c r="E3080" i="10"/>
  <c r="E3081" i="10"/>
  <c r="E3082" i="10"/>
  <c r="E3083" i="10"/>
  <c r="E3084" i="10"/>
  <c r="E3085" i="10"/>
  <c r="E3086" i="10"/>
  <c r="E3087" i="10"/>
  <c r="E3088" i="10"/>
  <c r="E3089" i="10"/>
  <c r="E3090" i="10"/>
  <c r="E3091" i="10"/>
  <c r="E3092" i="10"/>
  <c r="E3093" i="10"/>
  <c r="E3094" i="10"/>
  <c r="E3095" i="10"/>
  <c r="E3096" i="10"/>
  <c r="E3097" i="10"/>
  <c r="E3098" i="10"/>
  <c r="E3099" i="10"/>
  <c r="E3100" i="10"/>
  <c r="E3101" i="10"/>
  <c r="E3102" i="10"/>
  <c r="E3103" i="10"/>
  <c r="E3104" i="10"/>
  <c r="E3105" i="10"/>
  <c r="E3106" i="10"/>
  <c r="E3107" i="10"/>
  <c r="E3108" i="10"/>
  <c r="E3109" i="10"/>
  <c r="E3110" i="10"/>
  <c r="E3111" i="10"/>
  <c r="E3112" i="10"/>
  <c r="E3113" i="10"/>
  <c r="E3114" i="10"/>
  <c r="E3115" i="10"/>
  <c r="E3116" i="10"/>
  <c r="E3117" i="10"/>
  <c r="E3118" i="10"/>
  <c r="E3119" i="10"/>
  <c r="E3120" i="10"/>
  <c r="E3121" i="10"/>
  <c r="E3122" i="10"/>
  <c r="E3123" i="10"/>
  <c r="E3124" i="10"/>
  <c r="E3125" i="10"/>
  <c r="E3126" i="10"/>
  <c r="E3127" i="10"/>
  <c r="E3128" i="10"/>
  <c r="E3129" i="10"/>
  <c r="E3130" i="10"/>
  <c r="E3131" i="10"/>
  <c r="E3132" i="10"/>
  <c r="E3133" i="10"/>
  <c r="E3134" i="10"/>
  <c r="E3135" i="10"/>
  <c r="E3136" i="10"/>
  <c r="E3137" i="10"/>
  <c r="E3138" i="10"/>
  <c r="E3139" i="10"/>
  <c r="E3140" i="10"/>
  <c r="E3141" i="10"/>
  <c r="E3142" i="10"/>
  <c r="E3143" i="10"/>
  <c r="E3144" i="10"/>
  <c r="E3145" i="10"/>
  <c r="E3146" i="10"/>
  <c r="E3147" i="10"/>
  <c r="E3148" i="10"/>
  <c r="E3149" i="10"/>
  <c r="E3150" i="10"/>
  <c r="E3151" i="10"/>
  <c r="E3152" i="10"/>
  <c r="E3153" i="10"/>
  <c r="E3154" i="10"/>
  <c r="E3155" i="10"/>
  <c r="E3156" i="10"/>
  <c r="E3157" i="10"/>
  <c r="E3158" i="10"/>
  <c r="E3159" i="10"/>
  <c r="E3160" i="10"/>
  <c r="E3161" i="10"/>
  <c r="E3162" i="10"/>
  <c r="E3163" i="10"/>
  <c r="E3164" i="10"/>
  <c r="E3165" i="10"/>
  <c r="E3166" i="10"/>
  <c r="E3167" i="10"/>
  <c r="E3168" i="10"/>
  <c r="E3169" i="10"/>
  <c r="E3170" i="10"/>
  <c r="E3171" i="10"/>
  <c r="E3172" i="10"/>
  <c r="E3173" i="10"/>
  <c r="E3174" i="10"/>
  <c r="E3175" i="10"/>
  <c r="E3176" i="10"/>
  <c r="E3177" i="10"/>
  <c r="E3178" i="10"/>
  <c r="E3179" i="10"/>
  <c r="E3180" i="10"/>
  <c r="E3181" i="10"/>
  <c r="E3182" i="10"/>
  <c r="E3183" i="10"/>
  <c r="E3184" i="10"/>
  <c r="E3185" i="10"/>
  <c r="E3186" i="10"/>
  <c r="E3187" i="10"/>
  <c r="E3188" i="10"/>
  <c r="E3189" i="10"/>
  <c r="E3190" i="10"/>
  <c r="E3191" i="10"/>
  <c r="E3192" i="10"/>
  <c r="E3193" i="10"/>
  <c r="E3194" i="10"/>
  <c r="E3195" i="10"/>
  <c r="E3196" i="10"/>
  <c r="E3197" i="10"/>
  <c r="E3198" i="10"/>
  <c r="E3199" i="10"/>
  <c r="E3200" i="10"/>
  <c r="E3201" i="10"/>
  <c r="E3202" i="10"/>
  <c r="E3203" i="10"/>
  <c r="E3204" i="10"/>
  <c r="E3205" i="10"/>
  <c r="E3206" i="10"/>
  <c r="E3207" i="10"/>
  <c r="E3208" i="10"/>
  <c r="E3209" i="10"/>
  <c r="E3210" i="10"/>
  <c r="E3211" i="10"/>
  <c r="E3212" i="10"/>
  <c r="E3213" i="10"/>
  <c r="E3214" i="10"/>
  <c r="E3215" i="10"/>
  <c r="E3216" i="10"/>
  <c r="E3217" i="10"/>
  <c r="E3218" i="10"/>
  <c r="E3219" i="10"/>
  <c r="E3220" i="10"/>
  <c r="E3221" i="10"/>
  <c r="E3222" i="10"/>
  <c r="E3223" i="10"/>
  <c r="E3224" i="10"/>
  <c r="E3225" i="10"/>
  <c r="E3226" i="10"/>
  <c r="E3227" i="10"/>
  <c r="E3228" i="10"/>
  <c r="E3229" i="10"/>
  <c r="E3230" i="10"/>
  <c r="E3231" i="10"/>
  <c r="E3232" i="10"/>
  <c r="E3233" i="10"/>
  <c r="E3234" i="10"/>
  <c r="E3235" i="10"/>
  <c r="E3236" i="10"/>
  <c r="E3237" i="10"/>
  <c r="E3238" i="10"/>
  <c r="E3239" i="10"/>
  <c r="E3240" i="10"/>
  <c r="E3241" i="10"/>
  <c r="E3242" i="10"/>
  <c r="E3243" i="10"/>
  <c r="E3244" i="10"/>
  <c r="E3245" i="10"/>
  <c r="E3246" i="10"/>
  <c r="E3247" i="10"/>
  <c r="E3248" i="10"/>
  <c r="E3249" i="10"/>
  <c r="E3250" i="10"/>
  <c r="E3251" i="10"/>
  <c r="E3252" i="10"/>
  <c r="E3253" i="10"/>
  <c r="E3254" i="10"/>
  <c r="E3255" i="10"/>
  <c r="E3256" i="10"/>
  <c r="E3257" i="10"/>
  <c r="E3258" i="10"/>
  <c r="E3259" i="10"/>
  <c r="E3260" i="10"/>
  <c r="E3261" i="10"/>
  <c r="E3262" i="10"/>
  <c r="E3263" i="10"/>
  <c r="E3264" i="10"/>
  <c r="E3265" i="10"/>
  <c r="E3266" i="10"/>
  <c r="E3267" i="10"/>
  <c r="E3268" i="10"/>
  <c r="E3269" i="10"/>
  <c r="E3270" i="10"/>
  <c r="E3271" i="10"/>
  <c r="E3272" i="10"/>
  <c r="E3273" i="10"/>
  <c r="E3274" i="10"/>
  <c r="E3275" i="10"/>
  <c r="E3276" i="10"/>
  <c r="E3277" i="10"/>
  <c r="E3278" i="10"/>
  <c r="E3279" i="10"/>
  <c r="E3280" i="10"/>
  <c r="E3281" i="10"/>
  <c r="E3282" i="10"/>
  <c r="E3283" i="10"/>
  <c r="E3284" i="10"/>
  <c r="E3285" i="10"/>
  <c r="E3286" i="10"/>
  <c r="E3287" i="10"/>
  <c r="E3288" i="10"/>
  <c r="E3289" i="10"/>
  <c r="E3290" i="10"/>
  <c r="E3291" i="10"/>
  <c r="E3292" i="10"/>
  <c r="E3293" i="10"/>
  <c r="E3294" i="10"/>
  <c r="E3295" i="10"/>
  <c r="E3296" i="10"/>
  <c r="E3297" i="10"/>
  <c r="E3298" i="10"/>
  <c r="E3299" i="10"/>
  <c r="E3300" i="10"/>
  <c r="E3301" i="10"/>
  <c r="E3302" i="10"/>
  <c r="E3303" i="10"/>
  <c r="E3304" i="10"/>
  <c r="E3305" i="10"/>
  <c r="E3306" i="10"/>
  <c r="E3307" i="10"/>
  <c r="E3308" i="10"/>
  <c r="E3309" i="10"/>
  <c r="E3310" i="10"/>
  <c r="E3311" i="10"/>
  <c r="E3312" i="10"/>
  <c r="E3313" i="10"/>
  <c r="E3314" i="10"/>
  <c r="E3315" i="10"/>
  <c r="E3316" i="10"/>
  <c r="E3317" i="10"/>
  <c r="E3318" i="10"/>
  <c r="E3319" i="10"/>
  <c r="E3320" i="10"/>
  <c r="E3321" i="10"/>
  <c r="E3322" i="10"/>
  <c r="E3323" i="10"/>
  <c r="E3324" i="10"/>
  <c r="E3325" i="10"/>
  <c r="E3326" i="10"/>
  <c r="E3327" i="10"/>
  <c r="E3328" i="10"/>
  <c r="E3329" i="10"/>
  <c r="E3330" i="10"/>
  <c r="E3331" i="10"/>
  <c r="E3332" i="10"/>
  <c r="E3333" i="10"/>
  <c r="E3334" i="10"/>
  <c r="E3335" i="10"/>
  <c r="E3336" i="10"/>
  <c r="E3337" i="10"/>
  <c r="E3338" i="10"/>
  <c r="E3339" i="10"/>
  <c r="E3340" i="10"/>
  <c r="E3341" i="10"/>
  <c r="E3342" i="10"/>
  <c r="E3343" i="10"/>
  <c r="E3344" i="10"/>
  <c r="E3345" i="10"/>
  <c r="E3346" i="10"/>
  <c r="E3347" i="10"/>
  <c r="E3348" i="10"/>
  <c r="E3349" i="10"/>
  <c r="E3350" i="10"/>
  <c r="E3351" i="10"/>
  <c r="E3352" i="10"/>
  <c r="E3353" i="10"/>
  <c r="E3354" i="10"/>
  <c r="E3355" i="10"/>
  <c r="E3356" i="10"/>
  <c r="E3357" i="10"/>
  <c r="E3358" i="10"/>
  <c r="E3359" i="10"/>
  <c r="E3360" i="10"/>
  <c r="E3361" i="10"/>
  <c r="E3362" i="10"/>
  <c r="E3363" i="10"/>
  <c r="E3364" i="10"/>
  <c r="E3365" i="10"/>
  <c r="E3366" i="10"/>
  <c r="E3367" i="10"/>
  <c r="E3368" i="10"/>
  <c r="E3369" i="10"/>
  <c r="E3370" i="10"/>
  <c r="E3371" i="10"/>
  <c r="E3372" i="10"/>
  <c r="E3373" i="10"/>
  <c r="E3374" i="10"/>
  <c r="E3375" i="10"/>
  <c r="E3376" i="10"/>
  <c r="E3377" i="10"/>
  <c r="E3378" i="10"/>
  <c r="E3379" i="10"/>
  <c r="E3380" i="10"/>
  <c r="E3381" i="10"/>
  <c r="E3382" i="10"/>
  <c r="E3383" i="10"/>
  <c r="E3384" i="10"/>
  <c r="E3385" i="10"/>
  <c r="E3386" i="10"/>
  <c r="E3387" i="10"/>
  <c r="E3388" i="10"/>
  <c r="E3389" i="10"/>
  <c r="E3390" i="10"/>
  <c r="E3391" i="10"/>
  <c r="E3392" i="10"/>
  <c r="E3393" i="10"/>
  <c r="E3394" i="10"/>
  <c r="E3395" i="10"/>
  <c r="E3396" i="10"/>
  <c r="E3397" i="10"/>
  <c r="E3398" i="10"/>
  <c r="E3399" i="10"/>
  <c r="E3400" i="10"/>
  <c r="E3401" i="10"/>
  <c r="E3402" i="10"/>
  <c r="E3403" i="10"/>
  <c r="E3404" i="10"/>
  <c r="E3405" i="10"/>
  <c r="E3406" i="10"/>
  <c r="E3407" i="10"/>
  <c r="E3408" i="10"/>
  <c r="E3409" i="10"/>
  <c r="E3410" i="10"/>
  <c r="E3411" i="10"/>
  <c r="E3412" i="10"/>
  <c r="E3413" i="10"/>
  <c r="E3414" i="10"/>
  <c r="E3415" i="10"/>
  <c r="E3416" i="10"/>
  <c r="E3417" i="10"/>
  <c r="E3418" i="10"/>
  <c r="E3419" i="10"/>
  <c r="E3420" i="10"/>
  <c r="E3421" i="10"/>
  <c r="E3422" i="10"/>
  <c r="E3423" i="10"/>
  <c r="E3424" i="10"/>
  <c r="E3425" i="10"/>
  <c r="E3426" i="10"/>
  <c r="E3427" i="10"/>
  <c r="E3428" i="10"/>
  <c r="E3429" i="10"/>
  <c r="E3430" i="10"/>
  <c r="E3431" i="10"/>
  <c r="E3432" i="10"/>
  <c r="E3433" i="10"/>
  <c r="E3434" i="10"/>
  <c r="E3435" i="10"/>
  <c r="E3436" i="10"/>
  <c r="E3437" i="10"/>
  <c r="E3438" i="10"/>
  <c r="E3439" i="10"/>
  <c r="E3440" i="10"/>
  <c r="E3441" i="10"/>
  <c r="E3442" i="10"/>
  <c r="E3443" i="10"/>
  <c r="E3444" i="10"/>
  <c r="E3445" i="10"/>
  <c r="E3446" i="10"/>
  <c r="E3447" i="10"/>
  <c r="E3448" i="10"/>
  <c r="E3449" i="10"/>
  <c r="E3450" i="10"/>
  <c r="E3451" i="10"/>
  <c r="E3452" i="10"/>
  <c r="E3453" i="10"/>
  <c r="E3454" i="10"/>
  <c r="E3455" i="10"/>
  <c r="E3456" i="10"/>
  <c r="E3457" i="10"/>
  <c r="E3458" i="10"/>
  <c r="E3459" i="10"/>
  <c r="E3460" i="10"/>
  <c r="E3461" i="10"/>
  <c r="E3462" i="10"/>
  <c r="E3463" i="10"/>
  <c r="E3464" i="10"/>
  <c r="E3465" i="10"/>
  <c r="E3466" i="10"/>
  <c r="E3467" i="10"/>
  <c r="E3468" i="10"/>
  <c r="E3469" i="10"/>
  <c r="E3470" i="10"/>
  <c r="E3471" i="10"/>
  <c r="E3472" i="10"/>
  <c r="E3473" i="10"/>
  <c r="E3474" i="10"/>
  <c r="E3475" i="10"/>
  <c r="E3476" i="10"/>
  <c r="E3477" i="10"/>
  <c r="E3478" i="10"/>
  <c r="E3479" i="10"/>
  <c r="E3480" i="10"/>
  <c r="E3481" i="10"/>
  <c r="E3482" i="10"/>
  <c r="E3483" i="10"/>
  <c r="E3484" i="10"/>
  <c r="E3485" i="10"/>
  <c r="E3486" i="10"/>
  <c r="E3487" i="10"/>
  <c r="E3488" i="10"/>
  <c r="E3489" i="10"/>
  <c r="E3490" i="10"/>
  <c r="E3491" i="10"/>
  <c r="E3492" i="10"/>
  <c r="E3493" i="10"/>
  <c r="E3494" i="10"/>
  <c r="E3495" i="10"/>
  <c r="E3496" i="10"/>
  <c r="E3497" i="10"/>
  <c r="E3498" i="10"/>
  <c r="E3499" i="10"/>
  <c r="E3500" i="10"/>
  <c r="E3501" i="10"/>
  <c r="E3502" i="10"/>
  <c r="E3503" i="10"/>
  <c r="E3504" i="10"/>
  <c r="E3505" i="10"/>
  <c r="E3506" i="10"/>
  <c r="E3507" i="10"/>
  <c r="E3508" i="10"/>
  <c r="E3509" i="10"/>
  <c r="E3510" i="10"/>
  <c r="E3511" i="10"/>
  <c r="E3512" i="10"/>
  <c r="E3513" i="10"/>
  <c r="E3514" i="10"/>
  <c r="E3515" i="10"/>
  <c r="E3516" i="10"/>
  <c r="E3517" i="10"/>
  <c r="E3518" i="10"/>
  <c r="E3519" i="10"/>
  <c r="E3520" i="10"/>
  <c r="E3521" i="10"/>
  <c r="E3522" i="10"/>
  <c r="E3523" i="10"/>
  <c r="E3524" i="10"/>
  <c r="E3525" i="10"/>
  <c r="E3526" i="10"/>
  <c r="E3527" i="10"/>
  <c r="E3528" i="10"/>
  <c r="E3529" i="10"/>
  <c r="E3530" i="10"/>
  <c r="E3531" i="10"/>
  <c r="E3532" i="10"/>
  <c r="E3533" i="10"/>
  <c r="E3534" i="10"/>
  <c r="E3535" i="10"/>
  <c r="E3536" i="10"/>
  <c r="E3537" i="10"/>
  <c r="E3538" i="10"/>
  <c r="E3539" i="10"/>
  <c r="E3540" i="10"/>
  <c r="E3541" i="10"/>
  <c r="E3542" i="10"/>
  <c r="E3543" i="10"/>
  <c r="E3544" i="10"/>
  <c r="E3545" i="10"/>
  <c r="E3546" i="10"/>
  <c r="E3547" i="10"/>
  <c r="E3548" i="10"/>
  <c r="E3549" i="10"/>
  <c r="E3550" i="10"/>
  <c r="E3551" i="10"/>
  <c r="E3552" i="10"/>
  <c r="E3553" i="10"/>
  <c r="E3554" i="10"/>
  <c r="E3555" i="10"/>
  <c r="E3556" i="10"/>
  <c r="E3557" i="10"/>
  <c r="E3558" i="10"/>
  <c r="E3559" i="10"/>
  <c r="E3560" i="10"/>
  <c r="E3561" i="10"/>
  <c r="E3562" i="10"/>
  <c r="E3563" i="10"/>
  <c r="E3564" i="10"/>
  <c r="E3565" i="10"/>
  <c r="E3566" i="10"/>
  <c r="E3567" i="10"/>
  <c r="E3568" i="10"/>
  <c r="E3569" i="10"/>
  <c r="E3570" i="10"/>
  <c r="E3571" i="10"/>
  <c r="E3572" i="10"/>
  <c r="E3573" i="10"/>
  <c r="E3574" i="10"/>
  <c r="E3575" i="10"/>
  <c r="E3576" i="10"/>
  <c r="E3577" i="10"/>
  <c r="E3578" i="10"/>
  <c r="E3579" i="10"/>
  <c r="E3580" i="10"/>
  <c r="E3581" i="10"/>
  <c r="E3582" i="10"/>
  <c r="E3583" i="10"/>
  <c r="E3584" i="10"/>
  <c r="E3585" i="10"/>
  <c r="E3586" i="10"/>
  <c r="E3587" i="10"/>
  <c r="E3588" i="10"/>
  <c r="E3589" i="10"/>
  <c r="E3590" i="10"/>
  <c r="E3591" i="10"/>
  <c r="E3592" i="10"/>
  <c r="E3593" i="10"/>
  <c r="E3594" i="10"/>
  <c r="E3595" i="10"/>
  <c r="E3596" i="10"/>
  <c r="E3597" i="10"/>
  <c r="E3598" i="10"/>
  <c r="E3599" i="10"/>
  <c r="E3600" i="10"/>
  <c r="E3601" i="10"/>
  <c r="E3602" i="10"/>
  <c r="E3603" i="10"/>
  <c r="E3604" i="10"/>
  <c r="E3605" i="10"/>
  <c r="E3606" i="10"/>
  <c r="E3607" i="10"/>
  <c r="E3608" i="10"/>
  <c r="E3609" i="10"/>
  <c r="E3610" i="10"/>
  <c r="E3611" i="10"/>
  <c r="E3612" i="10"/>
  <c r="E3613" i="10"/>
  <c r="E3614" i="10"/>
  <c r="E3615" i="10"/>
  <c r="E3616" i="10"/>
  <c r="E3617" i="10"/>
  <c r="E3618" i="10"/>
  <c r="E3619" i="10"/>
  <c r="E3620" i="10"/>
  <c r="E3621" i="10"/>
  <c r="E3622" i="10"/>
  <c r="E3623" i="10"/>
  <c r="E3624" i="10"/>
  <c r="E3625" i="10"/>
  <c r="E3626" i="10"/>
  <c r="E3627" i="10"/>
  <c r="E3628" i="10"/>
  <c r="E3629" i="10"/>
  <c r="E3630" i="10"/>
  <c r="E3631" i="10"/>
  <c r="E3632" i="10"/>
  <c r="E3633" i="10"/>
  <c r="E3634" i="10"/>
  <c r="E3635" i="10"/>
  <c r="E3636" i="10"/>
  <c r="E3637" i="10"/>
  <c r="E3638" i="10"/>
  <c r="E3639" i="10"/>
  <c r="E3640" i="10"/>
  <c r="E3641" i="10"/>
  <c r="E3642" i="10"/>
  <c r="E3643" i="10"/>
  <c r="E3644" i="10"/>
  <c r="E3645" i="10"/>
  <c r="E3646" i="10"/>
  <c r="E3647" i="10"/>
  <c r="E3648" i="10"/>
  <c r="E3649" i="10"/>
  <c r="E3650" i="10"/>
  <c r="E3651" i="10"/>
  <c r="E3652" i="10"/>
  <c r="E3653" i="10"/>
  <c r="E3654" i="10"/>
  <c r="E3655" i="10"/>
  <c r="E3656" i="10"/>
  <c r="E3657" i="10"/>
  <c r="E3658" i="10"/>
  <c r="E3659" i="10"/>
  <c r="E3660" i="10"/>
  <c r="E3661" i="10"/>
  <c r="E3662" i="10"/>
  <c r="E3663" i="10"/>
  <c r="E3664" i="10"/>
  <c r="E3665" i="10"/>
  <c r="E3666" i="10"/>
  <c r="E3667" i="10"/>
  <c r="E3668" i="10"/>
  <c r="E3669" i="10"/>
  <c r="E3670" i="10"/>
  <c r="E3671" i="10"/>
  <c r="E3672" i="10"/>
  <c r="E3673" i="10"/>
  <c r="E3674" i="10"/>
  <c r="E3675" i="10"/>
  <c r="E3676" i="10"/>
  <c r="E3677" i="10"/>
  <c r="E3678" i="10"/>
  <c r="E3679" i="10"/>
  <c r="E3680" i="10"/>
  <c r="E3681" i="10"/>
  <c r="E3682" i="10"/>
  <c r="E3683" i="10"/>
  <c r="E3684" i="10"/>
  <c r="E3685" i="10"/>
  <c r="E3686" i="10"/>
  <c r="E3687" i="10"/>
  <c r="E3688" i="10"/>
  <c r="E3689" i="10"/>
  <c r="E3690" i="10"/>
  <c r="E3691" i="10"/>
  <c r="E3692" i="10"/>
  <c r="E3693" i="10"/>
  <c r="E3694" i="10"/>
  <c r="E3695" i="10"/>
  <c r="E3696" i="10"/>
  <c r="E3697" i="10"/>
  <c r="E3698" i="10"/>
  <c r="E3699" i="10"/>
  <c r="E3700" i="10"/>
  <c r="E3701" i="10"/>
  <c r="E3702" i="10"/>
  <c r="E3703" i="10"/>
  <c r="E3704" i="10"/>
  <c r="E3705" i="10"/>
  <c r="E3706" i="10"/>
  <c r="E3707" i="10"/>
  <c r="E3708" i="10"/>
  <c r="E3709" i="10"/>
  <c r="E3710" i="10"/>
  <c r="E3711" i="10"/>
  <c r="E3712" i="10"/>
  <c r="E3713" i="10"/>
  <c r="E3714" i="10"/>
  <c r="E3715" i="10"/>
  <c r="E3716" i="10"/>
  <c r="E3717" i="10"/>
  <c r="E3718" i="10"/>
  <c r="E3719" i="10"/>
  <c r="E3720" i="10"/>
  <c r="E3721" i="10"/>
  <c r="E3722" i="10"/>
  <c r="E3723" i="10"/>
  <c r="E3724" i="10"/>
  <c r="E3725" i="10"/>
  <c r="E3726" i="10"/>
  <c r="E3727" i="10"/>
  <c r="E3728" i="10"/>
  <c r="E3729" i="10"/>
  <c r="E3730" i="10"/>
  <c r="E3731" i="10"/>
  <c r="E3732" i="10"/>
  <c r="E3733" i="10"/>
  <c r="E3734" i="10"/>
  <c r="E3735" i="10"/>
  <c r="E3736" i="10"/>
  <c r="E3737" i="10"/>
  <c r="E3738" i="10"/>
  <c r="E3739" i="10"/>
  <c r="E3740" i="10"/>
  <c r="E3741" i="10"/>
  <c r="E3742" i="10"/>
  <c r="E3743" i="10"/>
  <c r="E3744" i="10"/>
  <c r="E3745" i="10"/>
  <c r="E3746" i="10"/>
  <c r="E3747" i="10"/>
  <c r="E3748" i="10"/>
  <c r="E3749" i="10"/>
  <c r="E3750" i="10"/>
  <c r="E3751" i="10"/>
  <c r="E3752" i="10"/>
  <c r="E3753" i="10"/>
  <c r="E3754" i="10"/>
  <c r="E3755" i="10"/>
  <c r="E3756" i="10"/>
  <c r="E3757" i="10"/>
  <c r="E3758" i="10"/>
  <c r="E3759" i="10"/>
  <c r="E3760" i="10"/>
  <c r="E3761" i="10"/>
  <c r="E3762" i="10"/>
  <c r="E3763" i="10"/>
  <c r="E3764" i="10"/>
  <c r="E3765" i="10"/>
  <c r="E3766" i="10"/>
  <c r="E3767" i="10"/>
  <c r="E3768" i="10"/>
  <c r="E3769" i="10"/>
  <c r="E3770" i="10"/>
  <c r="E3771" i="10"/>
  <c r="E3772" i="10"/>
  <c r="E3773" i="10"/>
  <c r="E3774" i="10"/>
  <c r="E3775" i="10"/>
  <c r="E3776" i="10"/>
  <c r="E3777" i="10"/>
  <c r="E3778" i="10"/>
  <c r="E3779" i="10"/>
  <c r="E3780" i="10"/>
  <c r="E3781" i="10"/>
  <c r="E3782" i="10"/>
  <c r="E3783" i="10"/>
  <c r="E3784" i="10"/>
  <c r="E3785" i="10"/>
  <c r="E3786" i="10"/>
  <c r="E3787" i="10"/>
  <c r="E3788" i="10"/>
  <c r="E3789" i="10"/>
  <c r="E3790" i="10"/>
  <c r="E3791" i="10"/>
  <c r="E3792" i="10"/>
  <c r="E3793" i="10"/>
  <c r="E3794" i="10"/>
  <c r="E3795" i="10"/>
  <c r="E3796" i="10"/>
  <c r="E3797" i="10"/>
  <c r="E3798" i="10"/>
  <c r="E3799" i="10"/>
  <c r="E3800" i="10"/>
  <c r="E3801" i="10"/>
  <c r="E3802" i="10"/>
  <c r="E3803" i="10"/>
  <c r="E3804" i="10"/>
  <c r="E3805" i="10"/>
  <c r="E3806" i="10"/>
  <c r="E3807" i="10"/>
  <c r="E3808" i="10"/>
  <c r="E3809" i="10"/>
  <c r="E3810" i="10"/>
  <c r="E3811" i="10"/>
  <c r="E3812" i="10"/>
  <c r="E3813" i="10"/>
  <c r="E3814" i="10"/>
  <c r="E3815" i="10"/>
  <c r="E3816" i="10"/>
  <c r="E3817" i="10"/>
  <c r="E3818" i="10"/>
  <c r="E3819" i="10"/>
  <c r="E3820" i="10"/>
  <c r="E3821" i="10"/>
  <c r="E3822" i="10"/>
  <c r="E3823" i="10"/>
  <c r="E3824" i="10"/>
  <c r="E3825" i="10"/>
  <c r="E3826" i="10"/>
  <c r="E3827" i="10"/>
  <c r="E3828" i="10"/>
  <c r="E3829" i="10"/>
  <c r="E3830" i="10"/>
  <c r="E3831" i="10"/>
  <c r="E3832" i="10"/>
  <c r="E3833" i="10"/>
  <c r="E3834" i="10"/>
  <c r="E3835" i="10"/>
  <c r="E3836" i="10"/>
  <c r="E3837" i="10"/>
  <c r="E3838" i="10"/>
  <c r="E3839" i="10"/>
  <c r="E3840" i="10"/>
  <c r="E3841" i="10"/>
  <c r="E3842" i="10"/>
  <c r="E3843" i="10"/>
  <c r="E3844" i="10"/>
  <c r="E3845" i="10"/>
  <c r="E3846" i="10"/>
  <c r="E3847" i="10"/>
  <c r="E3848" i="10"/>
  <c r="E3849" i="10"/>
  <c r="E3850" i="10"/>
  <c r="E3851" i="10"/>
  <c r="E3852" i="10"/>
  <c r="E3853" i="10"/>
  <c r="E3854" i="10"/>
  <c r="E3855" i="10"/>
  <c r="E3856" i="10"/>
  <c r="E3857" i="10"/>
  <c r="E3858" i="10"/>
  <c r="E3859" i="10"/>
  <c r="E3860" i="10"/>
  <c r="E3861" i="10"/>
  <c r="E3862" i="10"/>
  <c r="E3863" i="10"/>
  <c r="E3864" i="10"/>
  <c r="E3865" i="10"/>
  <c r="E3866" i="10"/>
  <c r="E3867" i="10"/>
  <c r="E3868" i="10"/>
  <c r="E3869" i="10"/>
  <c r="E3870" i="10"/>
  <c r="E3871" i="10"/>
  <c r="E3872" i="10"/>
  <c r="E3873" i="10"/>
  <c r="E3874" i="10"/>
  <c r="E3875" i="10"/>
  <c r="E3876" i="10"/>
  <c r="E3877" i="10"/>
  <c r="E3878" i="10"/>
  <c r="E3879" i="10"/>
  <c r="E3880" i="10"/>
  <c r="E3881" i="10"/>
  <c r="E3882" i="10"/>
  <c r="E3883" i="10"/>
  <c r="E3884" i="10"/>
  <c r="E3885" i="10"/>
  <c r="E3886" i="10"/>
  <c r="E3887" i="10"/>
  <c r="E3888" i="10"/>
  <c r="E3889" i="10"/>
  <c r="E3890" i="10"/>
  <c r="E3891" i="10"/>
  <c r="E3892" i="10"/>
  <c r="E3893" i="10"/>
  <c r="E3894" i="10"/>
  <c r="E3895" i="10"/>
  <c r="E3896" i="10"/>
  <c r="E3897" i="10"/>
  <c r="E3898" i="10"/>
  <c r="E3899" i="10"/>
  <c r="E3900" i="10"/>
  <c r="E3901" i="10"/>
  <c r="E3902" i="10"/>
  <c r="E3903" i="10"/>
  <c r="E3904" i="10"/>
  <c r="E3905" i="10"/>
  <c r="E3906" i="10"/>
  <c r="E3907" i="10"/>
  <c r="E3908" i="10"/>
  <c r="E3909" i="10"/>
  <c r="E3910" i="10"/>
  <c r="E3911" i="10"/>
  <c r="E3912" i="10"/>
  <c r="E3913" i="10"/>
  <c r="E3914" i="10"/>
  <c r="E3915" i="10"/>
  <c r="E3916" i="10"/>
  <c r="E3917" i="10"/>
  <c r="E3918" i="10"/>
  <c r="E3919" i="10"/>
  <c r="E3920" i="10"/>
  <c r="E3921" i="10"/>
  <c r="E3922" i="10"/>
  <c r="E3923" i="10"/>
  <c r="E3924" i="10"/>
  <c r="E3925" i="10"/>
  <c r="E3926" i="10"/>
  <c r="E3927" i="10"/>
  <c r="E3928" i="10"/>
  <c r="E3929" i="10"/>
  <c r="E3930" i="10"/>
  <c r="E3931" i="10"/>
  <c r="E3932" i="10"/>
  <c r="E3933" i="10"/>
  <c r="E3934" i="10"/>
  <c r="E3935" i="10"/>
  <c r="E3936" i="10"/>
  <c r="E3937" i="10"/>
  <c r="E3938" i="10"/>
  <c r="E3939" i="10"/>
  <c r="E3940" i="10"/>
  <c r="E3941" i="10"/>
  <c r="E3942" i="10"/>
  <c r="E3943" i="10"/>
  <c r="E3944" i="10"/>
  <c r="E3945" i="10"/>
  <c r="E3946" i="10"/>
  <c r="E3947" i="10"/>
  <c r="E3948" i="10"/>
  <c r="E3949" i="10"/>
  <c r="E3950" i="10"/>
  <c r="E3951" i="10"/>
  <c r="E3952" i="10"/>
  <c r="E3953" i="10"/>
  <c r="E3954" i="10"/>
  <c r="E3955" i="10"/>
  <c r="E3956" i="10"/>
  <c r="E3957" i="10"/>
  <c r="E3958" i="10"/>
  <c r="E3959" i="10"/>
  <c r="E3960" i="10"/>
  <c r="E3961" i="10"/>
  <c r="E3962" i="10"/>
  <c r="E3963" i="10"/>
  <c r="E3964" i="10"/>
  <c r="E3965" i="10"/>
  <c r="E3966" i="10"/>
  <c r="E3967" i="10"/>
  <c r="E3968" i="10"/>
  <c r="E3969" i="10"/>
  <c r="E3970" i="10"/>
  <c r="E3971" i="10"/>
  <c r="E3972" i="10"/>
  <c r="E3973" i="10"/>
  <c r="E3974" i="10"/>
  <c r="E3975" i="10"/>
  <c r="E3976" i="10"/>
  <c r="E3977" i="10"/>
  <c r="E3978" i="10"/>
  <c r="E3979" i="10"/>
  <c r="E3980" i="10"/>
  <c r="E3981" i="10"/>
  <c r="E3982" i="10"/>
  <c r="E3983" i="10"/>
  <c r="E3984" i="10"/>
  <c r="E3985" i="10"/>
  <c r="E3986" i="10"/>
  <c r="E3987" i="10"/>
  <c r="E3988" i="10"/>
  <c r="E3989" i="10"/>
  <c r="E3990" i="10"/>
  <c r="E3991" i="10"/>
  <c r="E3992" i="10"/>
  <c r="E3993" i="10"/>
  <c r="E3994" i="10"/>
  <c r="E3995" i="10"/>
  <c r="E3996" i="10"/>
  <c r="E3997" i="10"/>
  <c r="E3998" i="10"/>
  <c r="E3999" i="10"/>
  <c r="E4000" i="10"/>
  <c r="E4001" i="10"/>
  <c r="E4002" i="10"/>
  <c r="E4003" i="10"/>
  <c r="E4004" i="10"/>
  <c r="E4005" i="10"/>
  <c r="E4006" i="10"/>
  <c r="E4007" i="10"/>
  <c r="E4008" i="10"/>
  <c r="E4009" i="10"/>
  <c r="E4010" i="10"/>
  <c r="E4011" i="10"/>
  <c r="E4012" i="10"/>
  <c r="E4013" i="10"/>
  <c r="E4014" i="10"/>
  <c r="E4015" i="10"/>
  <c r="E4016" i="10"/>
  <c r="E4017" i="10"/>
  <c r="E4018" i="10"/>
  <c r="E4019" i="10"/>
  <c r="E4020" i="10"/>
  <c r="E4021" i="10"/>
  <c r="E4022" i="10"/>
  <c r="E4023" i="10"/>
  <c r="E4024" i="10"/>
  <c r="E4025" i="10"/>
  <c r="E4026" i="10"/>
  <c r="E4027" i="10"/>
  <c r="E4028" i="10"/>
  <c r="E4029" i="10"/>
  <c r="E4030" i="10"/>
  <c r="E4031" i="10"/>
  <c r="E4032" i="10"/>
  <c r="E4033" i="10"/>
  <c r="E4034" i="10"/>
  <c r="E4035" i="10"/>
  <c r="E4036" i="10"/>
  <c r="E4037" i="10"/>
  <c r="E4038" i="10"/>
  <c r="E4039" i="10"/>
  <c r="E4040" i="10"/>
  <c r="E4041" i="10"/>
  <c r="E4042" i="10"/>
  <c r="E4043" i="10"/>
  <c r="E4044" i="10"/>
  <c r="E4045" i="10"/>
  <c r="E4046" i="10"/>
  <c r="E4047" i="10"/>
  <c r="E4048" i="10"/>
  <c r="E4049" i="10"/>
  <c r="E4050" i="10"/>
  <c r="E4051" i="10"/>
  <c r="E4052" i="10"/>
  <c r="E4053" i="10"/>
  <c r="E4054" i="10"/>
  <c r="E4055" i="10"/>
  <c r="E4056" i="10"/>
  <c r="E4057" i="10"/>
  <c r="E4058" i="10"/>
  <c r="E4059" i="10"/>
  <c r="E4060" i="10"/>
  <c r="E4061" i="10"/>
  <c r="E4062" i="10"/>
  <c r="E4063" i="10"/>
  <c r="E4064" i="10"/>
  <c r="E4065" i="10"/>
  <c r="E4066" i="10"/>
  <c r="E4067" i="10"/>
  <c r="E4068" i="10"/>
  <c r="E4069" i="10"/>
  <c r="E4070" i="10"/>
  <c r="E4071" i="10"/>
  <c r="E4072" i="10"/>
  <c r="E4073" i="10"/>
  <c r="E4074" i="10"/>
  <c r="E4075" i="10"/>
  <c r="E4076" i="10"/>
  <c r="E4077" i="10"/>
  <c r="E4078" i="10"/>
  <c r="E4079" i="10"/>
  <c r="E4080" i="10"/>
  <c r="E4081" i="10"/>
  <c r="E4082" i="10"/>
  <c r="E4083" i="10"/>
  <c r="E4084" i="10"/>
  <c r="E4085" i="10"/>
  <c r="E4086" i="10"/>
  <c r="E4087" i="10"/>
  <c r="E4088" i="10"/>
  <c r="E4089" i="10"/>
  <c r="E4090" i="10"/>
  <c r="E4091" i="10"/>
  <c r="E4092" i="10"/>
  <c r="E4093" i="10"/>
  <c r="E4094" i="10"/>
  <c r="E4095" i="10"/>
  <c r="E4096" i="10"/>
  <c r="E4097" i="10"/>
  <c r="E4098" i="10"/>
  <c r="E4099" i="10"/>
  <c r="E4100" i="10"/>
  <c r="E4101" i="10"/>
  <c r="E4102" i="10"/>
  <c r="E4103" i="10"/>
  <c r="E4104" i="10"/>
  <c r="E4105" i="10"/>
  <c r="E4106" i="10"/>
  <c r="E4107" i="10"/>
  <c r="E4108" i="10"/>
  <c r="E4109" i="10"/>
  <c r="E4110" i="10"/>
  <c r="E4111" i="10"/>
  <c r="E4112" i="10"/>
  <c r="E4113" i="10"/>
  <c r="E4114" i="10"/>
  <c r="E4115" i="10"/>
  <c r="E4116" i="10"/>
  <c r="E4117" i="10"/>
  <c r="E4118" i="10"/>
  <c r="E4119" i="10"/>
  <c r="E4120" i="10"/>
  <c r="E4121" i="10"/>
  <c r="E4122" i="10"/>
  <c r="E4123" i="10"/>
  <c r="E4124" i="10"/>
  <c r="E4125" i="10"/>
  <c r="E4126" i="10"/>
  <c r="E4127" i="10"/>
  <c r="E4128" i="10"/>
  <c r="E4129" i="10"/>
  <c r="E4130" i="10"/>
  <c r="E4131" i="10"/>
  <c r="E4132" i="10"/>
  <c r="E4133" i="10"/>
  <c r="E4134" i="10"/>
  <c r="E4135" i="10"/>
  <c r="E4136" i="10"/>
  <c r="E4137" i="10"/>
  <c r="E4138" i="10"/>
  <c r="E4139" i="10"/>
  <c r="E4140" i="10"/>
  <c r="E4141" i="10"/>
  <c r="E4142" i="10"/>
  <c r="E4143" i="10"/>
  <c r="E4144" i="10"/>
  <c r="E4145" i="10"/>
  <c r="E4146" i="10"/>
  <c r="E4147" i="10"/>
  <c r="E4148" i="10"/>
  <c r="E4149" i="10"/>
  <c r="E4150" i="10"/>
  <c r="E4151" i="10"/>
  <c r="E4152" i="10"/>
  <c r="E4153" i="10"/>
  <c r="E4154" i="10"/>
  <c r="E4155" i="10"/>
  <c r="E4156" i="10"/>
  <c r="E4157" i="10"/>
  <c r="E4158" i="10"/>
  <c r="E4159" i="10"/>
  <c r="E4160" i="10"/>
  <c r="E4161" i="10"/>
  <c r="E4162" i="10"/>
  <c r="E4163" i="10"/>
  <c r="E4164" i="10"/>
  <c r="E4165" i="10"/>
  <c r="E4166" i="10"/>
  <c r="E4167" i="10"/>
  <c r="E4168" i="10"/>
  <c r="E4169" i="10"/>
  <c r="E4170" i="10"/>
  <c r="E4171" i="10"/>
  <c r="E4172" i="10"/>
  <c r="E4173" i="10"/>
  <c r="E4174" i="10"/>
  <c r="E4175" i="10"/>
  <c r="E4176" i="10"/>
  <c r="E4177" i="10"/>
  <c r="E4178" i="10"/>
  <c r="E4179" i="10"/>
  <c r="E4180" i="10"/>
  <c r="E4181" i="10"/>
  <c r="E4182" i="10"/>
  <c r="E4183" i="10"/>
  <c r="E4184" i="10"/>
  <c r="E4185" i="10"/>
  <c r="E4186" i="10"/>
  <c r="E4187" i="10"/>
  <c r="E4188" i="10"/>
  <c r="E4189" i="10"/>
  <c r="E4190" i="10"/>
  <c r="E4191" i="10"/>
  <c r="E4192" i="10"/>
  <c r="E4193" i="10"/>
  <c r="E4194" i="10"/>
  <c r="E4195" i="10"/>
  <c r="E4196" i="10"/>
  <c r="E4197" i="10"/>
  <c r="E4198" i="10"/>
  <c r="E4199" i="10"/>
  <c r="E4200" i="10"/>
  <c r="E4201" i="10"/>
  <c r="E4202" i="10"/>
  <c r="E4203" i="10"/>
  <c r="E4204" i="10"/>
  <c r="E4205" i="10"/>
  <c r="E4206" i="10"/>
  <c r="E4207" i="10"/>
  <c r="E4208" i="10"/>
  <c r="E4209" i="10"/>
  <c r="E4210" i="10"/>
  <c r="E4211" i="10"/>
  <c r="E4212" i="10"/>
  <c r="E4213" i="10"/>
  <c r="E4214" i="10"/>
  <c r="E4215" i="10"/>
  <c r="E4216" i="10"/>
  <c r="E4217" i="10"/>
  <c r="E4218" i="10"/>
  <c r="E4219" i="10"/>
  <c r="E4220" i="10"/>
  <c r="E4221" i="10"/>
  <c r="E4222" i="10"/>
  <c r="E4223" i="10"/>
  <c r="E4224" i="10"/>
  <c r="E4225" i="10"/>
  <c r="E4226" i="10"/>
  <c r="E4227" i="10"/>
  <c r="E4228" i="10"/>
  <c r="E4229" i="10"/>
  <c r="E4230" i="10"/>
  <c r="E4231" i="10"/>
  <c r="E4232" i="10"/>
  <c r="E4233" i="10"/>
  <c r="E4234" i="10"/>
  <c r="E4235" i="10"/>
  <c r="E4236" i="10"/>
  <c r="E4237" i="10"/>
  <c r="E4238" i="10"/>
  <c r="E4239" i="10"/>
  <c r="E4240" i="10"/>
  <c r="E4241" i="10"/>
  <c r="E4242" i="10"/>
  <c r="E4243" i="10"/>
  <c r="E4244" i="10"/>
  <c r="E4245" i="10"/>
  <c r="E4246" i="10"/>
  <c r="E4247" i="10"/>
  <c r="E4248" i="10"/>
  <c r="E4249" i="10"/>
  <c r="E4250" i="10"/>
  <c r="E4251" i="10"/>
  <c r="E4252" i="10"/>
  <c r="E4253" i="10"/>
  <c r="E4254" i="10"/>
  <c r="E4255" i="10"/>
  <c r="E4256" i="10"/>
  <c r="E4257" i="10"/>
  <c r="E4258" i="10"/>
  <c r="E4259" i="10"/>
  <c r="E4260" i="10"/>
  <c r="E4261" i="10"/>
  <c r="E4262" i="10"/>
  <c r="E4263" i="10"/>
  <c r="E4264" i="10"/>
  <c r="E4265" i="10"/>
  <c r="E4266" i="10"/>
  <c r="E4267" i="10"/>
  <c r="E4268" i="10"/>
  <c r="E4269" i="10"/>
  <c r="E4270" i="10"/>
  <c r="E4271" i="10"/>
  <c r="E4272" i="10"/>
  <c r="E4273" i="10"/>
  <c r="E4274" i="10"/>
  <c r="E4275" i="10"/>
  <c r="E4276" i="10"/>
  <c r="E4277" i="10"/>
  <c r="E4278" i="10"/>
  <c r="E4279" i="10"/>
  <c r="E4280" i="10"/>
  <c r="E4281" i="10"/>
  <c r="E4282" i="10"/>
  <c r="E4283" i="10"/>
  <c r="E4284" i="10"/>
  <c r="E4285" i="10"/>
  <c r="E4286" i="10"/>
  <c r="E4287" i="10"/>
  <c r="E4288" i="10"/>
  <c r="E4289" i="10"/>
  <c r="E4290" i="10"/>
  <c r="E4291" i="10"/>
  <c r="E4292" i="10"/>
  <c r="E4293" i="10"/>
  <c r="E4294" i="10"/>
  <c r="E4295" i="10"/>
  <c r="E4296" i="10"/>
  <c r="E4297" i="10"/>
  <c r="E4298" i="10"/>
  <c r="E4299" i="10"/>
  <c r="E4300" i="10"/>
  <c r="E4301" i="10"/>
  <c r="E4302" i="10"/>
  <c r="E4303" i="10"/>
  <c r="E4304" i="10"/>
  <c r="E4305" i="10"/>
  <c r="E4306" i="10"/>
  <c r="E4307" i="10"/>
  <c r="E4308" i="10"/>
  <c r="E4309" i="10"/>
  <c r="E4310" i="10"/>
  <c r="E4311" i="10"/>
  <c r="E4312" i="10"/>
  <c r="E4313" i="10"/>
  <c r="E4314" i="10"/>
  <c r="E4315" i="10"/>
  <c r="E4316" i="10"/>
  <c r="E4317" i="10"/>
  <c r="E4318" i="10"/>
  <c r="E4319" i="10"/>
  <c r="E4320" i="10"/>
  <c r="E4321" i="10"/>
  <c r="E4322" i="10"/>
  <c r="E4323" i="10"/>
  <c r="E4324" i="10"/>
  <c r="E4325" i="10"/>
  <c r="E4326" i="10"/>
  <c r="E4327" i="10"/>
  <c r="E4328" i="10"/>
  <c r="E4329" i="10"/>
  <c r="E4330" i="10"/>
  <c r="E4331" i="10"/>
  <c r="E4332" i="10"/>
  <c r="E4333" i="10"/>
  <c r="E4334" i="10"/>
  <c r="E4335" i="10"/>
  <c r="E4336" i="10"/>
  <c r="E4337" i="10"/>
  <c r="E4338" i="10"/>
  <c r="E4339" i="10"/>
  <c r="E4340" i="10"/>
  <c r="E4341" i="10"/>
  <c r="E4342" i="10"/>
  <c r="E4343" i="10"/>
  <c r="E4344" i="10"/>
  <c r="E4345" i="10"/>
  <c r="E4346" i="10"/>
  <c r="E4347" i="10"/>
  <c r="E4348" i="10"/>
  <c r="E4349" i="10"/>
  <c r="E4350" i="10"/>
  <c r="E4351" i="10"/>
  <c r="E4352" i="10"/>
  <c r="E4353" i="10"/>
  <c r="E4354" i="10"/>
  <c r="E4355" i="10"/>
  <c r="E4356" i="10"/>
  <c r="E4357" i="10"/>
  <c r="E4358" i="10"/>
  <c r="E4359" i="10"/>
  <c r="E4360" i="10"/>
  <c r="E4361" i="10"/>
  <c r="E4362" i="10"/>
  <c r="E4363" i="10"/>
  <c r="E4364" i="10"/>
  <c r="E4365" i="10"/>
  <c r="E4366" i="10"/>
  <c r="E4367" i="10"/>
  <c r="E4368" i="10"/>
  <c r="E4369" i="10"/>
  <c r="E4370" i="10"/>
  <c r="E4371" i="10"/>
  <c r="E4372" i="10"/>
  <c r="E4373" i="10"/>
  <c r="E4374" i="10"/>
  <c r="E4375" i="10"/>
  <c r="E4376" i="10"/>
  <c r="E4377" i="10"/>
  <c r="E4378" i="10"/>
  <c r="E4379" i="10"/>
  <c r="E4380" i="10"/>
  <c r="E4381" i="10"/>
  <c r="E4382" i="10"/>
  <c r="E4383" i="10"/>
  <c r="E4384" i="10"/>
  <c r="E4385" i="10"/>
  <c r="E4386" i="10"/>
  <c r="E4387" i="10"/>
  <c r="E4388" i="10"/>
  <c r="E4389" i="10"/>
  <c r="E4390" i="10"/>
  <c r="E4391" i="10"/>
  <c r="E4392" i="10"/>
  <c r="E4393" i="10"/>
  <c r="E4394" i="10"/>
  <c r="E4395" i="10"/>
  <c r="E4396" i="10"/>
  <c r="E4397" i="10"/>
  <c r="E4398" i="10"/>
  <c r="E4399" i="10"/>
  <c r="E4400" i="10"/>
  <c r="E4401" i="10"/>
  <c r="E4402" i="10"/>
  <c r="E4403" i="10"/>
  <c r="E4404" i="10"/>
  <c r="E4405" i="10"/>
  <c r="E4406" i="10"/>
  <c r="E4407" i="10"/>
  <c r="E4408" i="10"/>
  <c r="E4409" i="10"/>
  <c r="E4410" i="10"/>
  <c r="E4411" i="10"/>
  <c r="E4412" i="10"/>
  <c r="E4413" i="10"/>
  <c r="E4414" i="10"/>
  <c r="E4415" i="10"/>
  <c r="E4416" i="10"/>
  <c r="E4417" i="10"/>
  <c r="E4418" i="10"/>
  <c r="E4419" i="10"/>
  <c r="E4420" i="10"/>
  <c r="E4421" i="10"/>
  <c r="E4422" i="10"/>
  <c r="E4423" i="10"/>
  <c r="E4424" i="10"/>
  <c r="E4425" i="10"/>
  <c r="E4426" i="10"/>
  <c r="E4427" i="10"/>
  <c r="E4428" i="10"/>
  <c r="E4429" i="10"/>
  <c r="E4430" i="10"/>
  <c r="E4431" i="10"/>
  <c r="E4432" i="10"/>
  <c r="E4433" i="10"/>
  <c r="E4434" i="10"/>
  <c r="E4435" i="10"/>
  <c r="E4436" i="10"/>
  <c r="E4437" i="10"/>
  <c r="E4438" i="10"/>
  <c r="E4439" i="10"/>
  <c r="E4440" i="10"/>
  <c r="E4441" i="10"/>
  <c r="E4442" i="10"/>
  <c r="E4443" i="10"/>
  <c r="E4444" i="10"/>
  <c r="E4445" i="10"/>
  <c r="E4446" i="10"/>
  <c r="E4447" i="10"/>
  <c r="E4448" i="10"/>
  <c r="E4449" i="10"/>
  <c r="E4450" i="10"/>
  <c r="E4451" i="10"/>
  <c r="E4452" i="10"/>
  <c r="E4453" i="10"/>
  <c r="E4454" i="10"/>
  <c r="E4455" i="10"/>
  <c r="E4456" i="10"/>
  <c r="E4457" i="10"/>
  <c r="E4458" i="10"/>
  <c r="E4459" i="10"/>
  <c r="E4460" i="10"/>
  <c r="E4461" i="10"/>
  <c r="E4462" i="10"/>
  <c r="E4463" i="10"/>
  <c r="E4464" i="10"/>
  <c r="E4465" i="10"/>
  <c r="E4466" i="10"/>
  <c r="E4467" i="10"/>
  <c r="E4468" i="10"/>
  <c r="E4469" i="10"/>
  <c r="E4470" i="10"/>
  <c r="E4471" i="10"/>
  <c r="E4472" i="10"/>
  <c r="E4473" i="10"/>
  <c r="E4474" i="10"/>
  <c r="E4475" i="10"/>
  <c r="E4476" i="10"/>
  <c r="E4477" i="10"/>
  <c r="E4478" i="10"/>
  <c r="E4479" i="10"/>
  <c r="E4480" i="10"/>
  <c r="E4481" i="10"/>
  <c r="E4482" i="10"/>
  <c r="E4483" i="10"/>
  <c r="E4484" i="10"/>
  <c r="E4485" i="10"/>
  <c r="E4486" i="10"/>
  <c r="E4487" i="10"/>
  <c r="E4488" i="10"/>
  <c r="E4489" i="10"/>
  <c r="E4490" i="10"/>
  <c r="E4491" i="10"/>
  <c r="E4492" i="10"/>
  <c r="E4493" i="10"/>
  <c r="E4494" i="10"/>
  <c r="E4495" i="10"/>
  <c r="E4496" i="10"/>
  <c r="E4497" i="10"/>
  <c r="E4498" i="10"/>
  <c r="E4499" i="10"/>
  <c r="E4500" i="10"/>
  <c r="E4501" i="10"/>
  <c r="E4502" i="10"/>
  <c r="E4503" i="10"/>
  <c r="E4504" i="10"/>
  <c r="E4505" i="10"/>
  <c r="E4506" i="10"/>
  <c r="E4507" i="10"/>
  <c r="E4508" i="10"/>
  <c r="E4509" i="10"/>
  <c r="E4510" i="10"/>
  <c r="E4511" i="10"/>
  <c r="E4512" i="10"/>
  <c r="E4513" i="10"/>
  <c r="E4514" i="10"/>
  <c r="E4515" i="10"/>
  <c r="E4516" i="10"/>
  <c r="E4517" i="10"/>
  <c r="E4518" i="10"/>
  <c r="E4519" i="10"/>
  <c r="E4520" i="10"/>
  <c r="E4521" i="10"/>
  <c r="E4522" i="10"/>
  <c r="E4523" i="10"/>
  <c r="E4524" i="10"/>
  <c r="E4525" i="10"/>
  <c r="E4526" i="10"/>
  <c r="E4527" i="10"/>
  <c r="E4528" i="10"/>
  <c r="E4529" i="10"/>
  <c r="E4530" i="10"/>
  <c r="E4531" i="10"/>
  <c r="E4532" i="10"/>
  <c r="E4533" i="10"/>
  <c r="E4534" i="10"/>
  <c r="E4535" i="10"/>
  <c r="E4536" i="10"/>
  <c r="E4537" i="10"/>
  <c r="E4538" i="10"/>
  <c r="E4539" i="10"/>
  <c r="E4540" i="10"/>
  <c r="E4541" i="10"/>
  <c r="E4542" i="10"/>
  <c r="E4543" i="10"/>
  <c r="E4544" i="10"/>
  <c r="E4545" i="10"/>
  <c r="E4546" i="10"/>
  <c r="E4547" i="10"/>
  <c r="E4548" i="10"/>
  <c r="E4549" i="10"/>
  <c r="E4550" i="10"/>
  <c r="E4551" i="10"/>
  <c r="E4552" i="10"/>
  <c r="E4553" i="10"/>
  <c r="E4554" i="10"/>
  <c r="E4555" i="10"/>
  <c r="E4556" i="10"/>
  <c r="E4557" i="10"/>
  <c r="E4558" i="10"/>
  <c r="E4559" i="10"/>
  <c r="E4560" i="10"/>
  <c r="E4561" i="10"/>
  <c r="E4562" i="10"/>
  <c r="E4563" i="10"/>
  <c r="E4564" i="10"/>
  <c r="E4565" i="10"/>
  <c r="E4566" i="10"/>
  <c r="E4567" i="10"/>
  <c r="E4568" i="10"/>
  <c r="E4569" i="10"/>
  <c r="E4570" i="10"/>
  <c r="E4571" i="10"/>
  <c r="E4572" i="10"/>
  <c r="E4573" i="10"/>
  <c r="E4574" i="10"/>
  <c r="E4575" i="10"/>
  <c r="E4576" i="10"/>
  <c r="E4577" i="10"/>
  <c r="E4578" i="10"/>
  <c r="E4579" i="10"/>
  <c r="E4580" i="10"/>
  <c r="E4581" i="10"/>
  <c r="E4582" i="10"/>
  <c r="E4583" i="10"/>
  <c r="E4584" i="10"/>
  <c r="E4585" i="10"/>
  <c r="E4586" i="10"/>
  <c r="E4587" i="10"/>
  <c r="E4588" i="10"/>
  <c r="E4589" i="10"/>
  <c r="E4590" i="10"/>
  <c r="E4591" i="10"/>
  <c r="E4592" i="10"/>
  <c r="E4593" i="10"/>
  <c r="E4594" i="10"/>
  <c r="E4595" i="10"/>
  <c r="E4596" i="10"/>
  <c r="E4597" i="10"/>
  <c r="E4598" i="10"/>
  <c r="E4599" i="10"/>
  <c r="E4600" i="10"/>
  <c r="E4601" i="10"/>
  <c r="E4602" i="10"/>
  <c r="E4603" i="10"/>
  <c r="E4604" i="10"/>
  <c r="E4605" i="10"/>
  <c r="E4606" i="10"/>
  <c r="E4607" i="10"/>
  <c r="E4608" i="10"/>
  <c r="E4609" i="10"/>
  <c r="E4610" i="10"/>
  <c r="E4611" i="10"/>
  <c r="E4612" i="10"/>
  <c r="E4613" i="10"/>
  <c r="E4614" i="10"/>
  <c r="E4615" i="10"/>
  <c r="E4616" i="10"/>
  <c r="E4617" i="10"/>
  <c r="E4618" i="10"/>
  <c r="E4619" i="10"/>
  <c r="E4620" i="10"/>
  <c r="E4621" i="10"/>
  <c r="E4622" i="10"/>
  <c r="E4623" i="10"/>
  <c r="E4624" i="10"/>
  <c r="E4625" i="10"/>
  <c r="E4626" i="10"/>
  <c r="E4627" i="10"/>
  <c r="E4628" i="10"/>
  <c r="E4629" i="10"/>
  <c r="E4630" i="10"/>
  <c r="E4631" i="10"/>
  <c r="E4632" i="10"/>
  <c r="E4633" i="10"/>
  <c r="E4634" i="10"/>
  <c r="E4635" i="10"/>
  <c r="E4636" i="10"/>
  <c r="E4637" i="10"/>
  <c r="E4638" i="10"/>
  <c r="E4639" i="10"/>
  <c r="E4640" i="10"/>
  <c r="E4641" i="10"/>
  <c r="E4642" i="10"/>
  <c r="E4643" i="10"/>
  <c r="E4644" i="10"/>
  <c r="E4645" i="10"/>
  <c r="E4646" i="10"/>
  <c r="E4647" i="10"/>
  <c r="E4648" i="10"/>
  <c r="E4649" i="10"/>
  <c r="E4650" i="10"/>
  <c r="E4651" i="10"/>
  <c r="E4652" i="10"/>
  <c r="E4653" i="10"/>
  <c r="E4654" i="10"/>
  <c r="E4655" i="10"/>
  <c r="E4656" i="10"/>
  <c r="E4657" i="10"/>
  <c r="E4658" i="10"/>
  <c r="E4659" i="10"/>
  <c r="E4660" i="10"/>
  <c r="E4661" i="10"/>
  <c r="E4662" i="10"/>
  <c r="E4663" i="10"/>
  <c r="E4664" i="10"/>
  <c r="E4665" i="10"/>
  <c r="E4666" i="10"/>
  <c r="E4667" i="10"/>
  <c r="E4668" i="10"/>
  <c r="E4669" i="10"/>
  <c r="E4670" i="10"/>
  <c r="E4671" i="10"/>
  <c r="E4672" i="10"/>
  <c r="E4673" i="10"/>
  <c r="E4674" i="10"/>
  <c r="E4675" i="10"/>
  <c r="E4676" i="10"/>
  <c r="E4677" i="10"/>
  <c r="E4678" i="10"/>
  <c r="E4679" i="10"/>
  <c r="E4680" i="10"/>
  <c r="E4681" i="10"/>
  <c r="E4682" i="10"/>
  <c r="E4683" i="10"/>
  <c r="E4684" i="10"/>
  <c r="E4685" i="10"/>
  <c r="E4686" i="10"/>
  <c r="E4687" i="10"/>
  <c r="E4688" i="10"/>
  <c r="E4689" i="10"/>
  <c r="E4690" i="10"/>
  <c r="E4691" i="10"/>
  <c r="E4692" i="10"/>
  <c r="E4693" i="10"/>
  <c r="E4694" i="10"/>
  <c r="E4695" i="10"/>
  <c r="E4696" i="10"/>
  <c r="E4697" i="10"/>
  <c r="E4698" i="10"/>
  <c r="E4699" i="10"/>
  <c r="E4700" i="10"/>
  <c r="E4701" i="10"/>
  <c r="E4702" i="10"/>
  <c r="E4703" i="10"/>
  <c r="E4704" i="10"/>
  <c r="E4705" i="10"/>
  <c r="E4706" i="10"/>
  <c r="E4707" i="10"/>
  <c r="E4708" i="10"/>
  <c r="E4709" i="10"/>
  <c r="E4710" i="10"/>
  <c r="E4711" i="10"/>
  <c r="E4712" i="10"/>
  <c r="E4713" i="10"/>
  <c r="E4714" i="10"/>
  <c r="E4715" i="10"/>
  <c r="E4716" i="10"/>
  <c r="E4717" i="10"/>
  <c r="E4718" i="10"/>
  <c r="E4719" i="10"/>
  <c r="E4720" i="10"/>
  <c r="E4721" i="10"/>
  <c r="E4722" i="10"/>
  <c r="E4723" i="10"/>
  <c r="E4724" i="10"/>
  <c r="E4725" i="10"/>
  <c r="E4726" i="10"/>
  <c r="E4727" i="10"/>
  <c r="E4728" i="10"/>
  <c r="E4729" i="10"/>
  <c r="E4730" i="10"/>
  <c r="E4731" i="10"/>
  <c r="E4732" i="10"/>
  <c r="E4733" i="10"/>
  <c r="E4734" i="10"/>
  <c r="E4735" i="10"/>
  <c r="E4736" i="10"/>
  <c r="E4737" i="10"/>
  <c r="E4738" i="10"/>
  <c r="E4739" i="10"/>
  <c r="E4740" i="10"/>
  <c r="E4741" i="10"/>
  <c r="E4742" i="10"/>
  <c r="E4743" i="10"/>
  <c r="E4744" i="10"/>
  <c r="E4745" i="10"/>
  <c r="E4746" i="10"/>
  <c r="E4747" i="10"/>
  <c r="E4748" i="10"/>
  <c r="E4749" i="10"/>
  <c r="E4750" i="10"/>
  <c r="E4751" i="10"/>
  <c r="E4752" i="10"/>
  <c r="E4753" i="10"/>
  <c r="E4754" i="10"/>
  <c r="E4755" i="10"/>
  <c r="E4756" i="10"/>
  <c r="E4757" i="10"/>
  <c r="E4758" i="10"/>
  <c r="E4759" i="10"/>
  <c r="E4760" i="10"/>
  <c r="E4761" i="10"/>
  <c r="E4762" i="10"/>
  <c r="E4763" i="10"/>
  <c r="E4764" i="10"/>
  <c r="E4765" i="10"/>
  <c r="E4766" i="10"/>
  <c r="E4767" i="10"/>
  <c r="E4768" i="10"/>
  <c r="E4769" i="10"/>
  <c r="E4770" i="10"/>
  <c r="E4771" i="10"/>
  <c r="E4772" i="10"/>
  <c r="E4773" i="10"/>
  <c r="E4774" i="10"/>
  <c r="E4775" i="10"/>
  <c r="E4776" i="10"/>
  <c r="E4777" i="10"/>
  <c r="E4778" i="10"/>
  <c r="E4779" i="10"/>
  <c r="E4780" i="10"/>
  <c r="E4781" i="10"/>
  <c r="E4782" i="10"/>
  <c r="E4783" i="10"/>
  <c r="E4784" i="10"/>
  <c r="E4785" i="10"/>
  <c r="E4786" i="10"/>
  <c r="E4787" i="10"/>
  <c r="E4788" i="10"/>
  <c r="E4789" i="10"/>
  <c r="E4790" i="10"/>
  <c r="E4791" i="10"/>
  <c r="E4792" i="10"/>
  <c r="E4793" i="10"/>
  <c r="E4794" i="10"/>
  <c r="E4795" i="10"/>
  <c r="E4796" i="10"/>
  <c r="E4797" i="10"/>
  <c r="E4798" i="10"/>
  <c r="E4799" i="10"/>
  <c r="E4800" i="10"/>
  <c r="E4801" i="10"/>
  <c r="E4802" i="10"/>
  <c r="E4803" i="10"/>
  <c r="E4804" i="10"/>
  <c r="E4805" i="10"/>
  <c r="E4806" i="10"/>
  <c r="E4807" i="10"/>
  <c r="E4808" i="10"/>
  <c r="E4809" i="10"/>
  <c r="E4810" i="10"/>
  <c r="E4811" i="10"/>
  <c r="E4812" i="10"/>
  <c r="E4813" i="10"/>
  <c r="E4814" i="10"/>
  <c r="E4815" i="10"/>
  <c r="E4816" i="10"/>
  <c r="E4817" i="10"/>
  <c r="E4818" i="10"/>
  <c r="E4819" i="10"/>
  <c r="E4820" i="10"/>
  <c r="E4821" i="10"/>
  <c r="E4822" i="10"/>
  <c r="E4823" i="10"/>
  <c r="E4824" i="10"/>
  <c r="E4825" i="10"/>
  <c r="E4826" i="10"/>
  <c r="E4827" i="10"/>
  <c r="E4828" i="10"/>
  <c r="E4829" i="10"/>
  <c r="E4830" i="10"/>
  <c r="E4831" i="10"/>
  <c r="E4832" i="10"/>
  <c r="E4833" i="10"/>
  <c r="E4834" i="10"/>
  <c r="E4835" i="10"/>
  <c r="E4836" i="10"/>
  <c r="E4837" i="10"/>
  <c r="E4838" i="10"/>
  <c r="E4839" i="10"/>
  <c r="E4840" i="10"/>
  <c r="E4841" i="10"/>
  <c r="E4842" i="10"/>
  <c r="E4843" i="10"/>
  <c r="E4844" i="10"/>
  <c r="E4845" i="10"/>
  <c r="E4846" i="10"/>
  <c r="E4847" i="10"/>
  <c r="E4848" i="10"/>
  <c r="E4849" i="10"/>
  <c r="E4850" i="10"/>
  <c r="E4851" i="10"/>
  <c r="E4852" i="10"/>
  <c r="E4853" i="10"/>
  <c r="E4854" i="10"/>
  <c r="E4855" i="10"/>
  <c r="E4856" i="10"/>
  <c r="E4857" i="10"/>
  <c r="E4858" i="10"/>
  <c r="E4859" i="10"/>
  <c r="E4860" i="10"/>
  <c r="E4861" i="10"/>
  <c r="E4862" i="10"/>
  <c r="E4863" i="10"/>
  <c r="E4864" i="10"/>
  <c r="E4865" i="10"/>
  <c r="E4866" i="10"/>
  <c r="E4867" i="10"/>
  <c r="E4868" i="10"/>
  <c r="E4869" i="10"/>
  <c r="E4870" i="10"/>
  <c r="E4871" i="10"/>
  <c r="E4872" i="10"/>
  <c r="E4873" i="10"/>
  <c r="E4874" i="10"/>
  <c r="E4875" i="10"/>
  <c r="E4876" i="10"/>
  <c r="E4877" i="10"/>
  <c r="E4878" i="10"/>
  <c r="E4879" i="10"/>
  <c r="E4880" i="10"/>
  <c r="E4881" i="10"/>
  <c r="E4882" i="10"/>
  <c r="E4883" i="10"/>
  <c r="E4884" i="10"/>
  <c r="E4885" i="10"/>
  <c r="E4886" i="10"/>
  <c r="E4887" i="10"/>
  <c r="E4888" i="10"/>
  <c r="E4889" i="10"/>
  <c r="E4890" i="10"/>
  <c r="E4891" i="10"/>
  <c r="E4892" i="10"/>
  <c r="E4893" i="10"/>
  <c r="E4894" i="10"/>
  <c r="E4895" i="10"/>
  <c r="E4896" i="10"/>
  <c r="E4897" i="10"/>
  <c r="E4898" i="10"/>
  <c r="E4899" i="10"/>
  <c r="E4900" i="10"/>
  <c r="E4901" i="10"/>
  <c r="E4902" i="10"/>
  <c r="E4903" i="10"/>
  <c r="E4904" i="10"/>
  <c r="E4905" i="10"/>
  <c r="E4906" i="10"/>
  <c r="E4907" i="10"/>
  <c r="E4908" i="10"/>
  <c r="E4909" i="10"/>
  <c r="E4910" i="10"/>
  <c r="E4911" i="10"/>
  <c r="E4912" i="10"/>
  <c r="E4913" i="10"/>
  <c r="E4914" i="10"/>
  <c r="E4915" i="10"/>
  <c r="E4916" i="10"/>
  <c r="E4917" i="10"/>
  <c r="E4918" i="10"/>
  <c r="E4919" i="10"/>
  <c r="E4920" i="10"/>
  <c r="E4921" i="10"/>
  <c r="E4922" i="10"/>
  <c r="E4923" i="10"/>
  <c r="E4924" i="10"/>
  <c r="E4925" i="10"/>
  <c r="E4926" i="10"/>
  <c r="E4927" i="10"/>
  <c r="E4928" i="10"/>
  <c r="E4929" i="10"/>
  <c r="E4930" i="10"/>
  <c r="E4931" i="10"/>
  <c r="E4932" i="10"/>
  <c r="E4933" i="10"/>
  <c r="E4934" i="10"/>
  <c r="E4935" i="10"/>
  <c r="E4936" i="10"/>
  <c r="E4937" i="10"/>
  <c r="E4938" i="10"/>
  <c r="E4939" i="10"/>
  <c r="E4940" i="10"/>
  <c r="E4941" i="10"/>
  <c r="E4942" i="10"/>
  <c r="E4943" i="10"/>
  <c r="E4944" i="10"/>
  <c r="E4945" i="10"/>
  <c r="E4946" i="10"/>
  <c r="E4947" i="10"/>
  <c r="E4948" i="10"/>
  <c r="E4949" i="10"/>
  <c r="E4950" i="10"/>
  <c r="E4951" i="10"/>
  <c r="E4952" i="10"/>
  <c r="E4953" i="10"/>
  <c r="E4954" i="10"/>
  <c r="E4955" i="10"/>
  <c r="E4956" i="10"/>
  <c r="E4957" i="10"/>
  <c r="E4958" i="10"/>
  <c r="E4959" i="10"/>
  <c r="E4960" i="10"/>
  <c r="E4961" i="10"/>
  <c r="E4962" i="10"/>
  <c r="E4963" i="10"/>
  <c r="E4964" i="10"/>
  <c r="E4965" i="10"/>
  <c r="E4966" i="10"/>
  <c r="E4967" i="10"/>
  <c r="E4968" i="10"/>
  <c r="E4969" i="10"/>
  <c r="E4970" i="10"/>
  <c r="E4971" i="10"/>
  <c r="E4972" i="10"/>
  <c r="E4973" i="10"/>
  <c r="E4974" i="10"/>
  <c r="E4975" i="10"/>
  <c r="E4976" i="10"/>
  <c r="E4977" i="10"/>
  <c r="E4978" i="10"/>
  <c r="E4979" i="10"/>
  <c r="E4980" i="10"/>
  <c r="E4981" i="10"/>
  <c r="E4982" i="10"/>
  <c r="E4983" i="10"/>
  <c r="E4984" i="10"/>
  <c r="E4985" i="10"/>
  <c r="E4986" i="10"/>
  <c r="E4987" i="10"/>
  <c r="E4988" i="10"/>
  <c r="E4989" i="10"/>
  <c r="E4990" i="10"/>
  <c r="E4991" i="10"/>
  <c r="E4992" i="10"/>
  <c r="E4993" i="10"/>
  <c r="E4994" i="10"/>
  <c r="E4995" i="10"/>
  <c r="E4996" i="10"/>
  <c r="E4997" i="10"/>
  <c r="E4998" i="10"/>
  <c r="E4999" i="10"/>
  <c r="E5000" i="10"/>
  <c r="E5001" i="10"/>
  <c r="E5002" i="10"/>
  <c r="E5003" i="10"/>
  <c r="E5004" i="10"/>
  <c r="E5005" i="10"/>
  <c r="E5006" i="10"/>
  <c r="E5007" i="10"/>
  <c r="E5008" i="10"/>
  <c r="E5009" i="10"/>
  <c r="E5010" i="10"/>
  <c r="E5011" i="10"/>
  <c r="E5012" i="10"/>
  <c r="E5013" i="10"/>
  <c r="E5014" i="10"/>
  <c r="E5015" i="10"/>
  <c r="E5016" i="10"/>
  <c r="E5017" i="10"/>
  <c r="E5018" i="10"/>
  <c r="E5019" i="10"/>
  <c r="E5020" i="10"/>
  <c r="E5021" i="10"/>
  <c r="E5022" i="10"/>
  <c r="E5023" i="10"/>
  <c r="E5024" i="10"/>
  <c r="E5025" i="10"/>
  <c r="E5026" i="10"/>
  <c r="E5027" i="10"/>
  <c r="E5028" i="10"/>
  <c r="E5029" i="10"/>
  <c r="E5030" i="10"/>
  <c r="E5031" i="10"/>
  <c r="E5032" i="10"/>
  <c r="E5033" i="10"/>
  <c r="E5034" i="10"/>
  <c r="E5035" i="10"/>
  <c r="E5036" i="10"/>
  <c r="E5037" i="10"/>
  <c r="E5038" i="10"/>
  <c r="E5039" i="10"/>
  <c r="E5040" i="10"/>
  <c r="E5041" i="10"/>
  <c r="E5042" i="10"/>
  <c r="E5043" i="10"/>
  <c r="E5044" i="10"/>
  <c r="E5045" i="10"/>
  <c r="E5046" i="10"/>
  <c r="E5047" i="10"/>
  <c r="E5048" i="10"/>
  <c r="E5049" i="10"/>
  <c r="E5050" i="10"/>
  <c r="E5051" i="10"/>
  <c r="E5052" i="10"/>
  <c r="E5053" i="10"/>
  <c r="E5054" i="10"/>
  <c r="E5055" i="10"/>
  <c r="E5056" i="10"/>
  <c r="E5057" i="10"/>
  <c r="E5058" i="10"/>
  <c r="E5059" i="10"/>
  <c r="E5060" i="10"/>
  <c r="E5061" i="10"/>
  <c r="E5062" i="10"/>
  <c r="E5063" i="10"/>
  <c r="E5064" i="10"/>
  <c r="E5065" i="10"/>
  <c r="E5066" i="10"/>
  <c r="E5067" i="10"/>
  <c r="E5068" i="10"/>
  <c r="E5069" i="10"/>
  <c r="E5070" i="10"/>
  <c r="E5071" i="10"/>
  <c r="E5072" i="10"/>
  <c r="E5073" i="10"/>
  <c r="E5074" i="10"/>
  <c r="E5075" i="10"/>
  <c r="E5076" i="10"/>
  <c r="E5077" i="10"/>
  <c r="E5078" i="10"/>
  <c r="E5079" i="10"/>
  <c r="E5080" i="10"/>
  <c r="E5081" i="10"/>
  <c r="E5082" i="10"/>
  <c r="E5083" i="10"/>
  <c r="E5084" i="10"/>
  <c r="E5085" i="10"/>
  <c r="E5086" i="10"/>
  <c r="E5087" i="10"/>
  <c r="E5088" i="10"/>
  <c r="E5089" i="10"/>
  <c r="E5090" i="10"/>
  <c r="E5091" i="10"/>
  <c r="E5092" i="10"/>
  <c r="E5093" i="10"/>
  <c r="E5094" i="10"/>
  <c r="E5095" i="10"/>
  <c r="E5096" i="10"/>
  <c r="E5097" i="10"/>
  <c r="E5098" i="10"/>
  <c r="E5099" i="10"/>
  <c r="E5100" i="10"/>
  <c r="E5101" i="10"/>
  <c r="E5102" i="10"/>
  <c r="E5103" i="10"/>
  <c r="E5104" i="10"/>
  <c r="E5105" i="10"/>
  <c r="E5106" i="10"/>
  <c r="E5107" i="10"/>
  <c r="E5108" i="10"/>
  <c r="E5109" i="10"/>
  <c r="E5110" i="10"/>
  <c r="E5111" i="10"/>
  <c r="E5112" i="10"/>
  <c r="E5113" i="10"/>
  <c r="E5114" i="10"/>
  <c r="E5115" i="10"/>
  <c r="E5116" i="10"/>
  <c r="E5117" i="10"/>
  <c r="E5118" i="10"/>
  <c r="E5119" i="10"/>
  <c r="E5120" i="10"/>
  <c r="E5121" i="10"/>
  <c r="E5122" i="10"/>
  <c r="E5123" i="10"/>
  <c r="E5124" i="10"/>
  <c r="E5125" i="10"/>
  <c r="E5126" i="10"/>
  <c r="E5127" i="10"/>
  <c r="E5128" i="10"/>
  <c r="E5129" i="10"/>
  <c r="E5130" i="10"/>
  <c r="E5131" i="10"/>
  <c r="E5132" i="10"/>
  <c r="E5133" i="10"/>
  <c r="E5134" i="10"/>
  <c r="E5135" i="10"/>
  <c r="E5136" i="10"/>
  <c r="E5137" i="10"/>
  <c r="E5138" i="10"/>
  <c r="E5139" i="10"/>
  <c r="E5140" i="10"/>
  <c r="E5141" i="10"/>
  <c r="E5142" i="10"/>
  <c r="E5143" i="10"/>
  <c r="E5144" i="10"/>
  <c r="E5145" i="10"/>
  <c r="E5146" i="10"/>
  <c r="E5147" i="10"/>
  <c r="E5148" i="10"/>
  <c r="E5149" i="10"/>
  <c r="E5150" i="10"/>
  <c r="E5151" i="10"/>
  <c r="E5152" i="10"/>
  <c r="E5153" i="10"/>
  <c r="E5154" i="10"/>
  <c r="E5155" i="10"/>
  <c r="E5156" i="10"/>
  <c r="E5157" i="10"/>
  <c r="E5158" i="10"/>
  <c r="E5159" i="10"/>
  <c r="E5160" i="10"/>
  <c r="E5161" i="10"/>
  <c r="E5162" i="10"/>
  <c r="E5163" i="10"/>
  <c r="E5164" i="10"/>
  <c r="E5165" i="10"/>
  <c r="E5166" i="10"/>
  <c r="E5167" i="10"/>
  <c r="E5168" i="10"/>
  <c r="E5169" i="10"/>
  <c r="E5170" i="10"/>
  <c r="E5171" i="10"/>
  <c r="E5172" i="10"/>
  <c r="E5173" i="10"/>
  <c r="E5174" i="10"/>
  <c r="E5175" i="10"/>
  <c r="E5176" i="10"/>
  <c r="E5177" i="10"/>
  <c r="E5178" i="10"/>
  <c r="E5179" i="10"/>
  <c r="E5180" i="10"/>
  <c r="E5181" i="10"/>
  <c r="E5182" i="10"/>
  <c r="E5183" i="10"/>
  <c r="E5184" i="10"/>
  <c r="E5185" i="10"/>
  <c r="E5186" i="10"/>
  <c r="E5187" i="10"/>
  <c r="E5188" i="10"/>
  <c r="E5189" i="10"/>
  <c r="E5190" i="10"/>
  <c r="E5191" i="10"/>
  <c r="E5192" i="10"/>
  <c r="E5193" i="10"/>
  <c r="E5194" i="10"/>
  <c r="E5195" i="10"/>
  <c r="E5196" i="10"/>
  <c r="E5197" i="10"/>
  <c r="E5198" i="10"/>
  <c r="E5199" i="10"/>
  <c r="E5200" i="10"/>
  <c r="E5201" i="10"/>
  <c r="E5202" i="10"/>
  <c r="E5203" i="10"/>
  <c r="E5204" i="10"/>
  <c r="E5205" i="10"/>
  <c r="E5206" i="10"/>
  <c r="E5207" i="10"/>
  <c r="E5208" i="10"/>
  <c r="E5209" i="10"/>
  <c r="E5210" i="10"/>
  <c r="E5211" i="10"/>
  <c r="E5212" i="10"/>
  <c r="E5213" i="10"/>
  <c r="E5214" i="10"/>
  <c r="E5215" i="10"/>
  <c r="E5216" i="10"/>
  <c r="E5217" i="10"/>
  <c r="E5218" i="10"/>
  <c r="E5219" i="10"/>
  <c r="E5220" i="10"/>
  <c r="E5221" i="10"/>
  <c r="E5222" i="10"/>
  <c r="E5223" i="10"/>
  <c r="E5224" i="10"/>
  <c r="E5225" i="10"/>
  <c r="E5226" i="10"/>
  <c r="E5227" i="10"/>
  <c r="E5228" i="10"/>
  <c r="E5229" i="10"/>
  <c r="E5230" i="10"/>
  <c r="E5231" i="10"/>
  <c r="E5232" i="10"/>
  <c r="E5233" i="10"/>
  <c r="E5234" i="10"/>
  <c r="E5235" i="10"/>
  <c r="E5236" i="10"/>
  <c r="E5237" i="10"/>
  <c r="E5238" i="10"/>
  <c r="E5239" i="10"/>
  <c r="E5240" i="10"/>
  <c r="E5241" i="10"/>
  <c r="E5242" i="10"/>
  <c r="E5243" i="10"/>
  <c r="E5244" i="10"/>
  <c r="E5245" i="10"/>
  <c r="E5246" i="10"/>
  <c r="E5247" i="10"/>
  <c r="E5248" i="10"/>
  <c r="E5249" i="10"/>
  <c r="E5250" i="10"/>
  <c r="E5251" i="10"/>
  <c r="E5252" i="10"/>
  <c r="E5253" i="10"/>
  <c r="E5254" i="10"/>
  <c r="E5255" i="10"/>
  <c r="E5256" i="10"/>
  <c r="E5257" i="10"/>
  <c r="E5258" i="10"/>
  <c r="E5259" i="10"/>
  <c r="E5260" i="10"/>
  <c r="E5261" i="10"/>
  <c r="E5262" i="10"/>
  <c r="E5263" i="10"/>
  <c r="E5264" i="10"/>
  <c r="E5265" i="10"/>
  <c r="E5266" i="10"/>
  <c r="E5267" i="10"/>
  <c r="E5268" i="10"/>
  <c r="E5269" i="10"/>
  <c r="E5270" i="10"/>
  <c r="E5271" i="10"/>
  <c r="E5272" i="10"/>
  <c r="E5273" i="10"/>
  <c r="E5274" i="10"/>
  <c r="E5275" i="10"/>
  <c r="E5276" i="10"/>
  <c r="E5277" i="10"/>
  <c r="E5278" i="10"/>
  <c r="E5279" i="10"/>
  <c r="E5280" i="10"/>
  <c r="E5281" i="10"/>
  <c r="E5282" i="10"/>
  <c r="E5283" i="10"/>
  <c r="E5284" i="10"/>
  <c r="E5285" i="10"/>
  <c r="E5286" i="10"/>
  <c r="E5287" i="10"/>
  <c r="E5288" i="10"/>
  <c r="E5289" i="10"/>
  <c r="E5290" i="10"/>
  <c r="E5291" i="10"/>
  <c r="E5292" i="10"/>
  <c r="E5293" i="10"/>
  <c r="E5294" i="10"/>
  <c r="E5295" i="10"/>
  <c r="E5296" i="10"/>
  <c r="E5297" i="10"/>
  <c r="E5298" i="10"/>
  <c r="E5299" i="10"/>
  <c r="E5300" i="10"/>
  <c r="E5301" i="10"/>
  <c r="E5302" i="10"/>
  <c r="E5303" i="10"/>
  <c r="E5304" i="10"/>
  <c r="E5305" i="10"/>
  <c r="E5306" i="10"/>
  <c r="E5307" i="10"/>
  <c r="E5308" i="10"/>
  <c r="E5309" i="10"/>
  <c r="E5310" i="10"/>
  <c r="E5311" i="10"/>
  <c r="E5312" i="10"/>
  <c r="E5313" i="10"/>
  <c r="E5314" i="10"/>
  <c r="E5315" i="10"/>
  <c r="E5316" i="10"/>
  <c r="E5317" i="10"/>
  <c r="E5318" i="10"/>
  <c r="E5319" i="10"/>
  <c r="E5320" i="10"/>
  <c r="E5321" i="10"/>
  <c r="E5322" i="10"/>
  <c r="E5323" i="10"/>
  <c r="E5324" i="10"/>
  <c r="E5325" i="10"/>
  <c r="E5326" i="10"/>
  <c r="E5327" i="10"/>
  <c r="E5328" i="10"/>
  <c r="E5329" i="10"/>
  <c r="E5330" i="10"/>
  <c r="E5331" i="10"/>
  <c r="E5332" i="10"/>
  <c r="E5333" i="10"/>
  <c r="E5334" i="10"/>
  <c r="E5335" i="10"/>
  <c r="E5336" i="10"/>
  <c r="E5337" i="10"/>
  <c r="E5338" i="10"/>
  <c r="E5339" i="10"/>
  <c r="E5340" i="10"/>
  <c r="E5341" i="10"/>
  <c r="E5342" i="10"/>
  <c r="E5343" i="10"/>
  <c r="E5344" i="10"/>
  <c r="E5345" i="10"/>
  <c r="E5346" i="10"/>
  <c r="E5347" i="10"/>
  <c r="E5348" i="10"/>
  <c r="E5349" i="10"/>
  <c r="E5350" i="10"/>
  <c r="E5351" i="10"/>
  <c r="E5352" i="10"/>
  <c r="E5353" i="10"/>
  <c r="E5354" i="10"/>
  <c r="E5355" i="10"/>
  <c r="E5356" i="10"/>
  <c r="E5357" i="10"/>
  <c r="E5358" i="10"/>
  <c r="E5359" i="10"/>
  <c r="E5360" i="10"/>
  <c r="E5361" i="10"/>
  <c r="E5362" i="10"/>
  <c r="E5363" i="10"/>
  <c r="E5364" i="10"/>
  <c r="E5365" i="10"/>
  <c r="E5366" i="10"/>
  <c r="E5367" i="10"/>
  <c r="E5368" i="10"/>
  <c r="E5369" i="10"/>
  <c r="E5370" i="10"/>
  <c r="E5371" i="10"/>
  <c r="E5372" i="10"/>
  <c r="E5373" i="10"/>
  <c r="E5374" i="10"/>
  <c r="E5375" i="10"/>
  <c r="E5376" i="10"/>
  <c r="E5377" i="10"/>
  <c r="E5378" i="10"/>
  <c r="E5379" i="10"/>
  <c r="E5380" i="10"/>
  <c r="E5381" i="10"/>
  <c r="E5382" i="10"/>
  <c r="E5383" i="10"/>
  <c r="E5384" i="10"/>
  <c r="E5385" i="10"/>
  <c r="E5386" i="10"/>
  <c r="E5387" i="10"/>
  <c r="E5388" i="10"/>
  <c r="E5389" i="10"/>
  <c r="E5390" i="10"/>
  <c r="E5391" i="10"/>
  <c r="E5392" i="10"/>
  <c r="E5393" i="10"/>
  <c r="E5394" i="10"/>
  <c r="E5395" i="10"/>
  <c r="E5396" i="10"/>
  <c r="E5397" i="10"/>
  <c r="E5398" i="10"/>
  <c r="E5399" i="10"/>
  <c r="E5400" i="10"/>
  <c r="E5401" i="10"/>
  <c r="E5402" i="10"/>
  <c r="E5403" i="10"/>
  <c r="E5404" i="10"/>
  <c r="E5405" i="10"/>
  <c r="E5406" i="10"/>
  <c r="E5407" i="10"/>
  <c r="E5408" i="10"/>
  <c r="E5409" i="10"/>
  <c r="E5410" i="10"/>
  <c r="E5411" i="10"/>
  <c r="E5412" i="10"/>
  <c r="E5413" i="10"/>
  <c r="E5414" i="10"/>
  <c r="E5415" i="10"/>
  <c r="E5416" i="10"/>
  <c r="E5417" i="10"/>
  <c r="E5418" i="10"/>
  <c r="E5419" i="10"/>
  <c r="E5420" i="10"/>
  <c r="E5421" i="10"/>
  <c r="E5422" i="10"/>
  <c r="E5423" i="10"/>
  <c r="E5424" i="10"/>
  <c r="E5425" i="10"/>
  <c r="E5426" i="10"/>
  <c r="E5427" i="10"/>
  <c r="E5428" i="10"/>
  <c r="E5429" i="10"/>
  <c r="E5430" i="10"/>
  <c r="E5431" i="10"/>
  <c r="E5432" i="10"/>
  <c r="E5433" i="10"/>
  <c r="E5434" i="10"/>
  <c r="E5435" i="10"/>
  <c r="E5436" i="10"/>
  <c r="E5437" i="10"/>
  <c r="E5438" i="10"/>
  <c r="E5439" i="10"/>
  <c r="E5440" i="10"/>
  <c r="E5441" i="10"/>
  <c r="E5442" i="10"/>
  <c r="E5443" i="10"/>
  <c r="E5444" i="10"/>
  <c r="E5445" i="10"/>
  <c r="E5446" i="10"/>
  <c r="E5447" i="10"/>
  <c r="E5448" i="10"/>
  <c r="E5449" i="10"/>
  <c r="E5450" i="10"/>
  <c r="E5451" i="10"/>
  <c r="E5452" i="10"/>
  <c r="E5453" i="10"/>
  <c r="E5454" i="10"/>
  <c r="E5455" i="10"/>
  <c r="E5456" i="10"/>
  <c r="E5457" i="10"/>
  <c r="E5458" i="10"/>
  <c r="E5459" i="10"/>
  <c r="E5460" i="10"/>
  <c r="E5461" i="10"/>
  <c r="E5462" i="10"/>
  <c r="E5463" i="10"/>
  <c r="E5464" i="10"/>
  <c r="E5465" i="10"/>
  <c r="E5466" i="10"/>
  <c r="E5467" i="10"/>
  <c r="E5468" i="10"/>
  <c r="E5469" i="10"/>
  <c r="E5470" i="10"/>
  <c r="E5471" i="10"/>
  <c r="E5472" i="10"/>
  <c r="E5473" i="10"/>
  <c r="E5474" i="10"/>
  <c r="E5475" i="10"/>
  <c r="E5476" i="10"/>
  <c r="E5477" i="10"/>
  <c r="E5478" i="10"/>
  <c r="E5479" i="10"/>
  <c r="E5480" i="10"/>
  <c r="E5481" i="10"/>
  <c r="E5482" i="10"/>
  <c r="E5483" i="10"/>
  <c r="E5484" i="10"/>
  <c r="E5485" i="10"/>
  <c r="E5486" i="10"/>
  <c r="E5487" i="10"/>
  <c r="E5488" i="10"/>
  <c r="E5489" i="10"/>
  <c r="E5490" i="10"/>
  <c r="E5491" i="10"/>
  <c r="E5492" i="10"/>
  <c r="E5493" i="10"/>
  <c r="E5494" i="10"/>
  <c r="E5495" i="10"/>
  <c r="E5496" i="10"/>
  <c r="E5497" i="10"/>
  <c r="E5498" i="10"/>
  <c r="E5499" i="10"/>
  <c r="E5500" i="10"/>
  <c r="E5501" i="10"/>
  <c r="E5502" i="10"/>
  <c r="E5503" i="10"/>
  <c r="E5504" i="10"/>
  <c r="E5505" i="10"/>
  <c r="E5506" i="10"/>
  <c r="E5507" i="10"/>
  <c r="E5508" i="10"/>
  <c r="E5509" i="10"/>
  <c r="E5510" i="10"/>
  <c r="E5511" i="10"/>
  <c r="E5512" i="10"/>
  <c r="E5513" i="10"/>
  <c r="E5514" i="10"/>
  <c r="E5515" i="10"/>
  <c r="E5516" i="10"/>
  <c r="E5517" i="10"/>
  <c r="E5518" i="10"/>
  <c r="E5519" i="10"/>
  <c r="E5520" i="10"/>
  <c r="E5521" i="10"/>
  <c r="E5522" i="10"/>
  <c r="E5523" i="10"/>
  <c r="E5524" i="10"/>
  <c r="E5525" i="10"/>
  <c r="E5526" i="10"/>
  <c r="E5527" i="10"/>
  <c r="E5528" i="10"/>
  <c r="E5529" i="10"/>
  <c r="E5530" i="10"/>
  <c r="E5531" i="10"/>
  <c r="E5532" i="10"/>
  <c r="E5533" i="10"/>
  <c r="E5534" i="10"/>
  <c r="E5535" i="10"/>
  <c r="E5536" i="10"/>
  <c r="E5537" i="10"/>
  <c r="E5538" i="10"/>
  <c r="E5539" i="10"/>
  <c r="E5540" i="10"/>
  <c r="E5541" i="10"/>
  <c r="E5542" i="10"/>
  <c r="E5543" i="10"/>
  <c r="E5544" i="10"/>
  <c r="E5545" i="10"/>
  <c r="E5546" i="10"/>
  <c r="E5547" i="10"/>
  <c r="E5548" i="10"/>
  <c r="E5549" i="10"/>
  <c r="E5550" i="10"/>
  <c r="E5551" i="10"/>
  <c r="E5552" i="10"/>
  <c r="E5553" i="10"/>
  <c r="E5554" i="10"/>
  <c r="E5555" i="10"/>
  <c r="E5556" i="10"/>
  <c r="E5557" i="10"/>
  <c r="E5558" i="10"/>
  <c r="E5559" i="10"/>
  <c r="E5560" i="10"/>
  <c r="E5561" i="10"/>
  <c r="E5562" i="10"/>
  <c r="E5563" i="10"/>
  <c r="E5564" i="10"/>
  <c r="E5565" i="10"/>
  <c r="E5566" i="10"/>
  <c r="E5567" i="10"/>
  <c r="E5568" i="10"/>
  <c r="E5569" i="10"/>
  <c r="E5570" i="10"/>
  <c r="E5571" i="10"/>
  <c r="E5572" i="10"/>
  <c r="E5573" i="10"/>
  <c r="E5574" i="10"/>
  <c r="E5575" i="10"/>
  <c r="E5576" i="10"/>
  <c r="E5577" i="10"/>
  <c r="E5578" i="10"/>
  <c r="E5579" i="10"/>
  <c r="E5580" i="10"/>
  <c r="E5581" i="10"/>
  <c r="E5582" i="10"/>
  <c r="E5583" i="10"/>
  <c r="E5584" i="10"/>
  <c r="E5585" i="10"/>
  <c r="E5586" i="10"/>
  <c r="E5587" i="10"/>
  <c r="E5588" i="10"/>
  <c r="E5589" i="10"/>
  <c r="E5590" i="10"/>
  <c r="E5591" i="10"/>
  <c r="E5592" i="10"/>
  <c r="E5593" i="10"/>
  <c r="E5594" i="10"/>
  <c r="E5595" i="10"/>
  <c r="E5596" i="10"/>
  <c r="E5597" i="10"/>
  <c r="E5598" i="10"/>
  <c r="E5599" i="10"/>
  <c r="E5600" i="10"/>
  <c r="E5601" i="10"/>
  <c r="E5602" i="10"/>
  <c r="E5603" i="10"/>
  <c r="E5604" i="10"/>
  <c r="E5605" i="10"/>
  <c r="E5606" i="10"/>
  <c r="E5607" i="10"/>
  <c r="E5608" i="10"/>
  <c r="E5609" i="10"/>
  <c r="E5610" i="10"/>
  <c r="E5611" i="10"/>
  <c r="E5612" i="10"/>
  <c r="E5613" i="10"/>
  <c r="E5614" i="10"/>
  <c r="E5615" i="10"/>
  <c r="E5616" i="10"/>
  <c r="E5617" i="10"/>
  <c r="E5618" i="10"/>
  <c r="E5619" i="10"/>
  <c r="E5620" i="10"/>
  <c r="E5621" i="10"/>
  <c r="E5622" i="10"/>
  <c r="E5623" i="10"/>
  <c r="E5624" i="10"/>
  <c r="E5625" i="10"/>
  <c r="E5626" i="10"/>
  <c r="E5627" i="10"/>
  <c r="E5628" i="10"/>
  <c r="E5629" i="10"/>
  <c r="E5630" i="10"/>
  <c r="E5631" i="10"/>
  <c r="E5632" i="10"/>
  <c r="E5633" i="10"/>
  <c r="E5634" i="10"/>
  <c r="E5635" i="10"/>
  <c r="E5636" i="10"/>
  <c r="E5637" i="10"/>
  <c r="E5638" i="10"/>
  <c r="E5639" i="10"/>
  <c r="E5640" i="10"/>
  <c r="E5641" i="10"/>
  <c r="E5642" i="10"/>
  <c r="E5643" i="10"/>
  <c r="E5644" i="10"/>
  <c r="E5645" i="10"/>
  <c r="E5646" i="10"/>
  <c r="E5647" i="10"/>
  <c r="E5648" i="10"/>
  <c r="E5649" i="10"/>
  <c r="E5650" i="10"/>
  <c r="E5651" i="10"/>
  <c r="E5652" i="10"/>
  <c r="E5653" i="10"/>
  <c r="E5654" i="10"/>
  <c r="E5655" i="10"/>
  <c r="E5656" i="10"/>
  <c r="E5657" i="10"/>
  <c r="E5658" i="10"/>
  <c r="E5659" i="10"/>
  <c r="E5660" i="10"/>
  <c r="E5661" i="10"/>
  <c r="E5662" i="10"/>
  <c r="E5663" i="10"/>
  <c r="E5664" i="10"/>
  <c r="E5665" i="10"/>
  <c r="E5666" i="10"/>
  <c r="E5667" i="10"/>
  <c r="E5668" i="10"/>
  <c r="E5669" i="10"/>
  <c r="E5670" i="10"/>
  <c r="E5671" i="10"/>
  <c r="E5672" i="10"/>
  <c r="E5673" i="10"/>
  <c r="E5674" i="10"/>
  <c r="E5675" i="10"/>
  <c r="E5676" i="10"/>
  <c r="E5677" i="10"/>
  <c r="E5678" i="10"/>
  <c r="E5679" i="10"/>
  <c r="E5680" i="10"/>
  <c r="E5681" i="10"/>
  <c r="E5682" i="10"/>
  <c r="E5683" i="10"/>
  <c r="E5684" i="10"/>
  <c r="E5685" i="10"/>
  <c r="E5686" i="10"/>
  <c r="E5687" i="10"/>
  <c r="E5688" i="10"/>
  <c r="E5689" i="10"/>
  <c r="E5690" i="10"/>
  <c r="E5691" i="10"/>
  <c r="E5692" i="10"/>
  <c r="E5693" i="10"/>
  <c r="E5694" i="10"/>
  <c r="E5695" i="10"/>
  <c r="E5696" i="10"/>
  <c r="E5697" i="10"/>
  <c r="E5698" i="10"/>
  <c r="E5699" i="10"/>
  <c r="E5700" i="10"/>
  <c r="E5701" i="10"/>
  <c r="E5702" i="10"/>
  <c r="E5703" i="10"/>
  <c r="E5704" i="10"/>
  <c r="E5705" i="10"/>
  <c r="E5706" i="10"/>
  <c r="E5707" i="10"/>
  <c r="E5708" i="10"/>
  <c r="E5709" i="10"/>
  <c r="E5710" i="10"/>
  <c r="E5711" i="10"/>
  <c r="E5712" i="10"/>
  <c r="E5713" i="10"/>
  <c r="E5714" i="10"/>
  <c r="E5715" i="10"/>
  <c r="E5716" i="10"/>
  <c r="E5717" i="10"/>
  <c r="E5718" i="10"/>
  <c r="E5719" i="10"/>
  <c r="E5720" i="10"/>
  <c r="E5721" i="10"/>
  <c r="E5722" i="10"/>
  <c r="E5723" i="10"/>
  <c r="E5724" i="10"/>
  <c r="E5725" i="10"/>
  <c r="E5726" i="10"/>
  <c r="E5727" i="10"/>
  <c r="E5728" i="10"/>
  <c r="E5729" i="10"/>
  <c r="E5730" i="10"/>
  <c r="E5731" i="10"/>
  <c r="E5732" i="10"/>
  <c r="E5733" i="10"/>
  <c r="E5734" i="10"/>
  <c r="E5735" i="10"/>
  <c r="E5736" i="10"/>
  <c r="E5737" i="10"/>
  <c r="E5738" i="10"/>
  <c r="E5739" i="10"/>
  <c r="E5740" i="10"/>
  <c r="E5741" i="10"/>
  <c r="E5742" i="10"/>
  <c r="E5743" i="10"/>
  <c r="E5744" i="10"/>
  <c r="E5745" i="10"/>
  <c r="E5746" i="10"/>
  <c r="E5747" i="10"/>
  <c r="E5748" i="10"/>
  <c r="E5749" i="10"/>
  <c r="E5750" i="10"/>
  <c r="E5751" i="10"/>
  <c r="E5752" i="10"/>
  <c r="E5753" i="10"/>
  <c r="E5754" i="10"/>
  <c r="E5755" i="10"/>
  <c r="E5756" i="10"/>
  <c r="E5757" i="10"/>
  <c r="E5758" i="10"/>
  <c r="E5759" i="10"/>
  <c r="E5760" i="10"/>
  <c r="E5761" i="10"/>
  <c r="E5762" i="10"/>
  <c r="E5763" i="10"/>
  <c r="E5764" i="10"/>
  <c r="E5765" i="10"/>
  <c r="E5766" i="10"/>
  <c r="E5767" i="10"/>
  <c r="E5768" i="10"/>
  <c r="E5769" i="10"/>
  <c r="E5770" i="10"/>
  <c r="E5771" i="10"/>
  <c r="E5772" i="10"/>
  <c r="E5773" i="10"/>
  <c r="E5774" i="10"/>
  <c r="E5775" i="10"/>
  <c r="E5776" i="10"/>
  <c r="E5777" i="10"/>
  <c r="E5778" i="10"/>
  <c r="E5779" i="10"/>
  <c r="E5780" i="10"/>
  <c r="E5781" i="10"/>
  <c r="E5782" i="10"/>
  <c r="E5783" i="10"/>
  <c r="E5784" i="10"/>
  <c r="E5785" i="10"/>
  <c r="E5786" i="10"/>
  <c r="E5787" i="10"/>
  <c r="E5788" i="10"/>
  <c r="E5789" i="10"/>
  <c r="E5790" i="10"/>
  <c r="E5791" i="10"/>
  <c r="E5792" i="10"/>
  <c r="E5793" i="10"/>
  <c r="E5794" i="10"/>
  <c r="E5795" i="10"/>
  <c r="E5796" i="10"/>
  <c r="E5797" i="10"/>
  <c r="E5798" i="10"/>
  <c r="E5799" i="10"/>
  <c r="E5800" i="10"/>
  <c r="E5801" i="10"/>
  <c r="E5802" i="10"/>
  <c r="E5803" i="10"/>
  <c r="E5804" i="10"/>
  <c r="E5805" i="10"/>
  <c r="E5806" i="10"/>
  <c r="E5807" i="10"/>
  <c r="E5808" i="10"/>
  <c r="E5809" i="10"/>
  <c r="E5810" i="10"/>
  <c r="E5811" i="10"/>
  <c r="E5812" i="10"/>
  <c r="E5813" i="10"/>
  <c r="E5814" i="10"/>
  <c r="E5815" i="10"/>
  <c r="E5816" i="10"/>
  <c r="E5817" i="10"/>
  <c r="E5818" i="10"/>
  <c r="E5819" i="10"/>
  <c r="E5820" i="10"/>
  <c r="E5821" i="10"/>
  <c r="E5822" i="10"/>
  <c r="E5823" i="10"/>
  <c r="E5824" i="10"/>
  <c r="E5825" i="10"/>
  <c r="E5826" i="10"/>
  <c r="E5827" i="10"/>
  <c r="E5828" i="10"/>
  <c r="E5829" i="10"/>
  <c r="E5830" i="10"/>
  <c r="E5831" i="10"/>
  <c r="E5832" i="10"/>
  <c r="E5833" i="10"/>
  <c r="E5834" i="10"/>
  <c r="E5835" i="10"/>
  <c r="E5836" i="10"/>
  <c r="E5837" i="10"/>
  <c r="E5838" i="10"/>
  <c r="E5839" i="10"/>
  <c r="E5840" i="10"/>
  <c r="E5841" i="10"/>
  <c r="E5842" i="10"/>
  <c r="E5843" i="10"/>
  <c r="E5844" i="10"/>
  <c r="E5845" i="10"/>
  <c r="E5846" i="10"/>
  <c r="E5847" i="10"/>
  <c r="E5848" i="10"/>
  <c r="E5849" i="10"/>
  <c r="E5850" i="10"/>
  <c r="E5851" i="10"/>
  <c r="E5852" i="10"/>
  <c r="E5853" i="10"/>
  <c r="E5854" i="10"/>
  <c r="E5855" i="10"/>
  <c r="E5856" i="10"/>
  <c r="E5857" i="10"/>
  <c r="E5858" i="10"/>
  <c r="E5859" i="10"/>
  <c r="E5860" i="10"/>
  <c r="E5861" i="10"/>
  <c r="E5862" i="10"/>
  <c r="E5863" i="10"/>
  <c r="E5864" i="10"/>
  <c r="E5865" i="10"/>
  <c r="E5866" i="10"/>
  <c r="E5867" i="10"/>
  <c r="E5868" i="10"/>
  <c r="E5869" i="10"/>
  <c r="E5870" i="10"/>
  <c r="E5871" i="10"/>
  <c r="E5872" i="10"/>
  <c r="E5873" i="10"/>
  <c r="E5874" i="10"/>
  <c r="E5875" i="10"/>
  <c r="E5876" i="10"/>
  <c r="E5877" i="10"/>
  <c r="E5878" i="10"/>
  <c r="E5879" i="10"/>
  <c r="E5880" i="10"/>
  <c r="E5881" i="10"/>
  <c r="E5882" i="10"/>
  <c r="E5883" i="10"/>
  <c r="E5884" i="10"/>
  <c r="E5885" i="10"/>
  <c r="E5886" i="10"/>
  <c r="E5887" i="10"/>
  <c r="E5888" i="10"/>
  <c r="E5889" i="10"/>
  <c r="E5890" i="10"/>
  <c r="E5891" i="10"/>
  <c r="E5892" i="10"/>
  <c r="E5893" i="10"/>
  <c r="E5894" i="10"/>
  <c r="E5895" i="10"/>
  <c r="E5896" i="10"/>
  <c r="E5897" i="10"/>
  <c r="E5898" i="10"/>
  <c r="E5899" i="10"/>
  <c r="E5900" i="10"/>
  <c r="E5901" i="10"/>
  <c r="E5902" i="10"/>
  <c r="E5903" i="10"/>
  <c r="E5904" i="10"/>
  <c r="E5905" i="10"/>
  <c r="E5906" i="10"/>
  <c r="E5907" i="10"/>
  <c r="E5908" i="10"/>
  <c r="E5909" i="10"/>
  <c r="E5910" i="10"/>
  <c r="E5911" i="10"/>
  <c r="E5912" i="10"/>
  <c r="E5913" i="10"/>
  <c r="E5914" i="10"/>
  <c r="E5915" i="10"/>
  <c r="E5916" i="10"/>
  <c r="E5917" i="10"/>
  <c r="E5918" i="10"/>
  <c r="E5919" i="10"/>
  <c r="E5920" i="10"/>
  <c r="E5921" i="10"/>
  <c r="E5922" i="10"/>
  <c r="E5923" i="10"/>
  <c r="E5924" i="10"/>
  <c r="E5925" i="10"/>
  <c r="E5926" i="10"/>
  <c r="E5927" i="10"/>
  <c r="E5928" i="10"/>
  <c r="E5929" i="10"/>
  <c r="E5930" i="10"/>
  <c r="E5931" i="10"/>
  <c r="E5932" i="10"/>
  <c r="E5933" i="10"/>
  <c r="E5934" i="10"/>
  <c r="E5935" i="10"/>
  <c r="E5936" i="10"/>
  <c r="E5937" i="10"/>
  <c r="E5938" i="10"/>
  <c r="E5939" i="10"/>
  <c r="E5940" i="10"/>
  <c r="E5941" i="10"/>
  <c r="E5942" i="10"/>
  <c r="E5943" i="10"/>
  <c r="E5944" i="10"/>
  <c r="E5945" i="10"/>
  <c r="E5946" i="10"/>
  <c r="E5947" i="10"/>
  <c r="E5948" i="10"/>
  <c r="E5949" i="10"/>
  <c r="E5950" i="10"/>
  <c r="E5951" i="10"/>
  <c r="E5952" i="10"/>
  <c r="E5953" i="10"/>
  <c r="E5954" i="10"/>
  <c r="E5955" i="10"/>
  <c r="E5956" i="10"/>
  <c r="E5957" i="10"/>
  <c r="E5958" i="10"/>
  <c r="E5959" i="10"/>
  <c r="E5960" i="10"/>
  <c r="E5961" i="10"/>
  <c r="E5962" i="10"/>
  <c r="E5963" i="10"/>
  <c r="E5964" i="10"/>
  <c r="E5965" i="10"/>
  <c r="E5966" i="10"/>
  <c r="E5967" i="10"/>
  <c r="E5968" i="10"/>
  <c r="E5969" i="10"/>
  <c r="E5970" i="10"/>
  <c r="E5971" i="10"/>
  <c r="E5972" i="10"/>
  <c r="E5973" i="10"/>
  <c r="E5974" i="10"/>
  <c r="E5975" i="10"/>
  <c r="E5976" i="10"/>
  <c r="E5977" i="10"/>
  <c r="E5978" i="10"/>
  <c r="E5979" i="10"/>
  <c r="E5980" i="10"/>
  <c r="E5981" i="10"/>
  <c r="E5982" i="10"/>
  <c r="E5983" i="10"/>
  <c r="E5984" i="10"/>
  <c r="E5985" i="10"/>
  <c r="E5986" i="10"/>
  <c r="E5987" i="10"/>
  <c r="E5988" i="10"/>
  <c r="E5989" i="10"/>
  <c r="E5990" i="10"/>
  <c r="E5991" i="10"/>
  <c r="E5992" i="10"/>
  <c r="E5993" i="10"/>
  <c r="E5994" i="10"/>
  <c r="E5995" i="10"/>
  <c r="E5996" i="10"/>
  <c r="E5997" i="10"/>
  <c r="E5998" i="10"/>
  <c r="E5999" i="10"/>
  <c r="E6000" i="10"/>
  <c r="E6001" i="10"/>
  <c r="E6002" i="10"/>
  <c r="E6003" i="10"/>
  <c r="E6004" i="10"/>
  <c r="E6005" i="10"/>
  <c r="E6006" i="10"/>
  <c r="E6007" i="10"/>
  <c r="E6008" i="10"/>
  <c r="E6009" i="10"/>
  <c r="E6010" i="10"/>
  <c r="E6011" i="10"/>
  <c r="E6012" i="10"/>
  <c r="E6013" i="10"/>
  <c r="E6014" i="10"/>
  <c r="E6015" i="10"/>
  <c r="E6016" i="10"/>
  <c r="E6017" i="10"/>
  <c r="E6018" i="10"/>
  <c r="E6019" i="10"/>
  <c r="E6020" i="10"/>
  <c r="E6021" i="10"/>
  <c r="E6022" i="10"/>
  <c r="E6023" i="10"/>
  <c r="E6024" i="10"/>
  <c r="E6025" i="10"/>
  <c r="E6026" i="10"/>
  <c r="E6027" i="10"/>
  <c r="E6028" i="10"/>
  <c r="E6029" i="10"/>
  <c r="E6030" i="10"/>
  <c r="E6031" i="10"/>
  <c r="E6032" i="10"/>
  <c r="E6033" i="10"/>
  <c r="E6034" i="10"/>
  <c r="E6035" i="10"/>
  <c r="E6036" i="10"/>
  <c r="E6037" i="10"/>
  <c r="E6038" i="10"/>
  <c r="E6039" i="10"/>
  <c r="E6040" i="10"/>
  <c r="E6041" i="10"/>
  <c r="E6042" i="10"/>
  <c r="E6043" i="10"/>
  <c r="E6044" i="10"/>
  <c r="E6045" i="10"/>
  <c r="E6046" i="10"/>
  <c r="E6047" i="10"/>
  <c r="E6048" i="10"/>
  <c r="E6049" i="10"/>
  <c r="E6050" i="10"/>
  <c r="E6051" i="10"/>
  <c r="E6052" i="10"/>
  <c r="E6053" i="10"/>
  <c r="E6054" i="10"/>
  <c r="E6055" i="10"/>
  <c r="E6056" i="10"/>
  <c r="E6057" i="10"/>
  <c r="E6058" i="10"/>
  <c r="E6059" i="10"/>
  <c r="E6060" i="10"/>
  <c r="E6061" i="10"/>
  <c r="E6062" i="10"/>
  <c r="E6063" i="10"/>
  <c r="E6064" i="10"/>
  <c r="E6065" i="10"/>
  <c r="E6066" i="10"/>
  <c r="E6067" i="10"/>
  <c r="E6068" i="10"/>
  <c r="E6069" i="10"/>
  <c r="E6070" i="10"/>
  <c r="E6071" i="10"/>
  <c r="E6072" i="10"/>
  <c r="E6073" i="10"/>
  <c r="E6074" i="10"/>
  <c r="E6075" i="10"/>
  <c r="E6076" i="10"/>
  <c r="E6077" i="10"/>
  <c r="E6078" i="10"/>
  <c r="E6079" i="10"/>
  <c r="E6080" i="10"/>
  <c r="E6081" i="10"/>
  <c r="E6082" i="10"/>
  <c r="E6083" i="10"/>
  <c r="E6084" i="10"/>
  <c r="E6085" i="10"/>
  <c r="E6086" i="10"/>
  <c r="E6087" i="10"/>
  <c r="E6088" i="10"/>
  <c r="E6089" i="10"/>
  <c r="E6090" i="10"/>
  <c r="E6091" i="10"/>
  <c r="E6092" i="10"/>
  <c r="E6093" i="10"/>
  <c r="E6094" i="10"/>
  <c r="E6095" i="10"/>
  <c r="E6096" i="10"/>
  <c r="E6097" i="10"/>
  <c r="E6098" i="10"/>
  <c r="E6099" i="10"/>
  <c r="E6100" i="10"/>
  <c r="E6101" i="10"/>
  <c r="E6102" i="10"/>
  <c r="E6103" i="10"/>
  <c r="E6104" i="10"/>
  <c r="E6105" i="10"/>
  <c r="E6106" i="10"/>
  <c r="E6107" i="10"/>
  <c r="E6108" i="10"/>
  <c r="E6109" i="10"/>
  <c r="E6110" i="10"/>
  <c r="E6111" i="10"/>
  <c r="E6112" i="10"/>
  <c r="E6113" i="10"/>
  <c r="E6114" i="10"/>
  <c r="E6115" i="10"/>
  <c r="E6116" i="10"/>
  <c r="E6117" i="10"/>
  <c r="E6118" i="10"/>
  <c r="E6119" i="10"/>
  <c r="E6120" i="10"/>
  <c r="E6121" i="10"/>
  <c r="E6122" i="10"/>
  <c r="E6123" i="10"/>
  <c r="E6124" i="10"/>
  <c r="E6125" i="10"/>
  <c r="E6126" i="10"/>
  <c r="E6127" i="10"/>
  <c r="E6128" i="10"/>
  <c r="E6129" i="10"/>
  <c r="E6130" i="10"/>
  <c r="E6131" i="10"/>
  <c r="E6132" i="10"/>
  <c r="E6133" i="10"/>
  <c r="E6134" i="10"/>
  <c r="E6135" i="10"/>
  <c r="E6136" i="10"/>
  <c r="E6137" i="10"/>
  <c r="E6138" i="10"/>
  <c r="E6139" i="10"/>
  <c r="E6140" i="10"/>
  <c r="E6141" i="10"/>
  <c r="E6142" i="10"/>
  <c r="E6143" i="10"/>
  <c r="E6144" i="10"/>
  <c r="E6145" i="10"/>
  <c r="E6146" i="10"/>
  <c r="E6147" i="10"/>
  <c r="E6148" i="10"/>
  <c r="E6149" i="10"/>
  <c r="E6150" i="10"/>
  <c r="E6151" i="10"/>
  <c r="E6152" i="10"/>
  <c r="E6153" i="10"/>
  <c r="E6154" i="10"/>
  <c r="E6155" i="10"/>
  <c r="E6156" i="10"/>
  <c r="E6157" i="10"/>
  <c r="E6158" i="10"/>
  <c r="E6159" i="10"/>
  <c r="E6160" i="10"/>
  <c r="E6161" i="10"/>
  <c r="E6162" i="10"/>
  <c r="E6163" i="10"/>
  <c r="E6164" i="10"/>
  <c r="E6165" i="10"/>
  <c r="E6166" i="10"/>
  <c r="E6167" i="10"/>
  <c r="E6168" i="10"/>
  <c r="E6169" i="10"/>
  <c r="E6170" i="10"/>
  <c r="E6171" i="10"/>
  <c r="E6172" i="10"/>
  <c r="E6173" i="10"/>
  <c r="E6174" i="10"/>
  <c r="E6175" i="10"/>
  <c r="E6176" i="10"/>
  <c r="E6177" i="10"/>
  <c r="E6178" i="10"/>
  <c r="E6179" i="10"/>
  <c r="E6180" i="10"/>
  <c r="E6181" i="10"/>
  <c r="E6182" i="10"/>
  <c r="E6183" i="10"/>
  <c r="E6184" i="10"/>
  <c r="E6185" i="10"/>
  <c r="E6186" i="10"/>
  <c r="E6187" i="10"/>
  <c r="E6188" i="10"/>
  <c r="E6189" i="10"/>
  <c r="E6190" i="10"/>
  <c r="E6191" i="10"/>
  <c r="E6192" i="10"/>
  <c r="E6193" i="10"/>
  <c r="E6194" i="10"/>
  <c r="E6195" i="10"/>
  <c r="E6196" i="10"/>
  <c r="E6197" i="10"/>
  <c r="E6198" i="10"/>
  <c r="E6199" i="10"/>
  <c r="E6200" i="10"/>
  <c r="E6201" i="10"/>
  <c r="E6202" i="10"/>
  <c r="E6203" i="10"/>
  <c r="E6204" i="10"/>
  <c r="E6205" i="10"/>
  <c r="E6206" i="10"/>
  <c r="E6207" i="10"/>
  <c r="E6208" i="10"/>
  <c r="E6209" i="10"/>
  <c r="E6210" i="10"/>
  <c r="E6211" i="10"/>
  <c r="E6212" i="10"/>
  <c r="E6213" i="10"/>
  <c r="E6214" i="10"/>
  <c r="E6215" i="10"/>
  <c r="E6216" i="10"/>
  <c r="E6217" i="10"/>
  <c r="E6218" i="10"/>
  <c r="E6219" i="10"/>
  <c r="E6220" i="10"/>
  <c r="E6221" i="10"/>
  <c r="E6222" i="10"/>
  <c r="E6223" i="10"/>
  <c r="E6224" i="10"/>
  <c r="E6225" i="10"/>
  <c r="E6226" i="10"/>
  <c r="E6227" i="10"/>
  <c r="E6228" i="10"/>
  <c r="E6229" i="10"/>
  <c r="E6230" i="10"/>
  <c r="E6231" i="10"/>
  <c r="E6232" i="10"/>
  <c r="E6233" i="10"/>
  <c r="E6234" i="10"/>
  <c r="E6235" i="10"/>
  <c r="E6236" i="10"/>
  <c r="E6237" i="10"/>
  <c r="E6238" i="10"/>
  <c r="E6239" i="10"/>
  <c r="E6240" i="10"/>
  <c r="E6241" i="10"/>
  <c r="E6242" i="10"/>
  <c r="E6243" i="10"/>
  <c r="E6244" i="10"/>
  <c r="E6245" i="10"/>
  <c r="E6246" i="10"/>
  <c r="E6247" i="10"/>
  <c r="E6248" i="10"/>
  <c r="E6249" i="10"/>
  <c r="E6250" i="10"/>
  <c r="E6251" i="10"/>
  <c r="E6252" i="10"/>
  <c r="E6253" i="10"/>
  <c r="E6254" i="10"/>
  <c r="E6255" i="10"/>
  <c r="E6256" i="10"/>
  <c r="E6257" i="10"/>
  <c r="E6258" i="10"/>
  <c r="E6259" i="10"/>
  <c r="E6260" i="10"/>
  <c r="E6261" i="10"/>
  <c r="E6262" i="10"/>
  <c r="E6263" i="10"/>
  <c r="E6264" i="10"/>
  <c r="E6265" i="10"/>
  <c r="E6266" i="10"/>
  <c r="E6267" i="10"/>
  <c r="E6268" i="10"/>
  <c r="E6269" i="10"/>
  <c r="E6270" i="10"/>
  <c r="E6271" i="10"/>
  <c r="E6272" i="10"/>
  <c r="E6273" i="10"/>
  <c r="E6274" i="10"/>
  <c r="E6275" i="10"/>
  <c r="E6276" i="10"/>
  <c r="E6277" i="10"/>
  <c r="E6278" i="10"/>
  <c r="E6279" i="10"/>
  <c r="E6280" i="10"/>
  <c r="E6281" i="10"/>
  <c r="E6282" i="10"/>
  <c r="E6283" i="10"/>
  <c r="E6284" i="10"/>
  <c r="E6285" i="10"/>
  <c r="E6286" i="10"/>
  <c r="E6287" i="10"/>
  <c r="E6288" i="10"/>
  <c r="E6289" i="10"/>
  <c r="E6290" i="10"/>
  <c r="E6291" i="10"/>
  <c r="E6292" i="10"/>
  <c r="E6293" i="10"/>
  <c r="E6294" i="10"/>
  <c r="E6295" i="10"/>
  <c r="E6296" i="10"/>
  <c r="E6297" i="10"/>
  <c r="E6298" i="10"/>
  <c r="E6299" i="10"/>
  <c r="E6300" i="10"/>
  <c r="E6301" i="10"/>
  <c r="E6302" i="10"/>
  <c r="E6303" i="10"/>
  <c r="E6304" i="10"/>
  <c r="E6305" i="10"/>
  <c r="E6306" i="10"/>
  <c r="E6307" i="10"/>
  <c r="E6308" i="10"/>
  <c r="E6309" i="10"/>
  <c r="E6310" i="10"/>
  <c r="E6311" i="10"/>
  <c r="E6312" i="10"/>
  <c r="E6313" i="10"/>
  <c r="E6314" i="10"/>
  <c r="E6315" i="10"/>
  <c r="E6316" i="10"/>
  <c r="E6317" i="10"/>
  <c r="E6318" i="10"/>
  <c r="E6319" i="10"/>
  <c r="E6320" i="10"/>
  <c r="E6321" i="10"/>
  <c r="E6322" i="10"/>
  <c r="E6323" i="10"/>
  <c r="E6324" i="10"/>
  <c r="E6325" i="10"/>
  <c r="E6326" i="10"/>
  <c r="E6327" i="10"/>
  <c r="E6328" i="10"/>
  <c r="E6329" i="10"/>
  <c r="E6330" i="10"/>
  <c r="E6331" i="10"/>
  <c r="E6332" i="10"/>
  <c r="E6333" i="10"/>
  <c r="E6334" i="10"/>
  <c r="E6335" i="10"/>
  <c r="E6336" i="10"/>
  <c r="E6337" i="10"/>
  <c r="E6338" i="10"/>
  <c r="E6339" i="10"/>
  <c r="E6340" i="10"/>
  <c r="E6341" i="10"/>
  <c r="E6342" i="10"/>
  <c r="E6343" i="10"/>
  <c r="E6344" i="10"/>
  <c r="E6345" i="10"/>
  <c r="E6346" i="10"/>
  <c r="E6347" i="10"/>
  <c r="E6348" i="10"/>
  <c r="E6349" i="10"/>
  <c r="E6350" i="10"/>
  <c r="E6351" i="10"/>
  <c r="E6352" i="10"/>
  <c r="E6353" i="10"/>
  <c r="E6354" i="10"/>
  <c r="E6355" i="10"/>
  <c r="E6356" i="10"/>
  <c r="E6357" i="10"/>
  <c r="E6358" i="10"/>
  <c r="E6359" i="10"/>
  <c r="E6360" i="10"/>
  <c r="E6361" i="10"/>
  <c r="E6362" i="10"/>
  <c r="E6363" i="10"/>
  <c r="E6364" i="10"/>
  <c r="E6365" i="10"/>
  <c r="E6366" i="10"/>
  <c r="E6367" i="10"/>
  <c r="E6368" i="10"/>
  <c r="E6369" i="10"/>
  <c r="E6370" i="10"/>
  <c r="E6371" i="10"/>
  <c r="E6372" i="10"/>
  <c r="E6373" i="10"/>
  <c r="E6374" i="10"/>
  <c r="E6375" i="10"/>
  <c r="E6376" i="10"/>
  <c r="E6377" i="10"/>
  <c r="E6378" i="10"/>
  <c r="E6379" i="10"/>
  <c r="E6380" i="10"/>
  <c r="E6381" i="10"/>
  <c r="E6382" i="10"/>
  <c r="E6383" i="10"/>
  <c r="E6384" i="10"/>
  <c r="E6385" i="10"/>
  <c r="E6386" i="10"/>
  <c r="E6387" i="10"/>
  <c r="E6388" i="10"/>
  <c r="E6389" i="10"/>
  <c r="E6390" i="10"/>
  <c r="E6391" i="10"/>
  <c r="E6392" i="10"/>
  <c r="E6393" i="10"/>
  <c r="E6394" i="10"/>
  <c r="E6395" i="10"/>
  <c r="E6396" i="10"/>
  <c r="E6397" i="10"/>
  <c r="E6398" i="10"/>
  <c r="E6399" i="10"/>
  <c r="E6400" i="10"/>
  <c r="E6401" i="10"/>
  <c r="E6402" i="10"/>
  <c r="E6403" i="10"/>
  <c r="E6404" i="10"/>
  <c r="E6405" i="10"/>
  <c r="E6406" i="10"/>
  <c r="E6407" i="10"/>
  <c r="E6408" i="10"/>
  <c r="E6409" i="10"/>
  <c r="E6410" i="10"/>
  <c r="E6411" i="10"/>
  <c r="E6412" i="10"/>
  <c r="E6413" i="10"/>
  <c r="E6414" i="10"/>
  <c r="E6415" i="10"/>
  <c r="E6416" i="10"/>
  <c r="E6417" i="10"/>
  <c r="E6418" i="10"/>
  <c r="E6419" i="10"/>
  <c r="E6420" i="10"/>
  <c r="E6421" i="10"/>
  <c r="E6422" i="10"/>
  <c r="E6423" i="10"/>
  <c r="E6424" i="10"/>
  <c r="E6425" i="10"/>
  <c r="E6426" i="10"/>
  <c r="E6427" i="10"/>
  <c r="E6428" i="10"/>
  <c r="E6429" i="10"/>
  <c r="E6430" i="10"/>
  <c r="E6431" i="10"/>
  <c r="E6432" i="10"/>
  <c r="E6433" i="10"/>
  <c r="E6434" i="10"/>
  <c r="E6435" i="10"/>
  <c r="E6436" i="10"/>
  <c r="E6437" i="10"/>
  <c r="E6438" i="10"/>
  <c r="E6439" i="10"/>
  <c r="E6440" i="10"/>
  <c r="E6441" i="10"/>
  <c r="E6442" i="10"/>
  <c r="E6443" i="10"/>
  <c r="E6444" i="10"/>
  <c r="E6445" i="10"/>
  <c r="E6446" i="10"/>
  <c r="E6447" i="10"/>
  <c r="E6448" i="10"/>
  <c r="E6449" i="10"/>
  <c r="E6450" i="10"/>
  <c r="E6451" i="10"/>
  <c r="E6452" i="10"/>
  <c r="E6453" i="10"/>
  <c r="E6454" i="10"/>
  <c r="E6455" i="10"/>
  <c r="E6456" i="10"/>
  <c r="E6457" i="10"/>
  <c r="E6458" i="10"/>
  <c r="E6459" i="10"/>
  <c r="E6460" i="10"/>
  <c r="E6461" i="10"/>
  <c r="E6462" i="10"/>
  <c r="E6463" i="10"/>
  <c r="E6464" i="10"/>
  <c r="E6465" i="10"/>
  <c r="E6466" i="10"/>
  <c r="E6467" i="10"/>
  <c r="E6468" i="10"/>
  <c r="E6469" i="10"/>
  <c r="E6470" i="10"/>
  <c r="E6471" i="10"/>
  <c r="E6472" i="10"/>
  <c r="E6473" i="10"/>
  <c r="E6474" i="10"/>
  <c r="E6475" i="10"/>
  <c r="E6476" i="10"/>
  <c r="E6477" i="10"/>
  <c r="E6478" i="10"/>
  <c r="E6479" i="10"/>
  <c r="E6480" i="10"/>
  <c r="E6481" i="10"/>
  <c r="E6482" i="10"/>
  <c r="E6483" i="10"/>
  <c r="E6484" i="10"/>
  <c r="E6485" i="10"/>
  <c r="E6486" i="10"/>
  <c r="E6487" i="10"/>
  <c r="E6488" i="10"/>
  <c r="E6489" i="10"/>
  <c r="E6490" i="10"/>
  <c r="E6491" i="10"/>
  <c r="E6492" i="10"/>
  <c r="E6493" i="10"/>
  <c r="E6494" i="10"/>
  <c r="E6495" i="10"/>
  <c r="E6496" i="10"/>
  <c r="E6497" i="10"/>
  <c r="E6498" i="10"/>
  <c r="E6499" i="10"/>
  <c r="E6500" i="10"/>
  <c r="E6501" i="10"/>
  <c r="E6502" i="10"/>
  <c r="E6503" i="10"/>
  <c r="E6504" i="10"/>
  <c r="E6505" i="10"/>
  <c r="E6506" i="10"/>
  <c r="E6507" i="10"/>
  <c r="E6508" i="10"/>
  <c r="E6509" i="10"/>
  <c r="E6510" i="10"/>
  <c r="E6511" i="10"/>
  <c r="E6512" i="10"/>
  <c r="E6513" i="10"/>
  <c r="E6514" i="10"/>
  <c r="E6515" i="10"/>
  <c r="E6516" i="10"/>
  <c r="E6517" i="10"/>
  <c r="E6518" i="10"/>
  <c r="E6519" i="10"/>
  <c r="E6520" i="10"/>
  <c r="E6521" i="10"/>
  <c r="E6522" i="10"/>
  <c r="E6523" i="10"/>
  <c r="E6524" i="10"/>
  <c r="E6525" i="10"/>
  <c r="E6526" i="10"/>
  <c r="E6527" i="10"/>
  <c r="E6528" i="10"/>
  <c r="E6529" i="10"/>
  <c r="E6530" i="10"/>
  <c r="E6531" i="10"/>
  <c r="E6532" i="10"/>
  <c r="E6533" i="10"/>
  <c r="E6534" i="10"/>
  <c r="E6535" i="10"/>
  <c r="E6536" i="10"/>
  <c r="E6537" i="10"/>
  <c r="E6538" i="10"/>
  <c r="E6539" i="10"/>
  <c r="E6540" i="10"/>
  <c r="E6541" i="10"/>
  <c r="E6542" i="10"/>
  <c r="E6543" i="10"/>
  <c r="E6544" i="10"/>
  <c r="E6545" i="10"/>
  <c r="E6546" i="10"/>
  <c r="E6547" i="10"/>
  <c r="E6548" i="10"/>
  <c r="E6549" i="10"/>
  <c r="E6550" i="10"/>
  <c r="E6551" i="10"/>
  <c r="E6552" i="10"/>
  <c r="E6553" i="10"/>
  <c r="E6554" i="10"/>
  <c r="E6555" i="10"/>
  <c r="E6556" i="10"/>
  <c r="E6557" i="10"/>
  <c r="E6558" i="10"/>
  <c r="E6559" i="10"/>
  <c r="E6560" i="10"/>
  <c r="E6561" i="10"/>
  <c r="E6562" i="10"/>
  <c r="E6563" i="10"/>
  <c r="E6564" i="10"/>
  <c r="E6565" i="10"/>
  <c r="E6566" i="10"/>
  <c r="E6567" i="10"/>
  <c r="E6568" i="10"/>
  <c r="E6569" i="10"/>
  <c r="E6570" i="10"/>
  <c r="E6571" i="10"/>
  <c r="E6572" i="10"/>
  <c r="E6573" i="10"/>
  <c r="E6574" i="10"/>
  <c r="E6575" i="10"/>
  <c r="E6576" i="10"/>
  <c r="E6577" i="10"/>
  <c r="E6578" i="10"/>
  <c r="E6579" i="10"/>
  <c r="E6580" i="10"/>
  <c r="E6581" i="10"/>
  <c r="E6582" i="10"/>
  <c r="E6583" i="10"/>
  <c r="E6584" i="10"/>
  <c r="E6585" i="10"/>
  <c r="E6586" i="10"/>
  <c r="E6587" i="10"/>
  <c r="E6588" i="10"/>
  <c r="E6589" i="10"/>
  <c r="E6590" i="10"/>
  <c r="E6591" i="10"/>
  <c r="E6592" i="10"/>
  <c r="E6593" i="10"/>
  <c r="E6594" i="10"/>
  <c r="E6595" i="10"/>
  <c r="E6596" i="10"/>
  <c r="E6597" i="10"/>
  <c r="E6598" i="10"/>
  <c r="E6599" i="10"/>
  <c r="E6600" i="10"/>
  <c r="E6601" i="10"/>
  <c r="E6602" i="10"/>
  <c r="E6603" i="10"/>
  <c r="E6604" i="10"/>
  <c r="E6605" i="10"/>
  <c r="E6606" i="10"/>
  <c r="E6607" i="10"/>
  <c r="E6608" i="10"/>
  <c r="E6609" i="10"/>
  <c r="E6610" i="10"/>
  <c r="E6611" i="10"/>
  <c r="E6612" i="10"/>
  <c r="E6613" i="10"/>
  <c r="E6614" i="10"/>
  <c r="E6615" i="10"/>
  <c r="E6616" i="10"/>
  <c r="E6617" i="10"/>
  <c r="E6618" i="10"/>
  <c r="E6619" i="10"/>
  <c r="E6620" i="10"/>
  <c r="E6621" i="10"/>
  <c r="E6622" i="10"/>
  <c r="E6623" i="10"/>
  <c r="E6624" i="10"/>
  <c r="E6625" i="10"/>
  <c r="E6626" i="10"/>
  <c r="E6627" i="10"/>
  <c r="E6628" i="10"/>
  <c r="E6629" i="10"/>
  <c r="E6630" i="10"/>
  <c r="E6631" i="10"/>
  <c r="E6632" i="10"/>
  <c r="E6633" i="10"/>
  <c r="E6634" i="10"/>
  <c r="E6635" i="10"/>
  <c r="E6636" i="10"/>
  <c r="E6637" i="10"/>
  <c r="E6638" i="10"/>
  <c r="E6639" i="10"/>
  <c r="E6640" i="10"/>
  <c r="E6641" i="10"/>
  <c r="E6642" i="10"/>
  <c r="E6643" i="10"/>
  <c r="E6644" i="10"/>
  <c r="E6645" i="10"/>
  <c r="E6646" i="10"/>
  <c r="E6647" i="10"/>
  <c r="E6648" i="10"/>
  <c r="E6649" i="10"/>
  <c r="E6650" i="10"/>
  <c r="E6651" i="10"/>
  <c r="E6652" i="10"/>
  <c r="E6653" i="10"/>
  <c r="E6654" i="10"/>
  <c r="E6655" i="10"/>
  <c r="E6656" i="10"/>
  <c r="E6657" i="10"/>
  <c r="E6658" i="10"/>
  <c r="E6659" i="10"/>
  <c r="E6660" i="10"/>
  <c r="E6661" i="10"/>
  <c r="E6662" i="10"/>
  <c r="E6663" i="10"/>
  <c r="E6664" i="10"/>
  <c r="E6665" i="10"/>
  <c r="E6666" i="10"/>
  <c r="E6667" i="10"/>
  <c r="E6668" i="10"/>
  <c r="E6669" i="10"/>
  <c r="E6670" i="10"/>
  <c r="E6671" i="10"/>
  <c r="E6672" i="10"/>
  <c r="E6673" i="10"/>
  <c r="E6674" i="10"/>
  <c r="E6675" i="10"/>
  <c r="E6676" i="10"/>
  <c r="E6677" i="10"/>
  <c r="E6678" i="10"/>
  <c r="E6679" i="10"/>
  <c r="E6680" i="10"/>
  <c r="E6681" i="10"/>
  <c r="E6682" i="10"/>
  <c r="E6683" i="10"/>
  <c r="E6684" i="10"/>
  <c r="E6685" i="10"/>
  <c r="E6686" i="10"/>
  <c r="E6687" i="10"/>
  <c r="E6688" i="10"/>
  <c r="E6689" i="10"/>
  <c r="E6690" i="10"/>
  <c r="E6691" i="10"/>
  <c r="E6692" i="10"/>
  <c r="E6693" i="10"/>
  <c r="E6694" i="10"/>
  <c r="E6695" i="10"/>
  <c r="E6696" i="10"/>
  <c r="E6697" i="10"/>
  <c r="E6698" i="10"/>
  <c r="E6699" i="10"/>
  <c r="E6700" i="10"/>
  <c r="E6701" i="10"/>
  <c r="E6702" i="10"/>
  <c r="E6703" i="10"/>
  <c r="E6704" i="10"/>
  <c r="E6705" i="10"/>
  <c r="E6706" i="10"/>
  <c r="E6707" i="10"/>
  <c r="E6708" i="10"/>
  <c r="E6709" i="10"/>
  <c r="E6710" i="10"/>
  <c r="E6711" i="10"/>
  <c r="E6712" i="10"/>
  <c r="E6713" i="10"/>
  <c r="E6714" i="10"/>
  <c r="E6715" i="10"/>
  <c r="E6716" i="10"/>
  <c r="E6717" i="10"/>
  <c r="E6718" i="10"/>
  <c r="E6719" i="10"/>
  <c r="E6720" i="10"/>
  <c r="E6721" i="10"/>
  <c r="E6722" i="10"/>
  <c r="E6723" i="10"/>
  <c r="E6724" i="10"/>
  <c r="E6725" i="10"/>
  <c r="E6726" i="10"/>
  <c r="E6727" i="10"/>
  <c r="E6728" i="10"/>
  <c r="E6729" i="10"/>
  <c r="E6730" i="10"/>
  <c r="E6731" i="10"/>
  <c r="E6732" i="10"/>
  <c r="E6733" i="10"/>
  <c r="E6734" i="10"/>
  <c r="E6735" i="10"/>
  <c r="E6736" i="10"/>
  <c r="E6737" i="10"/>
  <c r="E6738" i="10"/>
  <c r="E6739" i="10"/>
  <c r="E6740" i="10"/>
  <c r="E6741" i="10"/>
  <c r="E6742" i="10"/>
  <c r="E6743" i="10"/>
  <c r="E6744" i="10"/>
  <c r="E6745" i="10"/>
  <c r="E6746" i="10"/>
  <c r="E6747" i="10"/>
  <c r="E6748" i="10"/>
  <c r="E6749" i="10"/>
  <c r="E6750" i="10"/>
  <c r="E6751" i="10"/>
  <c r="E6752" i="10"/>
  <c r="E6753" i="10"/>
  <c r="E6754" i="10"/>
  <c r="E6755" i="10"/>
  <c r="E6756" i="10"/>
  <c r="E6757" i="10"/>
  <c r="E6758" i="10"/>
  <c r="E6759" i="10"/>
  <c r="E6760" i="10"/>
  <c r="E6761" i="10"/>
  <c r="E6762" i="10"/>
  <c r="E6763" i="10"/>
  <c r="E6764" i="10"/>
  <c r="E6765" i="10"/>
  <c r="E6766" i="10"/>
  <c r="E6767" i="10"/>
  <c r="E6768" i="10"/>
  <c r="E6769" i="10"/>
  <c r="E6770" i="10"/>
  <c r="E6771" i="10"/>
  <c r="E6772" i="10"/>
  <c r="E6773" i="10"/>
  <c r="E6774" i="10"/>
  <c r="E6775" i="10"/>
  <c r="E6776" i="10"/>
  <c r="E6777" i="10"/>
  <c r="E6778" i="10"/>
  <c r="E6779" i="10"/>
  <c r="E6780" i="10"/>
  <c r="E6781" i="10"/>
  <c r="E6782" i="10"/>
  <c r="E6783" i="10"/>
  <c r="E6784" i="10"/>
  <c r="E6785" i="10"/>
  <c r="E6786" i="10"/>
  <c r="E6787" i="10"/>
  <c r="E6788" i="10"/>
  <c r="E6789" i="10"/>
  <c r="E6790" i="10"/>
  <c r="E6791" i="10"/>
  <c r="E6792" i="10"/>
  <c r="E6793" i="10"/>
  <c r="E6794" i="10"/>
  <c r="E6795" i="10"/>
  <c r="E6796" i="10"/>
  <c r="E6797" i="10"/>
  <c r="E6798" i="10"/>
  <c r="E6799" i="10"/>
  <c r="E6800" i="10"/>
  <c r="E6801" i="10"/>
  <c r="E6802" i="10"/>
  <c r="E6803" i="10"/>
  <c r="E6804" i="10"/>
  <c r="E6805" i="10"/>
  <c r="E6806" i="10"/>
  <c r="E6807" i="10"/>
  <c r="E6808" i="10"/>
  <c r="E6809" i="10"/>
  <c r="E6810" i="10"/>
  <c r="E6811" i="10"/>
  <c r="E6812" i="10"/>
  <c r="E6813" i="10"/>
  <c r="E6814" i="10"/>
  <c r="E6815" i="10"/>
  <c r="E6816" i="10"/>
  <c r="E6817" i="10"/>
  <c r="E6818" i="10"/>
  <c r="E6819" i="10"/>
  <c r="E6820" i="10"/>
  <c r="E6821" i="10"/>
  <c r="E6822" i="10"/>
  <c r="E6823" i="10"/>
  <c r="E6824" i="10"/>
  <c r="E6825" i="10"/>
  <c r="E6826" i="10"/>
  <c r="E6827" i="10"/>
  <c r="E6828" i="10"/>
  <c r="E6829" i="10"/>
  <c r="E6830" i="10"/>
  <c r="E6831" i="10"/>
  <c r="E6832" i="10"/>
  <c r="E6833" i="10"/>
  <c r="E6834" i="10"/>
  <c r="E6835" i="10"/>
  <c r="E6836" i="10"/>
  <c r="E6837" i="10"/>
  <c r="E6838" i="10"/>
  <c r="E6839" i="10"/>
  <c r="E6840" i="10"/>
  <c r="E6841" i="10"/>
  <c r="E6842" i="10"/>
  <c r="E6843" i="10"/>
  <c r="E6844" i="10"/>
  <c r="E6845" i="10"/>
  <c r="E6846" i="10"/>
  <c r="E6847" i="10"/>
  <c r="E6848" i="10"/>
  <c r="E6849" i="10"/>
  <c r="E6850" i="10"/>
  <c r="E6851" i="10"/>
  <c r="E6852" i="10"/>
  <c r="E6853" i="10"/>
  <c r="E6854" i="10"/>
  <c r="E6855" i="10"/>
  <c r="E6856" i="10"/>
  <c r="E6857" i="10"/>
  <c r="E6858" i="10"/>
  <c r="E6859" i="10"/>
  <c r="E6860" i="10"/>
  <c r="E6861" i="10"/>
  <c r="E6862" i="10"/>
  <c r="E6863" i="10"/>
  <c r="E6864" i="10"/>
  <c r="E6865" i="10"/>
  <c r="E6866" i="10"/>
  <c r="E6867" i="10"/>
  <c r="E6868" i="10"/>
  <c r="E6869" i="10"/>
  <c r="E6870" i="10"/>
  <c r="E6871" i="10"/>
  <c r="E6872" i="10"/>
  <c r="E6873" i="10"/>
  <c r="E6874" i="10"/>
  <c r="E6875" i="10"/>
  <c r="E6876" i="10"/>
  <c r="E6877" i="10"/>
  <c r="E6878" i="10"/>
  <c r="E6879" i="10"/>
  <c r="E6880" i="10"/>
  <c r="E6881" i="10"/>
  <c r="E6882" i="10"/>
  <c r="E6883" i="10"/>
  <c r="E6884" i="10"/>
  <c r="E6885" i="10"/>
  <c r="E6886" i="10"/>
  <c r="E6887" i="10"/>
  <c r="E6888" i="10"/>
  <c r="E6889" i="10"/>
  <c r="E6890" i="10"/>
  <c r="E6891" i="10"/>
  <c r="E6892" i="10"/>
  <c r="E6893" i="10"/>
  <c r="E6894" i="10"/>
  <c r="E6895" i="10"/>
  <c r="E6896" i="10"/>
  <c r="E6897" i="10"/>
  <c r="E6898" i="10"/>
  <c r="E6899" i="10"/>
  <c r="E6900" i="10"/>
  <c r="E6901" i="10"/>
  <c r="E6902" i="10"/>
  <c r="E6903" i="10"/>
  <c r="E6904" i="10"/>
  <c r="E6905" i="10"/>
  <c r="E6906" i="10"/>
  <c r="E6907" i="10"/>
  <c r="E6908" i="10"/>
  <c r="E6909" i="10"/>
  <c r="E6910" i="10"/>
  <c r="E6911" i="10"/>
  <c r="E6912" i="10"/>
  <c r="E6913" i="10"/>
  <c r="E6914" i="10"/>
  <c r="E6915" i="10"/>
  <c r="E6916" i="10"/>
  <c r="E6917" i="10"/>
  <c r="E6918" i="10"/>
  <c r="E6919" i="10"/>
  <c r="E6920" i="10"/>
  <c r="E6921" i="10"/>
  <c r="E6922" i="10"/>
  <c r="E6923" i="10"/>
  <c r="E6924" i="10"/>
  <c r="E6925" i="10"/>
  <c r="E6926" i="10"/>
  <c r="E6927" i="10"/>
  <c r="E6928" i="10"/>
  <c r="E6929" i="10"/>
  <c r="E6930" i="10"/>
  <c r="E6931" i="10"/>
  <c r="E6932" i="10"/>
  <c r="E6933" i="10"/>
  <c r="E6934" i="10"/>
  <c r="E6935" i="10"/>
  <c r="E6936" i="10"/>
  <c r="E6937" i="10"/>
  <c r="E6938" i="10"/>
  <c r="E6939" i="10"/>
  <c r="E6940" i="10"/>
  <c r="E6941" i="10"/>
  <c r="E6942" i="10"/>
  <c r="E6943" i="10"/>
  <c r="E6944" i="10"/>
  <c r="E6945" i="10"/>
  <c r="E6946" i="10"/>
  <c r="E6947" i="10"/>
  <c r="E6948" i="10"/>
  <c r="E6949" i="10"/>
  <c r="E6950" i="10"/>
  <c r="E6951" i="10"/>
  <c r="E6952" i="10"/>
  <c r="E6953" i="10"/>
  <c r="E6954" i="10"/>
  <c r="E6955" i="10"/>
  <c r="E6956" i="10"/>
  <c r="E6957" i="10"/>
  <c r="E6958" i="10"/>
  <c r="E6959" i="10"/>
  <c r="E6960" i="10"/>
  <c r="E6961" i="10"/>
  <c r="E6962" i="10"/>
  <c r="E6963" i="10"/>
  <c r="E6964" i="10"/>
  <c r="E6965" i="10"/>
  <c r="E6966" i="10"/>
  <c r="E6967" i="10"/>
  <c r="E6968" i="10"/>
  <c r="E6969" i="10"/>
  <c r="E6970" i="10"/>
  <c r="E6971" i="10"/>
  <c r="E6972" i="10"/>
  <c r="E6973" i="10"/>
  <c r="E6974" i="10"/>
  <c r="E6975" i="10"/>
  <c r="E6976" i="10"/>
  <c r="E6977" i="10"/>
  <c r="E6978" i="10"/>
  <c r="E6979" i="10"/>
  <c r="E6980" i="10"/>
  <c r="E6981" i="10"/>
  <c r="E6982" i="10"/>
  <c r="E6983" i="10"/>
  <c r="E6984" i="10"/>
  <c r="E6985" i="10"/>
  <c r="E6986" i="10"/>
  <c r="E6987" i="10"/>
  <c r="E6988" i="10"/>
  <c r="E6989" i="10"/>
  <c r="E6990" i="10"/>
  <c r="E6991" i="10"/>
  <c r="E6992" i="10"/>
  <c r="E6993" i="10"/>
  <c r="E6994" i="10"/>
  <c r="E6995" i="10"/>
  <c r="E6996" i="10"/>
  <c r="E6997" i="10"/>
  <c r="E6998" i="10"/>
  <c r="E6999" i="10"/>
  <c r="E7000" i="10"/>
  <c r="E7001" i="10"/>
  <c r="E7002" i="10"/>
  <c r="E7003" i="10"/>
  <c r="E7004" i="10"/>
  <c r="E7005" i="10"/>
  <c r="E7006" i="10"/>
  <c r="E7007" i="10"/>
  <c r="E7008" i="10"/>
  <c r="E7009" i="10"/>
  <c r="E7010" i="10"/>
  <c r="E7011" i="10"/>
  <c r="E7012" i="10"/>
  <c r="E7013" i="10"/>
  <c r="E7014" i="10"/>
  <c r="E7015" i="10"/>
  <c r="E7016" i="10"/>
  <c r="E7017" i="10"/>
  <c r="E7018" i="10"/>
  <c r="E7019" i="10"/>
  <c r="E7020" i="10"/>
  <c r="E7021" i="10"/>
  <c r="E7022" i="10"/>
  <c r="E7023" i="10"/>
  <c r="E7024" i="10"/>
  <c r="E7025" i="10"/>
  <c r="E7026" i="10"/>
  <c r="E7027" i="10"/>
  <c r="E7028" i="10"/>
  <c r="E7029" i="10"/>
  <c r="E7030" i="10"/>
  <c r="E7031" i="10"/>
  <c r="E7032" i="10"/>
  <c r="E7033" i="10"/>
  <c r="E7034" i="10"/>
  <c r="E7035" i="10"/>
  <c r="E7036" i="10"/>
  <c r="E7037" i="10"/>
  <c r="E7038" i="10"/>
  <c r="E7039" i="10"/>
  <c r="E7040" i="10"/>
  <c r="E7041" i="10"/>
  <c r="E7042" i="10"/>
  <c r="E7043" i="10"/>
  <c r="E7044" i="10"/>
  <c r="E7045" i="10"/>
  <c r="E7046" i="10"/>
  <c r="E7047" i="10"/>
  <c r="E7048" i="10"/>
  <c r="E7049" i="10"/>
  <c r="E7050" i="10"/>
  <c r="E7051" i="10"/>
  <c r="E7052" i="10"/>
  <c r="E7053" i="10"/>
  <c r="E7054" i="10"/>
  <c r="E7055" i="10"/>
  <c r="E7056" i="10"/>
  <c r="E7057" i="10"/>
  <c r="E7058" i="10"/>
  <c r="E7059" i="10"/>
  <c r="E7060" i="10"/>
  <c r="E7061" i="10"/>
  <c r="E7062" i="10"/>
  <c r="E7063" i="10"/>
  <c r="E7064" i="10"/>
  <c r="E7065" i="10"/>
  <c r="E7066" i="10"/>
  <c r="E7067" i="10"/>
  <c r="E7068" i="10"/>
  <c r="E7069" i="10"/>
  <c r="E7070" i="10"/>
  <c r="E7071" i="10"/>
  <c r="E7072" i="10"/>
  <c r="E7073" i="10"/>
  <c r="E7074" i="10"/>
  <c r="E7075" i="10"/>
  <c r="E7076" i="10"/>
  <c r="E7077" i="10"/>
  <c r="E7078" i="10"/>
  <c r="E7079" i="10"/>
  <c r="E7080" i="10"/>
  <c r="E7081" i="10"/>
  <c r="E7082" i="10"/>
  <c r="E7083" i="10"/>
  <c r="E7084" i="10"/>
  <c r="E7085" i="10"/>
  <c r="E7086" i="10"/>
  <c r="E7087" i="10"/>
  <c r="E7088" i="10"/>
  <c r="E7089" i="10"/>
  <c r="E7090" i="10"/>
  <c r="E7091" i="10"/>
  <c r="E7092" i="10"/>
  <c r="E7093" i="10"/>
  <c r="E7094" i="10"/>
  <c r="E7095" i="10"/>
  <c r="E7096" i="10"/>
  <c r="E7097" i="10"/>
  <c r="E7098" i="10"/>
  <c r="E7099" i="10"/>
  <c r="E7100" i="10"/>
  <c r="E7101" i="10"/>
  <c r="E7102" i="10"/>
  <c r="E7103" i="10"/>
  <c r="E7104" i="10"/>
  <c r="E7105" i="10"/>
  <c r="E7106" i="10"/>
  <c r="E7107" i="10"/>
  <c r="E7108" i="10"/>
  <c r="E7109" i="10"/>
  <c r="E7110" i="10"/>
  <c r="E7111" i="10"/>
  <c r="E7112" i="10"/>
  <c r="E7113" i="10"/>
  <c r="E7114" i="10"/>
  <c r="E7115" i="10"/>
  <c r="E7116" i="10"/>
  <c r="E7117" i="10"/>
  <c r="E7118" i="10"/>
  <c r="E7119" i="10"/>
  <c r="E7120" i="10"/>
  <c r="E7121" i="10"/>
  <c r="E7122" i="10"/>
  <c r="E7123" i="10"/>
  <c r="E7124" i="10"/>
  <c r="E7125" i="10"/>
  <c r="E7126" i="10"/>
  <c r="E7127" i="10"/>
  <c r="E7128" i="10"/>
  <c r="E7129" i="10"/>
  <c r="E7130" i="10"/>
  <c r="E7131" i="10"/>
  <c r="E7132" i="10"/>
  <c r="E7133" i="10"/>
  <c r="E7134" i="10"/>
  <c r="E7135" i="10"/>
  <c r="E7136" i="10"/>
  <c r="E7137" i="10"/>
  <c r="E7138" i="10"/>
  <c r="E7139" i="10"/>
  <c r="E7140" i="10"/>
  <c r="E7141" i="10"/>
  <c r="E7142" i="10"/>
  <c r="E7143" i="10"/>
  <c r="E7144" i="10"/>
  <c r="E7145" i="10"/>
  <c r="E7146" i="10"/>
  <c r="E7147" i="10"/>
  <c r="E7148" i="10"/>
  <c r="E7149" i="10"/>
  <c r="E7150" i="10"/>
  <c r="E7151" i="10"/>
  <c r="E7152" i="10"/>
  <c r="E7153" i="10"/>
  <c r="E7154" i="10"/>
  <c r="E7155" i="10"/>
  <c r="E7156" i="10"/>
  <c r="E7157" i="10"/>
  <c r="E7158" i="10"/>
  <c r="E7159" i="10"/>
  <c r="E7160" i="10"/>
  <c r="E7161" i="10"/>
  <c r="E7162" i="10"/>
  <c r="E7163" i="10"/>
  <c r="E7164" i="10"/>
  <c r="E7165" i="10"/>
  <c r="E7166" i="10"/>
  <c r="E7167" i="10"/>
  <c r="E7168" i="10"/>
  <c r="E7169" i="10"/>
  <c r="E7170" i="10"/>
  <c r="E7171" i="10"/>
  <c r="E7172" i="10"/>
  <c r="E7173" i="10"/>
  <c r="E7174" i="10"/>
  <c r="E7175" i="10"/>
  <c r="E7176" i="10"/>
  <c r="E7177" i="10"/>
  <c r="E7178" i="10"/>
  <c r="E7179" i="10"/>
  <c r="E7180" i="10"/>
  <c r="E7181" i="10"/>
  <c r="E7182" i="10"/>
  <c r="E7183" i="10"/>
  <c r="E7184" i="10"/>
  <c r="E7185" i="10"/>
  <c r="E7186" i="10"/>
  <c r="E7187" i="10"/>
  <c r="E7188" i="10"/>
  <c r="E7189" i="10"/>
  <c r="E7190" i="10"/>
  <c r="E7191" i="10"/>
  <c r="E7192" i="10"/>
  <c r="E7193" i="10"/>
  <c r="E7194" i="10"/>
  <c r="E7195" i="10"/>
  <c r="E7196" i="10"/>
  <c r="E7197" i="10"/>
  <c r="E7198" i="10"/>
  <c r="E7199" i="10"/>
  <c r="E7200" i="10"/>
  <c r="E7201" i="10"/>
  <c r="E7202" i="10"/>
  <c r="E7203" i="10"/>
  <c r="E7204" i="10"/>
  <c r="E7205" i="10"/>
  <c r="E7206" i="10"/>
  <c r="E7207" i="10"/>
  <c r="E7208" i="10"/>
  <c r="E7209" i="10"/>
  <c r="E7210" i="10"/>
  <c r="E7211" i="10"/>
  <c r="E7212" i="10"/>
  <c r="E7213" i="10"/>
  <c r="E7214" i="10"/>
  <c r="E7215" i="10"/>
  <c r="E7216" i="10"/>
  <c r="E7217" i="10"/>
  <c r="E7218" i="10"/>
  <c r="E7219" i="10"/>
  <c r="E7220" i="10"/>
  <c r="E7221" i="10"/>
  <c r="E7222" i="10"/>
  <c r="E7223" i="10"/>
  <c r="E7224" i="10"/>
  <c r="E7225" i="10"/>
  <c r="E7226" i="10"/>
  <c r="E7227" i="10"/>
  <c r="E7228" i="10"/>
  <c r="E7229" i="10"/>
  <c r="E7230" i="10"/>
  <c r="E7231" i="10"/>
  <c r="E7232" i="10"/>
  <c r="E7233" i="10"/>
  <c r="E7234" i="10"/>
  <c r="E7235" i="10"/>
  <c r="E7236" i="10"/>
  <c r="E7237" i="10"/>
  <c r="E7238" i="10"/>
  <c r="E7239" i="10"/>
  <c r="E7240" i="10"/>
  <c r="E7241" i="10"/>
  <c r="E7242" i="10"/>
  <c r="E7243" i="10"/>
  <c r="E7244" i="10"/>
  <c r="E7245" i="10"/>
  <c r="E7246" i="10"/>
  <c r="E7247" i="10"/>
  <c r="E7248" i="10"/>
  <c r="E7249" i="10"/>
  <c r="E7250" i="10"/>
  <c r="E7251" i="10"/>
  <c r="E7252" i="10"/>
  <c r="E7253" i="10"/>
  <c r="E7254" i="10"/>
  <c r="E7255" i="10"/>
  <c r="E7256" i="10"/>
  <c r="E7257" i="10"/>
  <c r="E7258" i="10"/>
  <c r="E7259" i="10"/>
  <c r="E7260" i="10"/>
  <c r="E7261" i="10"/>
  <c r="E7262" i="10"/>
  <c r="E7263" i="10"/>
  <c r="E7264" i="10"/>
  <c r="E7265" i="10"/>
  <c r="E7266" i="10"/>
  <c r="E7267" i="10"/>
  <c r="E7268" i="10"/>
  <c r="E7269" i="10"/>
  <c r="E7270" i="10"/>
  <c r="E7271" i="10"/>
  <c r="E7272" i="10"/>
  <c r="E7273" i="10"/>
  <c r="E7274" i="10"/>
  <c r="E7275" i="10"/>
  <c r="E7276" i="10"/>
  <c r="E7277" i="10"/>
  <c r="E7278" i="10"/>
  <c r="E7279" i="10"/>
  <c r="E7280" i="10"/>
  <c r="E7281" i="10"/>
  <c r="E7282" i="10"/>
  <c r="E7283" i="10"/>
  <c r="E7284" i="10"/>
  <c r="E7285" i="10"/>
  <c r="E7286" i="10"/>
  <c r="E7287" i="10"/>
  <c r="E7288" i="10"/>
  <c r="E7289" i="10"/>
  <c r="E7290" i="10"/>
  <c r="E7291" i="10"/>
  <c r="E7292" i="10"/>
  <c r="E7293" i="10"/>
  <c r="E7294" i="10"/>
  <c r="E7295" i="10"/>
  <c r="E7296" i="10"/>
  <c r="E7297" i="10"/>
  <c r="E7298" i="10"/>
  <c r="E7299" i="10"/>
  <c r="E7300" i="10"/>
  <c r="E7301" i="10"/>
  <c r="E7302" i="10"/>
  <c r="E7303" i="10"/>
  <c r="E7304" i="10"/>
  <c r="E7305" i="10"/>
  <c r="E7306" i="10"/>
  <c r="E7307" i="10"/>
  <c r="E7308" i="10"/>
  <c r="E7309" i="10"/>
  <c r="E7310" i="10"/>
  <c r="E7311" i="10"/>
  <c r="E7312" i="10"/>
  <c r="E7313" i="10"/>
  <c r="E7314" i="10"/>
  <c r="E7315" i="10"/>
  <c r="E7316" i="10"/>
  <c r="E7317" i="10"/>
  <c r="E7318" i="10"/>
  <c r="E7319" i="10"/>
  <c r="E7320" i="10"/>
  <c r="E7321" i="10"/>
  <c r="E7322" i="10"/>
  <c r="E7323" i="10"/>
  <c r="E7324" i="10"/>
  <c r="E7325" i="10"/>
  <c r="E7326" i="10"/>
  <c r="E7327" i="10"/>
  <c r="E7328" i="10"/>
  <c r="E7329" i="10"/>
  <c r="E7330" i="10"/>
  <c r="E7331" i="10"/>
  <c r="E7332" i="10"/>
  <c r="E7333" i="10"/>
  <c r="E7334" i="10"/>
  <c r="E7335" i="10"/>
  <c r="E7336" i="10"/>
  <c r="E7337" i="10"/>
  <c r="E7338" i="10"/>
  <c r="E7339" i="10"/>
  <c r="E7340" i="10"/>
  <c r="E7341" i="10"/>
  <c r="E7342" i="10"/>
  <c r="E7343" i="10"/>
  <c r="E7344" i="10"/>
  <c r="E7345" i="10"/>
  <c r="E7346" i="10"/>
  <c r="E7347" i="10"/>
  <c r="E7348" i="10"/>
  <c r="E7349" i="10"/>
  <c r="E7350" i="10"/>
  <c r="E7351" i="10"/>
  <c r="E7352" i="10"/>
  <c r="E7353" i="10"/>
  <c r="E7354" i="10"/>
  <c r="E7355" i="10"/>
  <c r="E7356" i="10"/>
  <c r="E7357" i="10"/>
  <c r="E7358" i="10"/>
  <c r="E7359" i="10"/>
  <c r="E7360" i="10"/>
  <c r="E7361" i="10"/>
  <c r="E7362" i="10"/>
  <c r="E7363" i="10"/>
  <c r="E7364" i="10"/>
  <c r="E7365" i="10"/>
  <c r="E7366" i="10"/>
  <c r="E7367" i="10"/>
  <c r="E7368" i="10"/>
  <c r="E7369" i="10"/>
  <c r="E7370" i="10"/>
  <c r="E7371" i="10"/>
  <c r="E7372" i="10"/>
  <c r="E7373" i="10"/>
  <c r="E7374" i="10"/>
  <c r="E7375" i="10"/>
  <c r="E7376" i="10"/>
  <c r="E7377" i="10"/>
  <c r="E7378" i="10"/>
  <c r="E7379" i="10"/>
  <c r="E7380" i="10"/>
  <c r="E7381" i="10"/>
  <c r="E7382" i="10"/>
  <c r="E7383" i="10"/>
  <c r="E7384" i="10"/>
  <c r="E7385" i="10"/>
  <c r="E7386" i="10"/>
  <c r="E7387" i="10"/>
  <c r="E7388" i="10"/>
  <c r="E7389" i="10"/>
  <c r="E7390" i="10"/>
  <c r="E7391" i="10"/>
  <c r="E7392" i="10"/>
  <c r="E7393" i="10"/>
  <c r="E7394" i="10"/>
  <c r="E7395" i="10"/>
  <c r="E7396" i="10"/>
  <c r="E7397" i="10"/>
  <c r="E7398" i="10"/>
  <c r="E7399" i="10"/>
  <c r="E7400" i="10"/>
  <c r="E7401" i="10"/>
  <c r="E7402" i="10"/>
  <c r="E7403" i="10"/>
  <c r="E7404" i="10"/>
  <c r="E7405" i="10"/>
  <c r="E7406" i="10"/>
  <c r="E7407" i="10"/>
  <c r="E7408" i="10"/>
  <c r="E7409" i="10"/>
  <c r="E7410" i="10"/>
  <c r="E7411" i="10"/>
  <c r="E7412" i="10"/>
  <c r="E7413" i="10"/>
  <c r="E7414" i="10"/>
  <c r="E7415" i="10"/>
  <c r="E7416" i="10"/>
  <c r="E7417" i="10"/>
  <c r="E7418" i="10"/>
  <c r="E7419" i="10"/>
  <c r="E7420" i="10"/>
  <c r="E7421" i="10"/>
  <c r="E7422" i="10"/>
  <c r="E7423" i="10"/>
  <c r="E7424" i="10"/>
  <c r="E7425" i="10"/>
  <c r="E7426" i="10"/>
  <c r="E7427" i="10"/>
  <c r="E7428" i="10"/>
  <c r="E7429" i="10"/>
  <c r="E7430" i="10"/>
  <c r="E7431" i="10"/>
  <c r="E7432" i="10"/>
  <c r="E7433" i="10"/>
  <c r="E7434" i="10"/>
  <c r="E7435" i="10"/>
  <c r="E7436" i="10"/>
  <c r="E7437" i="10"/>
  <c r="E7438" i="10"/>
  <c r="E7439" i="10"/>
  <c r="E7440" i="10"/>
  <c r="E7441" i="10"/>
  <c r="E7442" i="10"/>
  <c r="E7443" i="10"/>
  <c r="E7444" i="10"/>
  <c r="E7445" i="10"/>
  <c r="E7446" i="10"/>
  <c r="E7447" i="10"/>
  <c r="E7448" i="10"/>
  <c r="E7449" i="10"/>
  <c r="E7450" i="10"/>
  <c r="E7451" i="10"/>
  <c r="E7452" i="10"/>
  <c r="E7453" i="10"/>
  <c r="E7454" i="10"/>
  <c r="E7455" i="10"/>
  <c r="E7456" i="10"/>
  <c r="E7457" i="10"/>
  <c r="E7458" i="10"/>
  <c r="E7459" i="10"/>
  <c r="E7460" i="10"/>
  <c r="E7461" i="10"/>
  <c r="E7462" i="10"/>
  <c r="E7463" i="10"/>
  <c r="E7464" i="10"/>
  <c r="E7465" i="10"/>
  <c r="E7466" i="10"/>
  <c r="E7467" i="10"/>
  <c r="E7468" i="10"/>
  <c r="E7469" i="10"/>
  <c r="E7470" i="10"/>
  <c r="E7471" i="10"/>
  <c r="E7472" i="10"/>
  <c r="E7473" i="10"/>
  <c r="E7474" i="10"/>
  <c r="E7475" i="10"/>
  <c r="E7476" i="10"/>
  <c r="E7477" i="10"/>
  <c r="E7478" i="10"/>
  <c r="E7479" i="10"/>
  <c r="E7480" i="10"/>
  <c r="E7481" i="10"/>
  <c r="E7482" i="10"/>
  <c r="E7483" i="10"/>
  <c r="E7484" i="10"/>
  <c r="E7485" i="10"/>
  <c r="E7486" i="10"/>
  <c r="E7487" i="10"/>
  <c r="E7488" i="10"/>
  <c r="E7489" i="10"/>
  <c r="E7490" i="10"/>
  <c r="E7491" i="10"/>
  <c r="E7492" i="10"/>
  <c r="E7493" i="10"/>
  <c r="E7494" i="10"/>
  <c r="E7495" i="10"/>
  <c r="E7496" i="10"/>
  <c r="E7497" i="10"/>
  <c r="E7498" i="10"/>
  <c r="E7499" i="10"/>
  <c r="E7500" i="10"/>
  <c r="E7501" i="10"/>
  <c r="E7502" i="10"/>
  <c r="E7503" i="10"/>
  <c r="E7504" i="10"/>
  <c r="E7505" i="10"/>
  <c r="E7506" i="10"/>
  <c r="E7507" i="10"/>
  <c r="E7508" i="10"/>
  <c r="E7509" i="10"/>
  <c r="E7510" i="10"/>
  <c r="E7511" i="10"/>
  <c r="E7512" i="10"/>
  <c r="E7513" i="10"/>
  <c r="E7514" i="10"/>
  <c r="E7515" i="10"/>
  <c r="E7516" i="10"/>
  <c r="E7517" i="10"/>
  <c r="E7518" i="10"/>
  <c r="E7519" i="10"/>
  <c r="E7520" i="10"/>
  <c r="E7521" i="10"/>
  <c r="E7522" i="10"/>
  <c r="E7523" i="10"/>
  <c r="E7524" i="10"/>
  <c r="E7525" i="10"/>
  <c r="E7526" i="10"/>
  <c r="E7527" i="10"/>
  <c r="E7528" i="10"/>
  <c r="E7529" i="10"/>
  <c r="E7530" i="10"/>
  <c r="E7531" i="10"/>
  <c r="E7532" i="10"/>
  <c r="E7533" i="10"/>
  <c r="E7534" i="10"/>
  <c r="E7535" i="10"/>
  <c r="E7536" i="10"/>
  <c r="E7537" i="10"/>
  <c r="E7538" i="10"/>
  <c r="E7539" i="10"/>
  <c r="E7540" i="10"/>
  <c r="E7541" i="10"/>
  <c r="E7542" i="10"/>
  <c r="E7543" i="10"/>
  <c r="E7544" i="10"/>
  <c r="E7545" i="10"/>
  <c r="E7546" i="10"/>
  <c r="E7547" i="10"/>
  <c r="E7548" i="10"/>
  <c r="E7549" i="10"/>
  <c r="E7550" i="10"/>
  <c r="E7551" i="10"/>
  <c r="E7552" i="10"/>
  <c r="E7553" i="10"/>
  <c r="E7554" i="10"/>
  <c r="E7555" i="10"/>
  <c r="E7556" i="10"/>
  <c r="E7557" i="10"/>
  <c r="E7558" i="10"/>
  <c r="E7559" i="10"/>
  <c r="E7560" i="10"/>
  <c r="E7561" i="10"/>
  <c r="E7562" i="10"/>
  <c r="E7563" i="10"/>
  <c r="E7564" i="10"/>
  <c r="E7565" i="10"/>
  <c r="E7566" i="10"/>
  <c r="E7567" i="10"/>
  <c r="E7568" i="10"/>
  <c r="E7569" i="10"/>
  <c r="E7570" i="10"/>
  <c r="E7571" i="10"/>
  <c r="E7572" i="10"/>
  <c r="E7573" i="10"/>
  <c r="E7574" i="10"/>
  <c r="E7575" i="10"/>
  <c r="E7576" i="10"/>
  <c r="E7577" i="10"/>
  <c r="E7578" i="10"/>
  <c r="E7579" i="10"/>
  <c r="E7580" i="10"/>
  <c r="E7581" i="10"/>
  <c r="E7582" i="10"/>
  <c r="E7583" i="10"/>
  <c r="E7584" i="10"/>
  <c r="E7585" i="10"/>
  <c r="E7586" i="10"/>
  <c r="E7587" i="10"/>
  <c r="E7588" i="10"/>
  <c r="E7589" i="10"/>
  <c r="E7590" i="10"/>
  <c r="E7591" i="10"/>
  <c r="E7592" i="10"/>
  <c r="E7593" i="10"/>
  <c r="E7594" i="10"/>
  <c r="E7595" i="10"/>
  <c r="E7596" i="10"/>
  <c r="E7597" i="10"/>
  <c r="E7598" i="10"/>
  <c r="E7599" i="10"/>
  <c r="E7600" i="10"/>
  <c r="E7601" i="10"/>
  <c r="E7602" i="10"/>
  <c r="E7603" i="10"/>
  <c r="E7604" i="10"/>
  <c r="E7605" i="10"/>
  <c r="E7606" i="10"/>
  <c r="E7607" i="10"/>
  <c r="E7608" i="10"/>
  <c r="E7609" i="10"/>
  <c r="E7610" i="10"/>
  <c r="E7611" i="10"/>
  <c r="E7612" i="10"/>
  <c r="E7613" i="10"/>
  <c r="E7614" i="10"/>
  <c r="E7615" i="10"/>
  <c r="E7616" i="10"/>
  <c r="E7617" i="10"/>
  <c r="E7618" i="10"/>
  <c r="E7619" i="10"/>
  <c r="E7620" i="10"/>
  <c r="E7621" i="10"/>
  <c r="E7622" i="10"/>
  <c r="E7623" i="10"/>
  <c r="E7624" i="10"/>
  <c r="E7625" i="10"/>
  <c r="E7626" i="10"/>
  <c r="E7627" i="10"/>
  <c r="E7628" i="10"/>
  <c r="E7629" i="10"/>
  <c r="E7630" i="10"/>
  <c r="E7631" i="10"/>
  <c r="E7632" i="10"/>
  <c r="E7633" i="10"/>
  <c r="E7634" i="10"/>
  <c r="E7635" i="10"/>
  <c r="E7636" i="10"/>
  <c r="E7637" i="10"/>
  <c r="E7638" i="10"/>
  <c r="E7639" i="10"/>
  <c r="E7640" i="10"/>
  <c r="E7641" i="10"/>
  <c r="E7642" i="10"/>
  <c r="E7643" i="10"/>
  <c r="E7644" i="10"/>
  <c r="E7645" i="10"/>
  <c r="E7646" i="10"/>
  <c r="E7647" i="10"/>
  <c r="E7648" i="10"/>
  <c r="E7649" i="10"/>
  <c r="E7650" i="10"/>
  <c r="E7651" i="10"/>
  <c r="E7652" i="10"/>
  <c r="E7653" i="10"/>
  <c r="E7654" i="10"/>
  <c r="E7655" i="10"/>
  <c r="E7656" i="10"/>
  <c r="E7657" i="10"/>
  <c r="E7658" i="10"/>
  <c r="E7659" i="10"/>
  <c r="E7660" i="10"/>
  <c r="E7661" i="10"/>
  <c r="E7662" i="10"/>
  <c r="E7663" i="10"/>
  <c r="E7664" i="10"/>
  <c r="E7665" i="10"/>
  <c r="E7666" i="10"/>
  <c r="E7667" i="10"/>
  <c r="E7668" i="10"/>
  <c r="E7669" i="10"/>
  <c r="E7670" i="10"/>
  <c r="E7671" i="10"/>
  <c r="E7672" i="10"/>
  <c r="E7673" i="10"/>
  <c r="E7674" i="10"/>
  <c r="E7675" i="10"/>
  <c r="E7676" i="10"/>
  <c r="E7677" i="10"/>
  <c r="E7678" i="10"/>
  <c r="E7679" i="10"/>
  <c r="E7680" i="10"/>
  <c r="E7681" i="10"/>
  <c r="E7682" i="10"/>
  <c r="E7683" i="10"/>
  <c r="E7684" i="10"/>
  <c r="E7685" i="10"/>
  <c r="E7686" i="10"/>
  <c r="E7687" i="10"/>
  <c r="E7688" i="10"/>
  <c r="E7689" i="10"/>
  <c r="E7690" i="10"/>
  <c r="E7691" i="10"/>
  <c r="E7692" i="10"/>
  <c r="E7693" i="10"/>
  <c r="E7694" i="10"/>
  <c r="E7695" i="10"/>
  <c r="E7696" i="10"/>
  <c r="E7697" i="10"/>
  <c r="E7698" i="10"/>
  <c r="E7699" i="10"/>
  <c r="E7700" i="10"/>
  <c r="E7701" i="10"/>
  <c r="E7702" i="10"/>
  <c r="E7703" i="10"/>
  <c r="E7704" i="10"/>
  <c r="E7705" i="10"/>
  <c r="E7706" i="10"/>
  <c r="E7707" i="10"/>
  <c r="E7708" i="10"/>
  <c r="E7709" i="10"/>
  <c r="E7710" i="10"/>
  <c r="E7711" i="10"/>
  <c r="E7712" i="10"/>
  <c r="E7713" i="10"/>
  <c r="E7714" i="10"/>
  <c r="E7715" i="10"/>
  <c r="E7716" i="10"/>
  <c r="E7717" i="10"/>
  <c r="E7718" i="10"/>
  <c r="E7719" i="10"/>
  <c r="E7720" i="10"/>
  <c r="E7721" i="10"/>
  <c r="E7722" i="10"/>
  <c r="E7723" i="10"/>
  <c r="E7724" i="10"/>
  <c r="E7725" i="10"/>
  <c r="E7726" i="10"/>
  <c r="E7727" i="10"/>
  <c r="E7728" i="10"/>
  <c r="E7729" i="10"/>
  <c r="E7730" i="10"/>
  <c r="E7731" i="10"/>
  <c r="E7732" i="10"/>
  <c r="E7733" i="10"/>
  <c r="E7734" i="10"/>
  <c r="E7735" i="10"/>
  <c r="E7736" i="10"/>
  <c r="E7737" i="10"/>
  <c r="E7738" i="10"/>
  <c r="E7739" i="10"/>
  <c r="E7740" i="10"/>
  <c r="E7741" i="10"/>
  <c r="E7742" i="10"/>
  <c r="E7743" i="10"/>
  <c r="E7744" i="10"/>
  <c r="E7745" i="10"/>
  <c r="E7746" i="10"/>
  <c r="E7747" i="10"/>
  <c r="E7748" i="10"/>
  <c r="E7749" i="10"/>
  <c r="E7750" i="10"/>
  <c r="E7751" i="10"/>
  <c r="E7752" i="10"/>
  <c r="E7753" i="10"/>
  <c r="E7754" i="10"/>
  <c r="E7755" i="10"/>
  <c r="E7756" i="10"/>
  <c r="E7757" i="10"/>
  <c r="E7758" i="10"/>
  <c r="E7759" i="10"/>
  <c r="E7760" i="10"/>
  <c r="E7761" i="10"/>
  <c r="E7762" i="10"/>
  <c r="E7763" i="10"/>
  <c r="E7764" i="10"/>
  <c r="E7765" i="10"/>
  <c r="E7766" i="10"/>
  <c r="E7767" i="10"/>
  <c r="E7768" i="10"/>
  <c r="E7769" i="10"/>
  <c r="E7770" i="10"/>
  <c r="E7771" i="10"/>
  <c r="E7772" i="10"/>
  <c r="E7773" i="10"/>
  <c r="E7774" i="10"/>
  <c r="E7775" i="10"/>
  <c r="E7776" i="10"/>
  <c r="E7777" i="10"/>
  <c r="E7778" i="10"/>
  <c r="E7779" i="10"/>
  <c r="E7780" i="10"/>
  <c r="E7781" i="10"/>
  <c r="E7782" i="10"/>
  <c r="E7783" i="10"/>
  <c r="E7784" i="10"/>
  <c r="E7785" i="10"/>
  <c r="E7786" i="10"/>
  <c r="E7787" i="10"/>
  <c r="E7788" i="10"/>
  <c r="E7789" i="10"/>
  <c r="E7790" i="10"/>
  <c r="E7791" i="10"/>
  <c r="E7792" i="10"/>
  <c r="E7793" i="10"/>
  <c r="E7794" i="10"/>
  <c r="E7795" i="10"/>
  <c r="E7796" i="10"/>
  <c r="E7797" i="10"/>
  <c r="E7798" i="10"/>
  <c r="E7799" i="10"/>
  <c r="E7800" i="10"/>
  <c r="E7801" i="10"/>
  <c r="E7802" i="10"/>
  <c r="E7803" i="10"/>
  <c r="E7804" i="10"/>
  <c r="E7805" i="10"/>
  <c r="E7806" i="10"/>
  <c r="E7807" i="10"/>
  <c r="E7808" i="10"/>
  <c r="E7809" i="10"/>
  <c r="E7810" i="10"/>
  <c r="E7811" i="10"/>
  <c r="E7812" i="10"/>
  <c r="E7813" i="10"/>
  <c r="E7814" i="10"/>
  <c r="E7815" i="10"/>
  <c r="E7816" i="10"/>
  <c r="E7817" i="10"/>
  <c r="E7818" i="10"/>
  <c r="E7819" i="10"/>
  <c r="E7820" i="10"/>
  <c r="E7821" i="10"/>
  <c r="E7822" i="10"/>
  <c r="E7823" i="10"/>
  <c r="E7824" i="10"/>
  <c r="E7825" i="10"/>
  <c r="E7826" i="10"/>
  <c r="E7827" i="10"/>
  <c r="E7828" i="10"/>
  <c r="E7829" i="10"/>
  <c r="E7830" i="10"/>
  <c r="E7831" i="10"/>
  <c r="E7832" i="10"/>
  <c r="E7833" i="10"/>
  <c r="E7834" i="10"/>
  <c r="E7835" i="10"/>
  <c r="E7836" i="10"/>
  <c r="E7837" i="10"/>
  <c r="E7838" i="10"/>
  <c r="E7839" i="10"/>
  <c r="E7840" i="10"/>
  <c r="E7841" i="10"/>
  <c r="E7842" i="10"/>
  <c r="E7843" i="10"/>
  <c r="E7844" i="10"/>
  <c r="E7845" i="10"/>
  <c r="E7846" i="10"/>
  <c r="E7847" i="10"/>
  <c r="E7848" i="10"/>
  <c r="E7849" i="10"/>
  <c r="E7850" i="10"/>
  <c r="E7851" i="10"/>
  <c r="E7852" i="10"/>
  <c r="E7853" i="10"/>
  <c r="E7854" i="10"/>
  <c r="E7855" i="10"/>
  <c r="E7856" i="10"/>
  <c r="E7857" i="10"/>
  <c r="E7858" i="10"/>
  <c r="E7859" i="10"/>
  <c r="E7860" i="10"/>
  <c r="E7861" i="10"/>
  <c r="E7862" i="10"/>
  <c r="E7863" i="10"/>
  <c r="E7864" i="10"/>
  <c r="E7865" i="10"/>
  <c r="E7866" i="10"/>
  <c r="E7867" i="10"/>
  <c r="E7868" i="10"/>
  <c r="E7869" i="10"/>
  <c r="E7870" i="10"/>
  <c r="E7871" i="10"/>
  <c r="E7872" i="10"/>
  <c r="E7873" i="10"/>
  <c r="E7874" i="10"/>
  <c r="E7875" i="10"/>
  <c r="E7876" i="10"/>
  <c r="E7877" i="10"/>
  <c r="E7878" i="10"/>
  <c r="E7879" i="10"/>
  <c r="E7880" i="10"/>
  <c r="E7881" i="10"/>
  <c r="E7882" i="10"/>
  <c r="E7883" i="10"/>
  <c r="E7884" i="10"/>
  <c r="E7885" i="10"/>
  <c r="E7886" i="10"/>
  <c r="E7887" i="10"/>
  <c r="E7888" i="10"/>
  <c r="E7889" i="10"/>
  <c r="E7890" i="10"/>
  <c r="E7891" i="10"/>
  <c r="E7892" i="10"/>
  <c r="E7893" i="10"/>
  <c r="E7894" i="10"/>
  <c r="E7895" i="10"/>
  <c r="E7896" i="10"/>
  <c r="E7897" i="10"/>
  <c r="E7898" i="10"/>
  <c r="E7899" i="10"/>
  <c r="E7900" i="10"/>
  <c r="E7901" i="10"/>
  <c r="E7902" i="10"/>
  <c r="E7903" i="10"/>
  <c r="E7904" i="10"/>
  <c r="E7905" i="10"/>
  <c r="E7906" i="10"/>
  <c r="E7907" i="10"/>
  <c r="E7908" i="10"/>
  <c r="E7909" i="10"/>
  <c r="E7910" i="10"/>
  <c r="E7911" i="10"/>
  <c r="E7912" i="10"/>
  <c r="E7913" i="10"/>
  <c r="E7914" i="10"/>
  <c r="E7915" i="10"/>
  <c r="E7916" i="10"/>
  <c r="E7917" i="10"/>
  <c r="E7918" i="10"/>
  <c r="E7919" i="10"/>
  <c r="E7920" i="10"/>
  <c r="E7921" i="10"/>
  <c r="E7922" i="10"/>
  <c r="E7923" i="10"/>
  <c r="E7924" i="10"/>
  <c r="E7925" i="10"/>
  <c r="E7926" i="10"/>
  <c r="E7927" i="10"/>
  <c r="E7928" i="10"/>
  <c r="E7929" i="10"/>
  <c r="E7930" i="10"/>
  <c r="E7931" i="10"/>
  <c r="E7932" i="10"/>
  <c r="E7933" i="10"/>
  <c r="E7934" i="10"/>
  <c r="E7935" i="10"/>
  <c r="E7936" i="10"/>
  <c r="E7937" i="10"/>
  <c r="E7938" i="10"/>
  <c r="E7939" i="10"/>
  <c r="E7940" i="10"/>
  <c r="E7941" i="10"/>
  <c r="E7942" i="10"/>
  <c r="E7943" i="10"/>
  <c r="E7944" i="10"/>
  <c r="E7945" i="10"/>
  <c r="E7946" i="10"/>
  <c r="E7947" i="10"/>
  <c r="E7948" i="10"/>
  <c r="E7949" i="10"/>
  <c r="E7950" i="10"/>
  <c r="E7951" i="10"/>
  <c r="E7952" i="10"/>
  <c r="E7953" i="10"/>
  <c r="E7954" i="10"/>
  <c r="E7955" i="10"/>
  <c r="E7956" i="10"/>
  <c r="E7957" i="10"/>
  <c r="E7958" i="10"/>
  <c r="E7959" i="10"/>
  <c r="E7960" i="10"/>
  <c r="E7961" i="10"/>
  <c r="E7962" i="10"/>
  <c r="E7963" i="10"/>
  <c r="E7964" i="10"/>
  <c r="E7965" i="10"/>
  <c r="E7966" i="10"/>
  <c r="E7967" i="10"/>
  <c r="E7968" i="10"/>
  <c r="E7969" i="10"/>
  <c r="E7970" i="10"/>
  <c r="E7971" i="10"/>
  <c r="E7972" i="10"/>
  <c r="E7973" i="10"/>
  <c r="E7974" i="10"/>
  <c r="E7975" i="10"/>
  <c r="E7976" i="10"/>
  <c r="E7977" i="10"/>
  <c r="E7978" i="10"/>
  <c r="E7979" i="10"/>
  <c r="E7980" i="10"/>
  <c r="E7981" i="10"/>
  <c r="E7982" i="10"/>
  <c r="E7983" i="10"/>
  <c r="E7984" i="10"/>
  <c r="E7985" i="10"/>
  <c r="E7986" i="10"/>
  <c r="E7987" i="10"/>
  <c r="E7988" i="10"/>
  <c r="E7989" i="10"/>
  <c r="E7990" i="10"/>
  <c r="E7991" i="10"/>
  <c r="E7992" i="10"/>
  <c r="E7993" i="10"/>
  <c r="E7994" i="10"/>
  <c r="E7995" i="10"/>
  <c r="E7996" i="10"/>
  <c r="E7997" i="10"/>
  <c r="E7998" i="10"/>
  <c r="E7999" i="10"/>
  <c r="E8000" i="10"/>
  <c r="E8001" i="10"/>
  <c r="E8002" i="10"/>
  <c r="E8003" i="10"/>
  <c r="E8004" i="10"/>
  <c r="E8005" i="10"/>
  <c r="E8006" i="10"/>
  <c r="E8007" i="10"/>
  <c r="E8008" i="10"/>
  <c r="E8009" i="10"/>
  <c r="E8010" i="10"/>
  <c r="E8011" i="10"/>
  <c r="E8012" i="10"/>
  <c r="E8013" i="10"/>
  <c r="E8014" i="10"/>
  <c r="E8015" i="10"/>
  <c r="E8016" i="10"/>
  <c r="E8017" i="10"/>
  <c r="E8018" i="10"/>
  <c r="E8019" i="10"/>
  <c r="E8020" i="10"/>
  <c r="E8021" i="10"/>
  <c r="E8022" i="10"/>
  <c r="E8023" i="10"/>
  <c r="E8024" i="10"/>
  <c r="E8025" i="10"/>
  <c r="E8026" i="10"/>
  <c r="E8027" i="10"/>
  <c r="E8028" i="10"/>
  <c r="E8029" i="10"/>
  <c r="E8030" i="10"/>
  <c r="E8031" i="10"/>
  <c r="E8032" i="10"/>
  <c r="E8033" i="10"/>
  <c r="E8034" i="10"/>
  <c r="G501" i="10"/>
  <c r="H501" i="10"/>
  <c r="G502" i="10"/>
  <c r="H502" i="10"/>
  <c r="G503" i="10"/>
  <c r="H503" i="10"/>
  <c r="G504" i="10"/>
  <c r="H504" i="10"/>
  <c r="G505" i="10"/>
  <c r="H505" i="10"/>
  <c r="G506" i="10"/>
  <c r="H506" i="10"/>
  <c r="G507" i="10"/>
  <c r="H507" i="10"/>
  <c r="G508" i="10"/>
  <c r="H508" i="10"/>
  <c r="G509" i="10"/>
  <c r="H509" i="10"/>
  <c r="G510" i="10"/>
  <c r="H510" i="10"/>
  <c r="G511" i="10"/>
  <c r="H511" i="10"/>
  <c r="G512" i="10"/>
  <c r="H512" i="10"/>
  <c r="G513" i="10"/>
  <c r="H513" i="10"/>
  <c r="G514" i="10"/>
  <c r="H514" i="10"/>
  <c r="G515" i="10"/>
  <c r="H515" i="10"/>
  <c r="G516" i="10"/>
  <c r="H516" i="10"/>
  <c r="G517" i="10"/>
  <c r="H517" i="10"/>
  <c r="G518" i="10"/>
  <c r="H518" i="10"/>
  <c r="G519" i="10"/>
  <c r="H519" i="10"/>
  <c r="G520" i="10"/>
  <c r="H520" i="10"/>
  <c r="G521" i="10"/>
  <c r="H521" i="10"/>
  <c r="G522" i="10"/>
  <c r="H522" i="10"/>
  <c r="G523" i="10"/>
  <c r="H523" i="10"/>
  <c r="G524" i="10"/>
  <c r="H524" i="10"/>
  <c r="G525" i="10"/>
  <c r="H525" i="10"/>
  <c r="G526" i="10"/>
  <c r="H526" i="10"/>
  <c r="G527" i="10"/>
  <c r="H527" i="10"/>
  <c r="G528" i="10"/>
  <c r="H528" i="10"/>
  <c r="G529" i="10"/>
  <c r="H529" i="10"/>
  <c r="G530" i="10"/>
  <c r="H530" i="10"/>
  <c r="G531" i="10"/>
  <c r="H531" i="10"/>
  <c r="G532" i="10"/>
  <c r="H532" i="10"/>
  <c r="G533" i="10"/>
  <c r="H533" i="10"/>
  <c r="G534" i="10"/>
  <c r="H534" i="10"/>
  <c r="G535" i="10"/>
  <c r="H535" i="10"/>
  <c r="G536" i="10"/>
  <c r="H536" i="10"/>
  <c r="G537" i="10"/>
  <c r="H537" i="10"/>
  <c r="G538" i="10"/>
  <c r="H538" i="10"/>
  <c r="G539" i="10"/>
  <c r="H539" i="10"/>
  <c r="G540" i="10"/>
  <c r="H540" i="10"/>
  <c r="G541" i="10"/>
  <c r="H541" i="10"/>
  <c r="G542" i="10"/>
  <c r="H542" i="10"/>
  <c r="G543" i="10"/>
  <c r="H543" i="10"/>
  <c r="G544" i="10"/>
  <c r="H544" i="10"/>
  <c r="G545" i="10"/>
  <c r="H545" i="10"/>
  <c r="G546" i="10"/>
  <c r="H546" i="10"/>
  <c r="G547" i="10"/>
  <c r="H547" i="10"/>
  <c r="G548" i="10"/>
  <c r="H548" i="10"/>
  <c r="G549" i="10"/>
  <c r="H549" i="10"/>
  <c r="G550" i="10"/>
  <c r="H550" i="10"/>
  <c r="G551" i="10"/>
  <c r="H551" i="10"/>
  <c r="G552" i="10"/>
  <c r="H552" i="10"/>
  <c r="G553" i="10"/>
  <c r="H553" i="10"/>
  <c r="G554" i="10"/>
  <c r="H554" i="10"/>
  <c r="G555" i="10"/>
  <c r="H555" i="10"/>
  <c r="G556" i="10"/>
  <c r="H556" i="10"/>
  <c r="G557" i="10"/>
  <c r="H557" i="10"/>
  <c r="G558" i="10"/>
  <c r="H558" i="10"/>
  <c r="G559" i="10"/>
  <c r="H559" i="10"/>
  <c r="G560" i="10"/>
  <c r="H560" i="10"/>
  <c r="G561" i="10"/>
  <c r="H561" i="10"/>
  <c r="G562" i="10"/>
  <c r="H562" i="10"/>
  <c r="G563" i="10"/>
  <c r="H563" i="10"/>
  <c r="G564" i="10"/>
  <c r="H564" i="10"/>
  <c r="G565" i="10"/>
  <c r="H565" i="10"/>
  <c r="G566" i="10"/>
  <c r="H566" i="10"/>
  <c r="G567" i="10"/>
  <c r="H567" i="10"/>
  <c r="G568" i="10"/>
  <c r="H568" i="10"/>
  <c r="G569" i="10"/>
  <c r="H569" i="10"/>
  <c r="G570" i="10"/>
  <c r="H570" i="10"/>
  <c r="G571" i="10"/>
  <c r="H571" i="10"/>
  <c r="G572" i="10"/>
  <c r="H572" i="10"/>
  <c r="G573" i="10"/>
  <c r="H573" i="10"/>
  <c r="G574" i="10"/>
  <c r="H574" i="10"/>
  <c r="G575" i="10"/>
  <c r="H575" i="10"/>
  <c r="G576" i="10"/>
  <c r="H576" i="10"/>
  <c r="G577" i="10"/>
  <c r="H577" i="10"/>
  <c r="G578" i="10"/>
  <c r="H578" i="10"/>
  <c r="G579" i="10"/>
  <c r="H579" i="10"/>
  <c r="G580" i="10"/>
  <c r="H580" i="10"/>
  <c r="G581" i="10"/>
  <c r="H581" i="10"/>
  <c r="G582" i="10"/>
  <c r="H582" i="10"/>
  <c r="G583" i="10"/>
  <c r="H583" i="10"/>
  <c r="G584" i="10"/>
  <c r="H584" i="10"/>
  <c r="G585" i="10"/>
  <c r="H585" i="10"/>
  <c r="G586" i="10"/>
  <c r="H586" i="10"/>
  <c r="G587" i="10"/>
  <c r="H587" i="10"/>
  <c r="G588" i="10"/>
  <c r="H588" i="10"/>
  <c r="G589" i="10"/>
  <c r="H589" i="10"/>
  <c r="G590" i="10"/>
  <c r="H590" i="10"/>
  <c r="G591" i="10"/>
  <c r="H591" i="10"/>
  <c r="G592" i="10"/>
  <c r="H592" i="10"/>
  <c r="G593" i="10"/>
  <c r="H593" i="10"/>
  <c r="G594" i="10"/>
  <c r="H594" i="10"/>
  <c r="G595" i="10"/>
  <c r="H595" i="10"/>
  <c r="G596" i="10"/>
  <c r="H596" i="10"/>
  <c r="G597" i="10"/>
  <c r="H597" i="10"/>
  <c r="G598" i="10"/>
  <c r="H598" i="10"/>
  <c r="G599" i="10"/>
  <c r="H599" i="10"/>
  <c r="G600" i="10"/>
  <c r="H600" i="10"/>
  <c r="G601" i="10"/>
  <c r="H601" i="10"/>
  <c r="G602" i="10"/>
  <c r="H602" i="10"/>
  <c r="G603" i="10"/>
  <c r="H603" i="10"/>
  <c r="G604" i="10"/>
  <c r="H604" i="10"/>
  <c r="G605" i="10"/>
  <c r="H605" i="10"/>
  <c r="G606" i="10"/>
  <c r="H606" i="10"/>
  <c r="G607" i="10"/>
  <c r="H607" i="10"/>
  <c r="G608" i="10"/>
  <c r="H608" i="10"/>
  <c r="G609" i="10"/>
  <c r="H609" i="10"/>
  <c r="G610" i="10"/>
  <c r="H610" i="10"/>
  <c r="G611" i="10"/>
  <c r="H611" i="10"/>
  <c r="G612" i="10"/>
  <c r="H612" i="10"/>
  <c r="G613" i="10"/>
  <c r="H613" i="10"/>
  <c r="G614" i="10"/>
  <c r="H614" i="10"/>
  <c r="G615" i="10"/>
  <c r="H615" i="10"/>
  <c r="G616" i="10"/>
  <c r="H616" i="10"/>
  <c r="G617" i="10"/>
  <c r="H617" i="10"/>
  <c r="G618" i="10"/>
  <c r="H618" i="10"/>
  <c r="G619" i="10"/>
  <c r="H619" i="10"/>
  <c r="G620" i="10"/>
  <c r="H620" i="10"/>
  <c r="G621" i="10"/>
  <c r="H621" i="10"/>
  <c r="G622" i="10"/>
  <c r="H622" i="10"/>
  <c r="G623" i="10"/>
  <c r="H623" i="10"/>
  <c r="G624" i="10"/>
  <c r="H624" i="10"/>
  <c r="G625" i="10"/>
  <c r="H625" i="10"/>
  <c r="G626" i="10"/>
  <c r="H626" i="10"/>
  <c r="G627" i="10"/>
  <c r="H627" i="10"/>
  <c r="G628" i="10"/>
  <c r="H628" i="10"/>
  <c r="G629" i="10"/>
  <c r="H629" i="10"/>
  <c r="G630" i="10"/>
  <c r="H630" i="10"/>
  <c r="G631" i="10"/>
  <c r="H631" i="10"/>
  <c r="G632" i="10"/>
  <c r="H632" i="10"/>
  <c r="G633" i="10"/>
  <c r="H633" i="10"/>
  <c r="G634" i="10"/>
  <c r="H634" i="10"/>
  <c r="G635" i="10"/>
  <c r="H635" i="10"/>
  <c r="G636" i="10"/>
  <c r="H636" i="10"/>
  <c r="G637" i="10"/>
  <c r="H637" i="10"/>
  <c r="G638" i="10"/>
  <c r="H638" i="10"/>
  <c r="G639" i="10"/>
  <c r="H639" i="10"/>
  <c r="G640" i="10"/>
  <c r="H640" i="10"/>
  <c r="G641" i="10"/>
  <c r="H641" i="10"/>
  <c r="G642" i="10"/>
  <c r="H642" i="10"/>
  <c r="G643" i="10"/>
  <c r="H643" i="10"/>
  <c r="G644" i="10"/>
  <c r="H644" i="10"/>
  <c r="G645" i="10"/>
  <c r="H645" i="10"/>
  <c r="G646" i="10"/>
  <c r="H646" i="10"/>
  <c r="G647" i="10"/>
  <c r="H647" i="10"/>
  <c r="G648" i="10"/>
  <c r="H648" i="10"/>
  <c r="G649" i="10"/>
  <c r="H649" i="10"/>
  <c r="G650" i="10"/>
  <c r="H650" i="10"/>
  <c r="G651" i="10"/>
  <c r="H651" i="10"/>
  <c r="G652" i="10"/>
  <c r="H652" i="10"/>
  <c r="G653" i="10"/>
  <c r="H653" i="10"/>
  <c r="G654" i="10"/>
  <c r="H654" i="10"/>
  <c r="G655" i="10"/>
  <c r="H655" i="10"/>
  <c r="G656" i="10"/>
  <c r="H656" i="10"/>
  <c r="G657" i="10"/>
  <c r="H657" i="10"/>
  <c r="G658" i="10"/>
  <c r="H658" i="10"/>
  <c r="G659" i="10"/>
  <c r="H659" i="10"/>
  <c r="G660" i="10"/>
  <c r="H660" i="10"/>
  <c r="G661" i="10"/>
  <c r="H661" i="10"/>
  <c r="G662" i="10"/>
  <c r="H662" i="10"/>
  <c r="G663" i="10"/>
  <c r="H663" i="10"/>
  <c r="G664" i="10"/>
  <c r="H664" i="10"/>
  <c r="G665" i="10"/>
  <c r="H665" i="10"/>
  <c r="G666" i="10"/>
  <c r="H666" i="10"/>
  <c r="G667" i="10"/>
  <c r="H667" i="10"/>
  <c r="G668" i="10"/>
  <c r="H668" i="10"/>
  <c r="G669" i="10"/>
  <c r="H669" i="10"/>
  <c r="G670" i="10"/>
  <c r="H670" i="10"/>
  <c r="G671" i="10"/>
  <c r="H671" i="10"/>
  <c r="G672" i="10"/>
  <c r="H672" i="10"/>
  <c r="G673" i="10"/>
  <c r="H673" i="10"/>
  <c r="G674" i="10"/>
  <c r="H674" i="10"/>
  <c r="G675" i="10"/>
  <c r="H675" i="10"/>
  <c r="G676" i="10"/>
  <c r="H676" i="10"/>
  <c r="G677" i="10"/>
  <c r="H677" i="10"/>
  <c r="G678" i="10"/>
  <c r="H678" i="10"/>
  <c r="G679" i="10"/>
  <c r="H679" i="10"/>
  <c r="G680" i="10"/>
  <c r="H680" i="10"/>
  <c r="G681" i="10"/>
  <c r="H681" i="10"/>
  <c r="G682" i="10"/>
  <c r="H682" i="10"/>
  <c r="G683" i="10"/>
  <c r="H683" i="10"/>
  <c r="G684" i="10"/>
  <c r="H684" i="10"/>
  <c r="G685" i="10"/>
  <c r="H685" i="10"/>
  <c r="G686" i="10"/>
  <c r="H686" i="10"/>
  <c r="G687" i="10"/>
  <c r="H687" i="10"/>
  <c r="G688" i="10"/>
  <c r="H688" i="10"/>
  <c r="G689" i="10"/>
  <c r="H689" i="10"/>
  <c r="G690" i="10"/>
  <c r="H690" i="10"/>
  <c r="G691" i="10"/>
  <c r="H691" i="10"/>
  <c r="G692" i="10"/>
  <c r="H692" i="10"/>
  <c r="G693" i="10"/>
  <c r="H693" i="10"/>
  <c r="G694" i="10"/>
  <c r="H694" i="10"/>
  <c r="G695" i="10"/>
  <c r="H695" i="10"/>
  <c r="G696" i="10"/>
  <c r="H696" i="10"/>
  <c r="G697" i="10"/>
  <c r="H697" i="10"/>
  <c r="G698" i="10"/>
  <c r="H698" i="10"/>
  <c r="G699" i="10"/>
  <c r="H699" i="10"/>
  <c r="G700" i="10"/>
  <c r="H700" i="10"/>
  <c r="G701" i="10"/>
  <c r="H701" i="10"/>
  <c r="G702" i="10"/>
  <c r="H702" i="10"/>
  <c r="G703" i="10"/>
  <c r="H703" i="10"/>
  <c r="G704" i="10"/>
  <c r="H704" i="10"/>
  <c r="G705" i="10"/>
  <c r="H705" i="10"/>
  <c r="G706" i="10"/>
  <c r="H706" i="10"/>
  <c r="G707" i="10"/>
  <c r="H707" i="10"/>
  <c r="G708" i="10"/>
  <c r="H708" i="10"/>
  <c r="G709" i="10"/>
  <c r="H709" i="10"/>
  <c r="G710" i="10"/>
  <c r="H710" i="10"/>
  <c r="G711" i="10"/>
  <c r="H711" i="10"/>
  <c r="G712" i="10"/>
  <c r="H712" i="10"/>
  <c r="G713" i="10"/>
  <c r="H713" i="10"/>
  <c r="G714" i="10"/>
  <c r="H714" i="10"/>
  <c r="G715" i="10"/>
  <c r="H715" i="10"/>
  <c r="G716" i="10"/>
  <c r="H716" i="10"/>
  <c r="G717" i="10"/>
  <c r="H717" i="10"/>
  <c r="G718" i="10"/>
  <c r="H718" i="10"/>
  <c r="G719" i="10"/>
  <c r="H719" i="10"/>
  <c r="G720" i="10"/>
  <c r="H720" i="10"/>
  <c r="G721" i="10"/>
  <c r="H721" i="10"/>
  <c r="G722" i="10"/>
  <c r="H722" i="10"/>
  <c r="G723" i="10"/>
  <c r="H723" i="10"/>
  <c r="G724" i="10"/>
  <c r="H724" i="10"/>
  <c r="G725" i="10"/>
  <c r="H725" i="10"/>
  <c r="G726" i="10"/>
  <c r="H726" i="10"/>
  <c r="G727" i="10"/>
  <c r="H727" i="10"/>
  <c r="G728" i="10"/>
  <c r="H728" i="10"/>
  <c r="G729" i="10"/>
  <c r="H729" i="10"/>
  <c r="G730" i="10"/>
  <c r="H730" i="10"/>
  <c r="G731" i="10"/>
  <c r="H731" i="10"/>
  <c r="G732" i="10"/>
  <c r="H732" i="10"/>
  <c r="G733" i="10"/>
  <c r="H733" i="10"/>
  <c r="G734" i="10"/>
  <c r="H734" i="10"/>
  <c r="G735" i="10"/>
  <c r="H735" i="10"/>
  <c r="G736" i="10"/>
  <c r="H736" i="10"/>
  <c r="G737" i="10"/>
  <c r="H737" i="10"/>
  <c r="G738" i="10"/>
  <c r="H738" i="10"/>
  <c r="G739" i="10"/>
  <c r="H739" i="10"/>
  <c r="G740" i="10"/>
  <c r="H740" i="10"/>
  <c r="G741" i="10"/>
  <c r="H741" i="10"/>
  <c r="G742" i="10"/>
  <c r="H742" i="10"/>
  <c r="G743" i="10"/>
  <c r="H743" i="10"/>
  <c r="G744" i="10"/>
  <c r="H744" i="10"/>
  <c r="G745" i="10"/>
  <c r="H745" i="10"/>
  <c r="G746" i="10"/>
  <c r="H746" i="10"/>
  <c r="G747" i="10"/>
  <c r="H747" i="10"/>
  <c r="G748" i="10"/>
  <c r="H748" i="10"/>
  <c r="G749" i="10"/>
  <c r="H749" i="10"/>
  <c r="G750" i="10"/>
  <c r="H750" i="10"/>
  <c r="G751" i="10"/>
  <c r="H751" i="10"/>
  <c r="G752" i="10"/>
  <c r="H752" i="10"/>
  <c r="G753" i="10"/>
  <c r="H753" i="10"/>
  <c r="G754" i="10"/>
  <c r="H754" i="10"/>
  <c r="G755" i="10"/>
  <c r="H755" i="10"/>
  <c r="G756" i="10"/>
  <c r="H756" i="10"/>
  <c r="G757" i="10"/>
  <c r="H757" i="10"/>
  <c r="G758" i="10"/>
  <c r="H758" i="10"/>
  <c r="G759" i="10"/>
  <c r="H759" i="10"/>
  <c r="G760" i="10"/>
  <c r="H760" i="10"/>
  <c r="G761" i="10"/>
  <c r="H761" i="10"/>
  <c r="G762" i="10"/>
  <c r="H762" i="10"/>
  <c r="G763" i="10"/>
  <c r="H763" i="10"/>
  <c r="G764" i="10"/>
  <c r="H764" i="10"/>
  <c r="G765" i="10"/>
  <c r="H765" i="10"/>
  <c r="G766" i="10"/>
  <c r="H766" i="10"/>
  <c r="G767" i="10"/>
  <c r="H767" i="10"/>
  <c r="G768" i="10"/>
  <c r="H768" i="10"/>
  <c r="G769" i="10"/>
  <c r="H769" i="10"/>
  <c r="G770" i="10"/>
  <c r="H770" i="10"/>
  <c r="G771" i="10"/>
  <c r="H771" i="10"/>
  <c r="G772" i="10"/>
  <c r="H772" i="10"/>
  <c r="G773" i="10"/>
  <c r="H773" i="10"/>
  <c r="G774" i="10"/>
  <c r="H774" i="10"/>
  <c r="G775" i="10"/>
  <c r="H775" i="10"/>
  <c r="G776" i="10"/>
  <c r="H776" i="10"/>
  <c r="G777" i="10"/>
  <c r="H777" i="10"/>
  <c r="G778" i="10"/>
  <c r="H778" i="10"/>
  <c r="G779" i="10"/>
  <c r="H779" i="10"/>
  <c r="G780" i="10"/>
  <c r="H780" i="10"/>
  <c r="G781" i="10"/>
  <c r="H781" i="10"/>
  <c r="G782" i="10"/>
  <c r="H782" i="10"/>
  <c r="G783" i="10"/>
  <c r="H783" i="10"/>
  <c r="G784" i="10"/>
  <c r="H784" i="10"/>
  <c r="G785" i="10"/>
  <c r="H785" i="10"/>
  <c r="G786" i="10"/>
  <c r="H786" i="10"/>
  <c r="G787" i="10"/>
  <c r="H787" i="10"/>
  <c r="G788" i="10"/>
  <c r="H788" i="10"/>
  <c r="G789" i="10"/>
  <c r="H789" i="10"/>
  <c r="G790" i="10"/>
  <c r="H790" i="10"/>
  <c r="G791" i="10"/>
  <c r="H791" i="10"/>
  <c r="G792" i="10"/>
  <c r="H792" i="10"/>
  <c r="G793" i="10"/>
  <c r="H793" i="10"/>
  <c r="G794" i="10"/>
  <c r="H794" i="10"/>
  <c r="G795" i="10"/>
  <c r="H795" i="10"/>
  <c r="G796" i="10"/>
  <c r="H796" i="10"/>
  <c r="G797" i="10"/>
  <c r="H797" i="10"/>
  <c r="G798" i="10"/>
  <c r="H798" i="10"/>
  <c r="G799" i="10"/>
  <c r="H799" i="10"/>
  <c r="G800" i="10"/>
  <c r="H800" i="10"/>
  <c r="G801" i="10"/>
  <c r="H801" i="10"/>
  <c r="G802" i="10"/>
  <c r="H802" i="10"/>
  <c r="G803" i="10"/>
  <c r="H803" i="10"/>
  <c r="G804" i="10"/>
  <c r="H804" i="10"/>
  <c r="G805" i="10"/>
  <c r="H805" i="10"/>
  <c r="G806" i="10"/>
  <c r="H806" i="10"/>
  <c r="G807" i="10"/>
  <c r="H807" i="10"/>
  <c r="G808" i="10"/>
  <c r="H808" i="10"/>
  <c r="G809" i="10"/>
  <c r="H809" i="10"/>
  <c r="G810" i="10"/>
  <c r="H810" i="10"/>
  <c r="G811" i="10"/>
  <c r="H811" i="10"/>
  <c r="G812" i="10"/>
  <c r="H812" i="10"/>
  <c r="G813" i="10"/>
  <c r="H813" i="10"/>
  <c r="G814" i="10"/>
  <c r="H814" i="10"/>
  <c r="G815" i="10"/>
  <c r="H815" i="10"/>
  <c r="G816" i="10"/>
  <c r="H816" i="10"/>
  <c r="G817" i="10"/>
  <c r="H817" i="10"/>
  <c r="G818" i="10"/>
  <c r="H818" i="10"/>
  <c r="G819" i="10"/>
  <c r="H819" i="10"/>
  <c r="G820" i="10"/>
  <c r="H820" i="10"/>
  <c r="G821" i="10"/>
  <c r="H821" i="10"/>
  <c r="G822" i="10"/>
  <c r="H822" i="10"/>
  <c r="G823" i="10"/>
  <c r="H823" i="10"/>
  <c r="G824" i="10"/>
  <c r="H824" i="10"/>
  <c r="G825" i="10"/>
  <c r="H825" i="10"/>
  <c r="G826" i="10"/>
  <c r="H826" i="10"/>
  <c r="G827" i="10"/>
  <c r="H827" i="10"/>
  <c r="G828" i="10"/>
  <c r="H828" i="10"/>
  <c r="G829" i="10"/>
  <c r="H829" i="10"/>
  <c r="G830" i="10"/>
  <c r="H830" i="10"/>
  <c r="G831" i="10"/>
  <c r="H831" i="10"/>
  <c r="G832" i="10"/>
  <c r="H832" i="10"/>
  <c r="G833" i="10"/>
  <c r="H833" i="10"/>
  <c r="G834" i="10"/>
  <c r="H834" i="10"/>
  <c r="G835" i="10"/>
  <c r="H835" i="10"/>
  <c r="G836" i="10"/>
  <c r="H836" i="10"/>
  <c r="G837" i="10"/>
  <c r="H837" i="10"/>
  <c r="G838" i="10"/>
  <c r="H838" i="10"/>
  <c r="G839" i="10"/>
  <c r="H839" i="10"/>
  <c r="G840" i="10"/>
  <c r="H840" i="10"/>
  <c r="G841" i="10"/>
  <c r="H841" i="10"/>
  <c r="G842" i="10"/>
  <c r="H842" i="10"/>
  <c r="G843" i="10"/>
  <c r="H843" i="10"/>
  <c r="G844" i="10"/>
  <c r="H844" i="10"/>
  <c r="G845" i="10"/>
  <c r="H845" i="10"/>
  <c r="G846" i="10"/>
  <c r="H846" i="10"/>
  <c r="G847" i="10"/>
  <c r="H847" i="10"/>
  <c r="G848" i="10"/>
  <c r="H848" i="10"/>
  <c r="G849" i="10"/>
  <c r="H849" i="10"/>
  <c r="G850" i="10"/>
  <c r="H850" i="10"/>
  <c r="G851" i="10"/>
  <c r="H851" i="10"/>
  <c r="G852" i="10"/>
  <c r="H852" i="10"/>
  <c r="G853" i="10"/>
  <c r="H853" i="10"/>
  <c r="G854" i="10"/>
  <c r="H854" i="10"/>
  <c r="G855" i="10"/>
  <c r="H855" i="10"/>
  <c r="G856" i="10"/>
  <c r="H856" i="10"/>
  <c r="G857" i="10"/>
  <c r="H857" i="10"/>
  <c r="G858" i="10"/>
  <c r="H858" i="10"/>
  <c r="G859" i="10"/>
  <c r="H859" i="10"/>
  <c r="G860" i="10"/>
  <c r="H860" i="10"/>
  <c r="G861" i="10"/>
  <c r="H861" i="10"/>
  <c r="G862" i="10"/>
  <c r="H862" i="10"/>
  <c r="G863" i="10"/>
  <c r="H863" i="10"/>
  <c r="G864" i="10"/>
  <c r="H864" i="10"/>
  <c r="G865" i="10"/>
  <c r="H865" i="10"/>
  <c r="G866" i="10"/>
  <c r="H866" i="10"/>
  <c r="G867" i="10"/>
  <c r="H867" i="10"/>
  <c r="G868" i="10"/>
  <c r="H868" i="10"/>
  <c r="G869" i="10"/>
  <c r="H869" i="10"/>
  <c r="G870" i="10"/>
  <c r="H870" i="10"/>
  <c r="G871" i="10"/>
  <c r="H871" i="10"/>
  <c r="G872" i="10"/>
  <c r="H872" i="10"/>
  <c r="G873" i="10"/>
  <c r="H873" i="10"/>
  <c r="G874" i="10"/>
  <c r="H874" i="10"/>
  <c r="G875" i="10"/>
  <c r="H875" i="10"/>
  <c r="G876" i="10"/>
  <c r="H876" i="10"/>
  <c r="G877" i="10"/>
  <c r="H877" i="10"/>
  <c r="G878" i="10"/>
  <c r="H878" i="10"/>
  <c r="G879" i="10"/>
  <c r="H879" i="10"/>
  <c r="G880" i="10"/>
  <c r="H880" i="10"/>
  <c r="G881" i="10"/>
  <c r="H881" i="10"/>
  <c r="G882" i="10"/>
  <c r="H882" i="10"/>
  <c r="G883" i="10"/>
  <c r="H883" i="10"/>
  <c r="G884" i="10"/>
  <c r="H884" i="10"/>
  <c r="G885" i="10"/>
  <c r="H885" i="10"/>
  <c r="G886" i="10"/>
  <c r="H886" i="10"/>
  <c r="G887" i="10"/>
  <c r="H887" i="10"/>
  <c r="G888" i="10"/>
  <c r="H888" i="10"/>
  <c r="G889" i="10"/>
  <c r="H889" i="10"/>
  <c r="G890" i="10"/>
  <c r="H890" i="10"/>
  <c r="G891" i="10"/>
  <c r="H891" i="10"/>
  <c r="G892" i="10"/>
  <c r="H892" i="10"/>
  <c r="G893" i="10"/>
  <c r="H893" i="10"/>
  <c r="G894" i="10"/>
  <c r="H894" i="10"/>
  <c r="G895" i="10"/>
  <c r="H895" i="10"/>
  <c r="G896" i="10"/>
  <c r="H896" i="10"/>
  <c r="G897" i="10"/>
  <c r="H897" i="10"/>
  <c r="G898" i="10"/>
  <c r="H898" i="10"/>
  <c r="G899" i="10"/>
  <c r="H899" i="10"/>
  <c r="G900" i="10"/>
  <c r="H900" i="10"/>
  <c r="G901" i="10"/>
  <c r="H901" i="10"/>
  <c r="G902" i="10"/>
  <c r="H902" i="10"/>
  <c r="G903" i="10"/>
  <c r="H903" i="10"/>
  <c r="G904" i="10"/>
  <c r="H904" i="10"/>
  <c r="G905" i="10"/>
  <c r="H905" i="10"/>
  <c r="G906" i="10"/>
  <c r="H906" i="10"/>
  <c r="G907" i="10"/>
  <c r="H907" i="10"/>
  <c r="G908" i="10"/>
  <c r="H908" i="10"/>
  <c r="G909" i="10"/>
  <c r="H909" i="10"/>
  <c r="G910" i="10"/>
  <c r="H910" i="10"/>
  <c r="G911" i="10"/>
  <c r="H911" i="10"/>
  <c r="G912" i="10"/>
  <c r="H912" i="10"/>
  <c r="G913" i="10"/>
  <c r="H913" i="10"/>
  <c r="G914" i="10"/>
  <c r="H914" i="10"/>
  <c r="G915" i="10"/>
  <c r="H915" i="10"/>
  <c r="G916" i="10"/>
  <c r="H916" i="10"/>
  <c r="G917" i="10"/>
  <c r="H917" i="10"/>
  <c r="G918" i="10"/>
  <c r="H918" i="10"/>
  <c r="G919" i="10"/>
  <c r="H919" i="10"/>
  <c r="G920" i="10"/>
  <c r="H920" i="10"/>
  <c r="G921" i="10"/>
  <c r="H921" i="10"/>
  <c r="G922" i="10"/>
  <c r="H922" i="10"/>
  <c r="G923" i="10"/>
  <c r="H923" i="10"/>
  <c r="G924" i="10"/>
  <c r="H924" i="10"/>
  <c r="G925" i="10"/>
  <c r="H925" i="10"/>
  <c r="G926" i="10"/>
  <c r="H926" i="10"/>
  <c r="G927" i="10"/>
  <c r="H927" i="10"/>
  <c r="G928" i="10"/>
  <c r="H928" i="10"/>
  <c r="G929" i="10"/>
  <c r="H929" i="10"/>
  <c r="G930" i="10"/>
  <c r="H930" i="10"/>
  <c r="G931" i="10"/>
  <c r="H931" i="10"/>
  <c r="G932" i="10"/>
  <c r="H932" i="10"/>
  <c r="G933" i="10"/>
  <c r="H933" i="10"/>
  <c r="G934" i="10"/>
  <c r="H934" i="10"/>
  <c r="G935" i="10"/>
  <c r="H935" i="10"/>
  <c r="G936" i="10"/>
  <c r="H936" i="10"/>
  <c r="G937" i="10"/>
  <c r="H937" i="10"/>
  <c r="G938" i="10"/>
  <c r="H938" i="10"/>
  <c r="G939" i="10"/>
  <c r="H939" i="10"/>
  <c r="G940" i="10"/>
  <c r="H940" i="10"/>
  <c r="G941" i="10"/>
  <c r="H941" i="10"/>
  <c r="G942" i="10"/>
  <c r="H942" i="10"/>
  <c r="G943" i="10"/>
  <c r="H943" i="10"/>
  <c r="G944" i="10"/>
  <c r="H944" i="10"/>
  <c r="G945" i="10"/>
  <c r="H945" i="10"/>
  <c r="G946" i="10"/>
  <c r="H946" i="10"/>
  <c r="G947" i="10"/>
  <c r="H947" i="10"/>
  <c r="G948" i="10"/>
  <c r="H948" i="10"/>
  <c r="G949" i="10"/>
  <c r="H949" i="10"/>
  <c r="G950" i="10"/>
  <c r="H950" i="10"/>
  <c r="G951" i="10"/>
  <c r="H951" i="10"/>
  <c r="G952" i="10"/>
  <c r="H952" i="10"/>
  <c r="G953" i="10"/>
  <c r="H953" i="10"/>
  <c r="G954" i="10"/>
  <c r="H954" i="10"/>
  <c r="G955" i="10"/>
  <c r="H955" i="10"/>
  <c r="G956" i="10"/>
  <c r="H956" i="10"/>
  <c r="G957" i="10"/>
  <c r="H957" i="10"/>
  <c r="G958" i="10"/>
  <c r="H958" i="10"/>
  <c r="G959" i="10"/>
  <c r="H959" i="10"/>
  <c r="G960" i="10"/>
  <c r="H960" i="10"/>
  <c r="G961" i="10"/>
  <c r="H961" i="10"/>
  <c r="G962" i="10"/>
  <c r="H962" i="10"/>
  <c r="G963" i="10"/>
  <c r="H963" i="10"/>
  <c r="G964" i="10"/>
  <c r="H964" i="10"/>
  <c r="G965" i="10"/>
  <c r="H965" i="10"/>
  <c r="G966" i="10"/>
  <c r="H966" i="10"/>
  <c r="G967" i="10"/>
  <c r="H967" i="10"/>
  <c r="G968" i="10"/>
  <c r="H968" i="10"/>
  <c r="G969" i="10"/>
  <c r="H969" i="10"/>
  <c r="G970" i="10"/>
  <c r="H970" i="10"/>
  <c r="G971" i="10"/>
  <c r="H971" i="10"/>
  <c r="G972" i="10"/>
  <c r="H972" i="10"/>
  <c r="G973" i="10"/>
  <c r="H973" i="10"/>
  <c r="G974" i="10"/>
  <c r="H974" i="10"/>
  <c r="G975" i="10"/>
  <c r="H975" i="10"/>
  <c r="G976" i="10"/>
  <c r="H976" i="10"/>
  <c r="G977" i="10"/>
  <c r="H977" i="10"/>
  <c r="G978" i="10"/>
  <c r="H978" i="10"/>
  <c r="G979" i="10"/>
  <c r="H979" i="10"/>
  <c r="G980" i="10"/>
  <c r="H980" i="10"/>
  <c r="G981" i="10"/>
  <c r="H981" i="10"/>
  <c r="G982" i="10"/>
  <c r="H982" i="10"/>
  <c r="G983" i="10"/>
  <c r="H983" i="10"/>
  <c r="G984" i="10"/>
  <c r="H984" i="10"/>
  <c r="G985" i="10"/>
  <c r="H985" i="10"/>
  <c r="G986" i="10"/>
  <c r="H986" i="10"/>
  <c r="G987" i="10"/>
  <c r="H987" i="10"/>
  <c r="G988" i="10"/>
  <c r="H988" i="10"/>
  <c r="G989" i="10"/>
  <c r="H989" i="10"/>
  <c r="G990" i="10"/>
  <c r="H990" i="10"/>
  <c r="G991" i="10"/>
  <c r="H991" i="10"/>
  <c r="G992" i="10"/>
  <c r="H992" i="10"/>
  <c r="G993" i="10"/>
  <c r="H993" i="10"/>
  <c r="G994" i="10"/>
  <c r="H994" i="10"/>
  <c r="G995" i="10"/>
  <c r="H995" i="10"/>
  <c r="G996" i="10"/>
  <c r="H996" i="10"/>
  <c r="G997" i="10"/>
  <c r="H997" i="10"/>
  <c r="G998" i="10"/>
  <c r="H998" i="10"/>
  <c r="G999" i="10"/>
  <c r="H999" i="10"/>
  <c r="G1000" i="10"/>
  <c r="H1000" i="10"/>
  <c r="G1001" i="10"/>
  <c r="H1001" i="10"/>
  <c r="G1002" i="10"/>
  <c r="H1002" i="10"/>
  <c r="G1003" i="10"/>
  <c r="H1003" i="10"/>
  <c r="G1004" i="10"/>
  <c r="H1004" i="10"/>
  <c r="G1005" i="10"/>
  <c r="H1005" i="10"/>
  <c r="G1006" i="10"/>
  <c r="H1006" i="10"/>
  <c r="G1007" i="10"/>
  <c r="H1007" i="10"/>
  <c r="G1008" i="10"/>
  <c r="H1008" i="10"/>
  <c r="G1009" i="10"/>
  <c r="H1009" i="10"/>
  <c r="G1010" i="10"/>
  <c r="H1010" i="10"/>
  <c r="G1011" i="10"/>
  <c r="H1011" i="10"/>
  <c r="G1012" i="10"/>
  <c r="H1012" i="10"/>
  <c r="G1013" i="10"/>
  <c r="H1013" i="10"/>
  <c r="G1014" i="10"/>
  <c r="H1014" i="10"/>
  <c r="G1015" i="10"/>
  <c r="H1015" i="10"/>
  <c r="G1016" i="10"/>
  <c r="H1016" i="10"/>
  <c r="G1017" i="10"/>
  <c r="H1017" i="10"/>
  <c r="G1018" i="10"/>
  <c r="H1018" i="10"/>
  <c r="G1019" i="10"/>
  <c r="H1019" i="10"/>
  <c r="G1020" i="10"/>
  <c r="H1020" i="10"/>
  <c r="G1021" i="10"/>
  <c r="H1021" i="10"/>
  <c r="G1022" i="10"/>
  <c r="H1022" i="10"/>
  <c r="G1023" i="10"/>
  <c r="H1023" i="10"/>
  <c r="G1024" i="10"/>
  <c r="H1024" i="10"/>
  <c r="G1025" i="10"/>
  <c r="H1025" i="10"/>
  <c r="G1026" i="10"/>
  <c r="H1026" i="10"/>
  <c r="G1027" i="10"/>
  <c r="H1027" i="10"/>
  <c r="G1028" i="10"/>
  <c r="H1028" i="10"/>
  <c r="G1029" i="10"/>
  <c r="H1029" i="10"/>
  <c r="G1030" i="10"/>
  <c r="H1030" i="10"/>
  <c r="G1031" i="10"/>
  <c r="H1031" i="10"/>
  <c r="G1032" i="10"/>
  <c r="H1032" i="10"/>
  <c r="G1033" i="10"/>
  <c r="H1033" i="10"/>
  <c r="G1034" i="10"/>
  <c r="H1034" i="10"/>
  <c r="G1035" i="10"/>
  <c r="H1035" i="10"/>
  <c r="G1036" i="10"/>
  <c r="H1036" i="10"/>
  <c r="G1037" i="10"/>
  <c r="H1037" i="10"/>
  <c r="G1038" i="10"/>
  <c r="H1038" i="10"/>
  <c r="G1039" i="10"/>
  <c r="H1039" i="10"/>
  <c r="G1040" i="10"/>
  <c r="H1040" i="10"/>
  <c r="G1041" i="10"/>
  <c r="H1041" i="10"/>
  <c r="G1042" i="10"/>
  <c r="H1042" i="10"/>
  <c r="G1043" i="10"/>
  <c r="H1043" i="10"/>
  <c r="G1044" i="10"/>
  <c r="H1044" i="10"/>
  <c r="G1045" i="10"/>
  <c r="H1045" i="10"/>
  <c r="G1046" i="10"/>
  <c r="H1046" i="10"/>
  <c r="G1047" i="10"/>
  <c r="H1047" i="10"/>
  <c r="G1048" i="10"/>
  <c r="H1048" i="10"/>
  <c r="G1049" i="10"/>
  <c r="H1049" i="10"/>
  <c r="G1050" i="10"/>
  <c r="H1050" i="10"/>
  <c r="G1051" i="10"/>
  <c r="H1051" i="10"/>
  <c r="G1052" i="10"/>
  <c r="H1052" i="10"/>
  <c r="G1053" i="10"/>
  <c r="H1053" i="10"/>
  <c r="G1054" i="10"/>
  <c r="H1054" i="10"/>
  <c r="G1055" i="10"/>
  <c r="H1055" i="10"/>
  <c r="G1056" i="10"/>
  <c r="H1056" i="10"/>
  <c r="G1057" i="10"/>
  <c r="H1057" i="10"/>
  <c r="G1058" i="10"/>
  <c r="H1058" i="10"/>
  <c r="G1059" i="10"/>
  <c r="H1059" i="10"/>
  <c r="G1060" i="10"/>
  <c r="H1060" i="10"/>
  <c r="G1061" i="10"/>
  <c r="H1061" i="10"/>
  <c r="G1062" i="10"/>
  <c r="H1062" i="10"/>
  <c r="G1063" i="10"/>
  <c r="H1063" i="10"/>
  <c r="G1064" i="10"/>
  <c r="H1064" i="10"/>
  <c r="G1065" i="10"/>
  <c r="H1065" i="10"/>
  <c r="G1066" i="10"/>
  <c r="H1066" i="10"/>
  <c r="G1067" i="10"/>
  <c r="H1067" i="10"/>
  <c r="G1068" i="10"/>
  <c r="H1068" i="10"/>
  <c r="G1069" i="10"/>
  <c r="H1069" i="10"/>
  <c r="G1070" i="10"/>
  <c r="H1070" i="10"/>
  <c r="G1071" i="10"/>
  <c r="H1071" i="10"/>
  <c r="G1072" i="10"/>
  <c r="H1072" i="10"/>
  <c r="G1073" i="10"/>
  <c r="H1073" i="10"/>
  <c r="G1074" i="10"/>
  <c r="H1074" i="10"/>
  <c r="G1075" i="10"/>
  <c r="H1075" i="10"/>
  <c r="G1076" i="10"/>
  <c r="H1076" i="10"/>
  <c r="G1077" i="10"/>
  <c r="H1077" i="10"/>
  <c r="G1078" i="10"/>
  <c r="H1078" i="10"/>
  <c r="G1079" i="10"/>
  <c r="H1079" i="10"/>
  <c r="G1080" i="10"/>
  <c r="H1080" i="10"/>
  <c r="G1081" i="10"/>
  <c r="H1081" i="10"/>
  <c r="G1082" i="10"/>
  <c r="H1082" i="10"/>
  <c r="G1083" i="10"/>
  <c r="H1083" i="10"/>
  <c r="G1084" i="10"/>
  <c r="H1084" i="10"/>
  <c r="G1085" i="10"/>
  <c r="H1085" i="10"/>
  <c r="G1086" i="10"/>
  <c r="H1086" i="10"/>
  <c r="G1087" i="10"/>
  <c r="H1087" i="10"/>
  <c r="G1088" i="10"/>
  <c r="H1088" i="10"/>
  <c r="G1089" i="10"/>
  <c r="H1089" i="10"/>
  <c r="G1090" i="10"/>
  <c r="H1090" i="10"/>
  <c r="G1091" i="10"/>
  <c r="H1091" i="10"/>
  <c r="G1092" i="10"/>
  <c r="H1092" i="10"/>
  <c r="G1093" i="10"/>
  <c r="H1093" i="10"/>
  <c r="G1094" i="10"/>
  <c r="H1094" i="10"/>
  <c r="G1095" i="10"/>
  <c r="H1095" i="10"/>
  <c r="G1096" i="10"/>
  <c r="H1096" i="10"/>
  <c r="G1097" i="10"/>
  <c r="H1097" i="10"/>
  <c r="G1098" i="10"/>
  <c r="H1098" i="10"/>
  <c r="G1099" i="10"/>
  <c r="H1099" i="10"/>
  <c r="G1100" i="10"/>
  <c r="H1100" i="10"/>
  <c r="G1101" i="10"/>
  <c r="H1101" i="10"/>
  <c r="G1102" i="10"/>
  <c r="H1102" i="10"/>
  <c r="G1103" i="10"/>
  <c r="H1103" i="10"/>
  <c r="G1104" i="10"/>
  <c r="H1104" i="10"/>
  <c r="G1105" i="10"/>
  <c r="H1105" i="10"/>
  <c r="G1106" i="10"/>
  <c r="H1106" i="10"/>
  <c r="G1107" i="10"/>
  <c r="H1107" i="10"/>
  <c r="G1108" i="10"/>
  <c r="H1108" i="10"/>
  <c r="G1109" i="10"/>
  <c r="H1109" i="10"/>
  <c r="G1110" i="10"/>
  <c r="H1110" i="10"/>
  <c r="G1111" i="10"/>
  <c r="H1111" i="10"/>
  <c r="G1112" i="10"/>
  <c r="H1112" i="10"/>
  <c r="G1113" i="10"/>
  <c r="H1113" i="10"/>
  <c r="G1114" i="10"/>
  <c r="H1114" i="10"/>
  <c r="G1115" i="10"/>
  <c r="H1115" i="10"/>
  <c r="G1116" i="10"/>
  <c r="H1116" i="10"/>
  <c r="G1117" i="10"/>
  <c r="H1117" i="10"/>
  <c r="G1118" i="10"/>
  <c r="H1118" i="10"/>
  <c r="G1119" i="10"/>
  <c r="H1119" i="10"/>
  <c r="G1120" i="10"/>
  <c r="H1120" i="10"/>
  <c r="G1121" i="10"/>
  <c r="H1121" i="10"/>
  <c r="G1122" i="10"/>
  <c r="H1122" i="10"/>
  <c r="G1123" i="10"/>
  <c r="H1123" i="10"/>
  <c r="G1124" i="10"/>
  <c r="H1124" i="10"/>
  <c r="G1125" i="10"/>
  <c r="H1125" i="10"/>
  <c r="G1126" i="10"/>
  <c r="H1126" i="10"/>
  <c r="G1127" i="10"/>
  <c r="H1127" i="10"/>
  <c r="G1128" i="10"/>
  <c r="H1128" i="10"/>
  <c r="G1129" i="10"/>
  <c r="H1129" i="10"/>
  <c r="G1130" i="10"/>
  <c r="H1130" i="10"/>
  <c r="G1131" i="10"/>
  <c r="H1131" i="10"/>
  <c r="G1132" i="10"/>
  <c r="H1132" i="10"/>
  <c r="G1133" i="10"/>
  <c r="H1133" i="10"/>
  <c r="G1134" i="10"/>
  <c r="H1134" i="10"/>
  <c r="G1135" i="10"/>
  <c r="H1135" i="10"/>
  <c r="G1136" i="10"/>
  <c r="H1136" i="10"/>
  <c r="G1137" i="10"/>
  <c r="H1137" i="10"/>
  <c r="G1138" i="10"/>
  <c r="H1138" i="10"/>
  <c r="G1139" i="10"/>
  <c r="H1139" i="10"/>
  <c r="G1140" i="10"/>
  <c r="H1140" i="10"/>
  <c r="G1141" i="10"/>
  <c r="H1141" i="10"/>
  <c r="G1142" i="10"/>
  <c r="H1142" i="10"/>
  <c r="G1143" i="10"/>
  <c r="H1143" i="10"/>
  <c r="G1144" i="10"/>
  <c r="H1144" i="10"/>
  <c r="G1145" i="10"/>
  <c r="H1145" i="10"/>
  <c r="G1146" i="10"/>
  <c r="H1146" i="10"/>
  <c r="G1147" i="10"/>
  <c r="H1147" i="10"/>
  <c r="G1148" i="10"/>
  <c r="H1148" i="10"/>
  <c r="G1149" i="10"/>
  <c r="H1149" i="10"/>
  <c r="G1150" i="10"/>
  <c r="H1150" i="10"/>
  <c r="G1151" i="10"/>
  <c r="H1151" i="10"/>
  <c r="G1152" i="10"/>
  <c r="H1152" i="10"/>
  <c r="G1153" i="10"/>
  <c r="H1153" i="10"/>
  <c r="G1154" i="10"/>
  <c r="H1154" i="10"/>
  <c r="G1155" i="10"/>
  <c r="H1155" i="10"/>
  <c r="G1156" i="10"/>
  <c r="H1156" i="10"/>
  <c r="G1157" i="10"/>
  <c r="H1157" i="10"/>
  <c r="G1158" i="10"/>
  <c r="H1158" i="10"/>
  <c r="G1159" i="10"/>
  <c r="H1159" i="10"/>
  <c r="G1160" i="10"/>
  <c r="H1160" i="10"/>
  <c r="G1161" i="10"/>
  <c r="H1161" i="10"/>
  <c r="G1162" i="10"/>
  <c r="H1162" i="10"/>
  <c r="G1163" i="10"/>
  <c r="H1163" i="10"/>
  <c r="G1164" i="10"/>
  <c r="H1164" i="10"/>
  <c r="G1165" i="10"/>
  <c r="H1165" i="10"/>
  <c r="G1166" i="10"/>
  <c r="H1166" i="10"/>
  <c r="G1167" i="10"/>
  <c r="H1167" i="10"/>
  <c r="G1168" i="10"/>
  <c r="H1168" i="10"/>
  <c r="G1169" i="10"/>
  <c r="H1169" i="10"/>
  <c r="G1170" i="10"/>
  <c r="H1170" i="10"/>
  <c r="G1171" i="10"/>
  <c r="H1171" i="10"/>
  <c r="G1172" i="10"/>
  <c r="H1172" i="10"/>
  <c r="G1173" i="10"/>
  <c r="H1173" i="10"/>
  <c r="G1174" i="10"/>
  <c r="H1174" i="10"/>
  <c r="G1175" i="10"/>
  <c r="H1175" i="10"/>
  <c r="G1176" i="10"/>
  <c r="H1176" i="10"/>
  <c r="G1177" i="10"/>
  <c r="H1177" i="10"/>
  <c r="G1178" i="10"/>
  <c r="H1178" i="10"/>
  <c r="G1179" i="10"/>
  <c r="H1179" i="10"/>
  <c r="G1180" i="10"/>
  <c r="H1180" i="10"/>
  <c r="G1181" i="10"/>
  <c r="H1181" i="10"/>
  <c r="G1182" i="10"/>
  <c r="H1182" i="10"/>
  <c r="G1183" i="10"/>
  <c r="H1183" i="10"/>
  <c r="G1184" i="10"/>
  <c r="H1184" i="10"/>
  <c r="G1185" i="10"/>
  <c r="H1185" i="10"/>
  <c r="G1186" i="10"/>
  <c r="H1186" i="10"/>
  <c r="G1187" i="10"/>
  <c r="H1187" i="10"/>
  <c r="G1188" i="10"/>
  <c r="H1188" i="10"/>
  <c r="G1189" i="10"/>
  <c r="H1189" i="10"/>
  <c r="G1190" i="10"/>
  <c r="H1190" i="10"/>
  <c r="G1191" i="10"/>
  <c r="H1191" i="10"/>
  <c r="G1192" i="10"/>
  <c r="H1192" i="10"/>
  <c r="G1193" i="10"/>
  <c r="H1193" i="10"/>
  <c r="G1194" i="10"/>
  <c r="H1194" i="10"/>
  <c r="G1195" i="10"/>
  <c r="H1195" i="10"/>
  <c r="G1196" i="10"/>
  <c r="H1196" i="10"/>
  <c r="G1197" i="10"/>
  <c r="H1197" i="10"/>
  <c r="G1198" i="10"/>
  <c r="H1198" i="10"/>
  <c r="G1199" i="10"/>
  <c r="H1199" i="10"/>
  <c r="G1200" i="10"/>
  <c r="H1200" i="10"/>
  <c r="G1201" i="10"/>
  <c r="H1201" i="10"/>
  <c r="G1202" i="10"/>
  <c r="H1202" i="10"/>
  <c r="G1203" i="10"/>
  <c r="H1203" i="10"/>
  <c r="G1204" i="10"/>
  <c r="H1204" i="10"/>
  <c r="G1205" i="10"/>
  <c r="H1205" i="10"/>
  <c r="G1206" i="10"/>
  <c r="H1206" i="10"/>
  <c r="G1207" i="10"/>
  <c r="H1207" i="10"/>
  <c r="G1208" i="10"/>
  <c r="H1208" i="10"/>
  <c r="G1209" i="10"/>
  <c r="H1209" i="10"/>
  <c r="G1210" i="10"/>
  <c r="H1210" i="10"/>
  <c r="G1211" i="10"/>
  <c r="H1211" i="10"/>
  <c r="G1212" i="10"/>
  <c r="H1212" i="10"/>
  <c r="G1213" i="10"/>
  <c r="H1213" i="10"/>
  <c r="G1214" i="10"/>
  <c r="H1214" i="10"/>
  <c r="G1215" i="10"/>
  <c r="H1215" i="10"/>
  <c r="G1216" i="10"/>
  <c r="H1216" i="10"/>
  <c r="G1217" i="10"/>
  <c r="H1217" i="10"/>
  <c r="G1218" i="10"/>
  <c r="H1218" i="10"/>
  <c r="G1219" i="10"/>
  <c r="H1219" i="10"/>
  <c r="G1220" i="10"/>
  <c r="H1220" i="10"/>
  <c r="G1221" i="10"/>
  <c r="H1221" i="10"/>
  <c r="G1222" i="10"/>
  <c r="H1222" i="10"/>
  <c r="G1223" i="10"/>
  <c r="H1223" i="10"/>
  <c r="G1224" i="10"/>
  <c r="H1224" i="10"/>
  <c r="G1225" i="10"/>
  <c r="H1225" i="10"/>
  <c r="G1226" i="10"/>
  <c r="H1226" i="10"/>
  <c r="G1227" i="10"/>
  <c r="H1227" i="10"/>
  <c r="G1228" i="10"/>
  <c r="H1228" i="10"/>
  <c r="G1229" i="10"/>
  <c r="H1229" i="10"/>
  <c r="G1230" i="10"/>
  <c r="H1230" i="10"/>
  <c r="G1231" i="10"/>
  <c r="H1231" i="10"/>
  <c r="G1232" i="10"/>
  <c r="H1232" i="10"/>
  <c r="G1233" i="10"/>
  <c r="H1233" i="10"/>
  <c r="G1234" i="10"/>
  <c r="H1234" i="10"/>
  <c r="G1235" i="10"/>
  <c r="H1235" i="10"/>
  <c r="G1236" i="10"/>
  <c r="H1236" i="10"/>
  <c r="G1237" i="10"/>
  <c r="H1237" i="10"/>
  <c r="G1238" i="10"/>
  <c r="H1238" i="10"/>
  <c r="G1239" i="10"/>
  <c r="H1239" i="10"/>
  <c r="G1240" i="10"/>
  <c r="H1240" i="10"/>
  <c r="G1241" i="10"/>
  <c r="H1241" i="10"/>
  <c r="G1242" i="10"/>
  <c r="H1242" i="10"/>
  <c r="G1243" i="10"/>
  <c r="H1243" i="10"/>
  <c r="G1244" i="10"/>
  <c r="H1244" i="10"/>
  <c r="G1245" i="10"/>
  <c r="H1245" i="10"/>
  <c r="G1246" i="10"/>
  <c r="H1246" i="10"/>
  <c r="G1247" i="10"/>
  <c r="H1247" i="10"/>
  <c r="G1248" i="10"/>
  <c r="H1248" i="10"/>
  <c r="G1249" i="10"/>
  <c r="H1249" i="10"/>
  <c r="G1250" i="10"/>
  <c r="H1250" i="10"/>
  <c r="G1251" i="10"/>
  <c r="H1251" i="10"/>
  <c r="G1252" i="10"/>
  <c r="H1252" i="10"/>
  <c r="G1253" i="10"/>
  <c r="H1253" i="10"/>
  <c r="G1254" i="10"/>
  <c r="H1254" i="10"/>
  <c r="G1255" i="10"/>
  <c r="H1255" i="10"/>
  <c r="G1256" i="10"/>
  <c r="H1256" i="10"/>
  <c r="G1257" i="10"/>
  <c r="H1257" i="10"/>
  <c r="G1258" i="10"/>
  <c r="H1258" i="10"/>
  <c r="G1259" i="10"/>
  <c r="H1259" i="10"/>
  <c r="G1260" i="10"/>
  <c r="H1260" i="10"/>
  <c r="G1261" i="10"/>
  <c r="H1261" i="10"/>
  <c r="G1262" i="10"/>
  <c r="H1262" i="10"/>
  <c r="G1263" i="10"/>
  <c r="H1263" i="10"/>
  <c r="G1264" i="10"/>
  <c r="H1264" i="10"/>
  <c r="G1265" i="10"/>
  <c r="H1265" i="10"/>
  <c r="G1266" i="10"/>
  <c r="H1266" i="10"/>
  <c r="G1267" i="10"/>
  <c r="H1267" i="10"/>
  <c r="G1268" i="10"/>
  <c r="H1268" i="10"/>
  <c r="G1269" i="10"/>
  <c r="H1269" i="10"/>
  <c r="G1270" i="10"/>
  <c r="H1270" i="10"/>
  <c r="G1271" i="10"/>
  <c r="H1271" i="10"/>
  <c r="G1272" i="10"/>
  <c r="H1272" i="10"/>
  <c r="G1273" i="10"/>
  <c r="H1273" i="10"/>
  <c r="G1274" i="10"/>
  <c r="H1274" i="10"/>
  <c r="G1275" i="10"/>
  <c r="H1275" i="10"/>
  <c r="G1276" i="10"/>
  <c r="H1276" i="10"/>
  <c r="G1277" i="10"/>
  <c r="H1277" i="10"/>
  <c r="G1278" i="10"/>
  <c r="H1278" i="10"/>
  <c r="G1279" i="10"/>
  <c r="H1279" i="10"/>
  <c r="G1280" i="10"/>
  <c r="H1280" i="10"/>
  <c r="G1281" i="10"/>
  <c r="H1281" i="10"/>
  <c r="G1282" i="10"/>
  <c r="H1282" i="10"/>
  <c r="G1283" i="10"/>
  <c r="H1283" i="10"/>
  <c r="G1284" i="10"/>
  <c r="H1284" i="10"/>
  <c r="G1285" i="10"/>
  <c r="H1285" i="10"/>
  <c r="G1286" i="10"/>
  <c r="H1286" i="10"/>
  <c r="G1287" i="10"/>
  <c r="H1287" i="10"/>
  <c r="G1288" i="10"/>
  <c r="H1288" i="10"/>
  <c r="G1289" i="10"/>
  <c r="H1289" i="10"/>
  <c r="G1290" i="10"/>
  <c r="H1290" i="10"/>
  <c r="G1291" i="10"/>
  <c r="H1291" i="10"/>
  <c r="G1292" i="10"/>
  <c r="H1292" i="10"/>
  <c r="G1293" i="10"/>
  <c r="H1293" i="10"/>
  <c r="G1294" i="10"/>
  <c r="H1294" i="10"/>
  <c r="G1295" i="10"/>
  <c r="H1295" i="10"/>
  <c r="G1296" i="10"/>
  <c r="H1296" i="10"/>
  <c r="G1297" i="10"/>
  <c r="H1297" i="10"/>
  <c r="G1298" i="10"/>
  <c r="H1298" i="10"/>
  <c r="G1299" i="10"/>
  <c r="H1299" i="10"/>
  <c r="G1300" i="10"/>
  <c r="H1300" i="10"/>
  <c r="G1301" i="10"/>
  <c r="H1301" i="10"/>
  <c r="G1302" i="10"/>
  <c r="H1302" i="10"/>
  <c r="G1303" i="10"/>
  <c r="H1303" i="10"/>
  <c r="G1304" i="10"/>
  <c r="H1304" i="10"/>
  <c r="G1305" i="10"/>
  <c r="H1305" i="10"/>
  <c r="G1306" i="10"/>
  <c r="H1306" i="10"/>
  <c r="G1307" i="10"/>
  <c r="H1307" i="10"/>
  <c r="G1308" i="10"/>
  <c r="H1308" i="10"/>
  <c r="G1309" i="10"/>
  <c r="H1309" i="10"/>
  <c r="G1310" i="10"/>
  <c r="H1310" i="10"/>
  <c r="G1311" i="10"/>
  <c r="H1311" i="10"/>
  <c r="G1312" i="10"/>
  <c r="H1312" i="10"/>
  <c r="G1313" i="10"/>
  <c r="H1313" i="10"/>
  <c r="G1314" i="10"/>
  <c r="H1314" i="10"/>
  <c r="G1315" i="10"/>
  <c r="H1315" i="10"/>
  <c r="G1316" i="10"/>
  <c r="H1316" i="10"/>
  <c r="G1317" i="10"/>
  <c r="H1317" i="10"/>
  <c r="G1318" i="10"/>
  <c r="H1318" i="10"/>
  <c r="G1319" i="10"/>
  <c r="H1319" i="10"/>
  <c r="G1320" i="10"/>
  <c r="H1320" i="10"/>
  <c r="G1321" i="10"/>
  <c r="H1321" i="10"/>
  <c r="G1322" i="10"/>
  <c r="H1322" i="10"/>
  <c r="G1323" i="10"/>
  <c r="H1323" i="10"/>
  <c r="G1324" i="10"/>
  <c r="H1324" i="10"/>
  <c r="G1325" i="10"/>
  <c r="H1325" i="10"/>
  <c r="G1326" i="10"/>
  <c r="H1326" i="10"/>
  <c r="G1327" i="10"/>
  <c r="H1327" i="10"/>
  <c r="G1328" i="10"/>
  <c r="H1328" i="10"/>
  <c r="G1329" i="10"/>
  <c r="H1329" i="10"/>
  <c r="G1330" i="10"/>
  <c r="H1330" i="10"/>
  <c r="G1331" i="10"/>
  <c r="H1331" i="10"/>
  <c r="G1332" i="10"/>
  <c r="H1332" i="10"/>
  <c r="G1333" i="10"/>
  <c r="H1333" i="10"/>
  <c r="G1334" i="10"/>
  <c r="H1334" i="10"/>
  <c r="G1335" i="10"/>
  <c r="H1335" i="10"/>
  <c r="G1336" i="10"/>
  <c r="H1336" i="10"/>
  <c r="G1337" i="10"/>
  <c r="H1337" i="10"/>
  <c r="G1338" i="10"/>
  <c r="H1338" i="10"/>
  <c r="G1339" i="10"/>
  <c r="H1339" i="10"/>
  <c r="G1340" i="10"/>
  <c r="H1340" i="10"/>
  <c r="G1341" i="10"/>
  <c r="H1341" i="10"/>
  <c r="G1342" i="10"/>
  <c r="H1342" i="10"/>
  <c r="G1343" i="10"/>
  <c r="H1343" i="10"/>
  <c r="G1344" i="10"/>
  <c r="H1344" i="10"/>
  <c r="G1345" i="10"/>
  <c r="H1345" i="10"/>
  <c r="G1346" i="10"/>
  <c r="H1346" i="10"/>
  <c r="G1347" i="10"/>
  <c r="H1347" i="10"/>
  <c r="G1348" i="10"/>
  <c r="H1348" i="10"/>
  <c r="G1349" i="10"/>
  <c r="H1349" i="10"/>
  <c r="G1350" i="10"/>
  <c r="H1350" i="10"/>
  <c r="G1351" i="10"/>
  <c r="H1351" i="10"/>
  <c r="G1352" i="10"/>
  <c r="H1352" i="10"/>
  <c r="G1353" i="10"/>
  <c r="H1353" i="10"/>
  <c r="G1354" i="10"/>
  <c r="H1354" i="10"/>
  <c r="G1355" i="10"/>
  <c r="H1355" i="10"/>
  <c r="G1356" i="10"/>
  <c r="H1356" i="10"/>
  <c r="G1357" i="10"/>
  <c r="H1357" i="10"/>
  <c r="G1358" i="10"/>
  <c r="H1358" i="10"/>
  <c r="G1359" i="10"/>
  <c r="H1359" i="10"/>
  <c r="G1360" i="10"/>
  <c r="H1360" i="10"/>
  <c r="G1361" i="10"/>
  <c r="H1361" i="10"/>
  <c r="G1362" i="10"/>
  <c r="H1362" i="10"/>
  <c r="G1363" i="10"/>
  <c r="H1363" i="10"/>
  <c r="G1364" i="10"/>
  <c r="H1364" i="10"/>
  <c r="G1365" i="10"/>
  <c r="H1365" i="10"/>
  <c r="G1366" i="10"/>
  <c r="H1366" i="10"/>
  <c r="G1367" i="10"/>
  <c r="H1367" i="10"/>
  <c r="G1368" i="10"/>
  <c r="H1368" i="10"/>
  <c r="G1369" i="10"/>
  <c r="H1369" i="10"/>
  <c r="G1370" i="10"/>
  <c r="H1370" i="10"/>
  <c r="G1371" i="10"/>
  <c r="H1371" i="10"/>
  <c r="G1372" i="10"/>
  <c r="H1372" i="10"/>
  <c r="G1373" i="10"/>
  <c r="H1373" i="10"/>
  <c r="G1374" i="10"/>
  <c r="H1374" i="10"/>
  <c r="G1375" i="10"/>
  <c r="H1375" i="10"/>
  <c r="G1376" i="10"/>
  <c r="H1376" i="10"/>
  <c r="G1377" i="10"/>
  <c r="H1377" i="10"/>
  <c r="G1378" i="10"/>
  <c r="H1378" i="10"/>
  <c r="G1379" i="10"/>
  <c r="H1379" i="10"/>
  <c r="G1380" i="10"/>
  <c r="H1380" i="10"/>
  <c r="G1381" i="10"/>
  <c r="H1381" i="10"/>
  <c r="G1382" i="10"/>
  <c r="H1382" i="10"/>
  <c r="G1383" i="10"/>
  <c r="H1383" i="10"/>
  <c r="G1384" i="10"/>
  <c r="H1384" i="10"/>
  <c r="G1385" i="10"/>
  <c r="H1385" i="10"/>
  <c r="G1386" i="10"/>
  <c r="H1386" i="10"/>
  <c r="G1387" i="10"/>
  <c r="H1387" i="10"/>
  <c r="G1388" i="10"/>
  <c r="H1388" i="10"/>
  <c r="G1389" i="10"/>
  <c r="H1389" i="10"/>
  <c r="G1390" i="10"/>
  <c r="H1390" i="10"/>
  <c r="G1391" i="10"/>
  <c r="H1391" i="10"/>
  <c r="G1392" i="10"/>
  <c r="H1392" i="10"/>
  <c r="G1393" i="10"/>
  <c r="H1393" i="10"/>
  <c r="G1394" i="10"/>
  <c r="H1394" i="10"/>
  <c r="G1395" i="10"/>
  <c r="H1395" i="10"/>
  <c r="G1396" i="10"/>
  <c r="H1396" i="10"/>
  <c r="G1397" i="10"/>
  <c r="H1397" i="10"/>
  <c r="G1398" i="10"/>
  <c r="H1398" i="10"/>
  <c r="G1399" i="10"/>
  <c r="H1399" i="10"/>
  <c r="G1400" i="10"/>
  <c r="H1400" i="10"/>
  <c r="G1401" i="10"/>
  <c r="H1401" i="10"/>
  <c r="G1402" i="10"/>
  <c r="H1402" i="10"/>
  <c r="G1403" i="10"/>
  <c r="H1403" i="10"/>
  <c r="G1404" i="10"/>
  <c r="H1404" i="10"/>
  <c r="G1405" i="10"/>
  <c r="H1405" i="10"/>
  <c r="G1406" i="10"/>
  <c r="H1406" i="10"/>
  <c r="G1407" i="10"/>
  <c r="H1407" i="10"/>
  <c r="G1408" i="10"/>
  <c r="H1408" i="10"/>
  <c r="G1409" i="10"/>
  <c r="H1409" i="10"/>
  <c r="G1410" i="10"/>
  <c r="H1410" i="10"/>
  <c r="G1411" i="10"/>
  <c r="H1411" i="10"/>
  <c r="G1412" i="10"/>
  <c r="H1412" i="10"/>
  <c r="G1413" i="10"/>
  <c r="H1413" i="10"/>
  <c r="G1414" i="10"/>
  <c r="H1414" i="10"/>
  <c r="G1415" i="10"/>
  <c r="H1415" i="10"/>
  <c r="G1416" i="10"/>
  <c r="H1416" i="10"/>
  <c r="G1417" i="10"/>
  <c r="H1417" i="10"/>
  <c r="G1418" i="10"/>
  <c r="H1418" i="10"/>
  <c r="G1419" i="10"/>
  <c r="H1419" i="10"/>
  <c r="G1420" i="10"/>
  <c r="H1420" i="10"/>
  <c r="G1421" i="10"/>
  <c r="H1421" i="10"/>
  <c r="G1422" i="10"/>
  <c r="H1422" i="10"/>
  <c r="G1423" i="10"/>
  <c r="H1423" i="10"/>
  <c r="G1424" i="10"/>
  <c r="H1424" i="10"/>
  <c r="G1425" i="10"/>
  <c r="H1425" i="10"/>
  <c r="G1426" i="10"/>
  <c r="H1426" i="10"/>
  <c r="G1427" i="10"/>
  <c r="H1427" i="10"/>
  <c r="G1428" i="10"/>
  <c r="H1428" i="10"/>
  <c r="G1429" i="10"/>
  <c r="H1429" i="10"/>
  <c r="G1430" i="10"/>
  <c r="H1430" i="10"/>
  <c r="G1431" i="10"/>
  <c r="H1431" i="10"/>
  <c r="G1432" i="10"/>
  <c r="H1432" i="10"/>
  <c r="G1433" i="10"/>
  <c r="H1433" i="10"/>
  <c r="G1434" i="10"/>
  <c r="H1434" i="10"/>
  <c r="G1435" i="10"/>
  <c r="H1435" i="10"/>
  <c r="G1436" i="10"/>
  <c r="H1436" i="10"/>
  <c r="G1437" i="10"/>
  <c r="H1437" i="10"/>
  <c r="G1438" i="10"/>
  <c r="H1438" i="10"/>
  <c r="G1439" i="10"/>
  <c r="H1439" i="10"/>
  <c r="G1440" i="10"/>
  <c r="H1440" i="10"/>
  <c r="G1441" i="10"/>
  <c r="H1441" i="10"/>
  <c r="G1442" i="10"/>
  <c r="H1442" i="10"/>
  <c r="G1443" i="10"/>
  <c r="H1443" i="10"/>
  <c r="G1444" i="10"/>
  <c r="H1444" i="10"/>
  <c r="G1445" i="10"/>
  <c r="H1445" i="10"/>
  <c r="G1446" i="10"/>
  <c r="H1446" i="10"/>
  <c r="G1447" i="10"/>
  <c r="H1447" i="10"/>
  <c r="G1448" i="10"/>
  <c r="H1448" i="10"/>
  <c r="G1449" i="10"/>
  <c r="H1449" i="10"/>
  <c r="G1450" i="10"/>
  <c r="H1450" i="10"/>
  <c r="G1451" i="10"/>
  <c r="H1451" i="10"/>
  <c r="G1452" i="10"/>
  <c r="H1452" i="10"/>
  <c r="G1453" i="10"/>
  <c r="H1453" i="10"/>
  <c r="G1454" i="10"/>
  <c r="H1454" i="10"/>
  <c r="G1455" i="10"/>
  <c r="H1455" i="10"/>
  <c r="G1456" i="10"/>
  <c r="H1456" i="10"/>
  <c r="G1457" i="10"/>
  <c r="H1457" i="10"/>
  <c r="G1458" i="10"/>
  <c r="H1458" i="10"/>
  <c r="G1459" i="10"/>
  <c r="H1459" i="10"/>
  <c r="G1460" i="10"/>
  <c r="H1460" i="10"/>
  <c r="G1461" i="10"/>
  <c r="H1461" i="10"/>
  <c r="G1462" i="10"/>
  <c r="H1462" i="10"/>
  <c r="G1463" i="10"/>
  <c r="H1463" i="10"/>
  <c r="G1464" i="10"/>
  <c r="H1464" i="10"/>
  <c r="G1465" i="10"/>
  <c r="H1465" i="10"/>
  <c r="G1466" i="10"/>
  <c r="H1466" i="10"/>
  <c r="G1467" i="10"/>
  <c r="H1467" i="10"/>
  <c r="G1468" i="10"/>
  <c r="H1468" i="10"/>
  <c r="G1469" i="10"/>
  <c r="H1469" i="10"/>
  <c r="G1470" i="10"/>
  <c r="H1470" i="10"/>
  <c r="G1471" i="10"/>
  <c r="H1471" i="10"/>
  <c r="G1472" i="10"/>
  <c r="H1472" i="10"/>
  <c r="G1473" i="10"/>
  <c r="H1473" i="10"/>
  <c r="G1474" i="10"/>
  <c r="H1474" i="10"/>
  <c r="G1475" i="10"/>
  <c r="H1475" i="10"/>
  <c r="G1476" i="10"/>
  <c r="H1476" i="10"/>
  <c r="G1477" i="10"/>
  <c r="H1477" i="10"/>
  <c r="G1478" i="10"/>
  <c r="H1478" i="10"/>
  <c r="G1479" i="10"/>
  <c r="H1479" i="10"/>
  <c r="G1480" i="10"/>
  <c r="H1480" i="10"/>
  <c r="G1481" i="10"/>
  <c r="H1481" i="10"/>
  <c r="G1482" i="10"/>
  <c r="H1482" i="10"/>
  <c r="G1483" i="10"/>
  <c r="H1483" i="10"/>
  <c r="G1484" i="10"/>
  <c r="H1484" i="10"/>
  <c r="G1485" i="10"/>
  <c r="H1485" i="10"/>
  <c r="G1486" i="10"/>
  <c r="H1486" i="10"/>
  <c r="G1487" i="10"/>
  <c r="H1487" i="10"/>
  <c r="G1488" i="10"/>
  <c r="H1488" i="10"/>
  <c r="G1489" i="10"/>
  <c r="H1489" i="10"/>
  <c r="G1490" i="10"/>
  <c r="H1490" i="10"/>
  <c r="G1491" i="10"/>
  <c r="H1491" i="10"/>
  <c r="G1492" i="10"/>
  <c r="H1492" i="10"/>
  <c r="G1493" i="10"/>
  <c r="H1493" i="10"/>
  <c r="G1494" i="10"/>
  <c r="H1494" i="10"/>
  <c r="G1495" i="10"/>
  <c r="H1495" i="10"/>
  <c r="G1496" i="10"/>
  <c r="H1496" i="10"/>
  <c r="G1497" i="10"/>
  <c r="H1497" i="10"/>
  <c r="G1498" i="10"/>
  <c r="H1498" i="10"/>
  <c r="G1499" i="10"/>
  <c r="H1499" i="10"/>
  <c r="G1500" i="10"/>
  <c r="H1500" i="10"/>
  <c r="G1501" i="10"/>
  <c r="H1501" i="10"/>
  <c r="G1502" i="10"/>
  <c r="H1502" i="10"/>
  <c r="G1503" i="10"/>
  <c r="H1503" i="10"/>
  <c r="G1504" i="10"/>
  <c r="H1504" i="10"/>
  <c r="G1505" i="10"/>
  <c r="H1505" i="10"/>
  <c r="G1506" i="10"/>
  <c r="H1506" i="10"/>
  <c r="G1507" i="10"/>
  <c r="H1507" i="10"/>
  <c r="G1508" i="10"/>
  <c r="H1508" i="10"/>
  <c r="G1509" i="10"/>
  <c r="H1509" i="10"/>
  <c r="G1510" i="10"/>
  <c r="H1510" i="10"/>
  <c r="G1511" i="10"/>
  <c r="H1511" i="10"/>
  <c r="G1512" i="10"/>
  <c r="H1512" i="10"/>
  <c r="G1513" i="10"/>
  <c r="H1513" i="10"/>
  <c r="G1514" i="10"/>
  <c r="H1514" i="10"/>
  <c r="G1515" i="10"/>
  <c r="H1515" i="10"/>
  <c r="G1516" i="10"/>
  <c r="H1516" i="10"/>
  <c r="G1517" i="10"/>
  <c r="H1517" i="10"/>
  <c r="G1518" i="10"/>
  <c r="H1518" i="10"/>
  <c r="G1519" i="10"/>
  <c r="H1519" i="10"/>
  <c r="G1520" i="10"/>
  <c r="H1520" i="10"/>
  <c r="G1521" i="10"/>
  <c r="H1521" i="10"/>
  <c r="G1522" i="10"/>
  <c r="H1522" i="10"/>
  <c r="G1523" i="10"/>
  <c r="H1523" i="10"/>
  <c r="G1524" i="10"/>
  <c r="H1524" i="10"/>
  <c r="G1525" i="10"/>
  <c r="H1525" i="10"/>
  <c r="G1526" i="10"/>
  <c r="H1526" i="10"/>
  <c r="G1527" i="10"/>
  <c r="H1527" i="10"/>
  <c r="G1528" i="10"/>
  <c r="H1528" i="10"/>
  <c r="G1529" i="10"/>
  <c r="H1529" i="10"/>
  <c r="G1530" i="10"/>
  <c r="H1530" i="10"/>
  <c r="G1531" i="10"/>
  <c r="H1531" i="10"/>
  <c r="G1532" i="10"/>
  <c r="H1532" i="10"/>
  <c r="G1533" i="10"/>
  <c r="H1533" i="10"/>
  <c r="G1534" i="10"/>
  <c r="H1534" i="10"/>
  <c r="G1535" i="10"/>
  <c r="H1535" i="10"/>
  <c r="G1536" i="10"/>
  <c r="H1536" i="10"/>
  <c r="G1537" i="10"/>
  <c r="H1537" i="10"/>
  <c r="G1538" i="10"/>
  <c r="H1538" i="10"/>
  <c r="G1539" i="10"/>
  <c r="H1539" i="10"/>
  <c r="G1540" i="10"/>
  <c r="H1540" i="10"/>
  <c r="G1541" i="10"/>
  <c r="H1541" i="10"/>
  <c r="G1542" i="10"/>
  <c r="H1542" i="10"/>
  <c r="G1543" i="10"/>
  <c r="H1543" i="10"/>
  <c r="G1544" i="10"/>
  <c r="H1544" i="10"/>
  <c r="G1545" i="10"/>
  <c r="H1545" i="10"/>
  <c r="G1546" i="10"/>
  <c r="H1546" i="10"/>
  <c r="G1547" i="10"/>
  <c r="H1547" i="10"/>
  <c r="G1548" i="10"/>
  <c r="H1548" i="10"/>
  <c r="G1549" i="10"/>
  <c r="H1549" i="10"/>
  <c r="G1550" i="10"/>
  <c r="H1550" i="10"/>
  <c r="G1551" i="10"/>
  <c r="H1551" i="10"/>
  <c r="G1552" i="10"/>
  <c r="H1552" i="10"/>
  <c r="G1553" i="10"/>
  <c r="H1553" i="10"/>
  <c r="G1554" i="10"/>
  <c r="H1554" i="10"/>
  <c r="G1555" i="10"/>
  <c r="H1555" i="10"/>
  <c r="G1556" i="10"/>
  <c r="H1556" i="10"/>
  <c r="G1557" i="10"/>
  <c r="H1557" i="10"/>
  <c r="G1558" i="10"/>
  <c r="H1558" i="10"/>
  <c r="G1559" i="10"/>
  <c r="H1559" i="10"/>
  <c r="G1560" i="10"/>
  <c r="H1560" i="10"/>
  <c r="G1561" i="10"/>
  <c r="H1561" i="10"/>
  <c r="G1562" i="10"/>
  <c r="H1562" i="10"/>
  <c r="G1563" i="10"/>
  <c r="H1563" i="10"/>
  <c r="G1564" i="10"/>
  <c r="H1564" i="10"/>
  <c r="G1565" i="10"/>
  <c r="H1565" i="10"/>
  <c r="G1566" i="10"/>
  <c r="H1566" i="10"/>
  <c r="G1567" i="10"/>
  <c r="H1567" i="10"/>
  <c r="G1568" i="10"/>
  <c r="H1568" i="10"/>
  <c r="G1569" i="10"/>
  <c r="H1569" i="10"/>
  <c r="G1570" i="10"/>
  <c r="H1570" i="10"/>
  <c r="G1571" i="10"/>
  <c r="H1571" i="10"/>
  <c r="G1572" i="10"/>
  <c r="H1572" i="10"/>
  <c r="G1573" i="10"/>
  <c r="H1573" i="10"/>
  <c r="G1574" i="10"/>
  <c r="H1574" i="10"/>
  <c r="G1575" i="10"/>
  <c r="H1575" i="10"/>
  <c r="G1576" i="10"/>
  <c r="H1576" i="10"/>
  <c r="G1577" i="10"/>
  <c r="H1577" i="10"/>
  <c r="G1578" i="10"/>
  <c r="H1578" i="10"/>
  <c r="G1579" i="10"/>
  <c r="H1579" i="10"/>
  <c r="G1580" i="10"/>
  <c r="H1580" i="10"/>
  <c r="G1581" i="10"/>
  <c r="H1581" i="10"/>
  <c r="G1582" i="10"/>
  <c r="H1582" i="10"/>
  <c r="G1583" i="10"/>
  <c r="H1583" i="10"/>
  <c r="G1584" i="10"/>
  <c r="H1584" i="10"/>
  <c r="G1585" i="10"/>
  <c r="H1585" i="10"/>
  <c r="G1586" i="10"/>
  <c r="H1586" i="10"/>
  <c r="G1587" i="10"/>
  <c r="H1587" i="10"/>
  <c r="G1588" i="10"/>
  <c r="H1588" i="10"/>
  <c r="G1589" i="10"/>
  <c r="H1589" i="10"/>
  <c r="G1590" i="10"/>
  <c r="H1590" i="10"/>
  <c r="G1591" i="10"/>
  <c r="H1591" i="10"/>
  <c r="G1592" i="10"/>
  <c r="H1592" i="10"/>
  <c r="G1593" i="10"/>
  <c r="H1593" i="10"/>
  <c r="G1594" i="10"/>
  <c r="H1594" i="10"/>
  <c r="G1595" i="10"/>
  <c r="H1595" i="10"/>
  <c r="G1596" i="10"/>
  <c r="H1596" i="10"/>
  <c r="G1597" i="10"/>
  <c r="H1597" i="10"/>
  <c r="G1598" i="10"/>
  <c r="H1598" i="10"/>
  <c r="G1599" i="10"/>
  <c r="H1599" i="10"/>
  <c r="G1600" i="10"/>
  <c r="H1600" i="10"/>
  <c r="G1601" i="10"/>
  <c r="H1601" i="10"/>
  <c r="G1602" i="10"/>
  <c r="H1602" i="10"/>
  <c r="G1603" i="10"/>
  <c r="H1603" i="10"/>
  <c r="G1604" i="10"/>
  <c r="H1604" i="10"/>
  <c r="G1605" i="10"/>
  <c r="H1605" i="10"/>
  <c r="G1606" i="10"/>
  <c r="H1606" i="10"/>
  <c r="G1607" i="10"/>
  <c r="H1607" i="10"/>
  <c r="G1608" i="10"/>
  <c r="H1608" i="10"/>
  <c r="G1609" i="10"/>
  <c r="H1609" i="10"/>
  <c r="G1610" i="10"/>
  <c r="H1610" i="10"/>
  <c r="G1611" i="10"/>
  <c r="H1611" i="10"/>
  <c r="G1612" i="10"/>
  <c r="H1612" i="10"/>
  <c r="G1613" i="10"/>
  <c r="H1613" i="10"/>
  <c r="G1614" i="10"/>
  <c r="H1614" i="10"/>
  <c r="G1615" i="10"/>
  <c r="H1615" i="10"/>
  <c r="G1616" i="10"/>
  <c r="H1616" i="10"/>
  <c r="G1617" i="10"/>
  <c r="H1617" i="10"/>
  <c r="G1618" i="10"/>
  <c r="H1618" i="10"/>
  <c r="G1619" i="10"/>
  <c r="H1619" i="10"/>
  <c r="G1620" i="10"/>
  <c r="H1620" i="10"/>
  <c r="G1621" i="10"/>
  <c r="H1621" i="10"/>
  <c r="G1622" i="10"/>
  <c r="H1622" i="10"/>
  <c r="G1623" i="10"/>
  <c r="H1623" i="10"/>
  <c r="G1624" i="10"/>
  <c r="H1624" i="10"/>
  <c r="G1625" i="10"/>
  <c r="H1625" i="10"/>
  <c r="G1626" i="10"/>
  <c r="H1626" i="10"/>
  <c r="G1627" i="10"/>
  <c r="H1627" i="10"/>
  <c r="G1628" i="10"/>
  <c r="H1628" i="10"/>
  <c r="G1629" i="10"/>
  <c r="H1629" i="10"/>
  <c r="G1630" i="10"/>
  <c r="H1630" i="10"/>
  <c r="G1631" i="10"/>
  <c r="H1631" i="10"/>
  <c r="G1632" i="10"/>
  <c r="H1632" i="10"/>
  <c r="G1633" i="10"/>
  <c r="H1633" i="10"/>
  <c r="G1634" i="10"/>
  <c r="H1634" i="10"/>
  <c r="G1635" i="10"/>
  <c r="H1635" i="10"/>
  <c r="G1636" i="10"/>
  <c r="H1636" i="10"/>
  <c r="G1637" i="10"/>
  <c r="H1637" i="10"/>
  <c r="G1638" i="10"/>
  <c r="H1638" i="10"/>
  <c r="G1639" i="10"/>
  <c r="H1639" i="10"/>
  <c r="G1640" i="10"/>
  <c r="H1640" i="10"/>
  <c r="G1641" i="10"/>
  <c r="H1641" i="10"/>
  <c r="G1642" i="10"/>
  <c r="H1642" i="10"/>
  <c r="G1643" i="10"/>
  <c r="H1643" i="10"/>
  <c r="G1644" i="10"/>
  <c r="H1644" i="10"/>
  <c r="G1645" i="10"/>
  <c r="H1645" i="10"/>
  <c r="G1646" i="10"/>
  <c r="H1646" i="10"/>
  <c r="G1647" i="10"/>
  <c r="H1647" i="10"/>
  <c r="G1648" i="10"/>
  <c r="H1648" i="10"/>
  <c r="G1649" i="10"/>
  <c r="H1649" i="10"/>
  <c r="G1650" i="10"/>
  <c r="H1650" i="10"/>
  <c r="G1651" i="10"/>
  <c r="H1651" i="10"/>
  <c r="G1652" i="10"/>
  <c r="H1652" i="10"/>
  <c r="G1653" i="10"/>
  <c r="H1653" i="10"/>
  <c r="G1654" i="10"/>
  <c r="H1654" i="10"/>
  <c r="G1655" i="10"/>
  <c r="H1655" i="10"/>
  <c r="G1656" i="10"/>
  <c r="H1656" i="10"/>
  <c r="G1657" i="10"/>
  <c r="H1657" i="10"/>
  <c r="G1658" i="10"/>
  <c r="H1658" i="10"/>
  <c r="G1659" i="10"/>
  <c r="H1659" i="10"/>
  <c r="G1660" i="10"/>
  <c r="H1660" i="10"/>
  <c r="G1661" i="10"/>
  <c r="H1661" i="10"/>
  <c r="G1662" i="10"/>
  <c r="H1662" i="10"/>
  <c r="G1663" i="10"/>
  <c r="H1663" i="10"/>
  <c r="G1664" i="10"/>
  <c r="H1664" i="10"/>
  <c r="G1665" i="10"/>
  <c r="H1665" i="10"/>
  <c r="G1666" i="10"/>
  <c r="H1666" i="10"/>
  <c r="G1667" i="10"/>
  <c r="H1667" i="10"/>
  <c r="G1668" i="10"/>
  <c r="H1668" i="10"/>
  <c r="G1669" i="10"/>
  <c r="H1669" i="10"/>
  <c r="G1670" i="10"/>
  <c r="H1670" i="10"/>
  <c r="G1671" i="10"/>
  <c r="H1671" i="10"/>
  <c r="G1672" i="10"/>
  <c r="H1672" i="10"/>
  <c r="G1673" i="10"/>
  <c r="H1673" i="10"/>
  <c r="G1674" i="10"/>
  <c r="H1674" i="10"/>
  <c r="G1675" i="10"/>
  <c r="H1675" i="10"/>
  <c r="G1676" i="10"/>
  <c r="H1676" i="10"/>
  <c r="G1677" i="10"/>
  <c r="H1677" i="10"/>
  <c r="G1678" i="10"/>
  <c r="H1678" i="10"/>
  <c r="G1679" i="10"/>
  <c r="H1679" i="10"/>
  <c r="G1680" i="10"/>
  <c r="H1680" i="10"/>
  <c r="G1681" i="10"/>
  <c r="H1681" i="10"/>
  <c r="G1682" i="10"/>
  <c r="H1682" i="10"/>
  <c r="G1683" i="10"/>
  <c r="H1683" i="10"/>
  <c r="G1684" i="10"/>
  <c r="H1684" i="10"/>
  <c r="G1685" i="10"/>
  <c r="H1685" i="10"/>
  <c r="G1686" i="10"/>
  <c r="H1686" i="10"/>
  <c r="G1687" i="10"/>
  <c r="H1687" i="10"/>
  <c r="G1688" i="10"/>
  <c r="H1688" i="10"/>
  <c r="G1689" i="10"/>
  <c r="H1689" i="10"/>
  <c r="G1690" i="10"/>
  <c r="H1690" i="10"/>
  <c r="G1691" i="10"/>
  <c r="H1691" i="10"/>
  <c r="G1692" i="10"/>
  <c r="H1692" i="10"/>
  <c r="G1693" i="10"/>
  <c r="H1693" i="10"/>
  <c r="G1694" i="10"/>
  <c r="H1694" i="10"/>
  <c r="G1695" i="10"/>
  <c r="H1695" i="10"/>
  <c r="G1696" i="10"/>
  <c r="H1696" i="10"/>
  <c r="G1697" i="10"/>
  <c r="H1697" i="10"/>
  <c r="G1698" i="10"/>
  <c r="H1698" i="10"/>
  <c r="G1699" i="10"/>
  <c r="H1699" i="10"/>
  <c r="G1700" i="10"/>
  <c r="H1700" i="10"/>
  <c r="G1701" i="10"/>
  <c r="H1701" i="10"/>
  <c r="G1702" i="10"/>
  <c r="H1702" i="10"/>
  <c r="G1703" i="10"/>
  <c r="H1703" i="10"/>
  <c r="G1704" i="10"/>
  <c r="H1704" i="10"/>
  <c r="G1705" i="10"/>
  <c r="H1705" i="10"/>
  <c r="G1706" i="10"/>
  <c r="H1706" i="10"/>
  <c r="G1707" i="10"/>
  <c r="H1707" i="10"/>
  <c r="G1708" i="10"/>
  <c r="H1708" i="10"/>
  <c r="G1709" i="10"/>
  <c r="H1709" i="10"/>
  <c r="G1710" i="10"/>
  <c r="H1710" i="10"/>
  <c r="G1711" i="10"/>
  <c r="H1711" i="10"/>
  <c r="G1712" i="10"/>
  <c r="H1712" i="10"/>
  <c r="G1713" i="10"/>
  <c r="H1713" i="10"/>
  <c r="G1714" i="10"/>
  <c r="H1714" i="10"/>
  <c r="G1715" i="10"/>
  <c r="H1715" i="10"/>
  <c r="G1716" i="10"/>
  <c r="H1716" i="10"/>
  <c r="G1717" i="10"/>
  <c r="H1717" i="10"/>
  <c r="G1718" i="10"/>
  <c r="H1718" i="10"/>
  <c r="G1719" i="10"/>
  <c r="H1719" i="10"/>
  <c r="G1720" i="10"/>
  <c r="H1720" i="10"/>
  <c r="G1721" i="10"/>
  <c r="H1721" i="10"/>
  <c r="G1722" i="10"/>
  <c r="H1722" i="10"/>
  <c r="G1723" i="10"/>
  <c r="H1723" i="10"/>
  <c r="G1724" i="10"/>
  <c r="H1724" i="10"/>
  <c r="G1725" i="10"/>
  <c r="H1725" i="10"/>
  <c r="G1726" i="10"/>
  <c r="H1726" i="10"/>
  <c r="G1727" i="10"/>
  <c r="H1727" i="10"/>
  <c r="G1728" i="10"/>
  <c r="H1728" i="10"/>
  <c r="G1729" i="10"/>
  <c r="H1729" i="10"/>
  <c r="G1730" i="10"/>
  <c r="H1730" i="10"/>
  <c r="G1731" i="10"/>
  <c r="H1731" i="10"/>
  <c r="G1732" i="10"/>
  <c r="H1732" i="10"/>
  <c r="G1733" i="10"/>
  <c r="H1733" i="10"/>
  <c r="G1734" i="10"/>
  <c r="H1734" i="10"/>
  <c r="G1735" i="10"/>
  <c r="H1735" i="10"/>
  <c r="G1736" i="10"/>
  <c r="H1736" i="10"/>
  <c r="G1737" i="10"/>
  <c r="H1737" i="10"/>
  <c r="G1738" i="10"/>
  <c r="H1738" i="10"/>
  <c r="G1739" i="10"/>
  <c r="H1739" i="10"/>
  <c r="G1740" i="10"/>
  <c r="H1740" i="10"/>
  <c r="G1741" i="10"/>
  <c r="H1741" i="10"/>
  <c r="G1742" i="10"/>
  <c r="H1742" i="10"/>
  <c r="G1743" i="10"/>
  <c r="H1743" i="10"/>
  <c r="G1744" i="10"/>
  <c r="H1744" i="10"/>
  <c r="G1745" i="10"/>
  <c r="H1745" i="10"/>
  <c r="G1746" i="10"/>
  <c r="H1746" i="10"/>
  <c r="G1747" i="10"/>
  <c r="H1747" i="10"/>
  <c r="G1748" i="10"/>
  <c r="H1748" i="10"/>
  <c r="G1749" i="10"/>
  <c r="H1749" i="10"/>
  <c r="G1750" i="10"/>
  <c r="H1750" i="10"/>
  <c r="G1751" i="10"/>
  <c r="H1751" i="10"/>
  <c r="G1752" i="10"/>
  <c r="H1752" i="10"/>
  <c r="G1753" i="10"/>
  <c r="H1753" i="10"/>
  <c r="G1754" i="10"/>
  <c r="H1754" i="10"/>
  <c r="G1755" i="10"/>
  <c r="H1755" i="10"/>
  <c r="G1756" i="10"/>
  <c r="H1756" i="10"/>
  <c r="G1757" i="10"/>
  <c r="H1757" i="10"/>
  <c r="G1758" i="10"/>
  <c r="H1758" i="10"/>
  <c r="G1759" i="10"/>
  <c r="H1759" i="10"/>
  <c r="G1760" i="10"/>
  <c r="H1760" i="10"/>
  <c r="G1761" i="10"/>
  <c r="H1761" i="10"/>
  <c r="G1762" i="10"/>
  <c r="H1762" i="10"/>
  <c r="G1763" i="10"/>
  <c r="H1763" i="10"/>
  <c r="G1764" i="10"/>
  <c r="H1764" i="10"/>
  <c r="G1765" i="10"/>
  <c r="H1765" i="10"/>
  <c r="G1766" i="10"/>
  <c r="H1766" i="10"/>
  <c r="G1767" i="10"/>
  <c r="H1767" i="10"/>
  <c r="G1768" i="10"/>
  <c r="H1768" i="10"/>
  <c r="G1769" i="10"/>
  <c r="H1769" i="10"/>
  <c r="G1770" i="10"/>
  <c r="H1770" i="10"/>
  <c r="G1771" i="10"/>
  <c r="H1771" i="10"/>
  <c r="G1772" i="10"/>
  <c r="H1772" i="10"/>
  <c r="G1773" i="10"/>
  <c r="H1773" i="10"/>
  <c r="G1774" i="10"/>
  <c r="H1774" i="10"/>
  <c r="G1775" i="10"/>
  <c r="H1775" i="10"/>
  <c r="G1776" i="10"/>
  <c r="H1776" i="10"/>
  <c r="G1777" i="10"/>
  <c r="H1777" i="10"/>
  <c r="G1778" i="10"/>
  <c r="H1778" i="10"/>
  <c r="G1779" i="10"/>
  <c r="H1779" i="10"/>
  <c r="G1780" i="10"/>
  <c r="H1780" i="10"/>
  <c r="G1781" i="10"/>
  <c r="H1781" i="10"/>
  <c r="G1782" i="10"/>
  <c r="H1782" i="10"/>
  <c r="G1783" i="10"/>
  <c r="H1783" i="10"/>
  <c r="G1784" i="10"/>
  <c r="H1784" i="10"/>
  <c r="G1785" i="10"/>
  <c r="H1785" i="10"/>
  <c r="G1786" i="10"/>
  <c r="H1786" i="10"/>
  <c r="G1787" i="10"/>
  <c r="H1787" i="10"/>
  <c r="G1788" i="10"/>
  <c r="H1788" i="10"/>
  <c r="G1789" i="10"/>
  <c r="H1789" i="10"/>
  <c r="G1790" i="10"/>
  <c r="H1790" i="10"/>
  <c r="G1791" i="10"/>
  <c r="H1791" i="10"/>
  <c r="G1792" i="10"/>
  <c r="H1792" i="10"/>
  <c r="G1793" i="10"/>
  <c r="H1793" i="10"/>
  <c r="G1794" i="10"/>
  <c r="H1794" i="10"/>
  <c r="G1795" i="10"/>
  <c r="H1795" i="10"/>
  <c r="G1796" i="10"/>
  <c r="H1796" i="10"/>
  <c r="G1797" i="10"/>
  <c r="H1797" i="10"/>
  <c r="G1798" i="10"/>
  <c r="H1798" i="10"/>
  <c r="G1799" i="10"/>
  <c r="H1799" i="10"/>
  <c r="G1800" i="10"/>
  <c r="H1800" i="10"/>
  <c r="G1801" i="10"/>
  <c r="H1801" i="10"/>
  <c r="G1802" i="10"/>
  <c r="H1802" i="10"/>
  <c r="G1803" i="10"/>
  <c r="H1803" i="10"/>
  <c r="G1804" i="10"/>
  <c r="H1804" i="10"/>
  <c r="G1805" i="10"/>
  <c r="H1805" i="10"/>
  <c r="G1806" i="10"/>
  <c r="H1806" i="10"/>
  <c r="G1807" i="10"/>
  <c r="H1807" i="10"/>
  <c r="G1808" i="10"/>
  <c r="H1808" i="10"/>
  <c r="G1809" i="10"/>
  <c r="H1809" i="10"/>
  <c r="G1810" i="10"/>
  <c r="H1810" i="10"/>
  <c r="G1811" i="10"/>
  <c r="H1811" i="10"/>
  <c r="G1812" i="10"/>
  <c r="H1812" i="10"/>
  <c r="G1813" i="10"/>
  <c r="H1813" i="10"/>
  <c r="G1814" i="10"/>
  <c r="H1814" i="10"/>
  <c r="G1815" i="10"/>
  <c r="H1815" i="10"/>
  <c r="G1816" i="10"/>
  <c r="H1816" i="10"/>
  <c r="G1817" i="10"/>
  <c r="H1817" i="10"/>
  <c r="G1818" i="10"/>
  <c r="H1818" i="10"/>
  <c r="G1819" i="10"/>
  <c r="H1819" i="10"/>
  <c r="G1820" i="10"/>
  <c r="H1820" i="10"/>
  <c r="G1821" i="10"/>
  <c r="H1821" i="10"/>
  <c r="G1822" i="10"/>
  <c r="H1822" i="10"/>
  <c r="G1823" i="10"/>
  <c r="H1823" i="10"/>
  <c r="G1824" i="10"/>
  <c r="H1824" i="10"/>
  <c r="G1825" i="10"/>
  <c r="H1825" i="10"/>
  <c r="G1826" i="10"/>
  <c r="H1826" i="10"/>
  <c r="G1827" i="10"/>
  <c r="H1827" i="10"/>
  <c r="G1828" i="10"/>
  <c r="H1828" i="10"/>
  <c r="G1829" i="10"/>
  <c r="H1829" i="10"/>
  <c r="G1830" i="10"/>
  <c r="H1830" i="10"/>
  <c r="G1831" i="10"/>
  <c r="H1831" i="10"/>
  <c r="G1832" i="10"/>
  <c r="H1832" i="10"/>
  <c r="G1833" i="10"/>
  <c r="H1833" i="10"/>
  <c r="G1834" i="10"/>
  <c r="H1834" i="10"/>
  <c r="G1835" i="10"/>
  <c r="H1835" i="10"/>
  <c r="G1836" i="10"/>
  <c r="H1836" i="10"/>
  <c r="G1837" i="10"/>
  <c r="H1837" i="10"/>
  <c r="G1838" i="10"/>
  <c r="H1838" i="10"/>
  <c r="G1839" i="10"/>
  <c r="H1839" i="10"/>
  <c r="G1840" i="10"/>
  <c r="H1840" i="10"/>
  <c r="G1841" i="10"/>
  <c r="H1841" i="10"/>
  <c r="G1842" i="10"/>
  <c r="H1842" i="10"/>
  <c r="G1843" i="10"/>
  <c r="H1843" i="10"/>
  <c r="G1844" i="10"/>
  <c r="H1844" i="10"/>
  <c r="G1845" i="10"/>
  <c r="H1845" i="10"/>
  <c r="G1846" i="10"/>
  <c r="H1846" i="10"/>
  <c r="G1847" i="10"/>
  <c r="H1847" i="10"/>
  <c r="G1848" i="10"/>
  <c r="H1848" i="10"/>
  <c r="G1849" i="10"/>
  <c r="H1849" i="10"/>
  <c r="G1850" i="10"/>
  <c r="H1850" i="10"/>
  <c r="G1851" i="10"/>
  <c r="H1851" i="10"/>
  <c r="G1852" i="10"/>
  <c r="H1852" i="10"/>
  <c r="G1853" i="10"/>
  <c r="H1853" i="10"/>
  <c r="G1854" i="10"/>
  <c r="H1854" i="10"/>
  <c r="G1855" i="10"/>
  <c r="H1855" i="10"/>
  <c r="G1856" i="10"/>
  <c r="H1856" i="10"/>
  <c r="G1857" i="10"/>
  <c r="H1857" i="10"/>
  <c r="G1858" i="10"/>
  <c r="H1858" i="10"/>
  <c r="G1859" i="10"/>
  <c r="H1859" i="10"/>
  <c r="G1860" i="10"/>
  <c r="H1860" i="10"/>
  <c r="G1861" i="10"/>
  <c r="H1861" i="10"/>
  <c r="G1862" i="10"/>
  <c r="H1862" i="10"/>
  <c r="G1863" i="10"/>
  <c r="H1863" i="10"/>
  <c r="G1864" i="10"/>
  <c r="H1864" i="10"/>
  <c r="G1865" i="10"/>
  <c r="H1865" i="10"/>
  <c r="G1866" i="10"/>
  <c r="H1866" i="10"/>
  <c r="G1867" i="10"/>
  <c r="H1867" i="10"/>
  <c r="G1868" i="10"/>
  <c r="H1868" i="10"/>
  <c r="G1869" i="10"/>
  <c r="H1869" i="10"/>
  <c r="G1870" i="10"/>
  <c r="H1870" i="10"/>
  <c r="G1871" i="10"/>
  <c r="H1871" i="10"/>
  <c r="G1872" i="10"/>
  <c r="H1872" i="10"/>
  <c r="G1873" i="10"/>
  <c r="H1873" i="10"/>
  <c r="G1874" i="10"/>
  <c r="H1874" i="10"/>
  <c r="G1875" i="10"/>
  <c r="H1875" i="10"/>
  <c r="G1876" i="10"/>
  <c r="H1876" i="10"/>
  <c r="G1877" i="10"/>
  <c r="H1877" i="10"/>
  <c r="G1878" i="10"/>
  <c r="H1878" i="10"/>
  <c r="G1879" i="10"/>
  <c r="H1879" i="10"/>
  <c r="G1880" i="10"/>
  <c r="H1880" i="10"/>
  <c r="G1881" i="10"/>
  <c r="H1881" i="10"/>
  <c r="G1882" i="10"/>
  <c r="H1882" i="10"/>
  <c r="G1883" i="10"/>
  <c r="H1883" i="10"/>
  <c r="G1884" i="10"/>
  <c r="H1884" i="10"/>
  <c r="G1885" i="10"/>
  <c r="H1885" i="10"/>
  <c r="G1886" i="10"/>
  <c r="H1886" i="10"/>
  <c r="G1887" i="10"/>
  <c r="H1887" i="10"/>
  <c r="G1888" i="10"/>
  <c r="H1888" i="10"/>
  <c r="G1889" i="10"/>
  <c r="H1889" i="10"/>
  <c r="G1890" i="10"/>
  <c r="H1890" i="10"/>
  <c r="G1891" i="10"/>
  <c r="H1891" i="10"/>
  <c r="G1892" i="10"/>
  <c r="H1892" i="10"/>
  <c r="G1893" i="10"/>
  <c r="H1893" i="10"/>
  <c r="G1894" i="10"/>
  <c r="H1894" i="10"/>
  <c r="G1895" i="10"/>
  <c r="H1895" i="10"/>
  <c r="G1896" i="10"/>
  <c r="H1896" i="10"/>
  <c r="G1897" i="10"/>
  <c r="H1897" i="10"/>
  <c r="G1898" i="10"/>
  <c r="H1898" i="10"/>
  <c r="G1899" i="10"/>
  <c r="H1899" i="10"/>
  <c r="G1900" i="10"/>
  <c r="H1900" i="10"/>
  <c r="G1901" i="10"/>
  <c r="H1901" i="10"/>
  <c r="G1902" i="10"/>
  <c r="H1902" i="10"/>
  <c r="G1903" i="10"/>
  <c r="H1903" i="10"/>
  <c r="G1904" i="10"/>
  <c r="H1904" i="10"/>
  <c r="G1905" i="10"/>
  <c r="H1905" i="10"/>
  <c r="G1906" i="10"/>
  <c r="H1906" i="10"/>
  <c r="G1907" i="10"/>
  <c r="H1907" i="10"/>
  <c r="G1908" i="10"/>
  <c r="H1908" i="10"/>
  <c r="G1909" i="10"/>
  <c r="H1909" i="10"/>
  <c r="G1910" i="10"/>
  <c r="H1910" i="10"/>
  <c r="G1911" i="10"/>
  <c r="H1911" i="10"/>
  <c r="G1912" i="10"/>
  <c r="H1912" i="10"/>
  <c r="G1913" i="10"/>
  <c r="H1913" i="10"/>
  <c r="G1914" i="10"/>
  <c r="H1914" i="10"/>
  <c r="G1915" i="10"/>
  <c r="H1915" i="10"/>
  <c r="G1916" i="10"/>
  <c r="H1916" i="10"/>
  <c r="G1917" i="10"/>
  <c r="H1917" i="10"/>
  <c r="G1918" i="10"/>
  <c r="H1918" i="10"/>
  <c r="G1919" i="10"/>
  <c r="H1919" i="10"/>
  <c r="G1920" i="10"/>
  <c r="H1920" i="10"/>
  <c r="G1921" i="10"/>
  <c r="H1921" i="10"/>
  <c r="G1922" i="10"/>
  <c r="H1922" i="10"/>
  <c r="G1923" i="10"/>
  <c r="H1923" i="10"/>
  <c r="G1924" i="10"/>
  <c r="H1924" i="10"/>
  <c r="G1925" i="10"/>
  <c r="H1925" i="10"/>
  <c r="G1926" i="10"/>
  <c r="H1926" i="10"/>
  <c r="G1927" i="10"/>
  <c r="H1927" i="10"/>
  <c r="G1928" i="10"/>
  <c r="H1928" i="10"/>
  <c r="G1929" i="10"/>
  <c r="H1929" i="10"/>
  <c r="G1930" i="10"/>
  <c r="H1930" i="10"/>
  <c r="G1931" i="10"/>
  <c r="H1931" i="10"/>
  <c r="G1932" i="10"/>
  <c r="H1932" i="10"/>
  <c r="G1933" i="10"/>
  <c r="H1933" i="10"/>
  <c r="G1934" i="10"/>
  <c r="H1934" i="10"/>
  <c r="G1935" i="10"/>
  <c r="H1935" i="10"/>
  <c r="G1936" i="10"/>
  <c r="H1936" i="10"/>
  <c r="G1937" i="10"/>
  <c r="H1937" i="10"/>
  <c r="G1938" i="10"/>
  <c r="H1938" i="10"/>
  <c r="G1939" i="10"/>
  <c r="H1939" i="10"/>
  <c r="G1940" i="10"/>
  <c r="H1940" i="10"/>
  <c r="G1941" i="10"/>
  <c r="H1941" i="10"/>
  <c r="G1942" i="10"/>
  <c r="H1942" i="10"/>
  <c r="G1943" i="10"/>
  <c r="H1943" i="10"/>
  <c r="G1944" i="10"/>
  <c r="H1944" i="10"/>
  <c r="G1945" i="10"/>
  <c r="H1945" i="10"/>
  <c r="G1946" i="10"/>
  <c r="H1946" i="10"/>
  <c r="G1947" i="10"/>
  <c r="H1947" i="10"/>
  <c r="G1948" i="10"/>
  <c r="H1948" i="10"/>
  <c r="G1949" i="10"/>
  <c r="H1949" i="10"/>
  <c r="G1950" i="10"/>
  <c r="H1950" i="10"/>
  <c r="G1951" i="10"/>
  <c r="H1951" i="10"/>
  <c r="G1952" i="10"/>
  <c r="H1952" i="10"/>
  <c r="G1953" i="10"/>
  <c r="H1953" i="10"/>
  <c r="G1954" i="10"/>
  <c r="H1954" i="10"/>
  <c r="G1955" i="10"/>
  <c r="H1955" i="10"/>
  <c r="G1956" i="10"/>
  <c r="H1956" i="10"/>
  <c r="G1957" i="10"/>
  <c r="H1957" i="10"/>
  <c r="G1958" i="10"/>
  <c r="H1958" i="10"/>
  <c r="G1959" i="10"/>
  <c r="H1959" i="10"/>
  <c r="G1960" i="10"/>
  <c r="H1960" i="10"/>
  <c r="G1961" i="10"/>
  <c r="H1961" i="10"/>
  <c r="G1962" i="10"/>
  <c r="H1962" i="10"/>
  <c r="G1963" i="10"/>
  <c r="H1963" i="10"/>
  <c r="G1964" i="10"/>
  <c r="H1964" i="10"/>
  <c r="G1965" i="10"/>
  <c r="H1965" i="10"/>
  <c r="G1966" i="10"/>
  <c r="H1966" i="10"/>
  <c r="G1967" i="10"/>
  <c r="H1967" i="10"/>
  <c r="G1968" i="10"/>
  <c r="H1968" i="10"/>
  <c r="G1969" i="10"/>
  <c r="H1969" i="10"/>
  <c r="G1970" i="10"/>
  <c r="H1970" i="10"/>
  <c r="G1971" i="10"/>
  <c r="H1971" i="10"/>
  <c r="G1972" i="10"/>
  <c r="H1972" i="10"/>
  <c r="G1973" i="10"/>
  <c r="H1973" i="10"/>
  <c r="G1974" i="10"/>
  <c r="H1974" i="10"/>
  <c r="G1975" i="10"/>
  <c r="H1975" i="10"/>
  <c r="G1976" i="10"/>
  <c r="H1976" i="10"/>
  <c r="G1977" i="10"/>
  <c r="H1977" i="10"/>
  <c r="G1978" i="10"/>
  <c r="H1978" i="10"/>
  <c r="G1979" i="10"/>
  <c r="H1979" i="10"/>
  <c r="G1980" i="10"/>
  <c r="H1980" i="10"/>
  <c r="G1981" i="10"/>
  <c r="H1981" i="10"/>
  <c r="G1982" i="10"/>
  <c r="H1982" i="10"/>
  <c r="G1983" i="10"/>
  <c r="H1983" i="10"/>
  <c r="G1984" i="10"/>
  <c r="H1984" i="10"/>
  <c r="G1985" i="10"/>
  <c r="H1985" i="10"/>
  <c r="G1986" i="10"/>
  <c r="H1986" i="10"/>
  <c r="G1987" i="10"/>
  <c r="H1987" i="10"/>
  <c r="G1988" i="10"/>
  <c r="H1988" i="10"/>
  <c r="G1989" i="10"/>
  <c r="H1989" i="10"/>
  <c r="G1990" i="10"/>
  <c r="H1990" i="10"/>
  <c r="G1991" i="10"/>
  <c r="H1991" i="10"/>
  <c r="G1992" i="10"/>
  <c r="H1992" i="10"/>
  <c r="G1993" i="10"/>
  <c r="H1993" i="10"/>
  <c r="G1994" i="10"/>
  <c r="H1994" i="10"/>
  <c r="G1995" i="10"/>
  <c r="H1995" i="10"/>
  <c r="G1996" i="10"/>
  <c r="H1996" i="10"/>
  <c r="G1997" i="10"/>
  <c r="H1997" i="10"/>
  <c r="G1998" i="10"/>
  <c r="H1998" i="10"/>
  <c r="G1999" i="10"/>
  <c r="H1999" i="10"/>
  <c r="G2000" i="10"/>
  <c r="H2000" i="10"/>
  <c r="G2001" i="10"/>
  <c r="H2001" i="10"/>
  <c r="G2002" i="10"/>
  <c r="H2002" i="10"/>
  <c r="G2003" i="10"/>
  <c r="H2003" i="10"/>
  <c r="G2004" i="10"/>
  <c r="H2004" i="10"/>
  <c r="G2005" i="10"/>
  <c r="H2005" i="10"/>
  <c r="G2006" i="10"/>
  <c r="H2006" i="10"/>
  <c r="G2007" i="10"/>
  <c r="H2007" i="10"/>
  <c r="G2008" i="10"/>
  <c r="H2008" i="10"/>
  <c r="G2009" i="10"/>
  <c r="H2009" i="10"/>
  <c r="G2010" i="10"/>
  <c r="H2010" i="10"/>
  <c r="G2011" i="10"/>
  <c r="H2011" i="10"/>
  <c r="G2012" i="10"/>
  <c r="H2012" i="10"/>
  <c r="G2013" i="10"/>
  <c r="H2013" i="10"/>
  <c r="G2014" i="10"/>
  <c r="H2014" i="10"/>
  <c r="G2015" i="10"/>
  <c r="H2015" i="10"/>
  <c r="G2016" i="10"/>
  <c r="H2016" i="10"/>
  <c r="G2017" i="10"/>
  <c r="H2017" i="10"/>
  <c r="G2018" i="10"/>
  <c r="H2018" i="10"/>
  <c r="G2019" i="10"/>
  <c r="H2019" i="10"/>
  <c r="G2020" i="10"/>
  <c r="H2020" i="10"/>
  <c r="G2021" i="10"/>
  <c r="H2021" i="10"/>
  <c r="G2022" i="10"/>
  <c r="H2022" i="10"/>
  <c r="G2023" i="10"/>
  <c r="H2023" i="10"/>
  <c r="G2024" i="10"/>
  <c r="H2024" i="10"/>
  <c r="G2025" i="10"/>
  <c r="H2025" i="10"/>
  <c r="G2026" i="10"/>
  <c r="H2026" i="10"/>
  <c r="G2027" i="10"/>
  <c r="H2027" i="10"/>
  <c r="G2028" i="10"/>
  <c r="H2028" i="10"/>
  <c r="G2029" i="10"/>
  <c r="H2029" i="10"/>
  <c r="G2030" i="10"/>
  <c r="H2030" i="10"/>
  <c r="G2031" i="10"/>
  <c r="H2031" i="10"/>
  <c r="G2032" i="10"/>
  <c r="H2032" i="10"/>
  <c r="G2033" i="10"/>
  <c r="H2033" i="10"/>
  <c r="G2034" i="10"/>
  <c r="H2034" i="10"/>
  <c r="G2035" i="10"/>
  <c r="H2035" i="10"/>
  <c r="G2036" i="10"/>
  <c r="H2036" i="10"/>
  <c r="G2037" i="10"/>
  <c r="H2037" i="10"/>
  <c r="G2038" i="10"/>
  <c r="H2038" i="10"/>
  <c r="G2039" i="10"/>
  <c r="H2039" i="10"/>
  <c r="G2040" i="10"/>
  <c r="H2040" i="10"/>
  <c r="G2041" i="10"/>
  <c r="H2041" i="10"/>
  <c r="G2042" i="10"/>
  <c r="H2042" i="10"/>
  <c r="G2043" i="10"/>
  <c r="H2043" i="10"/>
  <c r="G2044" i="10"/>
  <c r="H2044" i="10"/>
  <c r="G2045" i="10"/>
  <c r="H2045" i="10"/>
  <c r="G2046" i="10"/>
  <c r="H2046" i="10"/>
  <c r="G2047" i="10"/>
  <c r="H2047" i="10"/>
  <c r="G2048" i="10"/>
  <c r="H2048" i="10"/>
  <c r="G2049" i="10"/>
  <c r="H2049" i="10"/>
  <c r="G2050" i="10"/>
  <c r="H2050" i="10"/>
  <c r="G2051" i="10"/>
  <c r="H2051" i="10"/>
  <c r="G2052" i="10"/>
  <c r="H2052" i="10"/>
  <c r="G2053" i="10"/>
  <c r="H2053" i="10"/>
  <c r="G2054" i="10"/>
  <c r="H2054" i="10"/>
  <c r="G2055" i="10"/>
  <c r="H2055" i="10"/>
  <c r="G2056" i="10"/>
  <c r="H2056" i="10"/>
  <c r="G2057" i="10"/>
  <c r="H2057" i="10"/>
  <c r="G2058" i="10"/>
  <c r="H2058" i="10"/>
  <c r="G2059" i="10"/>
  <c r="H2059" i="10"/>
  <c r="G2060" i="10"/>
  <c r="H2060" i="10"/>
  <c r="G2061" i="10"/>
  <c r="H2061" i="10"/>
  <c r="G2062" i="10"/>
  <c r="H2062" i="10"/>
  <c r="G2063" i="10"/>
  <c r="H2063" i="10"/>
  <c r="G2064" i="10"/>
  <c r="H2064" i="10"/>
  <c r="G2065" i="10"/>
  <c r="H2065" i="10"/>
  <c r="G2066" i="10"/>
  <c r="H2066" i="10"/>
  <c r="G2067" i="10"/>
  <c r="H2067" i="10"/>
  <c r="G2068" i="10"/>
  <c r="H2068" i="10"/>
  <c r="G2069" i="10"/>
  <c r="H2069" i="10"/>
  <c r="G2070" i="10"/>
  <c r="H2070" i="10"/>
  <c r="G2071" i="10"/>
  <c r="H2071" i="10"/>
  <c r="G2072" i="10"/>
  <c r="H2072" i="10"/>
  <c r="G2073" i="10"/>
  <c r="H2073" i="10"/>
  <c r="G2074" i="10"/>
  <c r="H2074" i="10"/>
  <c r="G2075" i="10"/>
  <c r="H2075" i="10"/>
  <c r="G2076" i="10"/>
  <c r="H2076" i="10"/>
  <c r="G2077" i="10"/>
  <c r="H2077" i="10"/>
  <c r="G2078" i="10"/>
  <c r="H2078" i="10"/>
  <c r="G2079" i="10"/>
  <c r="H2079" i="10"/>
  <c r="G2080" i="10"/>
  <c r="H2080" i="10"/>
  <c r="G2081" i="10"/>
  <c r="H2081" i="10"/>
  <c r="G2082" i="10"/>
  <c r="H2082" i="10"/>
  <c r="G2083" i="10"/>
  <c r="H2083" i="10"/>
  <c r="G2084" i="10"/>
  <c r="H2084" i="10"/>
  <c r="G2085" i="10"/>
  <c r="H2085" i="10"/>
  <c r="G2086" i="10"/>
  <c r="H2086" i="10"/>
  <c r="G2087" i="10"/>
  <c r="H2087" i="10"/>
  <c r="G2088" i="10"/>
  <c r="H2088" i="10"/>
  <c r="G2089" i="10"/>
  <c r="H2089" i="10"/>
  <c r="G2090" i="10"/>
  <c r="H2090" i="10"/>
  <c r="G2091" i="10"/>
  <c r="H2091" i="10"/>
  <c r="G2092" i="10"/>
  <c r="H2092" i="10"/>
  <c r="G2093" i="10"/>
  <c r="H2093" i="10"/>
  <c r="G2094" i="10"/>
  <c r="H2094" i="10"/>
  <c r="G2095" i="10"/>
  <c r="H2095" i="10"/>
  <c r="G2096" i="10"/>
  <c r="H2096" i="10"/>
  <c r="G2097" i="10"/>
  <c r="H2097" i="10"/>
  <c r="G2098" i="10"/>
  <c r="H2098" i="10"/>
  <c r="G2099" i="10"/>
  <c r="H2099" i="10"/>
  <c r="G2100" i="10"/>
  <c r="H2100" i="10"/>
  <c r="G2101" i="10"/>
  <c r="H2101" i="10"/>
  <c r="G2102" i="10"/>
  <c r="H2102" i="10"/>
  <c r="G2103" i="10"/>
  <c r="H2103" i="10"/>
  <c r="G2104" i="10"/>
  <c r="H2104" i="10"/>
  <c r="G2105" i="10"/>
  <c r="H2105" i="10"/>
  <c r="G2106" i="10"/>
  <c r="H2106" i="10"/>
  <c r="G2107" i="10"/>
  <c r="H2107" i="10"/>
  <c r="G2108" i="10"/>
  <c r="H2108" i="10"/>
  <c r="G2109" i="10"/>
  <c r="H2109" i="10"/>
  <c r="G2110" i="10"/>
  <c r="H2110" i="10"/>
  <c r="G2111" i="10"/>
  <c r="H2111" i="10"/>
  <c r="G2112" i="10"/>
  <c r="H2112" i="10"/>
  <c r="G2113" i="10"/>
  <c r="H2113" i="10"/>
  <c r="G2114" i="10"/>
  <c r="H2114" i="10"/>
  <c r="G2115" i="10"/>
  <c r="H2115" i="10"/>
  <c r="G2116" i="10"/>
  <c r="H2116" i="10"/>
  <c r="G2117" i="10"/>
  <c r="H2117" i="10"/>
  <c r="G2118" i="10"/>
  <c r="H2118" i="10"/>
  <c r="G2119" i="10"/>
  <c r="H2119" i="10"/>
  <c r="G2120" i="10"/>
  <c r="H2120" i="10"/>
  <c r="G2121" i="10"/>
  <c r="H2121" i="10"/>
  <c r="G2122" i="10"/>
  <c r="H2122" i="10"/>
  <c r="G2123" i="10"/>
  <c r="H2123" i="10"/>
  <c r="G2124" i="10"/>
  <c r="H2124" i="10"/>
  <c r="G2125" i="10"/>
  <c r="H2125" i="10"/>
  <c r="G2126" i="10"/>
  <c r="H2126" i="10"/>
  <c r="G2127" i="10"/>
  <c r="H2127" i="10"/>
  <c r="G2128" i="10"/>
  <c r="H2128" i="10"/>
  <c r="G2129" i="10"/>
  <c r="H2129" i="10"/>
  <c r="G2130" i="10"/>
  <c r="H2130" i="10"/>
  <c r="G2131" i="10"/>
  <c r="H2131" i="10"/>
  <c r="G2132" i="10"/>
  <c r="H2132" i="10"/>
  <c r="G2133" i="10"/>
  <c r="H2133" i="10"/>
  <c r="G2134" i="10"/>
  <c r="H2134" i="10"/>
  <c r="G2135" i="10"/>
  <c r="H2135" i="10"/>
  <c r="G2136" i="10"/>
  <c r="H2136" i="10"/>
  <c r="G2137" i="10"/>
  <c r="H2137" i="10"/>
  <c r="G2138" i="10"/>
  <c r="H2138" i="10"/>
  <c r="G2139" i="10"/>
  <c r="H2139" i="10"/>
  <c r="G2140" i="10"/>
  <c r="H2140" i="10"/>
  <c r="G2141" i="10"/>
  <c r="H2141" i="10"/>
  <c r="G2142" i="10"/>
  <c r="H2142" i="10"/>
  <c r="G2143" i="10"/>
  <c r="H2143" i="10"/>
  <c r="G2144" i="10"/>
  <c r="H2144" i="10"/>
  <c r="G2145" i="10"/>
  <c r="H2145" i="10"/>
  <c r="G2146" i="10"/>
  <c r="H2146" i="10"/>
  <c r="G2147" i="10"/>
  <c r="H2147" i="10"/>
  <c r="G2148" i="10"/>
  <c r="H2148" i="10"/>
  <c r="G2149" i="10"/>
  <c r="H2149" i="10"/>
  <c r="G2150" i="10"/>
  <c r="H2150" i="10"/>
  <c r="G2151" i="10"/>
  <c r="H2151" i="10"/>
  <c r="G2152" i="10"/>
  <c r="H2152" i="10"/>
  <c r="G2153" i="10"/>
  <c r="H2153" i="10"/>
  <c r="G2154" i="10"/>
  <c r="H2154" i="10"/>
  <c r="G2155" i="10"/>
  <c r="H2155" i="10"/>
  <c r="G2156" i="10"/>
  <c r="H2156" i="10"/>
  <c r="G2157" i="10"/>
  <c r="H2157" i="10"/>
  <c r="G2158" i="10"/>
  <c r="H2158" i="10"/>
  <c r="G2159" i="10"/>
  <c r="H2159" i="10"/>
  <c r="G2160" i="10"/>
  <c r="H2160" i="10"/>
  <c r="G2161" i="10"/>
  <c r="H2161" i="10"/>
  <c r="G2162" i="10"/>
  <c r="H2162" i="10"/>
  <c r="G2163" i="10"/>
  <c r="H2163" i="10"/>
  <c r="G2164" i="10"/>
  <c r="H2164" i="10"/>
  <c r="G2165" i="10"/>
  <c r="H2165" i="10"/>
  <c r="G2166" i="10"/>
  <c r="H2166" i="10"/>
  <c r="G2167" i="10"/>
  <c r="H2167" i="10"/>
  <c r="G2168" i="10"/>
  <c r="H2168" i="10"/>
  <c r="G2169" i="10"/>
  <c r="H2169" i="10"/>
  <c r="G2170" i="10"/>
  <c r="H2170" i="10"/>
  <c r="G2171" i="10"/>
  <c r="H2171" i="10"/>
  <c r="G2172" i="10"/>
  <c r="H2172" i="10"/>
  <c r="G2173" i="10"/>
  <c r="H2173" i="10"/>
  <c r="G2174" i="10"/>
  <c r="H2174" i="10"/>
  <c r="G2175" i="10"/>
  <c r="H2175" i="10"/>
  <c r="G2176" i="10"/>
  <c r="H2176" i="10"/>
  <c r="G2177" i="10"/>
  <c r="H2177" i="10"/>
  <c r="G2178" i="10"/>
  <c r="H2178" i="10"/>
  <c r="G2179" i="10"/>
  <c r="H2179" i="10"/>
  <c r="G2180" i="10"/>
  <c r="H2180" i="10"/>
  <c r="G2181" i="10"/>
  <c r="H2181" i="10"/>
  <c r="G2182" i="10"/>
  <c r="H2182" i="10"/>
  <c r="G2183" i="10"/>
  <c r="H2183" i="10"/>
  <c r="G2184" i="10"/>
  <c r="H2184" i="10"/>
  <c r="G2185" i="10"/>
  <c r="H2185" i="10"/>
  <c r="G2186" i="10"/>
  <c r="H2186" i="10"/>
  <c r="G2187" i="10"/>
  <c r="H2187" i="10"/>
  <c r="G2188" i="10"/>
  <c r="H2188" i="10"/>
  <c r="G2189" i="10"/>
  <c r="H2189" i="10"/>
  <c r="G2190" i="10"/>
  <c r="H2190" i="10"/>
  <c r="G2191" i="10"/>
  <c r="H2191" i="10"/>
  <c r="G2192" i="10"/>
  <c r="H2192" i="10"/>
  <c r="G2193" i="10"/>
  <c r="H2193" i="10"/>
  <c r="G2194" i="10"/>
  <c r="H2194" i="10"/>
  <c r="G2195" i="10"/>
  <c r="H2195" i="10"/>
  <c r="G2196" i="10"/>
  <c r="H2196" i="10"/>
  <c r="G2197" i="10"/>
  <c r="H2197" i="10"/>
  <c r="G2198" i="10"/>
  <c r="H2198" i="10"/>
  <c r="G2199" i="10"/>
  <c r="H2199" i="10"/>
  <c r="G2200" i="10"/>
  <c r="H2200" i="10"/>
  <c r="G2201" i="10"/>
  <c r="H2201" i="10"/>
  <c r="G2202" i="10"/>
  <c r="H2202" i="10"/>
  <c r="G2203" i="10"/>
  <c r="H2203" i="10"/>
  <c r="G2204" i="10"/>
  <c r="H2204" i="10"/>
  <c r="G2205" i="10"/>
  <c r="H2205" i="10"/>
  <c r="G2206" i="10"/>
  <c r="H2206" i="10"/>
  <c r="G2207" i="10"/>
  <c r="H2207" i="10"/>
  <c r="G2208" i="10"/>
  <c r="H2208" i="10"/>
  <c r="G2209" i="10"/>
  <c r="H2209" i="10"/>
  <c r="G2210" i="10"/>
  <c r="H2210" i="10"/>
  <c r="G2211" i="10"/>
  <c r="H2211" i="10"/>
  <c r="G2212" i="10"/>
  <c r="H2212" i="10"/>
  <c r="G2213" i="10"/>
  <c r="H2213" i="10"/>
  <c r="G2214" i="10"/>
  <c r="H2214" i="10"/>
  <c r="G2215" i="10"/>
  <c r="H2215" i="10"/>
  <c r="G2216" i="10"/>
  <c r="H2216" i="10"/>
  <c r="G2217" i="10"/>
  <c r="H2217" i="10"/>
  <c r="G2218" i="10"/>
  <c r="H2218" i="10"/>
  <c r="G2219" i="10"/>
  <c r="H2219" i="10"/>
  <c r="G2220" i="10"/>
  <c r="H2220" i="10"/>
  <c r="G2221" i="10"/>
  <c r="H2221" i="10"/>
  <c r="G2222" i="10"/>
  <c r="H2222" i="10"/>
  <c r="G2223" i="10"/>
  <c r="H2223" i="10"/>
  <c r="G2224" i="10"/>
  <c r="H2224" i="10"/>
  <c r="G2225" i="10"/>
  <c r="H2225" i="10"/>
  <c r="G2226" i="10"/>
  <c r="H2226" i="10"/>
  <c r="G2227" i="10"/>
  <c r="H2227" i="10"/>
  <c r="G2228" i="10"/>
  <c r="H2228" i="10"/>
  <c r="G2229" i="10"/>
  <c r="H2229" i="10"/>
  <c r="G2230" i="10"/>
  <c r="H2230" i="10"/>
  <c r="G2231" i="10"/>
  <c r="H2231" i="10"/>
  <c r="G2232" i="10"/>
  <c r="H2232" i="10"/>
  <c r="G2233" i="10"/>
  <c r="H2233" i="10"/>
  <c r="G2234" i="10"/>
  <c r="H2234" i="10"/>
  <c r="G2235" i="10"/>
  <c r="H2235" i="10"/>
  <c r="G2236" i="10"/>
  <c r="H2236" i="10"/>
  <c r="G2237" i="10"/>
  <c r="H2237" i="10"/>
  <c r="G2238" i="10"/>
  <c r="H2238" i="10"/>
  <c r="G2239" i="10"/>
  <c r="H2239" i="10"/>
  <c r="G2240" i="10"/>
  <c r="H2240" i="10"/>
  <c r="G2241" i="10"/>
  <c r="H2241" i="10"/>
  <c r="G2242" i="10"/>
  <c r="H2242" i="10"/>
  <c r="G2243" i="10"/>
  <c r="H2243" i="10"/>
  <c r="G2244" i="10"/>
  <c r="H2244" i="10"/>
  <c r="G2245" i="10"/>
  <c r="H2245" i="10"/>
  <c r="G2246" i="10"/>
  <c r="H2246" i="10"/>
  <c r="G2247" i="10"/>
  <c r="H2247" i="10"/>
  <c r="G2248" i="10"/>
  <c r="H2248" i="10"/>
  <c r="G2249" i="10"/>
  <c r="H2249" i="10"/>
  <c r="G2250" i="10"/>
  <c r="H2250" i="10"/>
  <c r="G2251" i="10"/>
  <c r="H2251" i="10"/>
  <c r="G2252" i="10"/>
  <c r="H2252" i="10"/>
  <c r="G2253" i="10"/>
  <c r="H2253" i="10"/>
  <c r="G2254" i="10"/>
  <c r="H2254" i="10"/>
  <c r="G2255" i="10"/>
  <c r="H2255" i="10"/>
  <c r="G2256" i="10"/>
  <c r="H2256" i="10"/>
  <c r="G2257" i="10"/>
  <c r="H2257" i="10"/>
  <c r="G2258" i="10"/>
  <c r="H2258" i="10"/>
  <c r="G2259" i="10"/>
  <c r="H2259" i="10"/>
  <c r="G2260" i="10"/>
  <c r="H2260" i="10"/>
  <c r="G2261" i="10"/>
  <c r="H2261" i="10"/>
  <c r="G2262" i="10"/>
  <c r="H2262" i="10"/>
  <c r="G2263" i="10"/>
  <c r="H2263" i="10"/>
  <c r="G2264" i="10"/>
  <c r="H2264" i="10"/>
  <c r="G2265" i="10"/>
  <c r="H2265" i="10"/>
  <c r="G2266" i="10"/>
  <c r="H2266" i="10"/>
  <c r="G2267" i="10"/>
  <c r="H2267" i="10"/>
  <c r="G2268" i="10"/>
  <c r="H2268" i="10"/>
  <c r="G2269" i="10"/>
  <c r="H2269" i="10"/>
  <c r="G2270" i="10"/>
  <c r="H2270" i="10"/>
  <c r="G2271" i="10"/>
  <c r="H2271" i="10"/>
  <c r="G2272" i="10"/>
  <c r="H2272" i="10"/>
  <c r="G2273" i="10"/>
  <c r="H2273" i="10"/>
  <c r="G2274" i="10"/>
  <c r="H2274" i="10"/>
  <c r="G2275" i="10"/>
  <c r="H2275" i="10"/>
  <c r="G2276" i="10"/>
  <c r="H2276" i="10"/>
  <c r="G2277" i="10"/>
  <c r="H2277" i="10"/>
  <c r="G2278" i="10"/>
  <c r="H2278" i="10"/>
  <c r="G2279" i="10"/>
  <c r="H2279" i="10"/>
  <c r="G2280" i="10"/>
  <c r="H2280" i="10"/>
  <c r="G2281" i="10"/>
  <c r="H2281" i="10"/>
  <c r="G2282" i="10"/>
  <c r="H2282" i="10"/>
  <c r="G2283" i="10"/>
  <c r="H2283" i="10"/>
  <c r="G2284" i="10"/>
  <c r="H2284" i="10"/>
  <c r="G2285" i="10"/>
  <c r="H2285" i="10"/>
  <c r="G2286" i="10"/>
  <c r="H2286" i="10"/>
  <c r="G2287" i="10"/>
  <c r="H2287" i="10"/>
  <c r="G2288" i="10"/>
  <c r="H2288" i="10"/>
  <c r="G2289" i="10"/>
  <c r="H2289" i="10"/>
  <c r="G2290" i="10"/>
  <c r="H2290" i="10"/>
  <c r="G2291" i="10"/>
  <c r="H2291" i="10"/>
  <c r="G2292" i="10"/>
  <c r="H2292" i="10"/>
  <c r="G2293" i="10"/>
  <c r="H2293" i="10"/>
  <c r="G2294" i="10"/>
  <c r="H2294" i="10"/>
  <c r="G2295" i="10"/>
  <c r="H2295" i="10"/>
  <c r="G2296" i="10"/>
  <c r="H2296" i="10"/>
  <c r="G2297" i="10"/>
  <c r="H2297" i="10"/>
  <c r="G2298" i="10"/>
  <c r="H2298" i="10"/>
  <c r="G2299" i="10"/>
  <c r="H2299" i="10"/>
  <c r="G2300" i="10"/>
  <c r="H2300" i="10"/>
  <c r="G2301" i="10"/>
  <c r="H2301" i="10"/>
  <c r="G2302" i="10"/>
  <c r="H2302" i="10"/>
  <c r="G2303" i="10"/>
  <c r="H2303" i="10"/>
  <c r="G2304" i="10"/>
  <c r="H2304" i="10"/>
  <c r="G2305" i="10"/>
  <c r="H2305" i="10"/>
  <c r="G2306" i="10"/>
  <c r="H2306" i="10"/>
  <c r="G2307" i="10"/>
  <c r="H2307" i="10"/>
  <c r="G2308" i="10"/>
  <c r="H2308" i="10"/>
  <c r="G2309" i="10"/>
  <c r="H2309" i="10"/>
  <c r="G2310" i="10"/>
  <c r="H2310" i="10"/>
  <c r="G2311" i="10"/>
  <c r="H2311" i="10"/>
  <c r="G2312" i="10"/>
  <c r="H2312" i="10"/>
  <c r="G2313" i="10"/>
  <c r="H2313" i="10"/>
  <c r="G2314" i="10"/>
  <c r="H2314" i="10"/>
  <c r="G2315" i="10"/>
  <c r="H2315" i="10"/>
  <c r="G2316" i="10"/>
  <c r="H2316" i="10"/>
  <c r="G2317" i="10"/>
  <c r="H2317" i="10"/>
  <c r="G2318" i="10"/>
  <c r="H2318" i="10"/>
  <c r="G2319" i="10"/>
  <c r="H2319" i="10"/>
  <c r="G2320" i="10"/>
  <c r="H2320" i="10"/>
  <c r="G2321" i="10"/>
  <c r="H2321" i="10"/>
  <c r="G2322" i="10"/>
  <c r="H2322" i="10"/>
  <c r="G2323" i="10"/>
  <c r="H2323" i="10"/>
  <c r="G2324" i="10"/>
  <c r="H2324" i="10"/>
  <c r="G2325" i="10"/>
  <c r="H2325" i="10"/>
  <c r="G2326" i="10"/>
  <c r="H2326" i="10"/>
  <c r="G2327" i="10"/>
  <c r="H2327" i="10"/>
  <c r="G2328" i="10"/>
  <c r="H2328" i="10"/>
  <c r="G2329" i="10"/>
  <c r="H2329" i="10"/>
  <c r="G2330" i="10"/>
  <c r="H2330" i="10"/>
  <c r="G2331" i="10"/>
  <c r="H2331" i="10"/>
  <c r="G2332" i="10"/>
  <c r="H2332" i="10"/>
  <c r="G2333" i="10"/>
  <c r="H2333" i="10"/>
  <c r="G2334" i="10"/>
  <c r="H2334" i="10"/>
  <c r="G2335" i="10"/>
  <c r="H2335" i="10"/>
  <c r="G2336" i="10"/>
  <c r="H2336" i="10"/>
  <c r="G2337" i="10"/>
  <c r="H2337" i="10"/>
  <c r="G2338" i="10"/>
  <c r="H2338" i="10"/>
  <c r="G2339" i="10"/>
  <c r="H2339" i="10"/>
  <c r="G2340" i="10"/>
  <c r="H2340" i="10"/>
  <c r="G2341" i="10"/>
  <c r="H2341" i="10"/>
  <c r="G2342" i="10"/>
  <c r="H2342" i="10"/>
  <c r="G2343" i="10"/>
  <c r="H2343" i="10"/>
  <c r="G2344" i="10"/>
  <c r="H2344" i="10"/>
  <c r="G2345" i="10"/>
  <c r="H2345" i="10"/>
  <c r="G2346" i="10"/>
  <c r="H2346" i="10"/>
  <c r="G2347" i="10"/>
  <c r="H2347" i="10"/>
  <c r="G2348" i="10"/>
  <c r="H2348" i="10"/>
  <c r="G2349" i="10"/>
  <c r="H2349" i="10"/>
  <c r="G2350" i="10"/>
  <c r="H2350" i="10"/>
  <c r="G2351" i="10"/>
  <c r="H2351" i="10"/>
  <c r="G2352" i="10"/>
  <c r="H2352" i="10"/>
  <c r="G2353" i="10"/>
  <c r="H2353" i="10"/>
  <c r="G2354" i="10"/>
  <c r="H2354" i="10"/>
  <c r="G2355" i="10"/>
  <c r="H2355" i="10"/>
  <c r="G2356" i="10"/>
  <c r="H2356" i="10"/>
  <c r="G2357" i="10"/>
  <c r="H2357" i="10"/>
  <c r="G2358" i="10"/>
  <c r="H2358" i="10"/>
  <c r="G2359" i="10"/>
  <c r="H2359" i="10"/>
  <c r="G2360" i="10"/>
  <c r="H2360" i="10"/>
  <c r="G2361" i="10"/>
  <c r="H2361" i="10"/>
  <c r="G2362" i="10"/>
  <c r="H2362" i="10"/>
  <c r="G2363" i="10"/>
  <c r="H2363" i="10"/>
  <c r="G2364" i="10"/>
  <c r="H2364" i="10"/>
  <c r="G2365" i="10"/>
  <c r="H2365" i="10"/>
  <c r="G2366" i="10"/>
  <c r="H2366" i="10"/>
  <c r="G2367" i="10"/>
  <c r="H2367" i="10"/>
  <c r="G2368" i="10"/>
  <c r="H2368" i="10"/>
  <c r="G2369" i="10"/>
  <c r="H2369" i="10"/>
  <c r="G2370" i="10"/>
  <c r="H2370" i="10"/>
  <c r="G2371" i="10"/>
  <c r="H2371" i="10"/>
  <c r="G2372" i="10"/>
  <c r="H2372" i="10"/>
  <c r="G2373" i="10"/>
  <c r="H2373" i="10"/>
  <c r="G2374" i="10"/>
  <c r="H2374" i="10"/>
  <c r="G2375" i="10"/>
  <c r="H2375" i="10"/>
  <c r="G2376" i="10"/>
  <c r="H2376" i="10"/>
  <c r="G2377" i="10"/>
  <c r="H2377" i="10"/>
  <c r="G2378" i="10"/>
  <c r="H2378" i="10"/>
  <c r="G2379" i="10"/>
  <c r="H2379" i="10"/>
  <c r="G2380" i="10"/>
  <c r="H2380" i="10"/>
  <c r="G2381" i="10"/>
  <c r="H2381" i="10"/>
  <c r="G2382" i="10"/>
  <c r="H2382" i="10"/>
  <c r="G2383" i="10"/>
  <c r="H2383" i="10"/>
  <c r="G2384" i="10"/>
  <c r="H2384" i="10"/>
  <c r="G2385" i="10"/>
  <c r="H2385" i="10"/>
  <c r="G2386" i="10"/>
  <c r="H2386" i="10"/>
  <c r="G2387" i="10"/>
  <c r="H2387" i="10"/>
  <c r="G2388" i="10"/>
  <c r="H2388" i="10"/>
  <c r="G2389" i="10"/>
  <c r="H2389" i="10"/>
  <c r="G2390" i="10"/>
  <c r="H2390" i="10"/>
  <c r="G2391" i="10"/>
  <c r="H2391" i="10"/>
  <c r="G2392" i="10"/>
  <c r="H2392" i="10"/>
  <c r="G2393" i="10"/>
  <c r="H2393" i="10"/>
  <c r="G2394" i="10"/>
  <c r="H2394" i="10"/>
  <c r="G2395" i="10"/>
  <c r="H2395" i="10"/>
  <c r="G2396" i="10"/>
  <c r="H2396" i="10"/>
  <c r="G2397" i="10"/>
  <c r="H2397" i="10"/>
  <c r="G2398" i="10"/>
  <c r="H2398" i="10"/>
  <c r="G2399" i="10"/>
  <c r="H2399" i="10"/>
  <c r="G2400" i="10"/>
  <c r="H2400" i="10"/>
  <c r="G2401" i="10"/>
  <c r="H2401" i="10"/>
  <c r="G2402" i="10"/>
  <c r="H2402" i="10"/>
  <c r="G2403" i="10"/>
  <c r="H2403" i="10"/>
  <c r="G2404" i="10"/>
  <c r="H2404" i="10"/>
  <c r="G2405" i="10"/>
  <c r="H2405" i="10"/>
  <c r="G2406" i="10"/>
  <c r="H2406" i="10"/>
  <c r="G2407" i="10"/>
  <c r="H2407" i="10"/>
  <c r="G2408" i="10"/>
  <c r="H2408" i="10"/>
  <c r="G2409" i="10"/>
  <c r="H2409" i="10"/>
  <c r="G2410" i="10"/>
  <c r="H2410" i="10"/>
  <c r="G2411" i="10"/>
  <c r="H2411" i="10"/>
  <c r="G2412" i="10"/>
  <c r="H2412" i="10"/>
  <c r="G2413" i="10"/>
  <c r="H2413" i="10"/>
  <c r="G2414" i="10"/>
  <c r="H2414" i="10"/>
  <c r="G2415" i="10"/>
  <c r="H2415" i="10"/>
  <c r="G2416" i="10"/>
  <c r="H2416" i="10"/>
  <c r="G2417" i="10"/>
  <c r="H2417" i="10"/>
  <c r="G2418" i="10"/>
  <c r="H2418" i="10"/>
  <c r="G2419" i="10"/>
  <c r="H2419" i="10"/>
  <c r="G2420" i="10"/>
  <c r="H2420" i="10"/>
  <c r="G2421" i="10"/>
  <c r="H2421" i="10"/>
  <c r="G2422" i="10"/>
  <c r="H2422" i="10"/>
  <c r="G2423" i="10"/>
  <c r="H2423" i="10"/>
  <c r="G2424" i="10"/>
  <c r="H2424" i="10"/>
  <c r="G2425" i="10"/>
  <c r="H2425" i="10"/>
  <c r="G2426" i="10"/>
  <c r="H2426" i="10"/>
  <c r="G2427" i="10"/>
  <c r="H2427" i="10"/>
  <c r="G2428" i="10"/>
  <c r="H2428" i="10"/>
  <c r="G2429" i="10"/>
  <c r="H2429" i="10"/>
  <c r="G2430" i="10"/>
  <c r="H2430" i="10"/>
  <c r="G2431" i="10"/>
  <c r="H2431" i="10"/>
  <c r="G2432" i="10"/>
  <c r="H2432" i="10"/>
  <c r="G2433" i="10"/>
  <c r="H2433" i="10"/>
  <c r="G2434" i="10"/>
  <c r="H2434" i="10"/>
  <c r="G2435" i="10"/>
  <c r="H2435" i="10"/>
  <c r="G2436" i="10"/>
  <c r="H2436" i="10"/>
  <c r="G2437" i="10"/>
  <c r="H2437" i="10"/>
  <c r="G2438" i="10"/>
  <c r="H2438" i="10"/>
  <c r="G2439" i="10"/>
  <c r="H2439" i="10"/>
  <c r="G2440" i="10"/>
  <c r="H2440" i="10"/>
  <c r="G2441" i="10"/>
  <c r="H2441" i="10"/>
  <c r="G2442" i="10"/>
  <c r="H2442" i="10"/>
  <c r="G2443" i="10"/>
  <c r="H2443" i="10"/>
  <c r="G2444" i="10"/>
  <c r="H2444" i="10"/>
  <c r="G2445" i="10"/>
  <c r="H2445" i="10"/>
  <c r="G2446" i="10"/>
  <c r="H2446" i="10"/>
  <c r="G2447" i="10"/>
  <c r="H2447" i="10"/>
  <c r="G2448" i="10"/>
  <c r="H2448" i="10"/>
  <c r="G2449" i="10"/>
  <c r="H2449" i="10"/>
  <c r="G2450" i="10"/>
  <c r="H2450" i="10"/>
  <c r="G2451" i="10"/>
  <c r="H2451" i="10"/>
  <c r="G2452" i="10"/>
  <c r="H2452" i="10"/>
  <c r="G2453" i="10"/>
  <c r="H2453" i="10"/>
  <c r="G2454" i="10"/>
  <c r="H2454" i="10"/>
  <c r="G2455" i="10"/>
  <c r="H2455" i="10"/>
  <c r="G2456" i="10"/>
  <c r="H2456" i="10"/>
  <c r="G2457" i="10"/>
  <c r="H2457" i="10"/>
  <c r="G2458" i="10"/>
  <c r="H2458" i="10"/>
  <c r="G2459" i="10"/>
  <c r="H2459" i="10"/>
  <c r="G2460" i="10"/>
  <c r="H2460" i="10"/>
  <c r="G2461" i="10"/>
  <c r="H2461" i="10"/>
  <c r="G2462" i="10"/>
  <c r="H2462" i="10"/>
  <c r="G2463" i="10"/>
  <c r="H2463" i="10"/>
  <c r="G2464" i="10"/>
  <c r="H2464" i="10"/>
  <c r="G2465" i="10"/>
  <c r="H2465" i="10"/>
  <c r="G2466" i="10"/>
  <c r="H2466" i="10"/>
  <c r="G2467" i="10"/>
  <c r="H2467" i="10"/>
  <c r="G2468" i="10"/>
  <c r="H2468" i="10"/>
  <c r="G2469" i="10"/>
  <c r="H2469" i="10"/>
  <c r="G2470" i="10"/>
  <c r="H2470" i="10"/>
  <c r="G2471" i="10"/>
  <c r="H2471" i="10"/>
  <c r="G2472" i="10"/>
  <c r="H2472" i="10"/>
  <c r="G2473" i="10"/>
  <c r="H2473" i="10"/>
  <c r="G2474" i="10"/>
  <c r="H2474" i="10"/>
  <c r="G2475" i="10"/>
  <c r="H2475" i="10"/>
  <c r="G2476" i="10"/>
  <c r="H2476" i="10"/>
  <c r="G2477" i="10"/>
  <c r="H2477" i="10"/>
  <c r="G2478" i="10"/>
  <c r="H2478" i="10"/>
  <c r="G2479" i="10"/>
  <c r="H2479" i="10"/>
  <c r="G2480" i="10"/>
  <c r="H2480" i="10"/>
  <c r="G2481" i="10"/>
  <c r="H2481" i="10"/>
  <c r="G2482" i="10"/>
  <c r="H2482" i="10"/>
  <c r="G2483" i="10"/>
  <c r="H2483" i="10"/>
  <c r="G2484" i="10"/>
  <c r="H2484" i="10"/>
  <c r="G2485" i="10"/>
  <c r="H2485" i="10"/>
  <c r="G2486" i="10"/>
  <c r="H2486" i="10"/>
  <c r="G2487" i="10"/>
  <c r="H2487" i="10"/>
  <c r="G2488" i="10"/>
  <c r="H2488" i="10"/>
  <c r="G2489" i="10"/>
  <c r="H2489" i="10"/>
  <c r="G2490" i="10"/>
  <c r="H2490" i="10"/>
  <c r="G2491" i="10"/>
  <c r="H2491" i="10"/>
  <c r="G2492" i="10"/>
  <c r="H2492" i="10"/>
  <c r="G2493" i="10"/>
  <c r="H2493" i="10"/>
  <c r="G2494" i="10"/>
  <c r="H2494" i="10"/>
  <c r="G2495" i="10"/>
  <c r="H2495" i="10"/>
  <c r="G2496" i="10"/>
  <c r="H2496" i="10"/>
  <c r="G2497" i="10"/>
  <c r="H2497" i="10"/>
  <c r="G2498" i="10"/>
  <c r="H2498" i="10"/>
  <c r="G2499" i="10"/>
  <c r="H2499" i="10"/>
  <c r="G2500" i="10"/>
  <c r="H2500" i="10"/>
  <c r="G2501" i="10"/>
  <c r="H2501" i="10"/>
  <c r="G2502" i="10"/>
  <c r="H2502" i="10"/>
  <c r="G2503" i="10"/>
  <c r="H2503" i="10"/>
  <c r="G2504" i="10"/>
  <c r="H2504" i="10"/>
  <c r="G2505" i="10"/>
  <c r="H2505" i="10"/>
  <c r="G2506" i="10"/>
  <c r="H2506" i="10"/>
  <c r="G2507" i="10"/>
  <c r="H2507" i="10"/>
  <c r="G2508" i="10"/>
  <c r="H2508" i="10"/>
  <c r="G2509" i="10"/>
  <c r="H2509" i="10"/>
  <c r="G2510" i="10"/>
  <c r="H2510" i="10"/>
  <c r="G2511" i="10"/>
  <c r="H2511" i="10"/>
  <c r="G2512" i="10"/>
  <c r="H2512" i="10"/>
  <c r="G2513" i="10"/>
  <c r="H2513" i="10"/>
  <c r="G2514" i="10"/>
  <c r="H2514" i="10"/>
  <c r="G2515" i="10"/>
  <c r="H2515" i="10"/>
  <c r="G2516" i="10"/>
  <c r="H2516" i="10"/>
  <c r="G2517" i="10"/>
  <c r="H2517" i="10"/>
  <c r="G2518" i="10"/>
  <c r="H2518" i="10"/>
  <c r="G2519" i="10"/>
  <c r="H2519" i="10"/>
  <c r="G2520" i="10"/>
  <c r="H2520" i="10"/>
  <c r="G2521" i="10"/>
  <c r="H2521" i="10"/>
  <c r="G2522" i="10"/>
  <c r="H2522" i="10"/>
  <c r="G2523" i="10"/>
  <c r="H2523" i="10"/>
  <c r="G2524" i="10"/>
  <c r="H2524" i="10"/>
  <c r="G2525" i="10"/>
  <c r="H2525" i="10"/>
  <c r="G2526" i="10"/>
  <c r="H2526" i="10"/>
  <c r="G2527" i="10"/>
  <c r="H2527" i="10"/>
  <c r="G2528" i="10"/>
  <c r="H2528" i="10"/>
  <c r="G2529" i="10"/>
  <c r="H2529" i="10"/>
  <c r="G2530" i="10"/>
  <c r="H2530" i="10"/>
  <c r="G2531" i="10"/>
  <c r="H2531" i="10"/>
  <c r="G2532" i="10"/>
  <c r="H2532" i="10"/>
  <c r="G2533" i="10"/>
  <c r="H2533" i="10"/>
  <c r="G2534" i="10"/>
  <c r="H2534" i="10"/>
  <c r="G2535" i="10"/>
  <c r="H2535" i="10"/>
  <c r="G2536" i="10"/>
  <c r="H2536" i="10"/>
  <c r="G2537" i="10"/>
  <c r="H2537" i="10"/>
  <c r="G2538" i="10"/>
  <c r="H2538" i="10"/>
  <c r="G2539" i="10"/>
  <c r="H2539" i="10"/>
  <c r="G2540" i="10"/>
  <c r="H2540" i="10"/>
  <c r="G2541" i="10"/>
  <c r="H2541" i="10"/>
  <c r="G2542" i="10"/>
  <c r="H2542" i="10"/>
  <c r="G2543" i="10"/>
  <c r="H2543" i="10"/>
  <c r="G2544" i="10"/>
  <c r="H2544" i="10"/>
  <c r="G2545" i="10"/>
  <c r="H2545" i="10"/>
  <c r="G2546" i="10"/>
  <c r="H2546" i="10"/>
  <c r="G2547" i="10"/>
  <c r="H2547" i="10"/>
  <c r="G2548" i="10"/>
  <c r="H2548" i="10"/>
  <c r="G2549" i="10"/>
  <c r="H2549" i="10"/>
  <c r="G2550" i="10"/>
  <c r="H2550" i="10"/>
  <c r="G2551" i="10"/>
  <c r="H2551" i="10"/>
  <c r="G2552" i="10"/>
  <c r="H2552" i="10"/>
  <c r="G2553" i="10"/>
  <c r="H2553" i="10"/>
  <c r="G2554" i="10"/>
  <c r="H2554" i="10"/>
  <c r="G2555" i="10"/>
  <c r="H2555" i="10"/>
  <c r="G2556" i="10"/>
  <c r="H2556" i="10"/>
  <c r="G2557" i="10"/>
  <c r="H2557" i="10"/>
  <c r="G2558" i="10"/>
  <c r="H2558" i="10"/>
  <c r="G2559" i="10"/>
  <c r="H2559" i="10"/>
  <c r="G2560" i="10"/>
  <c r="H2560" i="10"/>
  <c r="G2561" i="10"/>
  <c r="H2561" i="10"/>
  <c r="G2562" i="10"/>
  <c r="H2562" i="10"/>
  <c r="G2563" i="10"/>
  <c r="H2563" i="10"/>
  <c r="G2564" i="10"/>
  <c r="H2564" i="10"/>
  <c r="G2565" i="10"/>
  <c r="H2565" i="10"/>
  <c r="G2566" i="10"/>
  <c r="H2566" i="10"/>
  <c r="G2567" i="10"/>
  <c r="H2567" i="10"/>
  <c r="G2568" i="10"/>
  <c r="H2568" i="10"/>
  <c r="G2569" i="10"/>
  <c r="H2569" i="10"/>
  <c r="G2570" i="10"/>
  <c r="H2570" i="10"/>
  <c r="G2571" i="10"/>
  <c r="H2571" i="10"/>
  <c r="G2572" i="10"/>
  <c r="H2572" i="10"/>
  <c r="G2573" i="10"/>
  <c r="H2573" i="10"/>
  <c r="G2574" i="10"/>
  <c r="H2574" i="10"/>
  <c r="G2575" i="10"/>
  <c r="H2575" i="10"/>
  <c r="G2576" i="10"/>
  <c r="H2576" i="10"/>
  <c r="G2577" i="10"/>
  <c r="H2577" i="10"/>
  <c r="G2578" i="10"/>
  <c r="H2578" i="10"/>
  <c r="G2579" i="10"/>
  <c r="H2579" i="10"/>
  <c r="G2580" i="10"/>
  <c r="H2580" i="10"/>
  <c r="G2581" i="10"/>
  <c r="H2581" i="10"/>
  <c r="G2582" i="10"/>
  <c r="H2582" i="10"/>
  <c r="G2583" i="10"/>
  <c r="H2583" i="10"/>
  <c r="G2584" i="10"/>
  <c r="H2584" i="10"/>
  <c r="G2585" i="10"/>
  <c r="H2585" i="10"/>
  <c r="G2586" i="10"/>
  <c r="H2586" i="10"/>
  <c r="G2587" i="10"/>
  <c r="H2587" i="10"/>
  <c r="G2588" i="10"/>
  <c r="H2588" i="10"/>
  <c r="G2589" i="10"/>
  <c r="H2589" i="10"/>
  <c r="G2590" i="10"/>
  <c r="H2590" i="10"/>
  <c r="G2591" i="10"/>
  <c r="H2591" i="10"/>
  <c r="G2592" i="10"/>
  <c r="H2592" i="10"/>
  <c r="G2593" i="10"/>
  <c r="H2593" i="10"/>
  <c r="G2594" i="10"/>
  <c r="H2594" i="10"/>
  <c r="G2595" i="10"/>
  <c r="H2595" i="10"/>
  <c r="G2596" i="10"/>
  <c r="H2596" i="10"/>
  <c r="G2597" i="10"/>
  <c r="H2597" i="10"/>
  <c r="G2598" i="10"/>
  <c r="H2598" i="10"/>
  <c r="G2599" i="10"/>
  <c r="H2599" i="10"/>
  <c r="G2600" i="10"/>
  <c r="H2600" i="10"/>
  <c r="G2601" i="10"/>
  <c r="H2601" i="10"/>
  <c r="G2602" i="10"/>
  <c r="H2602" i="10"/>
  <c r="G2603" i="10"/>
  <c r="H2603" i="10"/>
  <c r="G2604" i="10"/>
  <c r="H2604" i="10"/>
  <c r="G2605" i="10"/>
  <c r="H2605" i="10"/>
  <c r="G2606" i="10"/>
  <c r="H2606" i="10"/>
  <c r="G2607" i="10"/>
  <c r="H2607" i="10"/>
  <c r="G2608" i="10"/>
  <c r="H2608" i="10"/>
  <c r="G2609" i="10"/>
  <c r="H2609" i="10"/>
  <c r="G2610" i="10"/>
  <c r="H2610" i="10"/>
  <c r="G2611" i="10"/>
  <c r="H2611" i="10"/>
  <c r="G2612" i="10"/>
  <c r="H2612" i="10"/>
  <c r="G2613" i="10"/>
  <c r="H2613" i="10"/>
  <c r="G2614" i="10"/>
  <c r="H2614" i="10"/>
  <c r="G2615" i="10"/>
  <c r="H2615" i="10"/>
  <c r="G2616" i="10"/>
  <c r="H2616" i="10"/>
  <c r="G2617" i="10"/>
  <c r="H2617" i="10"/>
  <c r="G2618" i="10"/>
  <c r="H2618" i="10"/>
  <c r="G2619" i="10"/>
  <c r="H2619" i="10"/>
  <c r="G2620" i="10"/>
  <c r="H2620" i="10"/>
  <c r="G2621" i="10"/>
  <c r="H2621" i="10"/>
  <c r="G2622" i="10"/>
  <c r="H2622" i="10"/>
  <c r="G2623" i="10"/>
  <c r="H2623" i="10"/>
  <c r="G2624" i="10"/>
  <c r="H2624" i="10"/>
  <c r="G2625" i="10"/>
  <c r="H2625" i="10"/>
  <c r="G2626" i="10"/>
  <c r="H2626" i="10"/>
  <c r="G2627" i="10"/>
  <c r="H2627" i="10"/>
  <c r="G2628" i="10"/>
  <c r="H2628" i="10"/>
  <c r="G2629" i="10"/>
  <c r="H2629" i="10"/>
  <c r="G2630" i="10"/>
  <c r="H2630" i="10"/>
  <c r="G2631" i="10"/>
  <c r="H2631" i="10"/>
  <c r="G2632" i="10"/>
  <c r="H2632" i="10"/>
  <c r="G2633" i="10"/>
  <c r="H2633" i="10"/>
  <c r="G2634" i="10"/>
  <c r="H2634" i="10"/>
  <c r="G2635" i="10"/>
  <c r="H2635" i="10"/>
  <c r="G2636" i="10"/>
  <c r="H2636" i="10"/>
  <c r="G2637" i="10"/>
  <c r="H2637" i="10"/>
  <c r="G2638" i="10"/>
  <c r="H2638" i="10"/>
  <c r="G2639" i="10"/>
  <c r="H2639" i="10"/>
  <c r="G2640" i="10"/>
  <c r="H2640" i="10"/>
  <c r="G2641" i="10"/>
  <c r="H2641" i="10"/>
  <c r="G2642" i="10"/>
  <c r="H2642" i="10"/>
  <c r="G2643" i="10"/>
  <c r="H2643" i="10"/>
  <c r="G2644" i="10"/>
  <c r="H2644" i="10"/>
  <c r="G2645" i="10"/>
  <c r="H2645" i="10"/>
  <c r="G2646" i="10"/>
  <c r="H2646" i="10"/>
  <c r="G2647" i="10"/>
  <c r="H2647" i="10"/>
  <c r="G2648" i="10"/>
  <c r="H2648" i="10"/>
  <c r="G2649" i="10"/>
  <c r="H2649" i="10"/>
  <c r="G2650" i="10"/>
  <c r="H2650" i="10"/>
  <c r="G2651" i="10"/>
  <c r="H2651" i="10"/>
  <c r="G2652" i="10"/>
  <c r="H2652" i="10"/>
  <c r="G2653" i="10"/>
  <c r="H2653" i="10"/>
  <c r="G2654" i="10"/>
  <c r="H2654" i="10"/>
  <c r="G2655" i="10"/>
  <c r="H2655" i="10"/>
  <c r="G2656" i="10"/>
  <c r="H2656" i="10"/>
  <c r="G2657" i="10"/>
  <c r="H2657" i="10"/>
  <c r="G2658" i="10"/>
  <c r="H2658" i="10"/>
  <c r="G2659" i="10"/>
  <c r="H2659" i="10"/>
  <c r="G2660" i="10"/>
  <c r="H2660" i="10"/>
  <c r="G2661" i="10"/>
  <c r="H2661" i="10"/>
  <c r="G2662" i="10"/>
  <c r="H2662" i="10"/>
  <c r="G2663" i="10"/>
  <c r="H2663" i="10"/>
  <c r="G2664" i="10"/>
  <c r="H2664" i="10"/>
  <c r="G2665" i="10"/>
  <c r="H2665" i="10"/>
  <c r="G2666" i="10"/>
  <c r="H2666" i="10"/>
  <c r="G2667" i="10"/>
  <c r="H2667" i="10"/>
  <c r="G2668" i="10"/>
  <c r="H2668" i="10"/>
  <c r="G2669" i="10"/>
  <c r="H2669" i="10"/>
  <c r="G2670" i="10"/>
  <c r="H2670" i="10"/>
  <c r="G2671" i="10"/>
  <c r="H2671" i="10"/>
  <c r="G2672" i="10"/>
  <c r="H2672" i="10"/>
  <c r="G2673" i="10"/>
  <c r="H2673" i="10"/>
  <c r="G2674" i="10"/>
  <c r="H2674" i="10"/>
  <c r="G2675" i="10"/>
  <c r="H2675" i="10"/>
  <c r="G2676" i="10"/>
  <c r="H2676" i="10"/>
  <c r="G2677" i="10"/>
  <c r="H2677" i="10"/>
  <c r="G2678" i="10"/>
  <c r="H2678" i="10"/>
  <c r="G2679" i="10"/>
  <c r="H2679" i="10"/>
  <c r="G2680" i="10"/>
  <c r="H2680" i="10"/>
  <c r="G2681" i="10"/>
  <c r="H2681" i="10"/>
  <c r="G2682" i="10"/>
  <c r="H2682" i="10"/>
  <c r="G2683" i="10"/>
  <c r="H2683" i="10"/>
  <c r="G2684" i="10"/>
  <c r="H2684" i="10"/>
  <c r="G2685" i="10"/>
  <c r="H2685" i="10"/>
  <c r="G2686" i="10"/>
  <c r="H2686" i="10"/>
  <c r="G2687" i="10"/>
  <c r="H2687" i="10"/>
  <c r="G2688" i="10"/>
  <c r="H2688" i="10"/>
  <c r="G2689" i="10"/>
  <c r="H2689" i="10"/>
  <c r="G2690" i="10"/>
  <c r="H2690" i="10"/>
  <c r="G2691" i="10"/>
  <c r="H2691" i="10"/>
  <c r="G2692" i="10"/>
  <c r="H2692" i="10"/>
  <c r="G2693" i="10"/>
  <c r="H2693" i="10"/>
  <c r="G2694" i="10"/>
  <c r="H2694" i="10"/>
  <c r="G2695" i="10"/>
  <c r="H2695" i="10"/>
  <c r="G2696" i="10"/>
  <c r="H2696" i="10"/>
  <c r="G2697" i="10"/>
  <c r="H2697" i="10"/>
  <c r="G2698" i="10"/>
  <c r="H2698" i="10"/>
  <c r="G2699" i="10"/>
  <c r="H2699" i="10"/>
  <c r="G2700" i="10"/>
  <c r="H2700" i="10"/>
  <c r="G2701" i="10"/>
  <c r="H2701" i="10"/>
  <c r="G2702" i="10"/>
  <c r="H2702" i="10"/>
  <c r="G2703" i="10"/>
  <c r="H2703" i="10"/>
  <c r="G2704" i="10"/>
  <c r="H2704" i="10"/>
  <c r="G2705" i="10"/>
  <c r="H2705" i="10"/>
  <c r="G2706" i="10"/>
  <c r="H2706" i="10"/>
  <c r="G2707" i="10"/>
  <c r="H2707" i="10"/>
  <c r="G2708" i="10"/>
  <c r="H2708" i="10"/>
  <c r="G2709" i="10"/>
  <c r="H2709" i="10"/>
  <c r="G2710" i="10"/>
  <c r="H2710" i="10"/>
  <c r="G2711" i="10"/>
  <c r="H2711" i="10"/>
  <c r="G2712" i="10"/>
  <c r="H2712" i="10"/>
  <c r="G2713" i="10"/>
  <c r="H2713" i="10"/>
  <c r="G2714" i="10"/>
  <c r="H2714" i="10"/>
  <c r="G2715" i="10"/>
  <c r="H2715" i="10"/>
  <c r="G2716" i="10"/>
  <c r="H2716" i="10"/>
  <c r="G2717" i="10"/>
  <c r="H2717" i="10"/>
  <c r="G2718" i="10"/>
  <c r="H2718" i="10"/>
  <c r="G2719" i="10"/>
  <c r="H2719" i="10"/>
  <c r="G2720" i="10"/>
  <c r="H2720" i="10"/>
  <c r="G2721" i="10"/>
  <c r="H2721" i="10"/>
  <c r="G2722" i="10"/>
  <c r="H2722" i="10"/>
  <c r="G2723" i="10"/>
  <c r="H2723" i="10"/>
  <c r="G2724" i="10"/>
  <c r="H2724" i="10"/>
  <c r="G2725" i="10"/>
  <c r="H2725" i="10"/>
  <c r="G2726" i="10"/>
  <c r="H2726" i="10"/>
  <c r="G2727" i="10"/>
  <c r="H2727" i="10"/>
  <c r="G2728" i="10"/>
  <c r="H2728" i="10"/>
  <c r="G2729" i="10"/>
  <c r="H2729" i="10"/>
  <c r="G2730" i="10"/>
  <c r="H2730" i="10"/>
  <c r="G2731" i="10"/>
  <c r="H2731" i="10"/>
  <c r="G2732" i="10"/>
  <c r="H2732" i="10"/>
  <c r="G2733" i="10"/>
  <c r="H2733" i="10"/>
  <c r="G2734" i="10"/>
  <c r="H2734" i="10"/>
  <c r="G2735" i="10"/>
  <c r="H2735" i="10"/>
  <c r="G2736" i="10"/>
  <c r="H2736" i="10"/>
  <c r="G2737" i="10"/>
  <c r="H2737" i="10"/>
  <c r="G2738" i="10"/>
  <c r="H2738" i="10"/>
  <c r="G2739" i="10"/>
  <c r="H2739" i="10"/>
  <c r="G2740" i="10"/>
  <c r="H2740" i="10"/>
  <c r="G2741" i="10"/>
  <c r="H2741" i="10"/>
  <c r="G2742" i="10"/>
  <c r="H2742" i="10"/>
  <c r="G2743" i="10"/>
  <c r="H2743" i="10"/>
  <c r="G2744" i="10"/>
  <c r="H2744" i="10"/>
  <c r="G2745" i="10"/>
  <c r="H2745" i="10"/>
  <c r="G2746" i="10"/>
  <c r="H2746" i="10"/>
  <c r="G2747" i="10"/>
  <c r="H2747" i="10"/>
  <c r="G2748" i="10"/>
  <c r="H2748" i="10"/>
  <c r="G2749" i="10"/>
  <c r="H2749" i="10"/>
  <c r="G2750" i="10"/>
  <c r="H2750" i="10"/>
  <c r="G2751" i="10"/>
  <c r="H2751" i="10"/>
  <c r="G2752" i="10"/>
  <c r="H2752" i="10"/>
  <c r="G2753" i="10"/>
  <c r="H2753" i="10"/>
  <c r="G2754" i="10"/>
  <c r="H2754" i="10"/>
  <c r="G2755" i="10"/>
  <c r="H2755" i="10"/>
  <c r="G2756" i="10"/>
  <c r="H2756" i="10"/>
  <c r="G2757" i="10"/>
  <c r="H2757" i="10"/>
  <c r="G2758" i="10"/>
  <c r="H2758" i="10"/>
  <c r="G2759" i="10"/>
  <c r="H2759" i="10"/>
  <c r="G2760" i="10"/>
  <c r="H2760" i="10"/>
  <c r="G2761" i="10"/>
  <c r="H2761" i="10"/>
  <c r="G2762" i="10"/>
  <c r="H2762" i="10"/>
  <c r="G2763" i="10"/>
  <c r="H2763" i="10"/>
  <c r="G2764" i="10"/>
  <c r="H2764" i="10"/>
  <c r="G2765" i="10"/>
  <c r="H2765" i="10"/>
  <c r="G2766" i="10"/>
  <c r="H2766" i="10"/>
  <c r="G2767" i="10"/>
  <c r="H2767" i="10"/>
  <c r="G2768" i="10"/>
  <c r="H2768" i="10"/>
  <c r="G2769" i="10"/>
  <c r="H2769" i="10"/>
  <c r="G2770" i="10"/>
  <c r="H2770" i="10"/>
  <c r="G2771" i="10"/>
  <c r="H2771" i="10"/>
  <c r="G2772" i="10"/>
  <c r="H2772" i="10"/>
  <c r="G2773" i="10"/>
  <c r="H2773" i="10"/>
  <c r="G2774" i="10"/>
  <c r="H2774" i="10"/>
  <c r="G2775" i="10"/>
  <c r="H2775" i="10"/>
  <c r="G2776" i="10"/>
  <c r="H2776" i="10"/>
  <c r="G2777" i="10"/>
  <c r="H2777" i="10"/>
  <c r="G2778" i="10"/>
  <c r="H2778" i="10"/>
  <c r="G2779" i="10"/>
  <c r="H2779" i="10"/>
  <c r="G2780" i="10"/>
  <c r="H2780" i="10"/>
  <c r="G2781" i="10"/>
  <c r="H2781" i="10"/>
  <c r="G2782" i="10"/>
  <c r="H2782" i="10"/>
  <c r="G2783" i="10"/>
  <c r="H2783" i="10"/>
  <c r="G2784" i="10"/>
  <c r="H2784" i="10"/>
  <c r="G2785" i="10"/>
  <c r="H2785" i="10"/>
  <c r="G2786" i="10"/>
  <c r="H2786" i="10"/>
  <c r="G2787" i="10"/>
  <c r="H2787" i="10"/>
  <c r="G2788" i="10"/>
  <c r="H2788" i="10"/>
  <c r="G2789" i="10"/>
  <c r="H2789" i="10"/>
  <c r="G2790" i="10"/>
  <c r="H2790" i="10"/>
  <c r="G2791" i="10"/>
  <c r="H2791" i="10"/>
  <c r="G2792" i="10"/>
  <c r="H2792" i="10"/>
  <c r="G2793" i="10"/>
  <c r="H2793" i="10"/>
  <c r="G2794" i="10"/>
  <c r="H2794" i="10"/>
  <c r="G2795" i="10"/>
  <c r="H2795" i="10"/>
  <c r="G2796" i="10"/>
  <c r="H2796" i="10"/>
  <c r="G2797" i="10"/>
  <c r="H2797" i="10"/>
  <c r="G2798" i="10"/>
  <c r="H2798" i="10"/>
  <c r="G2799" i="10"/>
  <c r="H2799" i="10"/>
  <c r="G2800" i="10"/>
  <c r="H2800" i="10"/>
  <c r="G2801" i="10"/>
  <c r="H2801" i="10"/>
  <c r="G2802" i="10"/>
  <c r="H2802" i="10"/>
  <c r="G2803" i="10"/>
  <c r="H2803" i="10"/>
  <c r="G2804" i="10"/>
  <c r="H2804" i="10"/>
  <c r="G2805" i="10"/>
  <c r="H2805" i="10"/>
  <c r="G2806" i="10"/>
  <c r="H2806" i="10"/>
  <c r="G2807" i="10"/>
  <c r="H2807" i="10"/>
  <c r="G2808" i="10"/>
  <c r="H2808" i="10"/>
  <c r="G2809" i="10"/>
  <c r="H2809" i="10"/>
  <c r="G2810" i="10"/>
  <c r="H2810" i="10"/>
  <c r="G2811" i="10"/>
  <c r="H2811" i="10"/>
  <c r="G2812" i="10"/>
  <c r="H2812" i="10"/>
  <c r="G2813" i="10"/>
  <c r="H2813" i="10"/>
  <c r="G2814" i="10"/>
  <c r="H2814" i="10"/>
  <c r="G2815" i="10"/>
  <c r="H2815" i="10"/>
  <c r="G2816" i="10"/>
  <c r="H2816" i="10"/>
  <c r="G2817" i="10"/>
  <c r="H2817" i="10"/>
  <c r="G2818" i="10"/>
  <c r="H2818" i="10"/>
  <c r="G2819" i="10"/>
  <c r="H2819" i="10"/>
  <c r="G2820" i="10"/>
  <c r="H2820" i="10"/>
  <c r="G2821" i="10"/>
  <c r="H2821" i="10"/>
  <c r="G2822" i="10"/>
  <c r="H2822" i="10"/>
  <c r="G2823" i="10"/>
  <c r="H2823" i="10"/>
  <c r="G2824" i="10"/>
  <c r="H2824" i="10"/>
  <c r="G2825" i="10"/>
  <c r="H2825" i="10"/>
  <c r="G2826" i="10"/>
  <c r="H2826" i="10"/>
  <c r="G2827" i="10"/>
  <c r="H2827" i="10"/>
  <c r="G2828" i="10"/>
  <c r="H2828" i="10"/>
  <c r="G2829" i="10"/>
  <c r="H2829" i="10"/>
  <c r="G2830" i="10"/>
  <c r="H2830" i="10"/>
  <c r="G2831" i="10"/>
  <c r="H2831" i="10"/>
  <c r="G2832" i="10"/>
  <c r="H2832" i="10"/>
  <c r="G2833" i="10"/>
  <c r="H2833" i="10"/>
  <c r="G2834" i="10"/>
  <c r="H2834" i="10"/>
  <c r="G2835" i="10"/>
  <c r="H2835" i="10"/>
  <c r="G2836" i="10"/>
  <c r="H2836" i="10"/>
  <c r="G2837" i="10"/>
  <c r="H2837" i="10"/>
  <c r="G2838" i="10"/>
  <c r="H2838" i="10"/>
  <c r="G2839" i="10"/>
  <c r="H2839" i="10"/>
  <c r="G2840" i="10"/>
  <c r="H2840" i="10"/>
  <c r="G2841" i="10"/>
  <c r="H2841" i="10"/>
  <c r="G2842" i="10"/>
  <c r="H2842" i="10"/>
  <c r="G2843" i="10"/>
  <c r="H2843" i="10"/>
  <c r="G2844" i="10"/>
  <c r="H2844" i="10"/>
  <c r="G2845" i="10"/>
  <c r="H2845" i="10"/>
  <c r="G2846" i="10"/>
  <c r="H2846" i="10"/>
  <c r="G2847" i="10"/>
  <c r="H2847" i="10"/>
  <c r="G2848" i="10"/>
  <c r="H2848" i="10"/>
  <c r="G2849" i="10"/>
  <c r="H2849" i="10"/>
  <c r="G2850" i="10"/>
  <c r="H2850" i="10"/>
  <c r="G2851" i="10"/>
  <c r="H2851" i="10"/>
  <c r="G2852" i="10"/>
  <c r="H2852" i="10"/>
  <c r="G2853" i="10"/>
  <c r="H2853" i="10"/>
  <c r="G2854" i="10"/>
  <c r="H2854" i="10"/>
  <c r="G2855" i="10"/>
  <c r="H2855" i="10"/>
  <c r="G2856" i="10"/>
  <c r="H2856" i="10"/>
  <c r="G2857" i="10"/>
  <c r="H2857" i="10"/>
  <c r="G2858" i="10"/>
  <c r="H2858" i="10"/>
  <c r="G2859" i="10"/>
  <c r="H2859" i="10"/>
  <c r="G2860" i="10"/>
  <c r="H2860" i="10"/>
  <c r="G2861" i="10"/>
  <c r="H2861" i="10"/>
  <c r="G2862" i="10"/>
  <c r="H2862" i="10"/>
  <c r="G2863" i="10"/>
  <c r="H2863" i="10"/>
  <c r="G2864" i="10"/>
  <c r="H2864" i="10"/>
  <c r="G2865" i="10"/>
  <c r="H2865" i="10"/>
  <c r="G2866" i="10"/>
  <c r="H2866" i="10"/>
  <c r="G2867" i="10"/>
  <c r="H2867" i="10"/>
  <c r="G2868" i="10"/>
  <c r="H2868" i="10"/>
  <c r="G2869" i="10"/>
  <c r="H2869" i="10"/>
  <c r="G2870" i="10"/>
  <c r="H2870" i="10"/>
  <c r="G2871" i="10"/>
  <c r="H2871" i="10"/>
  <c r="G2872" i="10"/>
  <c r="H2872" i="10"/>
  <c r="G2873" i="10"/>
  <c r="H2873" i="10"/>
  <c r="G2874" i="10"/>
  <c r="H2874" i="10"/>
  <c r="G2875" i="10"/>
  <c r="H2875" i="10"/>
  <c r="G2876" i="10"/>
  <c r="H2876" i="10"/>
  <c r="G2877" i="10"/>
  <c r="H2877" i="10"/>
  <c r="G2878" i="10"/>
  <c r="H2878" i="10"/>
  <c r="G2879" i="10"/>
  <c r="H2879" i="10"/>
  <c r="G2880" i="10"/>
  <c r="H2880" i="10"/>
  <c r="G2881" i="10"/>
  <c r="H2881" i="10"/>
  <c r="G2882" i="10"/>
  <c r="H2882" i="10"/>
  <c r="G2883" i="10"/>
  <c r="H2883" i="10"/>
  <c r="G2884" i="10"/>
  <c r="H2884" i="10"/>
  <c r="G2885" i="10"/>
  <c r="H2885" i="10"/>
  <c r="G2886" i="10"/>
  <c r="H2886" i="10"/>
  <c r="G2887" i="10"/>
  <c r="H2887" i="10"/>
  <c r="G2888" i="10"/>
  <c r="H2888" i="10"/>
  <c r="G2889" i="10"/>
  <c r="H2889" i="10"/>
  <c r="G2890" i="10"/>
  <c r="H2890" i="10"/>
  <c r="G2891" i="10"/>
  <c r="H2891" i="10"/>
  <c r="G2892" i="10"/>
  <c r="H2892" i="10"/>
  <c r="G2893" i="10"/>
  <c r="H2893" i="10"/>
  <c r="G2894" i="10"/>
  <c r="H2894" i="10"/>
  <c r="G2895" i="10"/>
  <c r="H2895" i="10"/>
  <c r="G2896" i="10"/>
  <c r="H2896" i="10"/>
  <c r="G2897" i="10"/>
  <c r="H2897" i="10"/>
  <c r="G2898" i="10"/>
  <c r="H2898" i="10"/>
  <c r="G2899" i="10"/>
  <c r="H2899" i="10"/>
  <c r="G2900" i="10"/>
  <c r="H2900" i="10"/>
  <c r="G2901" i="10"/>
  <c r="H2901" i="10"/>
  <c r="G2902" i="10"/>
  <c r="H2902" i="10"/>
  <c r="G2903" i="10"/>
  <c r="H2903" i="10"/>
  <c r="G2904" i="10"/>
  <c r="H2904" i="10"/>
  <c r="G2905" i="10"/>
  <c r="H2905" i="10"/>
  <c r="G2906" i="10"/>
  <c r="H2906" i="10"/>
  <c r="G2907" i="10"/>
  <c r="H2907" i="10"/>
  <c r="G2908" i="10"/>
  <c r="H2908" i="10"/>
  <c r="G2909" i="10"/>
  <c r="H2909" i="10"/>
  <c r="G2910" i="10"/>
  <c r="H2910" i="10"/>
  <c r="G2911" i="10"/>
  <c r="H2911" i="10"/>
  <c r="G2912" i="10"/>
  <c r="H2912" i="10"/>
  <c r="G2913" i="10"/>
  <c r="H2913" i="10"/>
  <c r="G2914" i="10"/>
  <c r="H2914" i="10"/>
  <c r="G2915" i="10"/>
  <c r="H2915" i="10"/>
  <c r="G2916" i="10"/>
  <c r="H2916" i="10"/>
  <c r="G2917" i="10"/>
  <c r="H2917" i="10"/>
  <c r="G2918" i="10"/>
  <c r="H2918" i="10"/>
  <c r="G2919" i="10"/>
  <c r="H2919" i="10"/>
  <c r="G2920" i="10"/>
  <c r="H2920" i="10"/>
  <c r="G2921" i="10"/>
  <c r="H2921" i="10"/>
  <c r="G2922" i="10"/>
  <c r="H2922" i="10"/>
  <c r="G2923" i="10"/>
  <c r="H2923" i="10"/>
  <c r="G2924" i="10"/>
  <c r="H2924" i="10"/>
  <c r="G2925" i="10"/>
  <c r="H2925" i="10"/>
  <c r="G2926" i="10"/>
  <c r="H2926" i="10"/>
  <c r="G2927" i="10"/>
  <c r="H2927" i="10"/>
  <c r="G2928" i="10"/>
  <c r="H2928" i="10"/>
  <c r="G2929" i="10"/>
  <c r="H2929" i="10"/>
  <c r="G2930" i="10"/>
  <c r="H2930" i="10"/>
  <c r="G2931" i="10"/>
  <c r="H2931" i="10"/>
  <c r="G2932" i="10"/>
  <c r="H2932" i="10"/>
  <c r="G2933" i="10"/>
  <c r="H2933" i="10"/>
  <c r="G2934" i="10"/>
  <c r="H2934" i="10"/>
  <c r="G2935" i="10"/>
  <c r="H2935" i="10"/>
  <c r="G2936" i="10"/>
  <c r="H2936" i="10"/>
  <c r="G2937" i="10"/>
  <c r="H2937" i="10"/>
  <c r="G2938" i="10"/>
  <c r="H2938" i="10"/>
  <c r="G2939" i="10"/>
  <c r="H2939" i="10"/>
  <c r="G2940" i="10"/>
  <c r="H2940" i="10"/>
  <c r="G2941" i="10"/>
  <c r="H2941" i="10"/>
  <c r="G2942" i="10"/>
  <c r="H2942" i="10"/>
  <c r="G2943" i="10"/>
  <c r="H2943" i="10"/>
  <c r="G2944" i="10"/>
  <c r="H2944" i="10"/>
  <c r="G2945" i="10"/>
  <c r="H2945" i="10"/>
  <c r="G2946" i="10"/>
  <c r="H2946" i="10"/>
  <c r="G2947" i="10"/>
  <c r="H2947" i="10"/>
  <c r="G2948" i="10"/>
  <c r="H2948" i="10"/>
  <c r="G2949" i="10"/>
  <c r="H2949" i="10"/>
  <c r="G2950" i="10"/>
  <c r="H2950" i="10"/>
  <c r="G2951" i="10"/>
  <c r="H2951" i="10"/>
  <c r="G2952" i="10"/>
  <c r="H2952" i="10"/>
  <c r="G2953" i="10"/>
  <c r="H2953" i="10"/>
  <c r="G2954" i="10"/>
  <c r="H2954" i="10"/>
  <c r="G2955" i="10"/>
  <c r="H2955" i="10"/>
  <c r="G2956" i="10"/>
  <c r="H2956" i="10"/>
  <c r="G2957" i="10"/>
  <c r="H2957" i="10"/>
  <c r="G2958" i="10"/>
  <c r="H2958" i="10"/>
  <c r="G2959" i="10"/>
  <c r="H2959" i="10"/>
  <c r="G2960" i="10"/>
  <c r="H2960" i="10"/>
  <c r="G2961" i="10"/>
  <c r="H2961" i="10"/>
  <c r="G2962" i="10"/>
  <c r="H2962" i="10"/>
  <c r="G2963" i="10"/>
  <c r="H2963" i="10"/>
  <c r="G2964" i="10"/>
  <c r="H2964" i="10"/>
  <c r="G2965" i="10"/>
  <c r="H2965" i="10"/>
  <c r="G2966" i="10"/>
  <c r="H2966" i="10"/>
  <c r="G2967" i="10"/>
  <c r="H2967" i="10"/>
  <c r="G2968" i="10"/>
  <c r="H2968" i="10"/>
  <c r="G2969" i="10"/>
  <c r="H2969" i="10"/>
  <c r="G2970" i="10"/>
  <c r="H2970" i="10"/>
  <c r="G2971" i="10"/>
  <c r="H2971" i="10"/>
  <c r="G2972" i="10"/>
  <c r="H2972" i="10"/>
  <c r="G2973" i="10"/>
  <c r="H2973" i="10"/>
  <c r="G2974" i="10"/>
  <c r="H2974" i="10"/>
  <c r="G2975" i="10"/>
  <c r="H2975" i="10"/>
  <c r="G2976" i="10"/>
  <c r="H2976" i="10"/>
  <c r="G2977" i="10"/>
  <c r="H2977" i="10"/>
  <c r="G2978" i="10"/>
  <c r="H2978" i="10"/>
  <c r="G2979" i="10"/>
  <c r="H2979" i="10"/>
  <c r="G2980" i="10"/>
  <c r="H2980" i="10"/>
  <c r="G2981" i="10"/>
  <c r="H2981" i="10"/>
  <c r="G2982" i="10"/>
  <c r="H2982" i="10"/>
  <c r="G2983" i="10"/>
  <c r="H2983" i="10"/>
  <c r="G2984" i="10"/>
  <c r="H2984" i="10"/>
  <c r="G2985" i="10"/>
  <c r="H2985" i="10"/>
  <c r="G2986" i="10"/>
  <c r="H2986" i="10"/>
  <c r="G2987" i="10"/>
  <c r="H2987" i="10"/>
  <c r="G2988" i="10"/>
  <c r="H2988" i="10"/>
  <c r="G2989" i="10"/>
  <c r="H2989" i="10"/>
  <c r="G2990" i="10"/>
  <c r="H2990" i="10"/>
  <c r="G2991" i="10"/>
  <c r="H2991" i="10"/>
  <c r="G2992" i="10"/>
  <c r="H2992" i="10"/>
  <c r="G2993" i="10"/>
  <c r="H2993" i="10"/>
  <c r="G2994" i="10"/>
  <c r="H2994" i="10"/>
  <c r="G2995" i="10"/>
  <c r="H2995" i="10"/>
  <c r="G2996" i="10"/>
  <c r="H2996" i="10"/>
  <c r="G2997" i="10"/>
  <c r="H2997" i="10"/>
  <c r="G2998" i="10"/>
  <c r="H2998" i="10"/>
  <c r="G2999" i="10"/>
  <c r="H2999" i="10"/>
  <c r="G3000" i="10"/>
  <c r="H3000" i="10"/>
  <c r="G3001" i="10"/>
  <c r="H3001" i="10"/>
  <c r="G3002" i="10"/>
  <c r="H3002" i="10"/>
  <c r="G3003" i="10"/>
  <c r="H3003" i="10"/>
  <c r="G3004" i="10"/>
  <c r="H3004" i="10"/>
  <c r="G3005" i="10"/>
  <c r="H3005" i="10"/>
  <c r="G3006" i="10"/>
  <c r="H3006" i="10"/>
  <c r="G3007" i="10"/>
  <c r="H3007" i="10"/>
  <c r="G3008" i="10"/>
  <c r="H3008" i="10"/>
  <c r="G3009" i="10"/>
  <c r="H3009" i="10"/>
  <c r="G3010" i="10"/>
  <c r="H3010" i="10"/>
  <c r="G3011" i="10"/>
  <c r="H3011" i="10"/>
  <c r="G3012" i="10"/>
  <c r="H3012" i="10"/>
  <c r="G3013" i="10"/>
  <c r="H3013" i="10"/>
  <c r="G3014" i="10"/>
  <c r="H3014" i="10"/>
  <c r="G3015" i="10"/>
  <c r="H3015" i="10"/>
  <c r="G3016" i="10"/>
  <c r="H3016" i="10"/>
  <c r="G3017" i="10"/>
  <c r="H3017" i="10"/>
  <c r="G3018" i="10"/>
  <c r="H3018" i="10"/>
  <c r="G3019" i="10"/>
  <c r="H3019" i="10"/>
  <c r="G3020" i="10"/>
  <c r="H3020" i="10"/>
  <c r="G3021" i="10"/>
  <c r="H3021" i="10"/>
  <c r="G3022" i="10"/>
  <c r="H3022" i="10"/>
  <c r="G3023" i="10"/>
  <c r="H3023" i="10"/>
  <c r="G3024" i="10"/>
  <c r="H3024" i="10"/>
  <c r="G3025" i="10"/>
  <c r="H3025" i="10"/>
  <c r="G3026" i="10"/>
  <c r="H3026" i="10"/>
  <c r="G3027" i="10"/>
  <c r="H3027" i="10"/>
  <c r="G3028" i="10"/>
  <c r="H3028" i="10"/>
  <c r="G3029" i="10"/>
  <c r="H3029" i="10"/>
  <c r="G3030" i="10"/>
  <c r="H3030" i="10"/>
  <c r="G3031" i="10"/>
  <c r="H3031" i="10"/>
  <c r="G3032" i="10"/>
  <c r="H3032" i="10"/>
  <c r="G3033" i="10"/>
  <c r="H3033" i="10"/>
  <c r="G3034" i="10"/>
  <c r="H3034" i="10"/>
  <c r="G3035" i="10"/>
  <c r="H3035" i="10"/>
  <c r="G3036" i="10"/>
  <c r="H3036" i="10"/>
  <c r="G3037" i="10"/>
  <c r="H3037" i="10"/>
  <c r="G3038" i="10"/>
  <c r="H3038" i="10"/>
  <c r="G3039" i="10"/>
  <c r="H3039" i="10"/>
  <c r="G3040" i="10"/>
  <c r="H3040" i="10"/>
  <c r="G3041" i="10"/>
  <c r="H3041" i="10"/>
  <c r="G3042" i="10"/>
  <c r="H3042" i="10"/>
  <c r="G3043" i="10"/>
  <c r="H3043" i="10"/>
  <c r="G3044" i="10"/>
  <c r="H3044" i="10"/>
  <c r="G3045" i="10"/>
  <c r="H3045" i="10"/>
  <c r="G3046" i="10"/>
  <c r="H3046" i="10"/>
  <c r="G3047" i="10"/>
  <c r="H3047" i="10"/>
  <c r="G3048" i="10"/>
  <c r="H3048" i="10"/>
  <c r="G3049" i="10"/>
  <c r="H3049" i="10"/>
  <c r="G3050" i="10"/>
  <c r="H3050" i="10"/>
  <c r="G3051" i="10"/>
  <c r="H3051" i="10"/>
  <c r="G3052" i="10"/>
  <c r="H3052" i="10"/>
  <c r="G3053" i="10"/>
  <c r="H3053" i="10"/>
  <c r="G3054" i="10"/>
  <c r="H3054" i="10"/>
  <c r="G3055" i="10"/>
  <c r="H3055" i="10"/>
  <c r="G3056" i="10"/>
  <c r="H3056" i="10"/>
  <c r="G3057" i="10"/>
  <c r="H3057" i="10"/>
  <c r="G3058" i="10"/>
  <c r="H3058" i="10"/>
  <c r="G3059" i="10"/>
  <c r="H3059" i="10"/>
  <c r="G3060" i="10"/>
  <c r="H3060" i="10"/>
  <c r="G3061" i="10"/>
  <c r="H3061" i="10"/>
  <c r="G3062" i="10"/>
  <c r="H3062" i="10"/>
  <c r="G3063" i="10"/>
  <c r="H3063" i="10"/>
  <c r="G3064" i="10"/>
  <c r="H3064" i="10"/>
  <c r="G3065" i="10"/>
  <c r="H3065" i="10"/>
  <c r="G3066" i="10"/>
  <c r="H3066" i="10"/>
  <c r="G3067" i="10"/>
  <c r="H3067" i="10"/>
  <c r="G3068" i="10"/>
  <c r="H3068" i="10"/>
  <c r="G3069" i="10"/>
  <c r="H3069" i="10"/>
  <c r="G3070" i="10"/>
  <c r="H3070" i="10"/>
  <c r="G3071" i="10"/>
  <c r="H3071" i="10"/>
  <c r="G3072" i="10"/>
  <c r="H3072" i="10"/>
  <c r="G3073" i="10"/>
  <c r="H3073" i="10"/>
  <c r="G3074" i="10"/>
  <c r="H3074" i="10"/>
  <c r="G3075" i="10"/>
  <c r="H3075" i="10"/>
  <c r="G3076" i="10"/>
  <c r="H3076" i="10"/>
  <c r="G3077" i="10"/>
  <c r="H3077" i="10"/>
  <c r="G3078" i="10"/>
  <c r="H3078" i="10"/>
  <c r="G3079" i="10"/>
  <c r="H3079" i="10"/>
  <c r="G3080" i="10"/>
  <c r="H3080" i="10"/>
  <c r="G3081" i="10"/>
  <c r="H3081" i="10"/>
  <c r="G3082" i="10"/>
  <c r="H3082" i="10"/>
  <c r="G3083" i="10"/>
  <c r="H3083" i="10"/>
  <c r="G3084" i="10"/>
  <c r="H3084" i="10"/>
  <c r="G3085" i="10"/>
  <c r="H3085" i="10"/>
  <c r="G3086" i="10"/>
  <c r="H3086" i="10"/>
  <c r="G3087" i="10"/>
  <c r="H3087" i="10"/>
  <c r="G3088" i="10"/>
  <c r="H3088" i="10"/>
  <c r="G3089" i="10"/>
  <c r="H3089" i="10"/>
  <c r="G3090" i="10"/>
  <c r="H3090" i="10"/>
  <c r="G3091" i="10"/>
  <c r="H3091" i="10"/>
  <c r="G3092" i="10"/>
  <c r="H3092" i="10"/>
  <c r="G3093" i="10"/>
  <c r="H3093" i="10"/>
  <c r="G3094" i="10"/>
  <c r="H3094" i="10"/>
  <c r="G3095" i="10"/>
  <c r="H3095" i="10"/>
  <c r="G3096" i="10"/>
  <c r="H3096" i="10"/>
  <c r="G3097" i="10"/>
  <c r="H3097" i="10"/>
  <c r="G3098" i="10"/>
  <c r="H3098" i="10"/>
  <c r="G3099" i="10"/>
  <c r="H3099" i="10"/>
  <c r="G3100" i="10"/>
  <c r="H3100" i="10"/>
  <c r="G3101" i="10"/>
  <c r="H3101" i="10"/>
  <c r="G3102" i="10"/>
  <c r="H3102" i="10"/>
  <c r="G3103" i="10"/>
  <c r="H3103" i="10"/>
  <c r="G3104" i="10"/>
  <c r="H3104" i="10"/>
  <c r="G3105" i="10"/>
  <c r="H3105" i="10"/>
  <c r="G3106" i="10"/>
  <c r="H3106" i="10"/>
  <c r="G3107" i="10"/>
  <c r="H3107" i="10"/>
  <c r="G3108" i="10"/>
  <c r="H3108" i="10"/>
  <c r="G3109" i="10"/>
  <c r="H3109" i="10"/>
  <c r="G3110" i="10"/>
  <c r="H3110" i="10"/>
  <c r="G3111" i="10"/>
  <c r="H3111" i="10"/>
  <c r="G3112" i="10"/>
  <c r="H3112" i="10"/>
  <c r="G3113" i="10"/>
  <c r="H3113" i="10"/>
  <c r="G3114" i="10"/>
  <c r="H3114" i="10"/>
  <c r="G3115" i="10"/>
  <c r="H3115" i="10"/>
  <c r="G3116" i="10"/>
  <c r="H3116" i="10"/>
  <c r="G3117" i="10"/>
  <c r="H3117" i="10"/>
  <c r="G3118" i="10"/>
  <c r="H3118" i="10"/>
  <c r="G3119" i="10"/>
  <c r="H3119" i="10"/>
  <c r="G3120" i="10"/>
  <c r="H3120" i="10"/>
  <c r="G3121" i="10"/>
  <c r="H3121" i="10"/>
  <c r="G3122" i="10"/>
  <c r="H3122" i="10"/>
  <c r="G3123" i="10"/>
  <c r="H3123" i="10"/>
  <c r="G3124" i="10"/>
  <c r="H3124" i="10"/>
  <c r="G3125" i="10"/>
  <c r="H3125" i="10"/>
  <c r="G3126" i="10"/>
  <c r="H3126" i="10"/>
  <c r="G3127" i="10"/>
  <c r="H3127" i="10"/>
  <c r="G3128" i="10"/>
  <c r="H3128" i="10"/>
  <c r="G3129" i="10"/>
  <c r="H3129" i="10"/>
  <c r="G3130" i="10"/>
  <c r="H3130" i="10"/>
  <c r="G3131" i="10"/>
  <c r="H3131" i="10"/>
  <c r="G3132" i="10"/>
  <c r="H3132" i="10"/>
  <c r="G3133" i="10"/>
  <c r="H3133" i="10"/>
  <c r="G3134" i="10"/>
  <c r="H3134" i="10"/>
  <c r="G3135" i="10"/>
  <c r="H3135" i="10"/>
  <c r="G3136" i="10"/>
  <c r="H3136" i="10"/>
  <c r="G3137" i="10"/>
  <c r="H3137" i="10"/>
  <c r="G3138" i="10"/>
  <c r="H3138" i="10"/>
  <c r="G3139" i="10"/>
  <c r="H3139" i="10"/>
  <c r="G3140" i="10"/>
  <c r="H3140" i="10"/>
  <c r="G3141" i="10"/>
  <c r="H3141" i="10"/>
  <c r="G3142" i="10"/>
  <c r="H3142" i="10"/>
  <c r="G3143" i="10"/>
  <c r="H3143" i="10"/>
  <c r="G3144" i="10"/>
  <c r="H3144" i="10"/>
  <c r="G3145" i="10"/>
  <c r="H3145" i="10"/>
  <c r="G3146" i="10"/>
  <c r="H3146" i="10"/>
  <c r="G3147" i="10"/>
  <c r="H3147" i="10"/>
  <c r="G3148" i="10"/>
  <c r="H3148" i="10"/>
  <c r="G3149" i="10"/>
  <c r="H3149" i="10"/>
  <c r="G3150" i="10"/>
  <c r="H3150" i="10"/>
  <c r="G3151" i="10"/>
  <c r="H3151" i="10"/>
  <c r="G3152" i="10"/>
  <c r="H3152" i="10"/>
  <c r="G3153" i="10"/>
  <c r="H3153" i="10"/>
  <c r="G3154" i="10"/>
  <c r="H3154" i="10"/>
  <c r="G3155" i="10"/>
  <c r="H3155" i="10"/>
  <c r="G3156" i="10"/>
  <c r="H3156" i="10"/>
  <c r="G3157" i="10"/>
  <c r="H3157" i="10"/>
  <c r="G3158" i="10"/>
  <c r="H3158" i="10"/>
  <c r="G3159" i="10"/>
  <c r="H3159" i="10"/>
  <c r="G3160" i="10"/>
  <c r="H3160" i="10"/>
  <c r="G3161" i="10"/>
  <c r="H3161" i="10"/>
  <c r="G3162" i="10"/>
  <c r="H3162" i="10"/>
  <c r="G3163" i="10"/>
  <c r="H3163" i="10"/>
  <c r="G3164" i="10"/>
  <c r="H3164" i="10"/>
  <c r="G3165" i="10"/>
  <c r="H3165" i="10"/>
  <c r="G3166" i="10"/>
  <c r="H3166" i="10"/>
  <c r="G3167" i="10"/>
  <c r="H3167" i="10"/>
  <c r="G3168" i="10"/>
  <c r="H3168" i="10"/>
  <c r="G3169" i="10"/>
  <c r="H3169" i="10"/>
  <c r="G3170" i="10"/>
  <c r="H3170" i="10"/>
  <c r="G3171" i="10"/>
  <c r="H3171" i="10"/>
  <c r="G3172" i="10"/>
  <c r="H3172" i="10"/>
  <c r="G3173" i="10"/>
  <c r="H3173" i="10"/>
  <c r="G3174" i="10"/>
  <c r="H3174" i="10"/>
  <c r="G3175" i="10"/>
  <c r="H3175" i="10"/>
  <c r="G3176" i="10"/>
  <c r="H3176" i="10"/>
  <c r="G3177" i="10"/>
  <c r="H3177" i="10"/>
  <c r="G3178" i="10"/>
  <c r="H3178" i="10"/>
  <c r="G3179" i="10"/>
  <c r="H3179" i="10"/>
  <c r="G3180" i="10"/>
  <c r="H3180" i="10"/>
  <c r="G3181" i="10"/>
  <c r="H3181" i="10"/>
  <c r="G3182" i="10"/>
  <c r="H3182" i="10"/>
  <c r="G3183" i="10"/>
  <c r="H3183" i="10"/>
  <c r="G3184" i="10"/>
  <c r="H3184" i="10"/>
  <c r="G3185" i="10"/>
  <c r="H3185" i="10"/>
  <c r="G3186" i="10"/>
  <c r="H3186" i="10"/>
  <c r="G3187" i="10"/>
  <c r="H3187" i="10"/>
  <c r="G3188" i="10"/>
  <c r="H3188" i="10"/>
  <c r="G3189" i="10"/>
  <c r="H3189" i="10"/>
  <c r="G3190" i="10"/>
  <c r="H3190" i="10"/>
  <c r="G3191" i="10"/>
  <c r="H3191" i="10"/>
  <c r="G3192" i="10"/>
  <c r="H3192" i="10"/>
  <c r="G3193" i="10"/>
  <c r="H3193" i="10"/>
  <c r="G3194" i="10"/>
  <c r="H3194" i="10"/>
  <c r="G3195" i="10"/>
  <c r="H3195" i="10"/>
  <c r="G3196" i="10"/>
  <c r="H3196" i="10"/>
  <c r="G3197" i="10"/>
  <c r="H3197" i="10"/>
  <c r="G3198" i="10"/>
  <c r="H3198" i="10"/>
  <c r="G3199" i="10"/>
  <c r="H3199" i="10"/>
  <c r="G3200" i="10"/>
  <c r="H3200" i="10"/>
  <c r="G3201" i="10"/>
  <c r="H3201" i="10"/>
  <c r="G3202" i="10"/>
  <c r="H3202" i="10"/>
  <c r="G3203" i="10"/>
  <c r="H3203" i="10"/>
  <c r="G3204" i="10"/>
  <c r="H3204" i="10"/>
  <c r="G3205" i="10"/>
  <c r="H3205" i="10"/>
  <c r="G3206" i="10"/>
  <c r="H3206" i="10"/>
  <c r="G3207" i="10"/>
  <c r="H3207" i="10"/>
  <c r="G3208" i="10"/>
  <c r="H3208" i="10"/>
  <c r="G3209" i="10"/>
  <c r="H3209" i="10"/>
  <c r="G3210" i="10"/>
  <c r="H3210" i="10"/>
  <c r="G3211" i="10"/>
  <c r="H3211" i="10"/>
  <c r="G3212" i="10"/>
  <c r="H3212" i="10"/>
  <c r="G3213" i="10"/>
  <c r="H3213" i="10"/>
  <c r="G3214" i="10"/>
  <c r="H3214" i="10"/>
  <c r="G3215" i="10"/>
  <c r="H3215" i="10"/>
  <c r="G3216" i="10"/>
  <c r="H3216" i="10"/>
  <c r="G3217" i="10"/>
  <c r="H3217" i="10"/>
  <c r="G3218" i="10"/>
  <c r="H3218" i="10"/>
  <c r="G3219" i="10"/>
  <c r="H3219" i="10"/>
  <c r="G3220" i="10"/>
  <c r="H3220" i="10"/>
  <c r="G3221" i="10"/>
  <c r="H3221" i="10"/>
  <c r="G3222" i="10"/>
  <c r="H3222" i="10"/>
  <c r="G3223" i="10"/>
  <c r="H3223" i="10"/>
  <c r="G3224" i="10"/>
  <c r="H3224" i="10"/>
  <c r="G3225" i="10"/>
  <c r="H3225" i="10"/>
  <c r="G3226" i="10"/>
  <c r="H3226" i="10"/>
  <c r="G3227" i="10"/>
  <c r="H3227" i="10"/>
  <c r="G3228" i="10"/>
  <c r="H3228" i="10"/>
  <c r="G3229" i="10"/>
  <c r="H3229" i="10"/>
  <c r="G3230" i="10"/>
  <c r="H3230" i="10"/>
  <c r="G3231" i="10"/>
  <c r="H3231" i="10"/>
  <c r="G3232" i="10"/>
  <c r="H3232" i="10"/>
  <c r="G3233" i="10"/>
  <c r="H3233" i="10"/>
  <c r="G3234" i="10"/>
  <c r="H3234" i="10"/>
  <c r="G3235" i="10"/>
  <c r="H3235" i="10"/>
  <c r="G3236" i="10"/>
  <c r="H3236" i="10"/>
  <c r="G3237" i="10"/>
  <c r="H3237" i="10"/>
  <c r="G3238" i="10"/>
  <c r="H3238" i="10"/>
  <c r="G3239" i="10"/>
  <c r="H3239" i="10"/>
  <c r="G3240" i="10"/>
  <c r="H3240" i="10"/>
  <c r="G3241" i="10"/>
  <c r="H3241" i="10"/>
  <c r="G3242" i="10"/>
  <c r="H3242" i="10"/>
  <c r="G3243" i="10"/>
  <c r="H3243" i="10"/>
  <c r="G3244" i="10"/>
  <c r="H3244" i="10"/>
  <c r="G3245" i="10"/>
  <c r="H3245" i="10"/>
  <c r="G3246" i="10"/>
  <c r="H3246" i="10"/>
  <c r="G3247" i="10"/>
  <c r="H3247" i="10"/>
  <c r="G3248" i="10"/>
  <c r="H3248" i="10"/>
  <c r="G3249" i="10"/>
  <c r="H3249" i="10"/>
  <c r="G3250" i="10"/>
  <c r="H3250" i="10"/>
  <c r="G3251" i="10"/>
  <c r="H3251" i="10"/>
  <c r="G3252" i="10"/>
  <c r="H3252" i="10"/>
  <c r="G3253" i="10"/>
  <c r="H3253" i="10"/>
  <c r="G3254" i="10"/>
  <c r="H3254" i="10"/>
  <c r="G3255" i="10"/>
  <c r="H3255" i="10"/>
  <c r="G3256" i="10"/>
  <c r="H3256" i="10"/>
  <c r="G3257" i="10"/>
  <c r="H3257" i="10"/>
  <c r="G3258" i="10"/>
  <c r="H3258" i="10"/>
  <c r="G3259" i="10"/>
  <c r="H3259" i="10"/>
  <c r="G3260" i="10"/>
  <c r="H3260" i="10"/>
  <c r="G3261" i="10"/>
  <c r="H3261" i="10"/>
  <c r="G3262" i="10"/>
  <c r="H3262" i="10"/>
  <c r="G3263" i="10"/>
  <c r="H3263" i="10"/>
  <c r="G3264" i="10"/>
  <c r="H3264" i="10"/>
  <c r="G3265" i="10"/>
  <c r="H3265" i="10"/>
  <c r="G3266" i="10"/>
  <c r="H3266" i="10"/>
  <c r="G3267" i="10"/>
  <c r="H3267" i="10"/>
  <c r="G3268" i="10"/>
  <c r="H3268" i="10"/>
  <c r="G3269" i="10"/>
  <c r="H3269" i="10"/>
  <c r="G3270" i="10"/>
  <c r="H3270" i="10"/>
  <c r="G3271" i="10"/>
  <c r="H3271" i="10"/>
  <c r="G3272" i="10"/>
  <c r="H3272" i="10"/>
  <c r="G3273" i="10"/>
  <c r="H3273" i="10"/>
  <c r="G3274" i="10"/>
  <c r="H3274" i="10"/>
  <c r="G3275" i="10"/>
  <c r="H3275" i="10"/>
  <c r="G3276" i="10"/>
  <c r="H3276" i="10"/>
  <c r="G3277" i="10"/>
  <c r="H3277" i="10"/>
  <c r="G3278" i="10"/>
  <c r="H3278" i="10"/>
  <c r="G3279" i="10"/>
  <c r="H3279" i="10"/>
  <c r="G3280" i="10"/>
  <c r="H3280" i="10"/>
  <c r="G3281" i="10"/>
  <c r="H3281" i="10"/>
  <c r="G3282" i="10"/>
  <c r="H3282" i="10"/>
  <c r="G3283" i="10"/>
  <c r="H3283" i="10"/>
  <c r="G3284" i="10"/>
  <c r="H3284" i="10"/>
  <c r="G3285" i="10"/>
  <c r="H3285" i="10"/>
  <c r="G3286" i="10"/>
  <c r="H3286" i="10"/>
  <c r="G3287" i="10"/>
  <c r="H3287" i="10"/>
  <c r="G3288" i="10"/>
  <c r="H3288" i="10"/>
  <c r="G3289" i="10"/>
  <c r="H3289" i="10"/>
  <c r="G3290" i="10"/>
  <c r="H3290" i="10"/>
  <c r="G3291" i="10"/>
  <c r="H3291" i="10"/>
  <c r="G3292" i="10"/>
  <c r="H3292" i="10"/>
  <c r="G3293" i="10"/>
  <c r="H3293" i="10"/>
  <c r="G3294" i="10"/>
  <c r="H3294" i="10"/>
  <c r="G3295" i="10"/>
  <c r="H3295" i="10"/>
  <c r="G3296" i="10"/>
  <c r="H3296" i="10"/>
  <c r="G3297" i="10"/>
  <c r="H3297" i="10"/>
  <c r="G3298" i="10"/>
  <c r="H3298" i="10"/>
  <c r="G3299" i="10"/>
  <c r="H3299" i="10"/>
  <c r="G3300" i="10"/>
  <c r="H3300" i="10"/>
  <c r="G3301" i="10"/>
  <c r="H3301" i="10"/>
  <c r="G3302" i="10"/>
  <c r="H3302" i="10"/>
  <c r="G3303" i="10"/>
  <c r="H3303" i="10"/>
  <c r="G3304" i="10"/>
  <c r="H3304" i="10"/>
  <c r="G3305" i="10"/>
  <c r="H3305" i="10"/>
  <c r="G3306" i="10"/>
  <c r="H3306" i="10"/>
  <c r="G3307" i="10"/>
  <c r="H3307" i="10"/>
  <c r="G3308" i="10"/>
  <c r="H3308" i="10"/>
  <c r="G3309" i="10"/>
  <c r="H3309" i="10"/>
  <c r="G3310" i="10"/>
  <c r="H3310" i="10"/>
  <c r="G3311" i="10"/>
  <c r="H3311" i="10"/>
  <c r="G3312" i="10"/>
  <c r="H3312" i="10"/>
  <c r="G3313" i="10"/>
  <c r="H3313" i="10"/>
  <c r="G3314" i="10"/>
  <c r="H3314" i="10"/>
  <c r="G3315" i="10"/>
  <c r="H3315" i="10"/>
  <c r="G3316" i="10"/>
  <c r="H3316" i="10"/>
  <c r="G3317" i="10"/>
  <c r="H3317" i="10"/>
  <c r="G3318" i="10"/>
  <c r="H3318" i="10"/>
  <c r="G3319" i="10"/>
  <c r="H3319" i="10"/>
  <c r="G3320" i="10"/>
  <c r="H3320" i="10"/>
  <c r="G3321" i="10"/>
  <c r="H3321" i="10"/>
  <c r="G3322" i="10"/>
  <c r="H3322" i="10"/>
  <c r="G3323" i="10"/>
  <c r="H3323" i="10"/>
  <c r="G3324" i="10"/>
  <c r="H3324" i="10"/>
  <c r="G3325" i="10"/>
  <c r="H3325" i="10"/>
  <c r="G3326" i="10"/>
  <c r="H3326" i="10"/>
  <c r="G3327" i="10"/>
  <c r="H3327" i="10"/>
  <c r="G3328" i="10"/>
  <c r="H3328" i="10"/>
  <c r="G3329" i="10"/>
  <c r="H3329" i="10"/>
  <c r="G3330" i="10"/>
  <c r="H3330" i="10"/>
  <c r="G3331" i="10"/>
  <c r="H3331" i="10"/>
  <c r="G3332" i="10"/>
  <c r="H3332" i="10"/>
  <c r="G3333" i="10"/>
  <c r="H3333" i="10"/>
  <c r="G3334" i="10"/>
  <c r="H3334" i="10"/>
  <c r="G3335" i="10"/>
  <c r="H3335" i="10"/>
  <c r="G3336" i="10"/>
  <c r="H3336" i="10"/>
  <c r="G3337" i="10"/>
  <c r="H3337" i="10"/>
  <c r="G3338" i="10"/>
  <c r="H3338" i="10"/>
  <c r="G3339" i="10"/>
  <c r="H3339" i="10"/>
  <c r="G3340" i="10"/>
  <c r="H3340" i="10"/>
  <c r="G3341" i="10"/>
  <c r="H3341" i="10"/>
  <c r="G3342" i="10"/>
  <c r="H3342" i="10"/>
  <c r="G3343" i="10"/>
  <c r="H3343" i="10"/>
  <c r="G3344" i="10"/>
  <c r="H3344" i="10"/>
  <c r="G3345" i="10"/>
  <c r="H3345" i="10"/>
  <c r="G3346" i="10"/>
  <c r="H3346" i="10"/>
  <c r="G3347" i="10"/>
  <c r="H3347" i="10"/>
  <c r="G3348" i="10"/>
  <c r="H3348" i="10"/>
  <c r="G3349" i="10"/>
  <c r="H3349" i="10"/>
  <c r="G3350" i="10"/>
  <c r="H3350" i="10"/>
  <c r="G3351" i="10"/>
  <c r="H3351" i="10"/>
  <c r="G3352" i="10"/>
  <c r="H3352" i="10"/>
  <c r="G3353" i="10"/>
  <c r="H3353" i="10"/>
  <c r="G3354" i="10"/>
  <c r="H3354" i="10"/>
  <c r="G3355" i="10"/>
  <c r="H3355" i="10"/>
  <c r="G3356" i="10"/>
  <c r="H3356" i="10"/>
  <c r="G3357" i="10"/>
  <c r="H3357" i="10"/>
  <c r="G3358" i="10"/>
  <c r="H3358" i="10"/>
  <c r="G3359" i="10"/>
  <c r="H3359" i="10"/>
  <c r="G3360" i="10"/>
  <c r="H3360" i="10"/>
  <c r="G3361" i="10"/>
  <c r="H3361" i="10"/>
  <c r="G3362" i="10"/>
  <c r="H3362" i="10"/>
  <c r="G3363" i="10"/>
  <c r="H3363" i="10"/>
  <c r="G3364" i="10"/>
  <c r="H3364" i="10"/>
  <c r="G3365" i="10"/>
  <c r="H3365" i="10"/>
  <c r="G3366" i="10"/>
  <c r="H3366" i="10"/>
  <c r="G3367" i="10"/>
  <c r="H3367" i="10"/>
  <c r="G3368" i="10"/>
  <c r="H3368" i="10"/>
  <c r="G3369" i="10"/>
  <c r="H3369" i="10"/>
  <c r="G3370" i="10"/>
  <c r="H3370" i="10"/>
  <c r="G3371" i="10"/>
  <c r="H3371" i="10"/>
  <c r="G3372" i="10"/>
  <c r="H3372" i="10"/>
  <c r="G3373" i="10"/>
  <c r="H3373" i="10"/>
  <c r="G3374" i="10"/>
  <c r="H3374" i="10"/>
  <c r="G3375" i="10"/>
  <c r="H3375" i="10"/>
  <c r="G3376" i="10"/>
  <c r="H3376" i="10"/>
  <c r="G3377" i="10"/>
  <c r="H3377" i="10"/>
  <c r="G3378" i="10"/>
  <c r="H3378" i="10"/>
  <c r="G3379" i="10"/>
  <c r="H3379" i="10"/>
  <c r="G3380" i="10"/>
  <c r="H3380" i="10"/>
  <c r="G3381" i="10"/>
  <c r="H3381" i="10"/>
  <c r="G3382" i="10"/>
  <c r="H3382" i="10"/>
  <c r="G3383" i="10"/>
  <c r="H3383" i="10"/>
  <c r="G3384" i="10"/>
  <c r="H3384" i="10"/>
  <c r="G3385" i="10"/>
  <c r="H3385" i="10"/>
  <c r="G3386" i="10"/>
  <c r="H3386" i="10"/>
  <c r="G3387" i="10"/>
  <c r="H3387" i="10"/>
  <c r="G3388" i="10"/>
  <c r="H3388" i="10"/>
  <c r="G3389" i="10"/>
  <c r="H3389" i="10"/>
  <c r="G3390" i="10"/>
  <c r="H3390" i="10"/>
  <c r="G3391" i="10"/>
  <c r="H3391" i="10"/>
  <c r="G3392" i="10"/>
  <c r="H3392" i="10"/>
  <c r="G3393" i="10"/>
  <c r="H3393" i="10"/>
  <c r="G3394" i="10"/>
  <c r="H3394" i="10"/>
  <c r="G3395" i="10"/>
  <c r="H3395" i="10"/>
  <c r="G3396" i="10"/>
  <c r="H3396" i="10"/>
  <c r="G3397" i="10"/>
  <c r="H3397" i="10"/>
  <c r="G3398" i="10"/>
  <c r="H3398" i="10"/>
  <c r="G3399" i="10"/>
  <c r="H3399" i="10"/>
  <c r="G3400" i="10"/>
  <c r="H3400" i="10"/>
  <c r="G3401" i="10"/>
  <c r="H3401" i="10"/>
  <c r="G3402" i="10"/>
  <c r="H3402" i="10"/>
  <c r="G3403" i="10"/>
  <c r="H3403" i="10"/>
  <c r="G3404" i="10"/>
  <c r="H3404" i="10"/>
  <c r="G3405" i="10"/>
  <c r="H3405" i="10"/>
  <c r="G3406" i="10"/>
  <c r="H3406" i="10"/>
  <c r="G3407" i="10"/>
  <c r="H3407" i="10"/>
  <c r="G3408" i="10"/>
  <c r="H3408" i="10"/>
  <c r="G3409" i="10"/>
  <c r="H3409" i="10"/>
  <c r="G3410" i="10"/>
  <c r="H3410" i="10"/>
  <c r="G3411" i="10"/>
  <c r="H3411" i="10"/>
  <c r="G3412" i="10"/>
  <c r="H3412" i="10"/>
  <c r="G3413" i="10"/>
  <c r="H3413" i="10"/>
  <c r="G3414" i="10"/>
  <c r="H3414" i="10"/>
  <c r="G3415" i="10"/>
  <c r="H3415" i="10"/>
  <c r="G3416" i="10"/>
  <c r="H3416" i="10"/>
  <c r="G3417" i="10"/>
  <c r="H3417" i="10"/>
  <c r="G3418" i="10"/>
  <c r="H3418" i="10"/>
  <c r="G3419" i="10"/>
  <c r="H3419" i="10"/>
  <c r="G3420" i="10"/>
  <c r="H3420" i="10"/>
  <c r="G3421" i="10"/>
  <c r="H3421" i="10"/>
  <c r="G3422" i="10"/>
  <c r="H3422" i="10"/>
  <c r="G3423" i="10"/>
  <c r="H3423" i="10"/>
  <c r="G3424" i="10"/>
  <c r="H3424" i="10"/>
  <c r="G3425" i="10"/>
  <c r="H3425" i="10"/>
  <c r="G3426" i="10"/>
  <c r="H3426" i="10"/>
  <c r="G3427" i="10"/>
  <c r="H3427" i="10"/>
  <c r="G3428" i="10"/>
  <c r="H3428" i="10"/>
  <c r="G3429" i="10"/>
  <c r="H3429" i="10"/>
  <c r="G3430" i="10"/>
  <c r="H3430" i="10"/>
  <c r="G3431" i="10"/>
  <c r="H3431" i="10"/>
  <c r="G3432" i="10"/>
  <c r="H3432" i="10"/>
  <c r="G3433" i="10"/>
  <c r="H3433" i="10"/>
  <c r="G3434" i="10"/>
  <c r="H3434" i="10"/>
  <c r="G3435" i="10"/>
  <c r="H3435" i="10"/>
  <c r="G3436" i="10"/>
  <c r="H3436" i="10"/>
  <c r="G3437" i="10"/>
  <c r="H3437" i="10"/>
  <c r="G3438" i="10"/>
  <c r="H3438" i="10"/>
  <c r="G3439" i="10"/>
  <c r="H3439" i="10"/>
  <c r="G3440" i="10"/>
  <c r="H3440" i="10"/>
  <c r="G3441" i="10"/>
  <c r="H3441" i="10"/>
  <c r="G3442" i="10"/>
  <c r="H3442" i="10"/>
  <c r="G3443" i="10"/>
  <c r="H3443" i="10"/>
  <c r="G3444" i="10"/>
  <c r="H3444" i="10"/>
  <c r="G3445" i="10"/>
  <c r="H3445" i="10"/>
  <c r="G3446" i="10"/>
  <c r="H3446" i="10"/>
  <c r="G3447" i="10"/>
  <c r="H3447" i="10"/>
  <c r="G3448" i="10"/>
  <c r="H3448" i="10"/>
  <c r="G3449" i="10"/>
  <c r="H3449" i="10"/>
  <c r="G3450" i="10"/>
  <c r="H3450" i="10"/>
  <c r="G3451" i="10"/>
  <c r="H3451" i="10"/>
  <c r="G3452" i="10"/>
  <c r="H3452" i="10"/>
  <c r="G3453" i="10"/>
  <c r="H3453" i="10"/>
  <c r="G3454" i="10"/>
  <c r="H3454" i="10"/>
  <c r="G3455" i="10"/>
  <c r="H3455" i="10"/>
  <c r="G3456" i="10"/>
  <c r="H3456" i="10"/>
  <c r="G3457" i="10"/>
  <c r="H3457" i="10"/>
  <c r="G3458" i="10"/>
  <c r="H3458" i="10"/>
  <c r="G3459" i="10"/>
  <c r="H3459" i="10"/>
  <c r="G3460" i="10"/>
  <c r="H3460" i="10"/>
  <c r="G3461" i="10"/>
  <c r="H3461" i="10"/>
  <c r="G3462" i="10"/>
  <c r="H3462" i="10"/>
  <c r="G3463" i="10"/>
  <c r="H3463" i="10"/>
  <c r="G3464" i="10"/>
  <c r="H3464" i="10"/>
  <c r="G3465" i="10"/>
  <c r="H3465" i="10"/>
  <c r="G3466" i="10"/>
  <c r="H3466" i="10"/>
  <c r="G3467" i="10"/>
  <c r="H3467" i="10"/>
  <c r="G3468" i="10"/>
  <c r="H3468" i="10"/>
  <c r="G3469" i="10"/>
  <c r="H3469" i="10"/>
  <c r="G3470" i="10"/>
  <c r="H3470" i="10"/>
  <c r="G3471" i="10"/>
  <c r="H3471" i="10"/>
  <c r="G3472" i="10"/>
  <c r="H3472" i="10"/>
  <c r="G3473" i="10"/>
  <c r="H3473" i="10"/>
  <c r="G3474" i="10"/>
  <c r="H3474" i="10"/>
  <c r="G3475" i="10"/>
  <c r="H3475" i="10"/>
  <c r="G3476" i="10"/>
  <c r="H3476" i="10"/>
  <c r="G3477" i="10"/>
  <c r="H3477" i="10"/>
  <c r="G3478" i="10"/>
  <c r="H3478" i="10"/>
  <c r="G3479" i="10"/>
  <c r="H3479" i="10"/>
  <c r="G3480" i="10"/>
  <c r="H3480" i="10"/>
  <c r="G3481" i="10"/>
  <c r="H3481" i="10"/>
  <c r="G3482" i="10"/>
  <c r="H3482" i="10"/>
  <c r="G3483" i="10"/>
  <c r="H3483" i="10"/>
  <c r="G3484" i="10"/>
  <c r="H3484" i="10"/>
  <c r="G3485" i="10"/>
  <c r="H3485" i="10"/>
  <c r="G3486" i="10"/>
  <c r="H3486" i="10"/>
  <c r="G3487" i="10"/>
  <c r="H3487" i="10"/>
  <c r="G3488" i="10"/>
  <c r="H3488" i="10"/>
  <c r="G3489" i="10"/>
  <c r="H3489" i="10"/>
  <c r="G3490" i="10"/>
  <c r="H3490" i="10"/>
  <c r="G3491" i="10"/>
  <c r="H3491" i="10"/>
  <c r="G3492" i="10"/>
  <c r="H3492" i="10"/>
  <c r="G3493" i="10"/>
  <c r="H3493" i="10"/>
  <c r="G3494" i="10"/>
  <c r="H3494" i="10"/>
  <c r="G3495" i="10"/>
  <c r="H3495" i="10"/>
  <c r="G3496" i="10"/>
  <c r="H3496" i="10"/>
  <c r="G3497" i="10"/>
  <c r="H3497" i="10"/>
  <c r="G3498" i="10"/>
  <c r="H3498" i="10"/>
  <c r="G3499" i="10"/>
  <c r="H3499" i="10"/>
  <c r="G3500" i="10"/>
  <c r="H3500" i="10"/>
  <c r="G3501" i="10"/>
  <c r="H3501" i="10"/>
  <c r="G3502" i="10"/>
  <c r="H3502" i="10"/>
  <c r="G3503" i="10"/>
  <c r="H3503" i="10"/>
  <c r="G3504" i="10"/>
  <c r="H3504" i="10"/>
  <c r="G3505" i="10"/>
  <c r="H3505" i="10"/>
  <c r="G3506" i="10"/>
  <c r="H3506" i="10"/>
  <c r="G3507" i="10"/>
  <c r="H3507" i="10"/>
  <c r="G3508" i="10"/>
  <c r="H3508" i="10"/>
  <c r="G3509" i="10"/>
  <c r="H3509" i="10"/>
  <c r="G3510" i="10"/>
  <c r="H3510" i="10"/>
  <c r="G3511" i="10"/>
  <c r="H3511" i="10"/>
  <c r="G3512" i="10"/>
  <c r="H3512" i="10"/>
  <c r="G3513" i="10"/>
  <c r="H3513" i="10"/>
  <c r="G3514" i="10"/>
  <c r="H3514" i="10"/>
  <c r="G3515" i="10"/>
  <c r="H3515" i="10"/>
  <c r="G3516" i="10"/>
  <c r="H3516" i="10"/>
  <c r="G3517" i="10"/>
  <c r="H3517" i="10"/>
  <c r="G3518" i="10"/>
  <c r="H3518" i="10"/>
  <c r="G3519" i="10"/>
  <c r="H3519" i="10"/>
  <c r="G3520" i="10"/>
  <c r="H3520" i="10"/>
  <c r="G3521" i="10"/>
  <c r="H3521" i="10"/>
  <c r="G3522" i="10"/>
  <c r="H3522" i="10"/>
  <c r="G3523" i="10"/>
  <c r="H3523" i="10"/>
  <c r="G3524" i="10"/>
  <c r="H3524" i="10"/>
  <c r="G3525" i="10"/>
  <c r="H3525" i="10"/>
  <c r="G3526" i="10"/>
  <c r="H3526" i="10"/>
  <c r="G3527" i="10"/>
  <c r="H3527" i="10"/>
  <c r="G3528" i="10"/>
  <c r="H3528" i="10"/>
  <c r="G3529" i="10"/>
  <c r="H3529" i="10"/>
  <c r="G3530" i="10"/>
  <c r="H3530" i="10"/>
  <c r="G3531" i="10"/>
  <c r="H3531" i="10"/>
  <c r="G3532" i="10"/>
  <c r="H3532" i="10"/>
  <c r="G3533" i="10"/>
  <c r="H3533" i="10"/>
  <c r="G3534" i="10"/>
  <c r="H3534" i="10"/>
  <c r="G3535" i="10"/>
  <c r="H3535" i="10"/>
  <c r="G3536" i="10"/>
  <c r="H3536" i="10"/>
  <c r="G3537" i="10"/>
  <c r="H3537" i="10"/>
  <c r="G3538" i="10"/>
  <c r="H3538" i="10"/>
  <c r="G3539" i="10"/>
  <c r="H3539" i="10"/>
  <c r="G3540" i="10"/>
  <c r="H3540" i="10"/>
  <c r="G3541" i="10"/>
  <c r="H3541" i="10"/>
  <c r="G3542" i="10"/>
  <c r="H3542" i="10"/>
  <c r="G3543" i="10"/>
  <c r="H3543" i="10"/>
  <c r="G3544" i="10"/>
  <c r="H3544" i="10"/>
  <c r="G3545" i="10"/>
  <c r="H3545" i="10"/>
  <c r="G3546" i="10"/>
  <c r="H3546" i="10"/>
  <c r="G3547" i="10"/>
  <c r="H3547" i="10"/>
  <c r="G3548" i="10"/>
  <c r="H3548" i="10"/>
  <c r="G3549" i="10"/>
  <c r="H3549" i="10"/>
  <c r="G3550" i="10"/>
  <c r="H3550" i="10"/>
  <c r="G3551" i="10"/>
  <c r="H3551" i="10"/>
  <c r="G3552" i="10"/>
  <c r="H3552" i="10"/>
  <c r="G3553" i="10"/>
  <c r="H3553" i="10"/>
  <c r="G3554" i="10"/>
  <c r="H3554" i="10"/>
  <c r="G3555" i="10"/>
  <c r="H3555" i="10"/>
  <c r="G3556" i="10"/>
  <c r="H3556" i="10"/>
  <c r="G3557" i="10"/>
  <c r="H3557" i="10"/>
  <c r="G3558" i="10"/>
  <c r="H3558" i="10"/>
  <c r="G3559" i="10"/>
  <c r="H3559" i="10"/>
  <c r="G3560" i="10"/>
  <c r="H3560" i="10"/>
  <c r="G3561" i="10"/>
  <c r="H3561" i="10"/>
  <c r="G3562" i="10"/>
  <c r="H3562" i="10"/>
  <c r="G3563" i="10"/>
  <c r="H3563" i="10"/>
  <c r="G3564" i="10"/>
  <c r="H3564" i="10"/>
  <c r="G3565" i="10"/>
  <c r="H3565" i="10"/>
  <c r="G3566" i="10"/>
  <c r="H3566" i="10"/>
  <c r="G3567" i="10"/>
  <c r="H3567" i="10"/>
  <c r="G3568" i="10"/>
  <c r="H3568" i="10"/>
  <c r="G3569" i="10"/>
  <c r="H3569" i="10"/>
  <c r="G3570" i="10"/>
  <c r="H3570" i="10"/>
  <c r="G3571" i="10"/>
  <c r="H3571" i="10"/>
  <c r="G3572" i="10"/>
  <c r="H3572" i="10"/>
  <c r="G3573" i="10"/>
  <c r="H3573" i="10"/>
  <c r="G3574" i="10"/>
  <c r="H3574" i="10"/>
  <c r="G3575" i="10"/>
  <c r="H3575" i="10"/>
  <c r="G3576" i="10"/>
  <c r="H3576" i="10"/>
  <c r="G3577" i="10"/>
  <c r="H3577" i="10"/>
  <c r="G3578" i="10"/>
  <c r="H3578" i="10"/>
  <c r="G3579" i="10"/>
  <c r="H3579" i="10"/>
  <c r="G3580" i="10"/>
  <c r="H3580" i="10"/>
  <c r="G3581" i="10"/>
  <c r="H3581" i="10"/>
  <c r="G3582" i="10"/>
  <c r="H3582" i="10"/>
  <c r="G3583" i="10"/>
  <c r="H3583" i="10"/>
  <c r="G3584" i="10"/>
  <c r="H3584" i="10"/>
  <c r="G3585" i="10"/>
  <c r="H3585" i="10"/>
  <c r="G3586" i="10"/>
  <c r="H3586" i="10"/>
  <c r="G3587" i="10"/>
  <c r="H3587" i="10"/>
  <c r="G3588" i="10"/>
  <c r="H3588" i="10"/>
  <c r="G3589" i="10"/>
  <c r="H3589" i="10"/>
  <c r="G3590" i="10"/>
  <c r="H3590" i="10"/>
  <c r="G3591" i="10"/>
  <c r="H3591" i="10"/>
  <c r="G3592" i="10"/>
  <c r="H3592" i="10"/>
  <c r="G3593" i="10"/>
  <c r="H3593" i="10"/>
  <c r="G3594" i="10"/>
  <c r="H3594" i="10"/>
  <c r="G3595" i="10"/>
  <c r="H3595" i="10"/>
  <c r="G3596" i="10"/>
  <c r="H3596" i="10"/>
  <c r="G3597" i="10"/>
  <c r="H3597" i="10"/>
  <c r="G3598" i="10"/>
  <c r="H3598" i="10"/>
  <c r="G3599" i="10"/>
  <c r="H3599" i="10"/>
  <c r="G3600" i="10"/>
  <c r="H3600" i="10"/>
  <c r="G3601" i="10"/>
  <c r="H3601" i="10"/>
  <c r="G3602" i="10"/>
  <c r="H3602" i="10"/>
  <c r="G3603" i="10"/>
  <c r="H3603" i="10"/>
  <c r="G3604" i="10"/>
  <c r="H3604" i="10"/>
  <c r="G3605" i="10"/>
  <c r="H3605" i="10"/>
  <c r="G3606" i="10"/>
  <c r="H3606" i="10"/>
  <c r="G3607" i="10"/>
  <c r="H3607" i="10"/>
  <c r="G3608" i="10"/>
  <c r="H3608" i="10"/>
  <c r="G3609" i="10"/>
  <c r="H3609" i="10"/>
  <c r="G3610" i="10"/>
  <c r="H3610" i="10"/>
  <c r="G3611" i="10"/>
  <c r="H3611" i="10"/>
  <c r="G3612" i="10"/>
  <c r="H3612" i="10"/>
  <c r="G3613" i="10"/>
  <c r="H3613" i="10"/>
  <c r="G3614" i="10"/>
  <c r="H3614" i="10"/>
  <c r="G3615" i="10"/>
  <c r="H3615" i="10"/>
  <c r="G3616" i="10"/>
  <c r="H3616" i="10"/>
  <c r="G3617" i="10"/>
  <c r="H3617" i="10"/>
  <c r="G3618" i="10"/>
  <c r="H3618" i="10"/>
  <c r="G3619" i="10"/>
  <c r="H3619" i="10"/>
  <c r="G3620" i="10"/>
  <c r="H3620" i="10"/>
  <c r="G3621" i="10"/>
  <c r="H3621" i="10"/>
  <c r="G3622" i="10"/>
  <c r="H3622" i="10"/>
  <c r="G3623" i="10"/>
  <c r="H3623" i="10"/>
  <c r="G3624" i="10"/>
  <c r="H3624" i="10"/>
  <c r="G3625" i="10"/>
  <c r="H3625" i="10"/>
  <c r="G3626" i="10"/>
  <c r="H3626" i="10"/>
  <c r="G3627" i="10"/>
  <c r="H3627" i="10"/>
  <c r="G3628" i="10"/>
  <c r="H3628" i="10"/>
  <c r="G3629" i="10"/>
  <c r="H3629" i="10"/>
  <c r="G3630" i="10"/>
  <c r="H3630" i="10"/>
  <c r="G3631" i="10"/>
  <c r="H3631" i="10"/>
  <c r="G3632" i="10"/>
  <c r="H3632" i="10"/>
  <c r="G3633" i="10"/>
  <c r="H3633" i="10"/>
  <c r="G3634" i="10"/>
  <c r="H3634" i="10"/>
  <c r="G3635" i="10"/>
  <c r="H3635" i="10"/>
  <c r="G3636" i="10"/>
  <c r="H3636" i="10"/>
  <c r="G3637" i="10"/>
  <c r="H3637" i="10"/>
  <c r="G3638" i="10"/>
  <c r="H3638" i="10"/>
  <c r="G3639" i="10"/>
  <c r="H3639" i="10"/>
  <c r="G3640" i="10"/>
  <c r="H3640" i="10"/>
  <c r="G3641" i="10"/>
  <c r="H3641" i="10"/>
  <c r="G3642" i="10"/>
  <c r="H3642" i="10"/>
  <c r="G3643" i="10"/>
  <c r="H3643" i="10"/>
  <c r="G3644" i="10"/>
  <c r="H3644" i="10"/>
  <c r="G3645" i="10"/>
  <c r="H3645" i="10"/>
  <c r="G3646" i="10"/>
  <c r="H3646" i="10"/>
  <c r="G3647" i="10"/>
  <c r="H3647" i="10"/>
  <c r="G3648" i="10"/>
  <c r="H3648" i="10"/>
  <c r="G3649" i="10"/>
  <c r="H3649" i="10"/>
  <c r="G3650" i="10"/>
  <c r="H3650" i="10"/>
  <c r="G3651" i="10"/>
  <c r="H3651" i="10"/>
  <c r="G3652" i="10"/>
  <c r="H3652" i="10"/>
  <c r="G3653" i="10"/>
  <c r="H3653" i="10"/>
  <c r="G3654" i="10"/>
  <c r="H3654" i="10"/>
  <c r="G3655" i="10"/>
  <c r="H3655" i="10"/>
  <c r="G3656" i="10"/>
  <c r="H3656" i="10"/>
  <c r="G3657" i="10"/>
  <c r="H3657" i="10"/>
  <c r="G3658" i="10"/>
  <c r="H3658" i="10"/>
  <c r="G3659" i="10"/>
  <c r="H3659" i="10"/>
  <c r="G3660" i="10"/>
  <c r="H3660" i="10"/>
  <c r="G3661" i="10"/>
  <c r="H3661" i="10"/>
  <c r="G3662" i="10"/>
  <c r="H3662" i="10"/>
  <c r="G3663" i="10"/>
  <c r="H3663" i="10"/>
  <c r="G3664" i="10"/>
  <c r="H3664" i="10"/>
  <c r="G3665" i="10"/>
  <c r="H3665" i="10"/>
  <c r="G3666" i="10"/>
  <c r="H3666" i="10"/>
  <c r="G3667" i="10"/>
  <c r="H3667" i="10"/>
  <c r="G3668" i="10"/>
  <c r="H3668" i="10"/>
  <c r="G3669" i="10"/>
  <c r="H3669" i="10"/>
  <c r="G3670" i="10"/>
  <c r="H3670" i="10"/>
  <c r="G3671" i="10"/>
  <c r="H3671" i="10"/>
  <c r="G3672" i="10"/>
  <c r="H3672" i="10"/>
  <c r="G3673" i="10"/>
  <c r="H3673" i="10"/>
  <c r="G3674" i="10"/>
  <c r="H3674" i="10"/>
  <c r="G3675" i="10"/>
  <c r="H3675" i="10"/>
  <c r="G3676" i="10"/>
  <c r="H3676" i="10"/>
  <c r="G3677" i="10"/>
  <c r="H3677" i="10"/>
  <c r="G3678" i="10"/>
  <c r="H3678" i="10"/>
  <c r="G3679" i="10"/>
  <c r="H3679" i="10"/>
  <c r="G3680" i="10"/>
  <c r="H3680" i="10"/>
  <c r="G3681" i="10"/>
  <c r="H3681" i="10"/>
  <c r="G3682" i="10"/>
  <c r="H3682" i="10"/>
  <c r="G3683" i="10"/>
  <c r="H3683" i="10"/>
  <c r="G3684" i="10"/>
  <c r="H3684" i="10"/>
  <c r="G3685" i="10"/>
  <c r="H3685" i="10"/>
  <c r="G3686" i="10"/>
  <c r="H3686" i="10"/>
  <c r="G3687" i="10"/>
  <c r="H3687" i="10"/>
  <c r="G3688" i="10"/>
  <c r="H3688" i="10"/>
  <c r="G3689" i="10"/>
  <c r="H3689" i="10"/>
  <c r="G3690" i="10"/>
  <c r="H3690" i="10"/>
  <c r="G3691" i="10"/>
  <c r="H3691" i="10"/>
  <c r="G3692" i="10"/>
  <c r="H3692" i="10"/>
  <c r="G3693" i="10"/>
  <c r="H3693" i="10"/>
  <c r="G3694" i="10"/>
  <c r="H3694" i="10"/>
  <c r="G3695" i="10"/>
  <c r="H3695" i="10"/>
  <c r="G3696" i="10"/>
  <c r="H3696" i="10"/>
  <c r="G3697" i="10"/>
  <c r="H3697" i="10"/>
  <c r="G3698" i="10"/>
  <c r="H3698" i="10"/>
  <c r="G3699" i="10"/>
  <c r="H3699" i="10"/>
  <c r="G3700" i="10"/>
  <c r="H3700" i="10"/>
  <c r="G3701" i="10"/>
  <c r="H3701" i="10"/>
  <c r="G3702" i="10"/>
  <c r="H3702" i="10"/>
  <c r="G3703" i="10"/>
  <c r="H3703" i="10"/>
  <c r="G3704" i="10"/>
  <c r="H3704" i="10"/>
  <c r="G3705" i="10"/>
  <c r="H3705" i="10"/>
  <c r="G3706" i="10"/>
  <c r="H3706" i="10"/>
  <c r="G3707" i="10"/>
  <c r="H3707" i="10"/>
  <c r="G3708" i="10"/>
  <c r="H3708" i="10"/>
  <c r="G3709" i="10"/>
  <c r="H3709" i="10"/>
  <c r="G3710" i="10"/>
  <c r="H3710" i="10"/>
  <c r="G3711" i="10"/>
  <c r="H3711" i="10"/>
  <c r="G3712" i="10"/>
  <c r="H3712" i="10"/>
  <c r="G3713" i="10"/>
  <c r="H3713" i="10"/>
  <c r="G3714" i="10"/>
  <c r="H3714" i="10"/>
  <c r="G3715" i="10"/>
  <c r="H3715" i="10"/>
  <c r="G3716" i="10"/>
  <c r="H3716" i="10"/>
  <c r="G3717" i="10"/>
  <c r="H3717" i="10"/>
  <c r="G3718" i="10"/>
  <c r="H3718" i="10"/>
  <c r="G3719" i="10"/>
  <c r="H3719" i="10"/>
  <c r="G3720" i="10"/>
  <c r="H3720" i="10"/>
  <c r="G3721" i="10"/>
  <c r="H3721" i="10"/>
  <c r="G3722" i="10"/>
  <c r="H3722" i="10"/>
  <c r="G3723" i="10"/>
  <c r="H3723" i="10"/>
  <c r="G3724" i="10"/>
  <c r="H3724" i="10"/>
  <c r="G3725" i="10"/>
  <c r="H3725" i="10"/>
  <c r="G3726" i="10"/>
  <c r="H3726" i="10"/>
  <c r="G3727" i="10"/>
  <c r="H3727" i="10"/>
  <c r="G3728" i="10"/>
  <c r="H3728" i="10"/>
  <c r="G3729" i="10"/>
  <c r="H3729" i="10"/>
  <c r="G3730" i="10"/>
  <c r="H3730" i="10"/>
  <c r="G3731" i="10"/>
  <c r="H3731" i="10"/>
  <c r="G3732" i="10"/>
  <c r="H3732" i="10"/>
  <c r="G3733" i="10"/>
  <c r="H3733" i="10"/>
  <c r="G3734" i="10"/>
  <c r="H3734" i="10"/>
  <c r="G3735" i="10"/>
  <c r="H3735" i="10"/>
  <c r="G3736" i="10"/>
  <c r="H3736" i="10"/>
  <c r="G3737" i="10"/>
  <c r="H3737" i="10"/>
  <c r="G3738" i="10"/>
  <c r="H3738" i="10"/>
  <c r="G3739" i="10"/>
  <c r="H3739" i="10"/>
  <c r="G3740" i="10"/>
  <c r="H3740" i="10"/>
  <c r="G3741" i="10"/>
  <c r="H3741" i="10"/>
  <c r="G3742" i="10"/>
  <c r="H3742" i="10"/>
  <c r="G3743" i="10"/>
  <c r="H3743" i="10"/>
  <c r="G3744" i="10"/>
  <c r="H3744" i="10"/>
  <c r="G3745" i="10"/>
  <c r="H3745" i="10"/>
  <c r="G3746" i="10"/>
  <c r="H3746" i="10"/>
  <c r="G3747" i="10"/>
  <c r="H3747" i="10"/>
  <c r="G3748" i="10"/>
  <c r="H3748" i="10"/>
  <c r="G3749" i="10"/>
  <c r="H3749" i="10"/>
  <c r="G3750" i="10"/>
  <c r="H3750" i="10"/>
  <c r="G3751" i="10"/>
  <c r="H3751" i="10"/>
  <c r="G3752" i="10"/>
  <c r="H3752" i="10"/>
  <c r="G3753" i="10"/>
  <c r="H3753" i="10"/>
  <c r="G3754" i="10"/>
  <c r="H3754" i="10"/>
  <c r="G3755" i="10"/>
  <c r="H3755" i="10"/>
  <c r="G3756" i="10"/>
  <c r="H3756" i="10"/>
  <c r="G3757" i="10"/>
  <c r="H3757" i="10"/>
  <c r="G3758" i="10"/>
  <c r="H3758" i="10"/>
  <c r="G3759" i="10"/>
  <c r="H3759" i="10"/>
  <c r="G3760" i="10"/>
  <c r="H3760" i="10"/>
  <c r="G3761" i="10"/>
  <c r="H3761" i="10"/>
  <c r="G3762" i="10"/>
  <c r="H3762" i="10"/>
  <c r="G3763" i="10"/>
  <c r="H3763" i="10"/>
  <c r="G3764" i="10"/>
  <c r="H3764" i="10"/>
  <c r="G3765" i="10"/>
  <c r="H3765" i="10"/>
  <c r="G3766" i="10"/>
  <c r="H3766" i="10"/>
  <c r="G3767" i="10"/>
  <c r="H3767" i="10"/>
  <c r="G3768" i="10"/>
  <c r="H3768" i="10"/>
  <c r="G3769" i="10"/>
  <c r="H3769" i="10"/>
  <c r="G3770" i="10"/>
  <c r="H3770" i="10"/>
  <c r="G3771" i="10"/>
  <c r="H3771" i="10"/>
  <c r="G3772" i="10"/>
  <c r="H3772" i="10"/>
  <c r="G3773" i="10"/>
  <c r="H3773" i="10"/>
  <c r="G3774" i="10"/>
  <c r="H3774" i="10"/>
  <c r="G3775" i="10"/>
  <c r="H3775" i="10"/>
  <c r="G3776" i="10"/>
  <c r="H3776" i="10"/>
  <c r="G3777" i="10"/>
  <c r="H3777" i="10"/>
  <c r="G3778" i="10"/>
  <c r="H3778" i="10"/>
  <c r="G3779" i="10"/>
  <c r="H3779" i="10"/>
  <c r="G3780" i="10"/>
  <c r="H3780" i="10"/>
  <c r="G3781" i="10"/>
  <c r="H3781" i="10"/>
  <c r="G3782" i="10"/>
  <c r="H3782" i="10"/>
  <c r="G3783" i="10"/>
  <c r="H3783" i="10"/>
  <c r="G3784" i="10"/>
  <c r="H3784" i="10"/>
  <c r="G3785" i="10"/>
  <c r="H3785" i="10"/>
  <c r="G3786" i="10"/>
  <c r="H3786" i="10"/>
  <c r="G3787" i="10"/>
  <c r="H3787" i="10"/>
  <c r="G3788" i="10"/>
  <c r="H3788" i="10"/>
  <c r="G3789" i="10"/>
  <c r="H3789" i="10"/>
  <c r="G3790" i="10"/>
  <c r="H3790" i="10"/>
  <c r="G3791" i="10"/>
  <c r="H3791" i="10"/>
  <c r="G3792" i="10"/>
  <c r="H3792" i="10"/>
  <c r="G3793" i="10"/>
  <c r="H3793" i="10"/>
  <c r="G3794" i="10"/>
  <c r="H3794" i="10"/>
  <c r="G3795" i="10"/>
  <c r="H3795" i="10"/>
  <c r="G3796" i="10"/>
  <c r="H3796" i="10"/>
  <c r="G3797" i="10"/>
  <c r="H3797" i="10"/>
  <c r="G3798" i="10"/>
  <c r="H3798" i="10"/>
  <c r="G3799" i="10"/>
  <c r="H3799" i="10"/>
  <c r="G3800" i="10"/>
  <c r="H3800" i="10"/>
  <c r="G3801" i="10"/>
  <c r="H3801" i="10"/>
  <c r="G3802" i="10"/>
  <c r="H3802" i="10"/>
  <c r="G3803" i="10"/>
  <c r="H3803" i="10"/>
  <c r="G3804" i="10"/>
  <c r="H3804" i="10"/>
  <c r="G3805" i="10"/>
  <c r="H3805" i="10"/>
  <c r="G3806" i="10"/>
  <c r="H3806" i="10"/>
  <c r="G3807" i="10"/>
  <c r="H3807" i="10"/>
  <c r="G3808" i="10"/>
  <c r="H3808" i="10"/>
  <c r="G3809" i="10"/>
  <c r="H3809" i="10"/>
  <c r="G3810" i="10"/>
  <c r="H3810" i="10"/>
  <c r="G3811" i="10"/>
  <c r="H3811" i="10"/>
  <c r="G3812" i="10"/>
  <c r="H3812" i="10"/>
  <c r="G3813" i="10"/>
  <c r="H3813" i="10"/>
  <c r="G3814" i="10"/>
  <c r="H3814" i="10"/>
  <c r="G3815" i="10"/>
  <c r="H3815" i="10"/>
  <c r="G3816" i="10"/>
  <c r="H3816" i="10"/>
  <c r="G3817" i="10"/>
  <c r="H3817" i="10"/>
  <c r="G3818" i="10"/>
  <c r="H3818" i="10"/>
  <c r="G3819" i="10"/>
  <c r="H3819" i="10"/>
  <c r="G3820" i="10"/>
  <c r="H3820" i="10"/>
  <c r="G3821" i="10"/>
  <c r="H3821" i="10"/>
  <c r="G3822" i="10"/>
  <c r="H3822" i="10"/>
  <c r="G3823" i="10"/>
  <c r="H3823" i="10"/>
  <c r="G3824" i="10"/>
  <c r="H3824" i="10"/>
  <c r="G3825" i="10"/>
  <c r="H3825" i="10"/>
  <c r="G3826" i="10"/>
  <c r="H3826" i="10"/>
  <c r="G3827" i="10"/>
  <c r="H3827" i="10"/>
  <c r="G3828" i="10"/>
  <c r="H3828" i="10"/>
  <c r="G3829" i="10"/>
  <c r="H3829" i="10"/>
  <c r="G3830" i="10"/>
  <c r="H3830" i="10"/>
  <c r="G3831" i="10"/>
  <c r="H3831" i="10"/>
  <c r="G3832" i="10"/>
  <c r="H3832" i="10"/>
  <c r="G3833" i="10"/>
  <c r="H3833" i="10"/>
  <c r="G3834" i="10"/>
  <c r="H3834" i="10"/>
  <c r="G3835" i="10"/>
  <c r="H3835" i="10"/>
  <c r="G3836" i="10"/>
  <c r="H3836" i="10"/>
  <c r="G3837" i="10"/>
  <c r="H3837" i="10"/>
  <c r="G3838" i="10"/>
  <c r="H3838" i="10"/>
  <c r="G3839" i="10"/>
  <c r="H3839" i="10"/>
  <c r="G3840" i="10"/>
  <c r="H3840" i="10"/>
  <c r="G3841" i="10"/>
  <c r="H3841" i="10"/>
  <c r="G3842" i="10"/>
  <c r="H3842" i="10"/>
  <c r="G3843" i="10"/>
  <c r="H3843" i="10"/>
  <c r="G3844" i="10"/>
  <c r="H3844" i="10"/>
  <c r="G3845" i="10"/>
  <c r="H3845" i="10"/>
  <c r="G3846" i="10"/>
  <c r="H3846" i="10"/>
  <c r="G3847" i="10"/>
  <c r="H3847" i="10"/>
  <c r="G3848" i="10"/>
  <c r="H3848" i="10"/>
  <c r="G3849" i="10"/>
  <c r="H3849" i="10"/>
  <c r="G3850" i="10"/>
  <c r="H3850" i="10"/>
  <c r="G3851" i="10"/>
  <c r="H3851" i="10"/>
  <c r="G3852" i="10"/>
  <c r="H3852" i="10"/>
  <c r="G3853" i="10"/>
  <c r="H3853" i="10"/>
  <c r="G3854" i="10"/>
  <c r="H3854" i="10"/>
  <c r="G3855" i="10"/>
  <c r="H3855" i="10"/>
  <c r="G3856" i="10"/>
  <c r="H3856" i="10"/>
  <c r="G3857" i="10"/>
  <c r="H3857" i="10"/>
  <c r="G3858" i="10"/>
  <c r="H3858" i="10"/>
  <c r="G3859" i="10"/>
  <c r="H3859" i="10"/>
  <c r="G3860" i="10"/>
  <c r="H3860" i="10"/>
  <c r="G3861" i="10"/>
  <c r="H3861" i="10"/>
  <c r="G3862" i="10"/>
  <c r="H3862" i="10"/>
  <c r="G3863" i="10"/>
  <c r="H3863" i="10"/>
  <c r="G3864" i="10"/>
  <c r="H3864" i="10"/>
  <c r="G3865" i="10"/>
  <c r="H3865" i="10"/>
  <c r="G3866" i="10"/>
  <c r="H3866" i="10"/>
  <c r="G3867" i="10"/>
  <c r="H3867" i="10"/>
  <c r="G3868" i="10"/>
  <c r="H3868" i="10"/>
  <c r="G3869" i="10"/>
  <c r="H3869" i="10"/>
  <c r="G3870" i="10"/>
  <c r="H3870" i="10"/>
  <c r="G3871" i="10"/>
  <c r="H3871" i="10"/>
  <c r="G3872" i="10"/>
  <c r="H3872" i="10"/>
  <c r="G3873" i="10"/>
  <c r="H3873" i="10"/>
  <c r="G3874" i="10"/>
  <c r="H3874" i="10"/>
  <c r="G3875" i="10"/>
  <c r="H3875" i="10"/>
  <c r="G3876" i="10"/>
  <c r="H3876" i="10"/>
  <c r="G3877" i="10"/>
  <c r="H3877" i="10"/>
  <c r="G3878" i="10"/>
  <c r="H3878" i="10"/>
  <c r="G3879" i="10"/>
  <c r="H3879" i="10"/>
  <c r="G3880" i="10"/>
  <c r="H3880" i="10"/>
  <c r="G3881" i="10"/>
  <c r="H3881" i="10"/>
  <c r="G3882" i="10"/>
  <c r="H3882" i="10"/>
  <c r="G3883" i="10"/>
  <c r="H3883" i="10"/>
  <c r="G3884" i="10"/>
  <c r="H3884" i="10"/>
  <c r="G3885" i="10"/>
  <c r="H3885" i="10"/>
  <c r="G3886" i="10"/>
  <c r="H3886" i="10"/>
  <c r="G3887" i="10"/>
  <c r="H3887" i="10"/>
  <c r="G3888" i="10"/>
  <c r="H3888" i="10"/>
  <c r="G3889" i="10"/>
  <c r="H3889" i="10"/>
  <c r="G3890" i="10"/>
  <c r="H3890" i="10"/>
  <c r="G3891" i="10"/>
  <c r="H3891" i="10"/>
  <c r="G3892" i="10"/>
  <c r="H3892" i="10"/>
  <c r="G3893" i="10"/>
  <c r="H3893" i="10"/>
  <c r="G3894" i="10"/>
  <c r="H3894" i="10"/>
  <c r="G3895" i="10"/>
  <c r="H3895" i="10"/>
  <c r="G3896" i="10"/>
  <c r="H3896" i="10"/>
  <c r="G3897" i="10"/>
  <c r="H3897" i="10"/>
  <c r="G3898" i="10"/>
  <c r="H3898" i="10"/>
  <c r="G3899" i="10"/>
  <c r="H3899" i="10"/>
  <c r="G3900" i="10"/>
  <c r="H3900" i="10"/>
  <c r="G3901" i="10"/>
  <c r="H3901" i="10"/>
  <c r="G3902" i="10"/>
  <c r="H3902" i="10"/>
  <c r="G3903" i="10"/>
  <c r="H3903" i="10"/>
  <c r="G3904" i="10"/>
  <c r="H3904" i="10"/>
  <c r="G3905" i="10"/>
  <c r="H3905" i="10"/>
  <c r="G3906" i="10"/>
  <c r="H3906" i="10"/>
  <c r="G3907" i="10"/>
  <c r="H3907" i="10"/>
  <c r="G3908" i="10"/>
  <c r="H3908" i="10"/>
  <c r="G3909" i="10"/>
  <c r="H3909" i="10"/>
  <c r="G3910" i="10"/>
  <c r="H3910" i="10"/>
  <c r="G3911" i="10"/>
  <c r="H3911" i="10"/>
  <c r="G3912" i="10"/>
  <c r="H3912" i="10"/>
  <c r="G3913" i="10"/>
  <c r="H3913" i="10"/>
  <c r="G3914" i="10"/>
  <c r="H3914" i="10"/>
  <c r="G3915" i="10"/>
  <c r="H3915" i="10"/>
  <c r="G3916" i="10"/>
  <c r="H3916" i="10"/>
  <c r="G3917" i="10"/>
  <c r="H3917" i="10"/>
  <c r="G3918" i="10"/>
  <c r="H3918" i="10"/>
  <c r="G3919" i="10"/>
  <c r="H3919" i="10"/>
  <c r="G3920" i="10"/>
  <c r="H3920" i="10"/>
  <c r="G3921" i="10"/>
  <c r="H3921" i="10"/>
  <c r="G3922" i="10"/>
  <c r="H3922" i="10"/>
  <c r="G3923" i="10"/>
  <c r="H3923" i="10"/>
  <c r="G3924" i="10"/>
  <c r="H3924" i="10"/>
  <c r="G3925" i="10"/>
  <c r="H3925" i="10"/>
  <c r="G3926" i="10"/>
  <c r="H3926" i="10"/>
  <c r="G3927" i="10"/>
  <c r="H3927" i="10"/>
  <c r="G3928" i="10"/>
  <c r="H3928" i="10"/>
  <c r="G3929" i="10"/>
  <c r="H3929" i="10"/>
  <c r="G3930" i="10"/>
  <c r="H3930" i="10"/>
  <c r="G3931" i="10"/>
  <c r="H3931" i="10"/>
  <c r="G3932" i="10"/>
  <c r="H3932" i="10"/>
  <c r="G3933" i="10"/>
  <c r="H3933" i="10"/>
  <c r="G3934" i="10"/>
  <c r="H3934" i="10"/>
  <c r="G3935" i="10"/>
  <c r="H3935" i="10"/>
  <c r="G3936" i="10"/>
  <c r="H3936" i="10"/>
  <c r="G3937" i="10"/>
  <c r="H3937" i="10"/>
  <c r="G3938" i="10"/>
  <c r="H3938" i="10"/>
  <c r="G3939" i="10"/>
  <c r="H3939" i="10"/>
  <c r="G3940" i="10"/>
  <c r="H3940" i="10"/>
  <c r="G3941" i="10"/>
  <c r="H3941" i="10"/>
  <c r="G3942" i="10"/>
  <c r="H3942" i="10"/>
  <c r="G3943" i="10"/>
  <c r="H3943" i="10"/>
  <c r="G3944" i="10"/>
  <c r="H3944" i="10"/>
  <c r="G3945" i="10"/>
  <c r="H3945" i="10"/>
  <c r="G3946" i="10"/>
  <c r="H3946" i="10"/>
  <c r="G3947" i="10"/>
  <c r="H3947" i="10"/>
  <c r="G3948" i="10"/>
  <c r="H3948" i="10"/>
  <c r="G3949" i="10"/>
  <c r="H3949" i="10"/>
  <c r="G3950" i="10"/>
  <c r="H3950" i="10"/>
  <c r="G3951" i="10"/>
  <c r="H3951" i="10"/>
  <c r="G3952" i="10"/>
  <c r="H3952" i="10"/>
  <c r="G3953" i="10"/>
  <c r="H3953" i="10"/>
  <c r="G3954" i="10"/>
  <c r="H3954" i="10"/>
  <c r="G3955" i="10"/>
  <c r="H3955" i="10"/>
  <c r="G3956" i="10"/>
  <c r="H3956" i="10"/>
  <c r="G3957" i="10"/>
  <c r="H3957" i="10"/>
  <c r="G3958" i="10"/>
  <c r="H3958" i="10"/>
  <c r="G3959" i="10"/>
  <c r="H3959" i="10"/>
  <c r="G3960" i="10"/>
  <c r="H3960" i="10"/>
  <c r="G3961" i="10"/>
  <c r="H3961" i="10"/>
  <c r="G3962" i="10"/>
  <c r="H3962" i="10"/>
  <c r="G3963" i="10"/>
  <c r="H3963" i="10"/>
  <c r="G3964" i="10"/>
  <c r="H3964" i="10"/>
  <c r="G3965" i="10"/>
  <c r="H3965" i="10"/>
  <c r="G3966" i="10"/>
  <c r="H3966" i="10"/>
  <c r="G3967" i="10"/>
  <c r="H3967" i="10"/>
  <c r="G3968" i="10"/>
  <c r="H3968" i="10"/>
  <c r="G3969" i="10"/>
  <c r="H3969" i="10"/>
  <c r="G3970" i="10"/>
  <c r="H3970" i="10"/>
  <c r="G3971" i="10"/>
  <c r="H3971" i="10"/>
  <c r="G3972" i="10"/>
  <c r="H3972" i="10"/>
  <c r="G3973" i="10"/>
  <c r="H3973" i="10"/>
  <c r="G3974" i="10"/>
  <c r="H3974" i="10"/>
  <c r="G3975" i="10"/>
  <c r="H3975" i="10"/>
  <c r="G3976" i="10"/>
  <c r="H3976" i="10"/>
  <c r="G3977" i="10"/>
  <c r="H3977" i="10"/>
  <c r="G3978" i="10"/>
  <c r="H3978" i="10"/>
  <c r="G3979" i="10"/>
  <c r="H3979" i="10"/>
  <c r="G3980" i="10"/>
  <c r="H3980" i="10"/>
  <c r="G3981" i="10"/>
  <c r="H3981" i="10"/>
  <c r="G3982" i="10"/>
  <c r="H3982" i="10"/>
  <c r="G3983" i="10"/>
  <c r="H3983" i="10"/>
  <c r="G3984" i="10"/>
  <c r="H3984" i="10"/>
  <c r="G3985" i="10"/>
  <c r="H3985" i="10"/>
  <c r="G3986" i="10"/>
  <c r="H3986" i="10"/>
  <c r="G3987" i="10"/>
  <c r="H3987" i="10"/>
  <c r="G3988" i="10"/>
  <c r="H3988" i="10"/>
  <c r="G3989" i="10"/>
  <c r="H3989" i="10"/>
  <c r="G3990" i="10"/>
  <c r="H3990" i="10"/>
  <c r="G3991" i="10"/>
  <c r="H3991" i="10"/>
  <c r="G3992" i="10"/>
  <c r="H3992" i="10"/>
  <c r="G3993" i="10"/>
  <c r="H3993" i="10"/>
  <c r="G3994" i="10"/>
  <c r="H3994" i="10"/>
  <c r="G3995" i="10"/>
  <c r="H3995" i="10"/>
  <c r="G3996" i="10"/>
  <c r="H3996" i="10"/>
  <c r="G3997" i="10"/>
  <c r="H3997" i="10"/>
  <c r="G3998" i="10"/>
  <c r="H3998" i="10"/>
  <c r="G3999" i="10"/>
  <c r="H3999" i="10"/>
  <c r="G4000" i="10"/>
  <c r="H4000" i="10"/>
  <c r="G4001" i="10"/>
  <c r="H4001" i="10"/>
  <c r="G4002" i="10"/>
  <c r="H4002" i="10"/>
  <c r="G4003" i="10"/>
  <c r="H4003" i="10"/>
  <c r="G4004" i="10"/>
  <c r="H4004" i="10"/>
  <c r="G4005" i="10"/>
  <c r="H4005" i="10"/>
  <c r="G4006" i="10"/>
  <c r="H4006" i="10"/>
  <c r="G4007" i="10"/>
  <c r="H4007" i="10"/>
  <c r="G4008" i="10"/>
  <c r="H4008" i="10"/>
  <c r="G4009" i="10"/>
  <c r="H4009" i="10"/>
  <c r="G4010" i="10"/>
  <c r="H4010" i="10"/>
  <c r="G4011" i="10"/>
  <c r="H4011" i="10"/>
  <c r="G4012" i="10"/>
  <c r="H4012" i="10"/>
  <c r="G4013" i="10"/>
  <c r="H4013" i="10"/>
  <c r="G4014" i="10"/>
  <c r="H4014" i="10"/>
  <c r="G4015" i="10"/>
  <c r="H4015" i="10"/>
  <c r="G4016" i="10"/>
  <c r="H4016" i="10"/>
  <c r="G4017" i="10"/>
  <c r="H4017" i="10"/>
  <c r="G4018" i="10"/>
  <c r="H4018" i="10"/>
  <c r="G4019" i="10"/>
  <c r="H4019" i="10"/>
  <c r="G4020" i="10"/>
  <c r="H4020" i="10"/>
  <c r="G4021" i="10"/>
  <c r="H4021" i="10"/>
  <c r="G4022" i="10"/>
  <c r="H4022" i="10"/>
  <c r="G4023" i="10"/>
  <c r="H4023" i="10"/>
  <c r="G4024" i="10"/>
  <c r="H4024" i="10"/>
  <c r="G4025" i="10"/>
  <c r="H4025" i="10"/>
  <c r="G4026" i="10"/>
  <c r="H4026" i="10"/>
  <c r="G4027" i="10"/>
  <c r="H4027" i="10"/>
  <c r="G4028" i="10"/>
  <c r="H4028" i="10"/>
  <c r="G4029" i="10"/>
  <c r="H4029" i="10"/>
  <c r="G4030" i="10"/>
  <c r="H4030" i="10"/>
  <c r="G4031" i="10"/>
  <c r="H4031" i="10"/>
  <c r="G4032" i="10"/>
  <c r="H4032" i="10"/>
  <c r="G4033" i="10"/>
  <c r="H4033" i="10"/>
  <c r="G4034" i="10"/>
  <c r="H4034" i="10"/>
  <c r="G4035" i="10"/>
  <c r="H4035" i="10"/>
  <c r="G4036" i="10"/>
  <c r="H4036" i="10"/>
  <c r="G4037" i="10"/>
  <c r="H4037" i="10"/>
  <c r="G4038" i="10"/>
  <c r="H4038" i="10"/>
  <c r="G4039" i="10"/>
  <c r="H4039" i="10"/>
  <c r="G4040" i="10"/>
  <c r="H4040" i="10"/>
  <c r="G4041" i="10"/>
  <c r="H4041" i="10"/>
  <c r="G4042" i="10"/>
  <c r="H4042" i="10"/>
  <c r="G4043" i="10"/>
  <c r="H4043" i="10"/>
  <c r="G4044" i="10"/>
  <c r="H4044" i="10"/>
  <c r="G4045" i="10"/>
  <c r="H4045" i="10"/>
  <c r="G4046" i="10"/>
  <c r="H4046" i="10"/>
  <c r="G4047" i="10"/>
  <c r="H4047" i="10"/>
  <c r="G4048" i="10"/>
  <c r="H4048" i="10"/>
  <c r="G4049" i="10"/>
  <c r="H4049" i="10"/>
  <c r="G4050" i="10"/>
  <c r="H4050" i="10"/>
  <c r="G4051" i="10"/>
  <c r="H4051" i="10"/>
  <c r="G4052" i="10"/>
  <c r="H4052" i="10"/>
  <c r="G4053" i="10"/>
  <c r="H4053" i="10"/>
  <c r="G4054" i="10"/>
  <c r="H4054" i="10"/>
  <c r="G4055" i="10"/>
  <c r="H4055" i="10"/>
  <c r="G4056" i="10"/>
  <c r="H4056" i="10"/>
  <c r="G4057" i="10"/>
  <c r="H4057" i="10"/>
  <c r="G4058" i="10"/>
  <c r="H4058" i="10"/>
  <c r="G4059" i="10"/>
  <c r="H4059" i="10"/>
  <c r="G4060" i="10"/>
  <c r="H4060" i="10"/>
  <c r="G4061" i="10"/>
  <c r="H4061" i="10"/>
  <c r="G4062" i="10"/>
  <c r="H4062" i="10"/>
  <c r="G4063" i="10"/>
  <c r="H4063" i="10"/>
  <c r="G4064" i="10"/>
  <c r="H4064" i="10"/>
  <c r="G4065" i="10"/>
  <c r="H4065" i="10"/>
  <c r="G4066" i="10"/>
  <c r="H4066" i="10"/>
  <c r="G4067" i="10"/>
  <c r="H4067" i="10"/>
  <c r="G4068" i="10"/>
  <c r="H4068" i="10"/>
  <c r="G4069" i="10"/>
  <c r="H4069" i="10"/>
  <c r="G4070" i="10"/>
  <c r="H4070" i="10"/>
  <c r="G4071" i="10"/>
  <c r="H4071" i="10"/>
  <c r="G4072" i="10"/>
  <c r="H4072" i="10"/>
  <c r="G4073" i="10"/>
  <c r="H4073" i="10"/>
  <c r="G4074" i="10"/>
  <c r="H4074" i="10"/>
  <c r="G4075" i="10"/>
  <c r="H4075" i="10"/>
  <c r="G4076" i="10"/>
  <c r="H4076" i="10"/>
  <c r="G4077" i="10"/>
  <c r="H4077" i="10"/>
  <c r="G4078" i="10"/>
  <c r="H4078" i="10"/>
  <c r="G4079" i="10"/>
  <c r="H4079" i="10"/>
  <c r="G4080" i="10"/>
  <c r="H4080" i="10"/>
  <c r="G4081" i="10"/>
  <c r="H4081" i="10"/>
  <c r="G4082" i="10"/>
  <c r="H4082" i="10"/>
  <c r="G4083" i="10"/>
  <c r="H4083" i="10"/>
  <c r="G4084" i="10"/>
  <c r="H4084" i="10"/>
  <c r="G4085" i="10"/>
  <c r="H4085" i="10"/>
  <c r="G4086" i="10"/>
  <c r="H4086" i="10"/>
  <c r="G4087" i="10"/>
  <c r="H4087" i="10"/>
  <c r="G4088" i="10"/>
  <c r="H4088" i="10"/>
  <c r="G4089" i="10"/>
  <c r="H4089" i="10"/>
  <c r="G4090" i="10"/>
  <c r="H4090" i="10"/>
  <c r="G4091" i="10"/>
  <c r="H4091" i="10"/>
  <c r="G4092" i="10"/>
  <c r="H4092" i="10"/>
  <c r="G4093" i="10"/>
  <c r="H4093" i="10"/>
  <c r="G4094" i="10"/>
  <c r="H4094" i="10"/>
  <c r="G4095" i="10"/>
  <c r="H4095" i="10"/>
  <c r="G4096" i="10"/>
  <c r="H4096" i="10"/>
  <c r="G4097" i="10"/>
  <c r="H4097" i="10"/>
  <c r="G4098" i="10"/>
  <c r="H4098" i="10"/>
  <c r="G4099" i="10"/>
  <c r="H4099" i="10"/>
  <c r="G4100" i="10"/>
  <c r="H4100" i="10"/>
  <c r="G4101" i="10"/>
  <c r="H4101" i="10"/>
  <c r="G4102" i="10"/>
  <c r="H4102" i="10"/>
  <c r="G4103" i="10"/>
  <c r="H4103" i="10"/>
  <c r="G4104" i="10"/>
  <c r="H4104" i="10"/>
  <c r="G4105" i="10"/>
  <c r="H4105" i="10"/>
  <c r="G4106" i="10"/>
  <c r="H4106" i="10"/>
  <c r="G4107" i="10"/>
  <c r="H4107" i="10"/>
  <c r="G4108" i="10"/>
  <c r="H4108" i="10"/>
  <c r="G4109" i="10"/>
  <c r="H4109" i="10"/>
  <c r="G4110" i="10"/>
  <c r="H4110" i="10"/>
  <c r="G4111" i="10"/>
  <c r="H4111" i="10"/>
  <c r="G4112" i="10"/>
  <c r="H4112" i="10"/>
  <c r="G4113" i="10"/>
  <c r="H4113" i="10"/>
  <c r="G4114" i="10"/>
  <c r="H4114" i="10"/>
  <c r="G4115" i="10"/>
  <c r="H4115" i="10"/>
  <c r="G4116" i="10"/>
  <c r="H4116" i="10"/>
  <c r="G4117" i="10"/>
  <c r="H4117" i="10"/>
  <c r="G4118" i="10"/>
  <c r="H4118" i="10"/>
  <c r="G4119" i="10"/>
  <c r="H4119" i="10"/>
  <c r="G4120" i="10"/>
  <c r="H4120" i="10"/>
  <c r="G4121" i="10"/>
  <c r="H4121" i="10"/>
  <c r="G4122" i="10"/>
  <c r="H4122" i="10"/>
  <c r="G4123" i="10"/>
  <c r="H4123" i="10"/>
  <c r="G4124" i="10"/>
  <c r="H4124" i="10"/>
  <c r="G4125" i="10"/>
  <c r="H4125" i="10"/>
  <c r="G4126" i="10"/>
  <c r="H4126" i="10"/>
  <c r="G4127" i="10"/>
  <c r="H4127" i="10"/>
  <c r="G4128" i="10"/>
  <c r="H4128" i="10"/>
  <c r="G4129" i="10"/>
  <c r="H4129" i="10"/>
  <c r="G4130" i="10"/>
  <c r="H4130" i="10"/>
  <c r="G4131" i="10"/>
  <c r="H4131" i="10"/>
  <c r="G4132" i="10"/>
  <c r="H4132" i="10"/>
  <c r="G4133" i="10"/>
  <c r="H4133" i="10"/>
  <c r="G4134" i="10"/>
  <c r="H4134" i="10"/>
  <c r="G4135" i="10"/>
  <c r="H4135" i="10"/>
  <c r="G4136" i="10"/>
  <c r="H4136" i="10"/>
  <c r="G4137" i="10"/>
  <c r="H4137" i="10"/>
  <c r="G4138" i="10"/>
  <c r="H4138" i="10"/>
  <c r="G4139" i="10"/>
  <c r="H4139" i="10"/>
  <c r="G4140" i="10"/>
  <c r="H4140" i="10"/>
  <c r="G4141" i="10"/>
  <c r="H4141" i="10"/>
  <c r="G4142" i="10"/>
  <c r="H4142" i="10"/>
  <c r="G4143" i="10"/>
  <c r="H4143" i="10"/>
  <c r="G4144" i="10"/>
  <c r="H4144" i="10"/>
  <c r="G4145" i="10"/>
  <c r="H4145" i="10"/>
  <c r="G4146" i="10"/>
  <c r="H4146" i="10"/>
  <c r="G4147" i="10"/>
  <c r="H4147" i="10"/>
  <c r="G4148" i="10"/>
  <c r="H4148" i="10"/>
  <c r="G4149" i="10"/>
  <c r="H4149" i="10"/>
  <c r="G4150" i="10"/>
  <c r="H4150" i="10"/>
  <c r="G4151" i="10"/>
  <c r="H4151" i="10"/>
  <c r="G4152" i="10"/>
  <c r="H4152" i="10"/>
  <c r="G4153" i="10"/>
  <c r="H4153" i="10"/>
  <c r="G4154" i="10"/>
  <c r="H4154" i="10"/>
  <c r="G4155" i="10"/>
  <c r="H4155" i="10"/>
  <c r="G4156" i="10"/>
  <c r="H4156" i="10"/>
  <c r="G4157" i="10"/>
  <c r="H4157" i="10"/>
  <c r="G4158" i="10"/>
  <c r="H4158" i="10"/>
  <c r="G4159" i="10"/>
  <c r="H4159" i="10"/>
  <c r="G4160" i="10"/>
  <c r="H4160" i="10"/>
  <c r="G4161" i="10"/>
  <c r="H4161" i="10"/>
  <c r="G4162" i="10"/>
  <c r="H4162" i="10"/>
  <c r="G4163" i="10"/>
  <c r="H4163" i="10"/>
  <c r="G4164" i="10"/>
  <c r="H4164" i="10"/>
  <c r="G4165" i="10"/>
  <c r="H4165" i="10"/>
  <c r="G4166" i="10"/>
  <c r="H4166" i="10"/>
  <c r="G4167" i="10"/>
  <c r="H4167" i="10"/>
  <c r="G4168" i="10"/>
  <c r="H4168" i="10"/>
  <c r="G4169" i="10"/>
  <c r="H4169" i="10"/>
  <c r="G4170" i="10"/>
  <c r="H4170" i="10"/>
  <c r="G4171" i="10"/>
  <c r="H4171" i="10"/>
  <c r="G4172" i="10"/>
  <c r="H4172" i="10"/>
  <c r="G4173" i="10"/>
  <c r="H4173" i="10"/>
  <c r="G4174" i="10"/>
  <c r="H4174" i="10"/>
  <c r="G4175" i="10"/>
  <c r="H4175" i="10"/>
  <c r="G4176" i="10"/>
  <c r="H4176" i="10"/>
  <c r="G4177" i="10"/>
  <c r="H4177" i="10"/>
  <c r="G4178" i="10"/>
  <c r="H4178" i="10"/>
  <c r="G4179" i="10"/>
  <c r="H4179" i="10"/>
  <c r="G4180" i="10"/>
  <c r="H4180" i="10"/>
  <c r="G4181" i="10"/>
  <c r="H4181" i="10"/>
  <c r="G4182" i="10"/>
  <c r="H4182" i="10"/>
  <c r="G4183" i="10"/>
  <c r="H4183" i="10"/>
  <c r="G4184" i="10"/>
  <c r="H4184" i="10"/>
  <c r="G4185" i="10"/>
  <c r="H4185" i="10"/>
  <c r="G4186" i="10"/>
  <c r="H4186" i="10"/>
  <c r="G4187" i="10"/>
  <c r="H4187" i="10"/>
  <c r="G4188" i="10"/>
  <c r="H4188" i="10"/>
  <c r="G4189" i="10"/>
  <c r="H4189" i="10"/>
  <c r="G4190" i="10"/>
  <c r="H4190" i="10"/>
  <c r="G4191" i="10"/>
  <c r="H4191" i="10"/>
  <c r="G4192" i="10"/>
  <c r="H4192" i="10"/>
  <c r="G4193" i="10"/>
  <c r="H4193" i="10"/>
  <c r="G4194" i="10"/>
  <c r="H4194" i="10"/>
  <c r="G4195" i="10"/>
  <c r="H4195" i="10"/>
  <c r="G4196" i="10"/>
  <c r="H4196" i="10"/>
  <c r="G4197" i="10"/>
  <c r="H4197" i="10"/>
  <c r="G4198" i="10"/>
  <c r="H4198" i="10"/>
  <c r="G4199" i="10"/>
  <c r="H4199" i="10"/>
  <c r="G4200" i="10"/>
  <c r="H4200" i="10"/>
  <c r="G4201" i="10"/>
  <c r="H4201" i="10"/>
  <c r="G4202" i="10"/>
  <c r="H4202" i="10"/>
  <c r="G4203" i="10"/>
  <c r="H4203" i="10"/>
  <c r="G4204" i="10"/>
  <c r="H4204" i="10"/>
  <c r="G4205" i="10"/>
  <c r="H4205" i="10"/>
  <c r="G4206" i="10"/>
  <c r="H4206" i="10"/>
  <c r="G4207" i="10"/>
  <c r="H4207" i="10"/>
  <c r="G4208" i="10"/>
  <c r="H4208" i="10"/>
  <c r="G4209" i="10"/>
  <c r="H4209" i="10"/>
  <c r="G4210" i="10"/>
  <c r="H4210" i="10"/>
  <c r="G4211" i="10"/>
  <c r="H4211" i="10"/>
  <c r="G4212" i="10"/>
  <c r="H4212" i="10"/>
  <c r="G4213" i="10"/>
  <c r="H4213" i="10"/>
  <c r="G4214" i="10"/>
  <c r="H4214" i="10"/>
  <c r="G4215" i="10"/>
  <c r="H4215" i="10"/>
  <c r="G4216" i="10"/>
  <c r="H4216" i="10"/>
  <c r="G4217" i="10"/>
  <c r="H4217" i="10"/>
  <c r="G4218" i="10"/>
  <c r="H4218" i="10"/>
  <c r="G4219" i="10"/>
  <c r="H4219" i="10"/>
  <c r="G4220" i="10"/>
  <c r="H4220" i="10"/>
  <c r="G4221" i="10"/>
  <c r="H4221" i="10"/>
  <c r="G4222" i="10"/>
  <c r="H4222" i="10"/>
  <c r="G4223" i="10"/>
  <c r="H4223" i="10"/>
  <c r="G4224" i="10"/>
  <c r="H4224" i="10"/>
  <c r="G4225" i="10"/>
  <c r="H4225" i="10"/>
  <c r="G4226" i="10"/>
  <c r="H4226" i="10"/>
  <c r="G4227" i="10"/>
  <c r="H4227" i="10"/>
  <c r="G4228" i="10"/>
  <c r="H4228" i="10"/>
  <c r="G4229" i="10"/>
  <c r="H4229" i="10"/>
  <c r="G4230" i="10"/>
  <c r="H4230" i="10"/>
  <c r="G4231" i="10"/>
  <c r="H4231" i="10"/>
  <c r="G4232" i="10"/>
  <c r="H4232" i="10"/>
  <c r="G4233" i="10"/>
  <c r="H4233" i="10"/>
  <c r="G4234" i="10"/>
  <c r="H4234" i="10"/>
  <c r="G4235" i="10"/>
  <c r="H4235" i="10"/>
  <c r="G4236" i="10"/>
  <c r="H4236" i="10"/>
  <c r="G4237" i="10"/>
  <c r="H4237" i="10"/>
  <c r="G4238" i="10"/>
  <c r="H4238" i="10"/>
  <c r="G4239" i="10"/>
  <c r="H4239" i="10"/>
  <c r="G4240" i="10"/>
  <c r="H4240" i="10"/>
  <c r="G4241" i="10"/>
  <c r="H4241" i="10"/>
  <c r="G4242" i="10"/>
  <c r="H4242" i="10"/>
  <c r="G4243" i="10"/>
  <c r="H4243" i="10"/>
  <c r="G4244" i="10"/>
  <c r="H4244" i="10"/>
  <c r="G4245" i="10"/>
  <c r="H4245" i="10"/>
  <c r="G4246" i="10"/>
  <c r="H4246" i="10"/>
  <c r="G4247" i="10"/>
  <c r="H4247" i="10"/>
  <c r="G4248" i="10"/>
  <c r="H4248" i="10"/>
  <c r="G4249" i="10"/>
  <c r="H4249" i="10"/>
  <c r="G4250" i="10"/>
  <c r="H4250" i="10"/>
  <c r="G4251" i="10"/>
  <c r="H4251" i="10"/>
  <c r="G4252" i="10"/>
  <c r="H4252" i="10"/>
  <c r="G4253" i="10"/>
  <c r="H4253" i="10"/>
  <c r="G4254" i="10"/>
  <c r="H4254" i="10"/>
  <c r="G4255" i="10"/>
  <c r="H4255" i="10"/>
  <c r="G4256" i="10"/>
  <c r="H4256" i="10"/>
  <c r="G4257" i="10"/>
  <c r="H4257" i="10"/>
  <c r="G4258" i="10"/>
  <c r="H4258" i="10"/>
  <c r="G4259" i="10"/>
  <c r="H4259" i="10"/>
  <c r="G4260" i="10"/>
  <c r="H4260" i="10"/>
  <c r="G4261" i="10"/>
  <c r="H4261" i="10"/>
  <c r="G4262" i="10"/>
  <c r="H4262" i="10"/>
  <c r="G4263" i="10"/>
  <c r="H4263" i="10"/>
  <c r="G4264" i="10"/>
  <c r="H4264" i="10"/>
  <c r="G4265" i="10"/>
  <c r="H4265" i="10"/>
  <c r="G4266" i="10"/>
  <c r="H4266" i="10"/>
  <c r="G4267" i="10"/>
  <c r="H4267" i="10"/>
  <c r="G4268" i="10"/>
  <c r="H4268" i="10"/>
  <c r="G4269" i="10"/>
  <c r="H4269" i="10"/>
  <c r="G4270" i="10"/>
  <c r="H4270" i="10"/>
  <c r="G4271" i="10"/>
  <c r="H4271" i="10"/>
  <c r="G4272" i="10"/>
  <c r="H4272" i="10"/>
  <c r="G4273" i="10"/>
  <c r="H4273" i="10"/>
  <c r="G4274" i="10"/>
  <c r="H4274" i="10"/>
  <c r="G4275" i="10"/>
  <c r="H4275" i="10"/>
  <c r="G4276" i="10"/>
  <c r="H4276" i="10"/>
  <c r="G4277" i="10"/>
  <c r="H4277" i="10"/>
  <c r="G4278" i="10"/>
  <c r="H4278" i="10"/>
  <c r="G4279" i="10"/>
  <c r="H4279" i="10"/>
  <c r="G4280" i="10"/>
  <c r="H4280" i="10"/>
  <c r="G4281" i="10"/>
  <c r="H4281" i="10"/>
  <c r="G4282" i="10"/>
  <c r="H4282" i="10"/>
  <c r="G4283" i="10"/>
  <c r="H4283" i="10"/>
  <c r="G4284" i="10"/>
  <c r="H4284" i="10"/>
  <c r="G4285" i="10"/>
  <c r="H4285" i="10"/>
  <c r="G4286" i="10"/>
  <c r="H4286" i="10"/>
  <c r="G4287" i="10"/>
  <c r="H4287" i="10"/>
  <c r="G4288" i="10"/>
  <c r="H4288" i="10"/>
  <c r="G4289" i="10"/>
  <c r="H4289" i="10"/>
  <c r="G4290" i="10"/>
  <c r="H4290" i="10"/>
  <c r="G4291" i="10"/>
  <c r="H4291" i="10"/>
  <c r="G4292" i="10"/>
  <c r="H4292" i="10"/>
  <c r="G4293" i="10"/>
  <c r="H4293" i="10"/>
  <c r="G4294" i="10"/>
  <c r="H4294" i="10"/>
  <c r="G4295" i="10"/>
  <c r="H4295" i="10"/>
  <c r="G4296" i="10"/>
  <c r="H4296" i="10"/>
  <c r="G4297" i="10"/>
  <c r="H4297" i="10"/>
  <c r="G4298" i="10"/>
  <c r="H4298" i="10"/>
  <c r="G4299" i="10"/>
  <c r="H4299" i="10"/>
  <c r="G4300" i="10"/>
  <c r="H4300" i="10"/>
  <c r="G4301" i="10"/>
  <c r="H4301" i="10"/>
  <c r="G4302" i="10"/>
  <c r="H4302" i="10"/>
  <c r="G4303" i="10"/>
  <c r="H4303" i="10"/>
  <c r="G4304" i="10"/>
  <c r="H4304" i="10"/>
  <c r="G4305" i="10"/>
  <c r="H4305" i="10"/>
  <c r="G4306" i="10"/>
  <c r="H4306" i="10"/>
  <c r="G4307" i="10"/>
  <c r="H4307" i="10"/>
  <c r="G4308" i="10"/>
  <c r="H4308" i="10"/>
  <c r="G4309" i="10"/>
  <c r="H4309" i="10"/>
  <c r="G4310" i="10"/>
  <c r="H4310" i="10"/>
  <c r="G4311" i="10"/>
  <c r="H4311" i="10"/>
  <c r="G4312" i="10"/>
  <c r="H4312" i="10"/>
  <c r="G4313" i="10"/>
  <c r="H4313" i="10"/>
  <c r="G4314" i="10"/>
  <c r="H4314" i="10"/>
  <c r="G4315" i="10"/>
  <c r="H4315" i="10"/>
  <c r="G4316" i="10"/>
  <c r="H4316" i="10"/>
  <c r="G4317" i="10"/>
  <c r="H4317" i="10"/>
  <c r="G4318" i="10"/>
  <c r="H4318" i="10"/>
  <c r="G4319" i="10"/>
  <c r="H4319" i="10"/>
  <c r="G4320" i="10"/>
  <c r="H4320" i="10"/>
  <c r="G4321" i="10"/>
  <c r="H4321" i="10"/>
  <c r="G4322" i="10"/>
  <c r="H4322" i="10"/>
  <c r="G4323" i="10"/>
  <c r="H4323" i="10"/>
  <c r="G4324" i="10"/>
  <c r="H4324" i="10"/>
  <c r="G4325" i="10"/>
  <c r="H4325" i="10"/>
  <c r="G4326" i="10"/>
  <c r="H4326" i="10"/>
  <c r="G4327" i="10"/>
  <c r="H4327" i="10"/>
  <c r="G4328" i="10"/>
  <c r="H4328" i="10"/>
  <c r="G4329" i="10"/>
  <c r="H4329" i="10"/>
  <c r="G4330" i="10"/>
  <c r="H4330" i="10"/>
  <c r="G4331" i="10"/>
  <c r="H4331" i="10"/>
  <c r="G4332" i="10"/>
  <c r="H4332" i="10"/>
  <c r="G4333" i="10"/>
  <c r="H4333" i="10"/>
  <c r="G4334" i="10"/>
  <c r="H4334" i="10"/>
  <c r="G4335" i="10"/>
  <c r="H4335" i="10"/>
  <c r="G4336" i="10"/>
  <c r="H4336" i="10"/>
  <c r="G4337" i="10"/>
  <c r="H4337" i="10"/>
  <c r="G4338" i="10"/>
  <c r="H4338" i="10"/>
  <c r="G4339" i="10"/>
  <c r="H4339" i="10"/>
  <c r="G4340" i="10"/>
  <c r="H4340" i="10"/>
  <c r="G4341" i="10"/>
  <c r="H4341" i="10"/>
  <c r="G4342" i="10"/>
  <c r="H4342" i="10"/>
  <c r="G4343" i="10"/>
  <c r="H4343" i="10"/>
  <c r="G4344" i="10"/>
  <c r="H4344" i="10"/>
  <c r="G4345" i="10"/>
  <c r="H4345" i="10"/>
  <c r="G4346" i="10"/>
  <c r="H4346" i="10"/>
  <c r="G4347" i="10"/>
  <c r="H4347" i="10"/>
  <c r="G4348" i="10"/>
  <c r="H4348" i="10"/>
  <c r="G4349" i="10"/>
  <c r="H4349" i="10"/>
  <c r="G4350" i="10"/>
  <c r="H4350" i="10"/>
  <c r="G4351" i="10"/>
  <c r="H4351" i="10"/>
  <c r="G4352" i="10"/>
  <c r="H4352" i="10"/>
  <c r="G4353" i="10"/>
  <c r="H4353" i="10"/>
  <c r="G4354" i="10"/>
  <c r="H4354" i="10"/>
  <c r="G4355" i="10"/>
  <c r="H4355" i="10"/>
  <c r="G4356" i="10"/>
  <c r="H4356" i="10"/>
  <c r="G4357" i="10"/>
  <c r="H4357" i="10"/>
  <c r="G4358" i="10"/>
  <c r="H4358" i="10"/>
  <c r="G4359" i="10"/>
  <c r="H4359" i="10"/>
  <c r="G4360" i="10"/>
  <c r="H4360" i="10"/>
  <c r="G4361" i="10"/>
  <c r="H4361" i="10"/>
  <c r="G4362" i="10"/>
  <c r="H4362" i="10"/>
  <c r="G4363" i="10"/>
  <c r="H4363" i="10"/>
  <c r="G4364" i="10"/>
  <c r="H4364" i="10"/>
  <c r="G4365" i="10"/>
  <c r="H4365" i="10"/>
  <c r="G4366" i="10"/>
  <c r="H4366" i="10"/>
  <c r="G4367" i="10"/>
  <c r="H4367" i="10"/>
  <c r="G4368" i="10"/>
  <c r="H4368" i="10"/>
  <c r="G4369" i="10"/>
  <c r="H4369" i="10"/>
  <c r="G4370" i="10"/>
  <c r="H4370" i="10"/>
  <c r="G4371" i="10"/>
  <c r="H4371" i="10"/>
  <c r="G4372" i="10"/>
  <c r="H4372" i="10"/>
  <c r="G4373" i="10"/>
  <c r="H4373" i="10"/>
  <c r="G4374" i="10"/>
  <c r="H4374" i="10"/>
  <c r="G4375" i="10"/>
  <c r="H4375" i="10"/>
  <c r="G4376" i="10"/>
  <c r="H4376" i="10"/>
  <c r="G4377" i="10"/>
  <c r="H4377" i="10"/>
  <c r="G4378" i="10"/>
  <c r="H4378" i="10"/>
  <c r="G4379" i="10"/>
  <c r="H4379" i="10"/>
  <c r="G4380" i="10"/>
  <c r="H4380" i="10"/>
  <c r="G4381" i="10"/>
  <c r="H4381" i="10"/>
  <c r="G4382" i="10"/>
  <c r="H4382" i="10"/>
  <c r="G4383" i="10"/>
  <c r="H4383" i="10"/>
  <c r="G4384" i="10"/>
  <c r="H4384" i="10"/>
  <c r="G4385" i="10"/>
  <c r="H4385" i="10"/>
  <c r="G4386" i="10"/>
  <c r="H4386" i="10"/>
  <c r="G4387" i="10"/>
  <c r="H4387" i="10"/>
  <c r="G4388" i="10"/>
  <c r="H4388" i="10"/>
  <c r="G4389" i="10"/>
  <c r="H4389" i="10"/>
  <c r="G4390" i="10"/>
  <c r="H4390" i="10"/>
  <c r="G4391" i="10"/>
  <c r="H4391" i="10"/>
  <c r="G4392" i="10"/>
  <c r="H4392" i="10"/>
  <c r="G4393" i="10"/>
  <c r="H4393" i="10"/>
  <c r="G4394" i="10"/>
  <c r="H4394" i="10"/>
  <c r="G4395" i="10"/>
  <c r="H4395" i="10"/>
  <c r="G4396" i="10"/>
  <c r="H4396" i="10"/>
  <c r="G4397" i="10"/>
  <c r="H4397" i="10"/>
  <c r="G4398" i="10"/>
  <c r="H4398" i="10"/>
  <c r="G4399" i="10"/>
  <c r="H4399" i="10"/>
  <c r="G4400" i="10"/>
  <c r="H4400" i="10"/>
  <c r="G4401" i="10"/>
  <c r="H4401" i="10"/>
  <c r="G4402" i="10"/>
  <c r="H4402" i="10"/>
  <c r="G4403" i="10"/>
  <c r="H4403" i="10"/>
  <c r="G4404" i="10"/>
  <c r="H4404" i="10"/>
  <c r="G4405" i="10"/>
  <c r="H4405" i="10"/>
  <c r="G4406" i="10"/>
  <c r="H4406" i="10"/>
  <c r="G4407" i="10"/>
  <c r="H4407" i="10"/>
  <c r="G4408" i="10"/>
  <c r="H4408" i="10"/>
  <c r="G4409" i="10"/>
  <c r="H4409" i="10"/>
  <c r="G4410" i="10"/>
  <c r="H4410" i="10"/>
  <c r="G4411" i="10"/>
  <c r="H4411" i="10"/>
  <c r="G4412" i="10"/>
  <c r="H4412" i="10"/>
  <c r="G4413" i="10"/>
  <c r="H4413" i="10"/>
  <c r="G4414" i="10"/>
  <c r="H4414" i="10"/>
  <c r="G4415" i="10"/>
  <c r="H4415" i="10"/>
  <c r="G4416" i="10"/>
  <c r="H4416" i="10"/>
  <c r="G4417" i="10"/>
  <c r="H4417" i="10"/>
  <c r="G4418" i="10"/>
  <c r="H4418" i="10"/>
  <c r="G4419" i="10"/>
  <c r="H4419" i="10"/>
  <c r="G4420" i="10"/>
  <c r="H4420" i="10"/>
  <c r="G4421" i="10"/>
  <c r="H4421" i="10"/>
  <c r="G4422" i="10"/>
  <c r="H4422" i="10"/>
  <c r="G4423" i="10"/>
  <c r="H4423" i="10"/>
  <c r="G4424" i="10"/>
  <c r="H4424" i="10"/>
  <c r="G4425" i="10"/>
  <c r="H4425" i="10"/>
  <c r="G4426" i="10"/>
  <c r="H4426" i="10"/>
  <c r="G4427" i="10"/>
  <c r="H4427" i="10"/>
  <c r="G4428" i="10"/>
  <c r="H4428" i="10"/>
  <c r="G4429" i="10"/>
  <c r="H4429" i="10"/>
  <c r="G4430" i="10"/>
  <c r="H4430" i="10"/>
  <c r="G4431" i="10"/>
  <c r="H4431" i="10"/>
  <c r="G4432" i="10"/>
  <c r="H4432" i="10"/>
  <c r="G4433" i="10"/>
  <c r="H4433" i="10"/>
  <c r="G4434" i="10"/>
  <c r="H4434" i="10"/>
  <c r="G4435" i="10"/>
  <c r="H4435" i="10"/>
  <c r="G4436" i="10"/>
  <c r="H4436" i="10"/>
  <c r="G4437" i="10"/>
  <c r="H4437" i="10"/>
  <c r="G4438" i="10"/>
  <c r="H4438" i="10"/>
  <c r="G4439" i="10"/>
  <c r="H4439" i="10"/>
  <c r="G4440" i="10"/>
  <c r="H4440" i="10"/>
  <c r="G4441" i="10"/>
  <c r="H4441" i="10"/>
  <c r="G4442" i="10"/>
  <c r="H4442" i="10"/>
  <c r="G4443" i="10"/>
  <c r="H4443" i="10"/>
  <c r="G4444" i="10"/>
  <c r="H4444" i="10"/>
  <c r="G4445" i="10"/>
  <c r="H4445" i="10"/>
  <c r="G4446" i="10"/>
  <c r="H4446" i="10"/>
  <c r="G4447" i="10"/>
  <c r="H4447" i="10"/>
  <c r="G4448" i="10"/>
  <c r="H4448" i="10"/>
  <c r="G4449" i="10"/>
  <c r="H4449" i="10"/>
  <c r="G4450" i="10"/>
  <c r="H4450" i="10"/>
  <c r="G4451" i="10"/>
  <c r="H4451" i="10"/>
  <c r="G4452" i="10"/>
  <c r="H4452" i="10"/>
  <c r="G4453" i="10"/>
  <c r="H4453" i="10"/>
  <c r="G4454" i="10"/>
  <c r="H4454" i="10"/>
  <c r="G4455" i="10"/>
  <c r="H4455" i="10"/>
  <c r="G4456" i="10"/>
  <c r="H4456" i="10"/>
  <c r="G4457" i="10"/>
  <c r="H4457" i="10"/>
  <c r="G4458" i="10"/>
  <c r="H4458" i="10"/>
  <c r="G4459" i="10"/>
  <c r="H4459" i="10"/>
  <c r="G4460" i="10"/>
  <c r="H4460" i="10"/>
  <c r="G4461" i="10"/>
  <c r="H4461" i="10"/>
  <c r="G4462" i="10"/>
  <c r="H4462" i="10"/>
  <c r="G4463" i="10"/>
  <c r="H4463" i="10"/>
  <c r="G4464" i="10"/>
  <c r="H4464" i="10"/>
  <c r="G4465" i="10"/>
  <c r="H4465" i="10"/>
  <c r="G4466" i="10"/>
  <c r="H4466" i="10"/>
  <c r="G4467" i="10"/>
  <c r="H4467" i="10"/>
  <c r="G4468" i="10"/>
  <c r="H4468" i="10"/>
  <c r="G4469" i="10"/>
  <c r="H4469" i="10"/>
  <c r="G4470" i="10"/>
  <c r="H4470" i="10"/>
  <c r="G4471" i="10"/>
  <c r="H4471" i="10"/>
  <c r="G4472" i="10"/>
  <c r="H4472" i="10"/>
  <c r="G4473" i="10"/>
  <c r="H4473" i="10"/>
  <c r="G4474" i="10"/>
  <c r="H4474" i="10"/>
  <c r="G4475" i="10"/>
  <c r="H4475" i="10"/>
  <c r="G4476" i="10"/>
  <c r="H4476" i="10"/>
  <c r="G4477" i="10"/>
  <c r="H4477" i="10"/>
  <c r="G4478" i="10"/>
  <c r="H4478" i="10"/>
  <c r="G4479" i="10"/>
  <c r="H4479" i="10"/>
  <c r="G4480" i="10"/>
  <c r="H4480" i="10"/>
  <c r="G4481" i="10"/>
  <c r="H4481" i="10"/>
  <c r="G4482" i="10"/>
  <c r="H4482" i="10"/>
  <c r="G4483" i="10"/>
  <c r="H4483" i="10"/>
  <c r="G4484" i="10"/>
  <c r="H4484" i="10"/>
  <c r="G4485" i="10"/>
  <c r="H4485" i="10"/>
  <c r="G4486" i="10"/>
  <c r="H4486" i="10"/>
  <c r="G4487" i="10"/>
  <c r="H4487" i="10"/>
  <c r="G4488" i="10"/>
  <c r="H4488" i="10"/>
  <c r="G4489" i="10"/>
  <c r="H4489" i="10"/>
  <c r="G4490" i="10"/>
  <c r="H4490" i="10"/>
  <c r="G4491" i="10"/>
  <c r="H4491" i="10"/>
  <c r="G4492" i="10"/>
  <c r="H4492" i="10"/>
  <c r="G4493" i="10"/>
  <c r="H4493" i="10"/>
  <c r="G4494" i="10"/>
  <c r="H4494" i="10"/>
  <c r="G4495" i="10"/>
  <c r="H4495" i="10"/>
  <c r="G4496" i="10"/>
  <c r="H4496" i="10"/>
  <c r="G4497" i="10"/>
  <c r="H4497" i="10"/>
  <c r="G4498" i="10"/>
  <c r="H4498" i="10"/>
  <c r="G4499" i="10"/>
  <c r="H4499" i="10"/>
  <c r="G4500" i="10"/>
  <c r="H4500" i="10"/>
  <c r="G4501" i="10"/>
  <c r="H4501" i="10"/>
  <c r="G4502" i="10"/>
  <c r="H4502" i="10"/>
  <c r="G4503" i="10"/>
  <c r="H4503" i="10"/>
  <c r="G4504" i="10"/>
  <c r="H4504" i="10"/>
  <c r="G4505" i="10"/>
  <c r="H4505" i="10"/>
  <c r="G4506" i="10"/>
  <c r="H4506" i="10"/>
  <c r="G4507" i="10"/>
  <c r="H4507" i="10"/>
  <c r="G4508" i="10"/>
  <c r="H4508" i="10"/>
  <c r="G4509" i="10"/>
  <c r="H4509" i="10"/>
  <c r="G4510" i="10"/>
  <c r="H4510" i="10"/>
  <c r="G4511" i="10"/>
  <c r="H4511" i="10"/>
  <c r="G4512" i="10"/>
  <c r="H4512" i="10"/>
  <c r="G4513" i="10"/>
  <c r="H4513" i="10"/>
  <c r="G4514" i="10"/>
  <c r="H4514" i="10"/>
  <c r="G4515" i="10"/>
  <c r="H4515" i="10"/>
  <c r="G4516" i="10"/>
  <c r="H4516" i="10"/>
  <c r="G4517" i="10"/>
  <c r="H4517" i="10"/>
  <c r="G4518" i="10"/>
  <c r="H4518" i="10"/>
  <c r="G4519" i="10"/>
  <c r="H4519" i="10"/>
  <c r="G4520" i="10"/>
  <c r="H4520" i="10"/>
  <c r="G4521" i="10"/>
  <c r="H4521" i="10"/>
  <c r="G4522" i="10"/>
  <c r="H4522" i="10"/>
  <c r="G4523" i="10"/>
  <c r="H4523" i="10"/>
  <c r="G4524" i="10"/>
  <c r="H4524" i="10"/>
  <c r="G4525" i="10"/>
  <c r="H4525" i="10"/>
  <c r="G4526" i="10"/>
  <c r="H4526" i="10"/>
  <c r="G4527" i="10"/>
  <c r="H4527" i="10"/>
  <c r="G4528" i="10"/>
  <c r="H4528" i="10"/>
  <c r="G4529" i="10"/>
  <c r="H4529" i="10"/>
  <c r="G4530" i="10"/>
  <c r="H4530" i="10"/>
  <c r="G4531" i="10"/>
  <c r="H4531" i="10"/>
  <c r="G4532" i="10"/>
  <c r="H4532" i="10"/>
  <c r="G4533" i="10"/>
  <c r="H4533" i="10"/>
  <c r="G4534" i="10"/>
  <c r="H4534" i="10"/>
  <c r="G4535" i="10"/>
  <c r="H4535" i="10"/>
  <c r="G4536" i="10"/>
  <c r="H4536" i="10"/>
  <c r="G4537" i="10"/>
  <c r="H4537" i="10"/>
  <c r="G4538" i="10"/>
  <c r="H4538" i="10"/>
  <c r="G4539" i="10"/>
  <c r="H4539" i="10"/>
  <c r="G4540" i="10"/>
  <c r="H4540" i="10"/>
  <c r="G4541" i="10"/>
  <c r="H4541" i="10"/>
  <c r="G4542" i="10"/>
  <c r="H4542" i="10"/>
  <c r="G4543" i="10"/>
  <c r="H4543" i="10"/>
  <c r="G4544" i="10"/>
  <c r="H4544" i="10"/>
  <c r="G4545" i="10"/>
  <c r="H4545" i="10"/>
  <c r="G4546" i="10"/>
  <c r="H4546" i="10"/>
  <c r="G4547" i="10"/>
  <c r="H4547" i="10"/>
  <c r="G4548" i="10"/>
  <c r="H4548" i="10"/>
  <c r="G4549" i="10"/>
  <c r="H4549" i="10"/>
  <c r="G4550" i="10"/>
  <c r="H4550" i="10"/>
  <c r="G4551" i="10"/>
  <c r="H4551" i="10"/>
  <c r="G4552" i="10"/>
  <c r="H4552" i="10"/>
  <c r="G4553" i="10"/>
  <c r="H4553" i="10"/>
  <c r="G4554" i="10"/>
  <c r="H4554" i="10"/>
  <c r="G4555" i="10"/>
  <c r="H4555" i="10"/>
  <c r="G4556" i="10"/>
  <c r="H4556" i="10"/>
  <c r="G4557" i="10"/>
  <c r="H4557" i="10"/>
  <c r="G4558" i="10"/>
  <c r="H4558" i="10"/>
  <c r="G4559" i="10"/>
  <c r="H4559" i="10"/>
  <c r="G4560" i="10"/>
  <c r="H4560" i="10"/>
  <c r="G4561" i="10"/>
  <c r="H4561" i="10"/>
  <c r="G4562" i="10"/>
  <c r="H4562" i="10"/>
  <c r="G4563" i="10"/>
  <c r="H4563" i="10"/>
  <c r="G4564" i="10"/>
  <c r="H4564" i="10"/>
  <c r="G4565" i="10"/>
  <c r="H4565" i="10"/>
  <c r="G4566" i="10"/>
  <c r="H4566" i="10"/>
  <c r="G4567" i="10"/>
  <c r="H4567" i="10"/>
  <c r="G4568" i="10"/>
  <c r="H4568" i="10"/>
  <c r="G4569" i="10"/>
  <c r="H4569" i="10"/>
  <c r="G4570" i="10"/>
  <c r="H4570" i="10"/>
  <c r="G4571" i="10"/>
  <c r="H4571" i="10"/>
  <c r="G4572" i="10"/>
  <c r="H4572" i="10"/>
  <c r="G4573" i="10"/>
  <c r="H4573" i="10"/>
  <c r="G4574" i="10"/>
  <c r="H4574" i="10"/>
  <c r="G4575" i="10"/>
  <c r="H4575" i="10"/>
  <c r="G4576" i="10"/>
  <c r="H4576" i="10"/>
  <c r="G4577" i="10"/>
  <c r="H4577" i="10"/>
  <c r="G4578" i="10"/>
  <c r="H4578" i="10"/>
  <c r="G4579" i="10"/>
  <c r="H4579" i="10"/>
  <c r="G4580" i="10"/>
  <c r="H4580" i="10"/>
  <c r="G4581" i="10"/>
  <c r="H4581" i="10"/>
  <c r="G4582" i="10"/>
  <c r="H4582" i="10"/>
  <c r="G4583" i="10"/>
  <c r="H4583" i="10"/>
  <c r="G4584" i="10"/>
  <c r="H4584" i="10"/>
  <c r="G4585" i="10"/>
  <c r="H4585" i="10"/>
  <c r="G4586" i="10"/>
  <c r="H4586" i="10"/>
  <c r="G4587" i="10"/>
  <c r="H4587" i="10"/>
  <c r="G4588" i="10"/>
  <c r="H4588" i="10"/>
  <c r="G4589" i="10"/>
  <c r="H4589" i="10"/>
  <c r="G4590" i="10"/>
  <c r="H4590" i="10"/>
  <c r="G4591" i="10"/>
  <c r="H4591" i="10"/>
  <c r="G4592" i="10"/>
  <c r="H4592" i="10"/>
  <c r="G4593" i="10"/>
  <c r="H4593" i="10"/>
  <c r="G4594" i="10"/>
  <c r="H4594" i="10"/>
  <c r="G4595" i="10"/>
  <c r="H4595" i="10"/>
  <c r="G4596" i="10"/>
  <c r="H4596" i="10"/>
  <c r="G4597" i="10"/>
  <c r="H4597" i="10"/>
  <c r="G4598" i="10"/>
  <c r="H4598" i="10"/>
  <c r="G4599" i="10"/>
  <c r="H4599" i="10"/>
  <c r="G4600" i="10"/>
  <c r="H4600" i="10"/>
  <c r="G4601" i="10"/>
  <c r="H4601" i="10"/>
  <c r="G4602" i="10"/>
  <c r="H4602" i="10"/>
  <c r="G4603" i="10"/>
  <c r="H4603" i="10"/>
  <c r="G4604" i="10"/>
  <c r="H4604" i="10"/>
  <c r="G4605" i="10"/>
  <c r="H4605" i="10"/>
  <c r="G4606" i="10"/>
  <c r="H4606" i="10"/>
  <c r="G4607" i="10"/>
  <c r="H4607" i="10"/>
  <c r="G4608" i="10"/>
  <c r="H4608" i="10"/>
  <c r="G4609" i="10"/>
  <c r="H4609" i="10"/>
  <c r="G4610" i="10"/>
  <c r="H4610" i="10"/>
  <c r="G4611" i="10"/>
  <c r="H4611" i="10"/>
  <c r="G4612" i="10"/>
  <c r="H4612" i="10"/>
  <c r="G4613" i="10"/>
  <c r="H4613" i="10"/>
  <c r="G4614" i="10"/>
  <c r="H4614" i="10"/>
  <c r="G4615" i="10"/>
  <c r="H4615" i="10"/>
  <c r="G4616" i="10"/>
  <c r="H4616" i="10"/>
  <c r="G4617" i="10"/>
  <c r="H4617" i="10"/>
  <c r="G4618" i="10"/>
  <c r="H4618" i="10"/>
  <c r="G4619" i="10"/>
  <c r="H4619" i="10"/>
  <c r="G4620" i="10"/>
  <c r="H4620" i="10"/>
  <c r="G4621" i="10"/>
  <c r="H4621" i="10"/>
  <c r="G4622" i="10"/>
  <c r="H4622" i="10"/>
  <c r="G4623" i="10"/>
  <c r="H4623" i="10"/>
  <c r="G4624" i="10"/>
  <c r="H4624" i="10"/>
  <c r="G4625" i="10"/>
  <c r="H4625" i="10"/>
  <c r="G4626" i="10"/>
  <c r="H4626" i="10"/>
  <c r="G4627" i="10"/>
  <c r="H4627" i="10"/>
  <c r="G4628" i="10"/>
  <c r="H4628" i="10"/>
  <c r="G4629" i="10"/>
  <c r="H4629" i="10"/>
  <c r="G4630" i="10"/>
  <c r="H4630" i="10"/>
  <c r="G4631" i="10"/>
  <c r="H4631" i="10"/>
  <c r="G4632" i="10"/>
  <c r="H4632" i="10"/>
  <c r="G4633" i="10"/>
  <c r="H4633" i="10"/>
  <c r="G4634" i="10"/>
  <c r="H4634" i="10"/>
  <c r="G4635" i="10"/>
  <c r="H4635" i="10"/>
  <c r="G4636" i="10"/>
  <c r="H4636" i="10"/>
  <c r="G4637" i="10"/>
  <c r="H4637" i="10"/>
  <c r="G4638" i="10"/>
  <c r="H4638" i="10"/>
  <c r="G4639" i="10"/>
  <c r="H4639" i="10"/>
  <c r="G4640" i="10"/>
  <c r="H4640" i="10"/>
  <c r="G4641" i="10"/>
  <c r="H4641" i="10"/>
  <c r="G4642" i="10"/>
  <c r="H4642" i="10"/>
  <c r="G4643" i="10"/>
  <c r="H4643" i="10"/>
  <c r="G4644" i="10"/>
  <c r="H4644" i="10"/>
  <c r="G4645" i="10"/>
  <c r="H4645" i="10"/>
  <c r="G4646" i="10"/>
  <c r="H4646" i="10"/>
  <c r="G4647" i="10"/>
  <c r="H4647" i="10"/>
  <c r="G4648" i="10"/>
  <c r="H4648" i="10"/>
  <c r="G4649" i="10"/>
  <c r="H4649" i="10"/>
  <c r="G4650" i="10"/>
  <c r="H4650" i="10"/>
  <c r="G4651" i="10"/>
  <c r="H4651" i="10"/>
  <c r="G4652" i="10"/>
  <c r="H4652" i="10"/>
  <c r="G4653" i="10"/>
  <c r="H4653" i="10"/>
  <c r="G4654" i="10"/>
  <c r="H4654" i="10"/>
  <c r="G4655" i="10"/>
  <c r="H4655" i="10"/>
  <c r="G4656" i="10"/>
  <c r="H4656" i="10"/>
  <c r="G4657" i="10"/>
  <c r="H4657" i="10"/>
  <c r="G4658" i="10"/>
  <c r="H4658" i="10"/>
  <c r="G4659" i="10"/>
  <c r="H4659" i="10"/>
  <c r="G4660" i="10"/>
  <c r="H4660" i="10"/>
  <c r="G4661" i="10"/>
  <c r="H4661" i="10"/>
  <c r="G4662" i="10"/>
  <c r="H4662" i="10"/>
  <c r="G4663" i="10"/>
  <c r="H4663" i="10"/>
  <c r="G4664" i="10"/>
  <c r="H4664" i="10"/>
  <c r="G4665" i="10"/>
  <c r="H4665" i="10"/>
  <c r="G4666" i="10"/>
  <c r="H4666" i="10"/>
  <c r="G4667" i="10"/>
  <c r="H4667" i="10"/>
  <c r="G4668" i="10"/>
  <c r="H4668" i="10"/>
  <c r="G4669" i="10"/>
  <c r="H4669" i="10"/>
  <c r="G4670" i="10"/>
  <c r="H4670" i="10"/>
  <c r="G4671" i="10"/>
  <c r="H4671" i="10"/>
  <c r="G4672" i="10"/>
  <c r="H4672" i="10"/>
  <c r="G4673" i="10"/>
  <c r="H4673" i="10"/>
  <c r="G4674" i="10"/>
  <c r="H4674" i="10"/>
  <c r="G4675" i="10"/>
  <c r="H4675" i="10"/>
  <c r="G4676" i="10"/>
  <c r="H4676" i="10"/>
  <c r="G4677" i="10"/>
  <c r="H4677" i="10"/>
  <c r="G4678" i="10"/>
  <c r="H4678" i="10"/>
  <c r="G4679" i="10"/>
  <c r="H4679" i="10"/>
  <c r="G4680" i="10"/>
  <c r="H4680" i="10"/>
  <c r="G4681" i="10"/>
  <c r="H4681" i="10"/>
  <c r="G4682" i="10"/>
  <c r="H4682" i="10"/>
  <c r="G4683" i="10"/>
  <c r="H4683" i="10"/>
  <c r="G4684" i="10"/>
  <c r="H4684" i="10"/>
  <c r="G4685" i="10"/>
  <c r="H4685" i="10"/>
  <c r="G4686" i="10"/>
  <c r="H4686" i="10"/>
  <c r="G4687" i="10"/>
  <c r="H4687" i="10"/>
  <c r="G4688" i="10"/>
  <c r="H4688" i="10"/>
  <c r="G4689" i="10"/>
  <c r="H4689" i="10"/>
  <c r="G4690" i="10"/>
  <c r="H4690" i="10"/>
  <c r="G4691" i="10"/>
  <c r="H4691" i="10"/>
  <c r="G4692" i="10"/>
  <c r="H4692" i="10"/>
  <c r="G4693" i="10"/>
  <c r="H4693" i="10"/>
  <c r="G4694" i="10"/>
  <c r="H4694" i="10"/>
  <c r="G4695" i="10"/>
  <c r="H4695" i="10"/>
  <c r="G4696" i="10"/>
  <c r="H4696" i="10"/>
  <c r="G4697" i="10"/>
  <c r="H4697" i="10"/>
  <c r="G4698" i="10"/>
  <c r="H4698" i="10"/>
  <c r="G4699" i="10"/>
  <c r="H4699" i="10"/>
  <c r="G4700" i="10"/>
  <c r="H4700" i="10"/>
  <c r="G4701" i="10"/>
  <c r="H4701" i="10"/>
  <c r="G4702" i="10"/>
  <c r="H4702" i="10"/>
  <c r="G4703" i="10"/>
  <c r="H4703" i="10"/>
  <c r="G4704" i="10"/>
  <c r="H4704" i="10"/>
  <c r="G4705" i="10"/>
  <c r="H4705" i="10"/>
  <c r="G4706" i="10"/>
  <c r="H4706" i="10"/>
  <c r="G4707" i="10"/>
  <c r="H4707" i="10"/>
  <c r="G4708" i="10"/>
  <c r="H4708" i="10"/>
  <c r="G4709" i="10"/>
  <c r="H4709" i="10"/>
  <c r="G4710" i="10"/>
  <c r="H4710" i="10"/>
  <c r="G4711" i="10"/>
  <c r="H4711" i="10"/>
  <c r="G4712" i="10"/>
  <c r="H4712" i="10"/>
  <c r="G4713" i="10"/>
  <c r="H4713" i="10"/>
  <c r="G4714" i="10"/>
  <c r="H4714" i="10"/>
  <c r="G4715" i="10"/>
  <c r="H4715" i="10"/>
  <c r="G4716" i="10"/>
  <c r="H4716" i="10"/>
  <c r="G4717" i="10"/>
  <c r="H4717" i="10"/>
  <c r="G4718" i="10"/>
  <c r="H4718" i="10"/>
  <c r="G4719" i="10"/>
  <c r="H4719" i="10"/>
  <c r="G4720" i="10"/>
  <c r="H4720" i="10"/>
  <c r="G4721" i="10"/>
  <c r="H4721" i="10"/>
  <c r="G4722" i="10"/>
  <c r="H4722" i="10"/>
  <c r="G4723" i="10"/>
  <c r="H4723" i="10"/>
  <c r="G4724" i="10"/>
  <c r="H4724" i="10"/>
  <c r="G4725" i="10"/>
  <c r="H4725" i="10"/>
  <c r="G4726" i="10"/>
  <c r="H4726" i="10"/>
  <c r="G4727" i="10"/>
  <c r="H4727" i="10"/>
  <c r="G4728" i="10"/>
  <c r="H4728" i="10"/>
  <c r="G4729" i="10"/>
  <c r="H4729" i="10"/>
  <c r="G4730" i="10"/>
  <c r="H4730" i="10"/>
  <c r="G4731" i="10"/>
  <c r="H4731" i="10"/>
  <c r="G4732" i="10"/>
  <c r="H4732" i="10"/>
  <c r="G4733" i="10"/>
  <c r="H4733" i="10"/>
  <c r="G4734" i="10"/>
  <c r="H4734" i="10"/>
  <c r="G4735" i="10"/>
  <c r="H4735" i="10"/>
  <c r="G4736" i="10"/>
  <c r="H4736" i="10"/>
  <c r="G4737" i="10"/>
  <c r="H4737" i="10"/>
  <c r="G4738" i="10"/>
  <c r="H4738" i="10"/>
  <c r="G4739" i="10"/>
  <c r="H4739" i="10"/>
  <c r="G4740" i="10"/>
  <c r="H4740" i="10"/>
  <c r="G4741" i="10"/>
  <c r="H4741" i="10"/>
  <c r="G4742" i="10"/>
  <c r="H4742" i="10"/>
  <c r="G4743" i="10"/>
  <c r="H4743" i="10"/>
  <c r="G4744" i="10"/>
  <c r="H4744" i="10"/>
  <c r="G4745" i="10"/>
  <c r="H4745" i="10"/>
  <c r="G4746" i="10"/>
  <c r="H4746" i="10"/>
  <c r="G4747" i="10"/>
  <c r="H4747" i="10"/>
  <c r="G4748" i="10"/>
  <c r="H4748" i="10"/>
  <c r="G4749" i="10"/>
  <c r="H4749" i="10"/>
  <c r="G4750" i="10"/>
  <c r="H4750" i="10"/>
  <c r="G4751" i="10"/>
  <c r="H4751" i="10"/>
  <c r="G4752" i="10"/>
  <c r="H4752" i="10"/>
  <c r="G4753" i="10"/>
  <c r="H4753" i="10"/>
  <c r="G4754" i="10"/>
  <c r="H4754" i="10"/>
  <c r="G4755" i="10"/>
  <c r="H4755" i="10"/>
  <c r="G4756" i="10"/>
  <c r="H4756" i="10"/>
  <c r="G4757" i="10"/>
  <c r="H4757" i="10"/>
  <c r="G4758" i="10"/>
  <c r="H4758" i="10"/>
  <c r="G4759" i="10"/>
  <c r="H4759" i="10"/>
  <c r="G4760" i="10"/>
  <c r="H4760" i="10"/>
  <c r="G4761" i="10"/>
  <c r="H4761" i="10"/>
  <c r="G4762" i="10"/>
  <c r="H4762" i="10"/>
  <c r="G4763" i="10"/>
  <c r="H4763" i="10"/>
  <c r="G4764" i="10"/>
  <c r="H4764" i="10"/>
  <c r="G4765" i="10"/>
  <c r="H4765" i="10"/>
  <c r="G4766" i="10"/>
  <c r="H4766" i="10"/>
  <c r="G4767" i="10"/>
  <c r="H4767" i="10"/>
  <c r="G4768" i="10"/>
  <c r="H4768" i="10"/>
  <c r="G4769" i="10"/>
  <c r="H4769" i="10"/>
  <c r="G4770" i="10"/>
  <c r="H4770" i="10"/>
  <c r="G4771" i="10"/>
  <c r="H4771" i="10"/>
  <c r="G4772" i="10"/>
  <c r="H4772" i="10"/>
  <c r="G4773" i="10"/>
  <c r="H4773" i="10"/>
  <c r="G4774" i="10"/>
  <c r="H4774" i="10"/>
  <c r="G4775" i="10"/>
  <c r="H4775" i="10"/>
  <c r="G4776" i="10"/>
  <c r="H4776" i="10"/>
  <c r="G4777" i="10"/>
  <c r="H4777" i="10"/>
  <c r="G4778" i="10"/>
  <c r="H4778" i="10"/>
  <c r="G4779" i="10"/>
  <c r="H4779" i="10"/>
  <c r="G4780" i="10"/>
  <c r="H4780" i="10"/>
  <c r="G4781" i="10"/>
  <c r="H4781" i="10"/>
  <c r="G4782" i="10"/>
  <c r="H4782" i="10"/>
  <c r="G4783" i="10"/>
  <c r="H4783" i="10"/>
  <c r="G4784" i="10"/>
  <c r="H4784" i="10"/>
  <c r="G4785" i="10"/>
  <c r="H4785" i="10"/>
  <c r="G4786" i="10"/>
  <c r="H4786" i="10"/>
  <c r="G4787" i="10"/>
  <c r="H4787" i="10"/>
  <c r="G4788" i="10"/>
  <c r="H4788" i="10"/>
  <c r="G4789" i="10"/>
  <c r="H4789" i="10"/>
  <c r="G4790" i="10"/>
  <c r="H4790" i="10"/>
  <c r="G4791" i="10"/>
  <c r="H4791" i="10"/>
  <c r="G4792" i="10"/>
  <c r="H4792" i="10"/>
  <c r="G4793" i="10"/>
  <c r="H4793" i="10"/>
  <c r="G4794" i="10"/>
  <c r="H4794" i="10"/>
  <c r="G4795" i="10"/>
  <c r="H4795" i="10"/>
  <c r="G4796" i="10"/>
  <c r="H4796" i="10"/>
  <c r="G4797" i="10"/>
  <c r="H4797" i="10"/>
  <c r="G4798" i="10"/>
  <c r="H4798" i="10"/>
  <c r="G4799" i="10"/>
  <c r="H4799" i="10"/>
  <c r="G4800" i="10"/>
  <c r="H4800" i="10"/>
  <c r="G4801" i="10"/>
  <c r="H4801" i="10"/>
  <c r="G4802" i="10"/>
  <c r="H4802" i="10"/>
  <c r="G4803" i="10"/>
  <c r="H4803" i="10"/>
  <c r="G4804" i="10"/>
  <c r="H4804" i="10"/>
  <c r="G4805" i="10"/>
  <c r="H4805" i="10"/>
  <c r="G4806" i="10"/>
  <c r="H4806" i="10"/>
  <c r="G4807" i="10"/>
  <c r="H4807" i="10"/>
  <c r="G4808" i="10"/>
  <c r="H4808" i="10"/>
  <c r="G4809" i="10"/>
  <c r="H4809" i="10"/>
  <c r="G4810" i="10"/>
  <c r="H4810" i="10"/>
  <c r="G4811" i="10"/>
  <c r="H4811" i="10"/>
  <c r="G4812" i="10"/>
  <c r="H4812" i="10"/>
  <c r="G4813" i="10"/>
  <c r="H4813" i="10"/>
  <c r="G4814" i="10"/>
  <c r="H4814" i="10"/>
  <c r="G4815" i="10"/>
  <c r="H4815" i="10"/>
  <c r="G4816" i="10"/>
  <c r="H4816" i="10"/>
  <c r="G4817" i="10"/>
  <c r="H4817" i="10"/>
  <c r="G4818" i="10"/>
  <c r="H4818" i="10"/>
  <c r="G4819" i="10"/>
  <c r="H4819" i="10"/>
  <c r="G4820" i="10"/>
  <c r="H4820" i="10"/>
  <c r="G4821" i="10"/>
  <c r="H4821" i="10"/>
  <c r="G4822" i="10"/>
  <c r="H4822" i="10"/>
  <c r="G4823" i="10"/>
  <c r="H4823" i="10"/>
  <c r="G4824" i="10"/>
  <c r="H4824" i="10"/>
  <c r="G4825" i="10"/>
  <c r="H4825" i="10"/>
  <c r="G4826" i="10"/>
  <c r="H4826" i="10"/>
  <c r="G4827" i="10"/>
  <c r="H4827" i="10"/>
  <c r="G4828" i="10"/>
  <c r="H4828" i="10"/>
  <c r="G4829" i="10"/>
  <c r="H4829" i="10"/>
  <c r="G4830" i="10"/>
  <c r="H4830" i="10"/>
  <c r="G4831" i="10"/>
  <c r="H4831" i="10"/>
  <c r="G4832" i="10"/>
  <c r="H4832" i="10"/>
  <c r="G4833" i="10"/>
  <c r="H4833" i="10"/>
  <c r="G4834" i="10"/>
  <c r="H4834" i="10"/>
  <c r="G4835" i="10"/>
  <c r="H4835" i="10"/>
  <c r="G4836" i="10"/>
  <c r="H4836" i="10"/>
  <c r="G4837" i="10"/>
  <c r="H4837" i="10"/>
  <c r="G4838" i="10"/>
  <c r="H4838" i="10"/>
  <c r="G4839" i="10"/>
  <c r="H4839" i="10"/>
  <c r="G4840" i="10"/>
  <c r="H4840" i="10"/>
  <c r="G4841" i="10"/>
  <c r="H4841" i="10"/>
  <c r="G4842" i="10"/>
  <c r="H4842" i="10"/>
  <c r="G4843" i="10"/>
  <c r="H4843" i="10"/>
  <c r="G4844" i="10"/>
  <c r="H4844" i="10"/>
  <c r="G4845" i="10"/>
  <c r="H4845" i="10"/>
  <c r="G4846" i="10"/>
  <c r="H4846" i="10"/>
  <c r="G4847" i="10"/>
  <c r="H4847" i="10"/>
  <c r="G4848" i="10"/>
  <c r="H4848" i="10"/>
  <c r="G4849" i="10"/>
  <c r="H4849" i="10"/>
  <c r="G4850" i="10"/>
  <c r="H4850" i="10"/>
  <c r="G4851" i="10"/>
  <c r="H4851" i="10"/>
  <c r="G4852" i="10"/>
  <c r="H4852" i="10"/>
  <c r="G4853" i="10"/>
  <c r="H4853" i="10"/>
  <c r="G4854" i="10"/>
  <c r="H4854" i="10"/>
  <c r="G4855" i="10"/>
  <c r="H4855" i="10"/>
  <c r="G4856" i="10"/>
  <c r="H4856" i="10"/>
  <c r="G4857" i="10"/>
  <c r="H4857" i="10"/>
  <c r="G4858" i="10"/>
  <c r="H4858" i="10"/>
  <c r="G4859" i="10"/>
  <c r="H4859" i="10"/>
  <c r="G4860" i="10"/>
  <c r="H4860" i="10"/>
  <c r="G4861" i="10"/>
  <c r="H4861" i="10"/>
  <c r="G4862" i="10"/>
  <c r="H4862" i="10"/>
  <c r="G4863" i="10"/>
  <c r="H4863" i="10"/>
  <c r="G4864" i="10"/>
  <c r="H4864" i="10"/>
  <c r="G4865" i="10"/>
  <c r="H4865" i="10"/>
  <c r="G4866" i="10"/>
  <c r="H4866" i="10"/>
  <c r="G4867" i="10"/>
  <c r="H4867" i="10"/>
  <c r="G4868" i="10"/>
  <c r="H4868" i="10"/>
  <c r="G4869" i="10"/>
  <c r="H4869" i="10"/>
  <c r="G4870" i="10"/>
  <c r="H4870" i="10"/>
  <c r="G4871" i="10"/>
  <c r="H4871" i="10"/>
  <c r="G4872" i="10"/>
  <c r="H4872" i="10"/>
  <c r="G4873" i="10"/>
  <c r="H4873" i="10"/>
  <c r="G4874" i="10"/>
  <c r="H4874" i="10"/>
  <c r="G4875" i="10"/>
  <c r="H4875" i="10"/>
  <c r="G4876" i="10"/>
  <c r="H4876" i="10"/>
  <c r="G4877" i="10"/>
  <c r="H4877" i="10"/>
  <c r="G4878" i="10"/>
  <c r="H4878" i="10"/>
  <c r="G4879" i="10"/>
  <c r="H4879" i="10"/>
  <c r="G4880" i="10"/>
  <c r="H4880" i="10"/>
  <c r="G4881" i="10"/>
  <c r="H4881" i="10"/>
  <c r="G4882" i="10"/>
  <c r="H4882" i="10"/>
  <c r="G4883" i="10"/>
  <c r="H4883" i="10"/>
  <c r="G4884" i="10"/>
  <c r="H4884" i="10"/>
  <c r="G4885" i="10"/>
  <c r="H4885" i="10"/>
  <c r="G4886" i="10"/>
  <c r="H4886" i="10"/>
  <c r="G4887" i="10"/>
  <c r="H4887" i="10"/>
  <c r="G4888" i="10"/>
  <c r="H4888" i="10"/>
  <c r="G4889" i="10"/>
  <c r="H4889" i="10"/>
  <c r="G4890" i="10"/>
  <c r="H4890" i="10"/>
  <c r="G4891" i="10"/>
  <c r="H4891" i="10"/>
  <c r="G4892" i="10"/>
  <c r="H4892" i="10"/>
  <c r="G4893" i="10"/>
  <c r="H4893" i="10"/>
  <c r="G4894" i="10"/>
  <c r="H4894" i="10"/>
  <c r="G4895" i="10"/>
  <c r="H4895" i="10"/>
  <c r="G4896" i="10"/>
  <c r="H4896" i="10"/>
  <c r="G4897" i="10"/>
  <c r="H4897" i="10"/>
  <c r="G4898" i="10"/>
  <c r="H4898" i="10"/>
  <c r="G4899" i="10"/>
  <c r="H4899" i="10"/>
  <c r="G4900" i="10"/>
  <c r="H4900" i="10"/>
  <c r="G4901" i="10"/>
  <c r="H4901" i="10"/>
  <c r="G4902" i="10"/>
  <c r="H4902" i="10"/>
  <c r="G4903" i="10"/>
  <c r="H4903" i="10"/>
  <c r="G4904" i="10"/>
  <c r="H4904" i="10"/>
  <c r="G4905" i="10"/>
  <c r="H4905" i="10"/>
  <c r="G4906" i="10"/>
  <c r="H4906" i="10"/>
  <c r="G4907" i="10"/>
  <c r="H4907" i="10"/>
  <c r="G4908" i="10"/>
  <c r="H4908" i="10"/>
  <c r="G4909" i="10"/>
  <c r="H4909" i="10"/>
  <c r="G4910" i="10"/>
  <c r="H4910" i="10"/>
  <c r="G4911" i="10"/>
  <c r="H4911" i="10"/>
  <c r="G4912" i="10"/>
  <c r="H4912" i="10"/>
  <c r="G4913" i="10"/>
  <c r="H4913" i="10"/>
  <c r="G4914" i="10"/>
  <c r="H4914" i="10"/>
  <c r="G4915" i="10"/>
  <c r="H4915" i="10"/>
  <c r="G4916" i="10"/>
  <c r="H4916" i="10"/>
  <c r="G4917" i="10"/>
  <c r="H4917" i="10"/>
  <c r="G4918" i="10"/>
  <c r="H4918" i="10"/>
  <c r="G4919" i="10"/>
  <c r="H4919" i="10"/>
  <c r="G4920" i="10"/>
  <c r="H4920" i="10"/>
  <c r="G4921" i="10"/>
  <c r="H4921" i="10"/>
  <c r="G4922" i="10"/>
  <c r="H4922" i="10"/>
  <c r="G4923" i="10"/>
  <c r="H4923" i="10"/>
  <c r="G4924" i="10"/>
  <c r="H4924" i="10"/>
  <c r="G4925" i="10"/>
  <c r="H4925" i="10"/>
  <c r="G4926" i="10"/>
  <c r="H4926" i="10"/>
  <c r="G4927" i="10"/>
  <c r="H4927" i="10"/>
  <c r="G4928" i="10"/>
  <c r="H4928" i="10"/>
  <c r="G4929" i="10"/>
  <c r="H4929" i="10"/>
  <c r="G4930" i="10"/>
  <c r="H4930" i="10"/>
  <c r="G4931" i="10"/>
  <c r="H4931" i="10"/>
  <c r="G4932" i="10"/>
  <c r="H4932" i="10"/>
  <c r="G4933" i="10"/>
  <c r="H4933" i="10"/>
  <c r="G4934" i="10"/>
  <c r="H4934" i="10"/>
  <c r="G4935" i="10"/>
  <c r="H4935" i="10"/>
  <c r="G4936" i="10"/>
  <c r="H4936" i="10"/>
  <c r="G4937" i="10"/>
  <c r="H4937" i="10"/>
  <c r="G4938" i="10"/>
  <c r="H4938" i="10"/>
  <c r="G4939" i="10"/>
  <c r="H4939" i="10"/>
  <c r="G4940" i="10"/>
  <c r="H4940" i="10"/>
  <c r="G4941" i="10"/>
  <c r="H4941" i="10"/>
  <c r="G4942" i="10"/>
  <c r="H4942" i="10"/>
  <c r="G4943" i="10"/>
  <c r="H4943" i="10"/>
  <c r="G4944" i="10"/>
  <c r="H4944" i="10"/>
  <c r="G4945" i="10"/>
  <c r="H4945" i="10"/>
  <c r="G4946" i="10"/>
  <c r="H4946" i="10"/>
  <c r="G4947" i="10"/>
  <c r="H4947" i="10"/>
  <c r="G4948" i="10"/>
  <c r="H4948" i="10"/>
  <c r="G4949" i="10"/>
  <c r="H4949" i="10"/>
  <c r="G4950" i="10"/>
  <c r="H4950" i="10"/>
  <c r="G4951" i="10"/>
  <c r="H4951" i="10"/>
  <c r="G4952" i="10"/>
  <c r="H4952" i="10"/>
  <c r="G4953" i="10"/>
  <c r="H4953" i="10"/>
  <c r="G4954" i="10"/>
  <c r="H4954" i="10"/>
  <c r="G4955" i="10"/>
  <c r="H4955" i="10"/>
  <c r="G4956" i="10"/>
  <c r="H4956" i="10"/>
  <c r="G4957" i="10"/>
  <c r="H4957" i="10"/>
  <c r="G4958" i="10"/>
  <c r="H4958" i="10"/>
  <c r="G4959" i="10"/>
  <c r="H4959" i="10"/>
  <c r="G4960" i="10"/>
  <c r="H4960" i="10"/>
  <c r="G4961" i="10"/>
  <c r="H4961" i="10"/>
  <c r="G4962" i="10"/>
  <c r="H4962" i="10"/>
  <c r="G4963" i="10"/>
  <c r="H4963" i="10"/>
  <c r="G4964" i="10"/>
  <c r="H4964" i="10"/>
  <c r="G4965" i="10"/>
  <c r="H4965" i="10"/>
  <c r="G4966" i="10"/>
  <c r="H4966" i="10"/>
  <c r="G4967" i="10"/>
  <c r="H4967" i="10"/>
  <c r="G4968" i="10"/>
  <c r="H4968" i="10"/>
  <c r="G4969" i="10"/>
  <c r="H4969" i="10"/>
  <c r="G4970" i="10"/>
  <c r="H4970" i="10"/>
  <c r="G4971" i="10"/>
  <c r="H4971" i="10"/>
  <c r="G4972" i="10"/>
  <c r="H4972" i="10"/>
  <c r="G4973" i="10"/>
  <c r="H4973" i="10"/>
  <c r="G4974" i="10"/>
  <c r="H4974" i="10"/>
  <c r="G4975" i="10"/>
  <c r="H4975" i="10"/>
  <c r="G4976" i="10"/>
  <c r="H4976" i="10"/>
  <c r="G4977" i="10"/>
  <c r="H4977" i="10"/>
  <c r="G4978" i="10"/>
  <c r="H4978" i="10"/>
  <c r="G4979" i="10"/>
  <c r="H4979" i="10"/>
  <c r="G4980" i="10"/>
  <c r="H4980" i="10"/>
  <c r="G4981" i="10"/>
  <c r="H4981" i="10"/>
  <c r="G4982" i="10"/>
  <c r="H4982" i="10"/>
  <c r="G4983" i="10"/>
  <c r="H4983" i="10"/>
  <c r="G4984" i="10"/>
  <c r="H4984" i="10"/>
  <c r="G4985" i="10"/>
  <c r="H4985" i="10"/>
  <c r="G4986" i="10"/>
  <c r="H4986" i="10"/>
  <c r="G4987" i="10"/>
  <c r="H4987" i="10"/>
  <c r="G4988" i="10"/>
  <c r="H4988" i="10"/>
  <c r="G4989" i="10"/>
  <c r="H4989" i="10"/>
  <c r="G4990" i="10"/>
  <c r="H4990" i="10"/>
  <c r="G4991" i="10"/>
  <c r="H4991" i="10"/>
  <c r="G4992" i="10"/>
  <c r="H4992" i="10"/>
  <c r="G4993" i="10"/>
  <c r="H4993" i="10"/>
  <c r="G4994" i="10"/>
  <c r="H4994" i="10"/>
  <c r="G4995" i="10"/>
  <c r="H4995" i="10"/>
  <c r="G4996" i="10"/>
  <c r="H4996" i="10"/>
  <c r="G4997" i="10"/>
  <c r="H4997" i="10"/>
  <c r="G4998" i="10"/>
  <c r="H4998" i="10"/>
  <c r="G4999" i="10"/>
  <c r="H4999" i="10"/>
  <c r="G5000" i="10"/>
  <c r="H5000" i="10"/>
  <c r="G5001" i="10"/>
  <c r="H5001" i="10"/>
  <c r="G5002" i="10"/>
  <c r="H5002" i="10"/>
  <c r="G5003" i="10"/>
  <c r="H5003" i="10"/>
  <c r="G5004" i="10"/>
  <c r="H5004" i="10"/>
  <c r="G5005" i="10"/>
  <c r="H5005" i="10"/>
  <c r="G5006" i="10"/>
  <c r="H5006" i="10"/>
  <c r="G5007" i="10"/>
  <c r="H5007" i="10"/>
  <c r="G5008" i="10"/>
  <c r="H5008" i="10"/>
  <c r="G5009" i="10"/>
  <c r="H5009" i="10"/>
  <c r="G5010" i="10"/>
  <c r="H5010" i="10"/>
  <c r="G5011" i="10"/>
  <c r="H5011" i="10"/>
  <c r="G5012" i="10"/>
  <c r="H5012" i="10"/>
  <c r="G5013" i="10"/>
  <c r="H5013" i="10"/>
  <c r="G5014" i="10"/>
  <c r="H5014" i="10"/>
  <c r="G5015" i="10"/>
  <c r="H5015" i="10"/>
  <c r="G5016" i="10"/>
  <c r="H5016" i="10"/>
  <c r="G5017" i="10"/>
  <c r="H5017" i="10"/>
  <c r="G5018" i="10"/>
  <c r="H5018" i="10"/>
  <c r="G5019" i="10"/>
  <c r="H5019" i="10"/>
  <c r="G5020" i="10"/>
  <c r="H5020" i="10"/>
  <c r="G5021" i="10"/>
  <c r="H5021" i="10"/>
  <c r="G5022" i="10"/>
  <c r="H5022" i="10"/>
  <c r="G5023" i="10"/>
  <c r="H5023" i="10"/>
  <c r="G5024" i="10"/>
  <c r="H5024" i="10"/>
  <c r="G5025" i="10"/>
  <c r="H5025" i="10"/>
  <c r="G5026" i="10"/>
  <c r="H5026" i="10"/>
  <c r="G5027" i="10"/>
  <c r="H5027" i="10"/>
  <c r="G5028" i="10"/>
  <c r="H5028" i="10"/>
  <c r="G5029" i="10"/>
  <c r="H5029" i="10"/>
  <c r="G5030" i="10"/>
  <c r="H5030" i="10"/>
  <c r="G5031" i="10"/>
  <c r="H5031" i="10"/>
  <c r="G5032" i="10"/>
  <c r="H5032" i="10"/>
  <c r="G5033" i="10"/>
  <c r="H5033" i="10"/>
  <c r="G5034" i="10"/>
  <c r="H5034" i="10"/>
  <c r="G5035" i="10"/>
  <c r="H5035" i="10"/>
  <c r="G5036" i="10"/>
  <c r="H5036" i="10"/>
  <c r="G5037" i="10"/>
  <c r="H5037" i="10"/>
  <c r="G5038" i="10"/>
  <c r="H5038" i="10"/>
  <c r="G5039" i="10"/>
  <c r="H5039" i="10"/>
  <c r="G5040" i="10"/>
  <c r="H5040" i="10"/>
  <c r="G5041" i="10"/>
  <c r="H5041" i="10"/>
  <c r="G5042" i="10"/>
  <c r="H5042" i="10"/>
  <c r="G5043" i="10"/>
  <c r="H5043" i="10"/>
  <c r="G5044" i="10"/>
  <c r="H5044" i="10"/>
  <c r="G5045" i="10"/>
  <c r="H5045" i="10"/>
  <c r="G5046" i="10"/>
  <c r="H5046" i="10"/>
  <c r="G5047" i="10"/>
  <c r="H5047" i="10"/>
  <c r="G5048" i="10"/>
  <c r="H5048" i="10"/>
  <c r="G5049" i="10"/>
  <c r="H5049" i="10"/>
  <c r="G5050" i="10"/>
  <c r="H5050" i="10"/>
  <c r="G5051" i="10"/>
  <c r="H5051" i="10"/>
  <c r="G5052" i="10"/>
  <c r="H5052" i="10"/>
  <c r="G5053" i="10"/>
  <c r="H5053" i="10"/>
  <c r="G5054" i="10"/>
  <c r="H5054" i="10"/>
  <c r="G5055" i="10"/>
  <c r="H5055" i="10"/>
  <c r="G5056" i="10"/>
  <c r="H5056" i="10"/>
  <c r="G5057" i="10"/>
  <c r="H5057" i="10"/>
  <c r="G5058" i="10"/>
  <c r="H5058" i="10"/>
  <c r="G5059" i="10"/>
  <c r="H5059" i="10"/>
  <c r="G5060" i="10"/>
  <c r="H5060" i="10"/>
  <c r="G5061" i="10"/>
  <c r="H5061" i="10"/>
  <c r="G5062" i="10"/>
  <c r="H5062" i="10"/>
  <c r="G5063" i="10"/>
  <c r="H5063" i="10"/>
  <c r="G5064" i="10"/>
  <c r="H5064" i="10"/>
  <c r="G5065" i="10"/>
  <c r="H5065" i="10"/>
  <c r="G5066" i="10"/>
  <c r="H5066" i="10"/>
  <c r="G5067" i="10"/>
  <c r="H5067" i="10"/>
  <c r="G5068" i="10"/>
  <c r="H5068" i="10"/>
  <c r="G5069" i="10"/>
  <c r="H5069" i="10"/>
  <c r="G5070" i="10"/>
  <c r="H5070" i="10"/>
  <c r="G5071" i="10"/>
  <c r="H5071" i="10"/>
  <c r="G5072" i="10"/>
  <c r="H5072" i="10"/>
  <c r="G5073" i="10"/>
  <c r="H5073" i="10"/>
  <c r="G5074" i="10"/>
  <c r="H5074" i="10"/>
  <c r="G5075" i="10"/>
  <c r="H5075" i="10"/>
  <c r="G5076" i="10"/>
  <c r="H5076" i="10"/>
  <c r="G5077" i="10"/>
  <c r="H5077" i="10"/>
  <c r="G5078" i="10"/>
  <c r="H5078" i="10"/>
  <c r="G5079" i="10"/>
  <c r="H5079" i="10"/>
  <c r="G5080" i="10"/>
  <c r="H5080" i="10"/>
  <c r="G5081" i="10"/>
  <c r="H5081" i="10"/>
  <c r="G5082" i="10"/>
  <c r="H5082" i="10"/>
  <c r="G5083" i="10"/>
  <c r="H5083" i="10"/>
  <c r="G5084" i="10"/>
  <c r="H5084" i="10"/>
  <c r="G5085" i="10"/>
  <c r="H5085" i="10"/>
  <c r="G5086" i="10"/>
  <c r="H5086" i="10"/>
  <c r="G5087" i="10"/>
  <c r="H5087" i="10"/>
  <c r="G5088" i="10"/>
  <c r="H5088" i="10"/>
  <c r="G5089" i="10"/>
  <c r="H5089" i="10"/>
  <c r="G5090" i="10"/>
  <c r="H5090" i="10"/>
  <c r="G5091" i="10"/>
  <c r="H5091" i="10"/>
  <c r="G5092" i="10"/>
  <c r="H5092" i="10"/>
  <c r="G5093" i="10"/>
  <c r="H5093" i="10"/>
  <c r="G5094" i="10"/>
  <c r="H5094" i="10"/>
  <c r="G5095" i="10"/>
  <c r="H5095" i="10"/>
  <c r="G5096" i="10"/>
  <c r="H5096" i="10"/>
  <c r="G5097" i="10"/>
  <c r="H5097" i="10"/>
  <c r="G5098" i="10"/>
  <c r="H5098" i="10"/>
  <c r="G5099" i="10"/>
  <c r="H5099" i="10"/>
  <c r="G5100" i="10"/>
  <c r="H5100" i="10"/>
  <c r="G5101" i="10"/>
  <c r="H5101" i="10"/>
  <c r="G5102" i="10"/>
  <c r="H5102" i="10"/>
  <c r="G5103" i="10"/>
  <c r="H5103" i="10"/>
  <c r="G5104" i="10"/>
  <c r="H5104" i="10"/>
  <c r="G5105" i="10"/>
  <c r="H5105" i="10"/>
  <c r="G5106" i="10"/>
  <c r="H5106" i="10"/>
  <c r="G5107" i="10"/>
  <c r="H5107" i="10"/>
  <c r="G5108" i="10"/>
  <c r="H5108" i="10"/>
  <c r="G5109" i="10"/>
  <c r="H5109" i="10"/>
  <c r="G5110" i="10"/>
  <c r="H5110" i="10"/>
  <c r="G5111" i="10"/>
  <c r="H5111" i="10"/>
  <c r="G5112" i="10"/>
  <c r="H5112" i="10"/>
  <c r="G5113" i="10"/>
  <c r="H5113" i="10"/>
  <c r="G5114" i="10"/>
  <c r="H5114" i="10"/>
  <c r="G5115" i="10"/>
  <c r="H5115" i="10"/>
  <c r="G5116" i="10"/>
  <c r="H5116" i="10"/>
  <c r="G5117" i="10"/>
  <c r="H5117" i="10"/>
  <c r="G5118" i="10"/>
  <c r="H5118" i="10"/>
  <c r="G5119" i="10"/>
  <c r="H5119" i="10"/>
  <c r="G5120" i="10"/>
  <c r="H5120" i="10"/>
  <c r="G5121" i="10"/>
  <c r="H5121" i="10"/>
  <c r="G5122" i="10"/>
  <c r="H5122" i="10"/>
  <c r="G5123" i="10"/>
  <c r="H5123" i="10"/>
  <c r="G5124" i="10"/>
  <c r="H5124" i="10"/>
  <c r="G5125" i="10"/>
  <c r="H5125" i="10"/>
  <c r="G5126" i="10"/>
  <c r="H5126" i="10"/>
  <c r="G5127" i="10"/>
  <c r="H5127" i="10"/>
  <c r="G5128" i="10"/>
  <c r="H5128" i="10"/>
  <c r="G5129" i="10"/>
  <c r="H5129" i="10"/>
  <c r="G5130" i="10"/>
  <c r="H5130" i="10"/>
  <c r="G5131" i="10"/>
  <c r="H5131" i="10"/>
  <c r="G5132" i="10"/>
  <c r="H5132" i="10"/>
  <c r="G5133" i="10"/>
  <c r="H5133" i="10"/>
  <c r="G5134" i="10"/>
  <c r="H5134" i="10"/>
  <c r="G5135" i="10"/>
  <c r="H5135" i="10"/>
  <c r="G5136" i="10"/>
  <c r="H5136" i="10"/>
  <c r="G5137" i="10"/>
  <c r="H5137" i="10"/>
  <c r="G5138" i="10"/>
  <c r="H5138" i="10"/>
  <c r="G5139" i="10"/>
  <c r="H5139" i="10"/>
  <c r="G5140" i="10"/>
  <c r="H5140" i="10"/>
  <c r="G5141" i="10"/>
  <c r="H5141" i="10"/>
  <c r="G5142" i="10"/>
  <c r="H5142" i="10"/>
  <c r="G5143" i="10"/>
  <c r="H5143" i="10"/>
  <c r="G5144" i="10"/>
  <c r="H5144" i="10"/>
  <c r="G5145" i="10"/>
  <c r="H5145" i="10"/>
  <c r="G5146" i="10"/>
  <c r="H5146" i="10"/>
  <c r="G5147" i="10"/>
  <c r="H5147" i="10"/>
  <c r="G5148" i="10"/>
  <c r="H5148" i="10"/>
  <c r="G5149" i="10"/>
  <c r="H5149" i="10"/>
  <c r="G5150" i="10"/>
  <c r="H5150" i="10"/>
  <c r="G5151" i="10"/>
  <c r="H5151" i="10"/>
  <c r="G5152" i="10"/>
  <c r="H5152" i="10"/>
  <c r="G5153" i="10"/>
  <c r="H5153" i="10"/>
  <c r="G5154" i="10"/>
  <c r="H5154" i="10"/>
  <c r="G5155" i="10"/>
  <c r="H5155" i="10"/>
  <c r="G5156" i="10"/>
  <c r="H5156" i="10"/>
  <c r="G5157" i="10"/>
  <c r="H5157" i="10"/>
  <c r="G5158" i="10"/>
  <c r="H5158" i="10"/>
  <c r="G5159" i="10"/>
  <c r="H5159" i="10"/>
  <c r="G5160" i="10"/>
  <c r="H5160" i="10"/>
  <c r="G5161" i="10"/>
  <c r="H5161" i="10"/>
  <c r="G5162" i="10"/>
  <c r="H5162" i="10"/>
  <c r="G5163" i="10"/>
  <c r="H5163" i="10"/>
  <c r="G5164" i="10"/>
  <c r="H5164" i="10"/>
  <c r="G5165" i="10"/>
  <c r="H5165" i="10"/>
  <c r="G5166" i="10"/>
  <c r="H5166" i="10"/>
  <c r="G5167" i="10"/>
  <c r="H5167" i="10"/>
  <c r="G5168" i="10"/>
  <c r="H5168" i="10"/>
  <c r="G5169" i="10"/>
  <c r="H5169" i="10"/>
  <c r="G5170" i="10"/>
  <c r="H5170" i="10"/>
  <c r="G5171" i="10"/>
  <c r="H5171" i="10"/>
  <c r="G5172" i="10"/>
  <c r="H5172" i="10"/>
  <c r="G5173" i="10"/>
  <c r="H5173" i="10"/>
  <c r="G5174" i="10"/>
  <c r="H5174" i="10"/>
  <c r="G5175" i="10"/>
  <c r="H5175" i="10"/>
  <c r="G5176" i="10"/>
  <c r="H5176" i="10"/>
  <c r="G5177" i="10"/>
  <c r="H5177" i="10"/>
  <c r="G5178" i="10"/>
  <c r="H5178" i="10"/>
  <c r="G5179" i="10"/>
  <c r="H5179" i="10"/>
  <c r="G5180" i="10"/>
  <c r="H5180" i="10"/>
  <c r="G5181" i="10"/>
  <c r="H5181" i="10"/>
  <c r="G5182" i="10"/>
  <c r="H5182" i="10"/>
  <c r="G5183" i="10"/>
  <c r="H5183" i="10"/>
  <c r="G5184" i="10"/>
  <c r="H5184" i="10"/>
  <c r="G5185" i="10"/>
  <c r="H5185" i="10"/>
  <c r="G5186" i="10"/>
  <c r="H5186" i="10"/>
  <c r="G5187" i="10"/>
  <c r="H5187" i="10"/>
  <c r="G5188" i="10"/>
  <c r="H5188" i="10"/>
  <c r="G5189" i="10"/>
  <c r="H5189" i="10"/>
  <c r="G5190" i="10"/>
  <c r="H5190" i="10"/>
  <c r="G5191" i="10"/>
  <c r="H5191" i="10"/>
  <c r="G5192" i="10"/>
  <c r="H5192" i="10"/>
  <c r="G5193" i="10"/>
  <c r="H5193" i="10"/>
  <c r="G5194" i="10"/>
  <c r="H5194" i="10"/>
  <c r="G5195" i="10"/>
  <c r="H5195" i="10"/>
  <c r="G5196" i="10"/>
  <c r="H5196" i="10"/>
  <c r="G5197" i="10"/>
  <c r="H5197" i="10"/>
  <c r="G5198" i="10"/>
  <c r="H5198" i="10"/>
  <c r="G5199" i="10"/>
  <c r="H5199" i="10"/>
  <c r="G5200" i="10"/>
  <c r="H5200" i="10"/>
  <c r="G5201" i="10"/>
  <c r="H5201" i="10"/>
  <c r="G5202" i="10"/>
  <c r="H5202" i="10"/>
  <c r="G5203" i="10"/>
  <c r="H5203" i="10"/>
  <c r="G5204" i="10"/>
  <c r="H5204" i="10"/>
  <c r="G5205" i="10"/>
  <c r="H5205" i="10"/>
  <c r="G5206" i="10"/>
  <c r="H5206" i="10"/>
  <c r="G5207" i="10"/>
  <c r="H5207" i="10"/>
  <c r="G5208" i="10"/>
  <c r="H5208" i="10"/>
  <c r="G5209" i="10"/>
  <c r="H5209" i="10"/>
  <c r="G5210" i="10"/>
  <c r="H5210" i="10"/>
  <c r="G5211" i="10"/>
  <c r="H5211" i="10"/>
  <c r="G5212" i="10"/>
  <c r="H5212" i="10"/>
  <c r="G5213" i="10"/>
  <c r="H5213" i="10"/>
  <c r="G5214" i="10"/>
  <c r="H5214" i="10"/>
  <c r="G5215" i="10"/>
  <c r="H5215" i="10"/>
  <c r="G5216" i="10"/>
  <c r="H5216" i="10"/>
  <c r="G5217" i="10"/>
  <c r="H5217" i="10"/>
  <c r="G5218" i="10"/>
  <c r="H5218" i="10"/>
  <c r="G5219" i="10"/>
  <c r="H5219" i="10"/>
  <c r="G5220" i="10"/>
  <c r="H5220" i="10"/>
  <c r="G5221" i="10"/>
  <c r="H5221" i="10"/>
  <c r="G5222" i="10"/>
  <c r="H5222" i="10"/>
  <c r="G5223" i="10"/>
  <c r="H5223" i="10"/>
  <c r="G5224" i="10"/>
  <c r="H5224" i="10"/>
  <c r="G5225" i="10"/>
  <c r="H5225" i="10"/>
  <c r="G5226" i="10"/>
  <c r="H5226" i="10"/>
  <c r="G5227" i="10"/>
  <c r="H5227" i="10"/>
  <c r="G5228" i="10"/>
  <c r="H5228" i="10"/>
  <c r="G5229" i="10"/>
  <c r="H5229" i="10"/>
  <c r="G5230" i="10"/>
  <c r="H5230" i="10"/>
  <c r="G5231" i="10"/>
  <c r="H5231" i="10"/>
  <c r="G5232" i="10"/>
  <c r="H5232" i="10"/>
  <c r="G5233" i="10"/>
  <c r="H5233" i="10"/>
  <c r="G5234" i="10"/>
  <c r="H5234" i="10"/>
  <c r="G5235" i="10"/>
  <c r="H5235" i="10"/>
  <c r="G5236" i="10"/>
  <c r="H5236" i="10"/>
  <c r="G5237" i="10"/>
  <c r="H5237" i="10"/>
  <c r="G5238" i="10"/>
  <c r="H5238" i="10"/>
  <c r="G5239" i="10"/>
  <c r="H5239" i="10"/>
  <c r="G5240" i="10"/>
  <c r="H5240" i="10"/>
  <c r="G5241" i="10"/>
  <c r="H5241" i="10"/>
  <c r="G5242" i="10"/>
  <c r="H5242" i="10"/>
  <c r="G5243" i="10"/>
  <c r="H5243" i="10"/>
  <c r="G5244" i="10"/>
  <c r="H5244" i="10"/>
  <c r="G5245" i="10"/>
  <c r="H5245" i="10"/>
  <c r="G5246" i="10"/>
  <c r="H5246" i="10"/>
  <c r="G5247" i="10"/>
  <c r="H5247" i="10"/>
  <c r="G5248" i="10"/>
  <c r="H5248" i="10"/>
  <c r="G5249" i="10"/>
  <c r="H5249" i="10"/>
  <c r="G5250" i="10"/>
  <c r="H5250" i="10"/>
  <c r="G5251" i="10"/>
  <c r="H5251" i="10"/>
  <c r="G5252" i="10"/>
  <c r="H5252" i="10"/>
  <c r="G5253" i="10"/>
  <c r="H5253" i="10"/>
  <c r="G5254" i="10"/>
  <c r="H5254" i="10"/>
  <c r="G5255" i="10"/>
  <c r="H5255" i="10"/>
  <c r="G5256" i="10"/>
  <c r="H5256" i="10"/>
  <c r="G5257" i="10"/>
  <c r="H5257" i="10"/>
  <c r="G5258" i="10"/>
  <c r="H5258" i="10"/>
  <c r="G5259" i="10"/>
  <c r="H5259" i="10"/>
  <c r="G5260" i="10"/>
  <c r="H5260" i="10"/>
  <c r="G5261" i="10"/>
  <c r="H5261" i="10"/>
  <c r="G5262" i="10"/>
  <c r="H5262" i="10"/>
  <c r="G5263" i="10"/>
  <c r="H5263" i="10"/>
  <c r="G5264" i="10"/>
  <c r="H5264" i="10"/>
  <c r="G5265" i="10"/>
  <c r="H5265" i="10"/>
  <c r="G5266" i="10"/>
  <c r="H5266" i="10"/>
  <c r="G5267" i="10"/>
  <c r="H5267" i="10"/>
  <c r="G5268" i="10"/>
  <c r="H5268" i="10"/>
  <c r="G5269" i="10"/>
  <c r="H5269" i="10"/>
  <c r="G5270" i="10"/>
  <c r="H5270" i="10"/>
  <c r="G5271" i="10"/>
  <c r="H5271" i="10"/>
  <c r="G5272" i="10"/>
  <c r="H5272" i="10"/>
  <c r="G5273" i="10"/>
  <c r="H5273" i="10"/>
  <c r="G5274" i="10"/>
  <c r="H5274" i="10"/>
  <c r="G5275" i="10"/>
  <c r="H5275" i="10"/>
  <c r="G5276" i="10"/>
  <c r="H5276" i="10"/>
  <c r="G5277" i="10"/>
  <c r="H5277" i="10"/>
  <c r="G5278" i="10"/>
  <c r="H5278" i="10"/>
  <c r="G5279" i="10"/>
  <c r="H5279" i="10"/>
  <c r="G5280" i="10"/>
  <c r="H5280" i="10"/>
  <c r="G5281" i="10"/>
  <c r="H5281" i="10"/>
  <c r="G5282" i="10"/>
  <c r="H5282" i="10"/>
  <c r="G5283" i="10"/>
  <c r="H5283" i="10"/>
  <c r="G5284" i="10"/>
  <c r="H5284" i="10"/>
  <c r="G5285" i="10"/>
  <c r="H5285" i="10"/>
  <c r="G5286" i="10"/>
  <c r="H5286" i="10"/>
  <c r="G5287" i="10"/>
  <c r="H5287" i="10"/>
  <c r="G5288" i="10"/>
  <c r="H5288" i="10"/>
  <c r="G5289" i="10"/>
  <c r="H5289" i="10"/>
  <c r="G5290" i="10"/>
  <c r="H5290" i="10"/>
  <c r="G5291" i="10"/>
  <c r="H5291" i="10"/>
  <c r="G5292" i="10"/>
  <c r="H5292" i="10"/>
  <c r="G5293" i="10"/>
  <c r="H5293" i="10"/>
  <c r="G5294" i="10"/>
  <c r="H5294" i="10"/>
  <c r="G5295" i="10"/>
  <c r="H5295" i="10"/>
  <c r="G5296" i="10"/>
  <c r="H5296" i="10"/>
  <c r="G5297" i="10"/>
  <c r="H5297" i="10"/>
  <c r="G5298" i="10"/>
  <c r="H5298" i="10"/>
  <c r="G5299" i="10"/>
  <c r="H5299" i="10"/>
  <c r="G5300" i="10"/>
  <c r="H5300" i="10"/>
  <c r="G5301" i="10"/>
  <c r="H5301" i="10"/>
  <c r="G5302" i="10"/>
  <c r="H5302" i="10"/>
  <c r="G5303" i="10"/>
  <c r="H5303" i="10"/>
  <c r="G5304" i="10"/>
  <c r="H5304" i="10"/>
  <c r="G5305" i="10"/>
  <c r="H5305" i="10"/>
  <c r="G5306" i="10"/>
  <c r="H5306" i="10"/>
  <c r="G5307" i="10"/>
  <c r="H5307" i="10"/>
  <c r="G5308" i="10"/>
  <c r="H5308" i="10"/>
  <c r="G5309" i="10"/>
  <c r="H5309" i="10"/>
  <c r="G5310" i="10"/>
  <c r="H5310" i="10"/>
  <c r="G5311" i="10"/>
  <c r="H5311" i="10"/>
  <c r="G5312" i="10"/>
  <c r="H5312" i="10"/>
  <c r="G5313" i="10"/>
  <c r="H5313" i="10"/>
  <c r="G5314" i="10"/>
  <c r="H5314" i="10"/>
  <c r="G5315" i="10"/>
  <c r="H5315" i="10"/>
  <c r="G5316" i="10"/>
  <c r="H5316" i="10"/>
  <c r="G5317" i="10"/>
  <c r="H5317" i="10"/>
  <c r="G5318" i="10"/>
  <c r="H5318" i="10"/>
  <c r="G5319" i="10"/>
  <c r="H5319" i="10"/>
  <c r="G5320" i="10"/>
  <c r="H5320" i="10"/>
  <c r="G5321" i="10"/>
  <c r="H5321" i="10"/>
  <c r="G5322" i="10"/>
  <c r="H5322" i="10"/>
  <c r="G5323" i="10"/>
  <c r="H5323" i="10"/>
  <c r="G5324" i="10"/>
  <c r="H5324" i="10"/>
  <c r="G5325" i="10"/>
  <c r="H5325" i="10"/>
  <c r="G5326" i="10"/>
  <c r="H5326" i="10"/>
  <c r="G5327" i="10"/>
  <c r="H5327" i="10"/>
  <c r="G5328" i="10"/>
  <c r="H5328" i="10"/>
  <c r="G5329" i="10"/>
  <c r="H5329" i="10"/>
  <c r="G5330" i="10"/>
  <c r="H5330" i="10"/>
  <c r="G5331" i="10"/>
  <c r="H5331" i="10"/>
  <c r="G5332" i="10"/>
  <c r="H5332" i="10"/>
  <c r="G5333" i="10"/>
  <c r="H5333" i="10"/>
  <c r="G5334" i="10"/>
  <c r="H5334" i="10"/>
  <c r="G5335" i="10"/>
  <c r="H5335" i="10"/>
  <c r="G5336" i="10"/>
  <c r="H5336" i="10"/>
  <c r="G5337" i="10"/>
  <c r="H5337" i="10"/>
  <c r="G5338" i="10"/>
  <c r="H5338" i="10"/>
  <c r="G5339" i="10"/>
  <c r="H5339" i="10"/>
  <c r="G5340" i="10"/>
  <c r="H5340" i="10"/>
  <c r="G5341" i="10"/>
  <c r="H5341" i="10"/>
  <c r="G5342" i="10"/>
  <c r="H5342" i="10"/>
  <c r="G5343" i="10"/>
  <c r="H5343" i="10"/>
  <c r="G5344" i="10"/>
  <c r="H5344" i="10"/>
  <c r="G5345" i="10"/>
  <c r="H5345" i="10"/>
  <c r="G5346" i="10"/>
  <c r="H5346" i="10"/>
  <c r="G5347" i="10"/>
  <c r="H5347" i="10"/>
  <c r="G5348" i="10"/>
  <c r="H5348" i="10"/>
  <c r="G5349" i="10"/>
  <c r="H5349" i="10"/>
  <c r="G5350" i="10"/>
  <c r="H5350" i="10"/>
  <c r="G5351" i="10"/>
  <c r="H5351" i="10"/>
  <c r="G5352" i="10"/>
  <c r="H5352" i="10"/>
  <c r="G5353" i="10"/>
  <c r="H5353" i="10"/>
  <c r="G5354" i="10"/>
  <c r="H5354" i="10"/>
  <c r="G5355" i="10"/>
  <c r="H5355" i="10"/>
  <c r="G5356" i="10"/>
  <c r="H5356" i="10"/>
  <c r="G5357" i="10"/>
  <c r="H5357" i="10"/>
  <c r="G5358" i="10"/>
  <c r="H5358" i="10"/>
  <c r="G5359" i="10"/>
  <c r="H5359" i="10"/>
  <c r="G5360" i="10"/>
  <c r="H5360" i="10"/>
  <c r="G5361" i="10"/>
  <c r="H5361" i="10"/>
  <c r="G5362" i="10"/>
  <c r="H5362" i="10"/>
  <c r="G5363" i="10"/>
  <c r="H5363" i="10"/>
  <c r="G5364" i="10"/>
  <c r="H5364" i="10"/>
  <c r="G5365" i="10"/>
  <c r="H5365" i="10"/>
  <c r="G5366" i="10"/>
  <c r="H5366" i="10"/>
  <c r="G5367" i="10"/>
  <c r="H5367" i="10"/>
  <c r="G5368" i="10"/>
  <c r="H5368" i="10"/>
  <c r="G5369" i="10"/>
  <c r="H5369" i="10"/>
  <c r="G5370" i="10"/>
  <c r="H5370" i="10"/>
  <c r="G5371" i="10"/>
  <c r="H5371" i="10"/>
  <c r="G5372" i="10"/>
  <c r="H5372" i="10"/>
  <c r="G5373" i="10"/>
  <c r="H5373" i="10"/>
  <c r="G5374" i="10"/>
  <c r="H5374" i="10"/>
  <c r="G5375" i="10"/>
  <c r="H5375" i="10"/>
  <c r="G5376" i="10"/>
  <c r="H5376" i="10"/>
  <c r="G5377" i="10"/>
  <c r="H5377" i="10"/>
  <c r="G5378" i="10"/>
  <c r="H5378" i="10"/>
  <c r="G5379" i="10"/>
  <c r="H5379" i="10"/>
  <c r="G5380" i="10"/>
  <c r="H5380" i="10"/>
  <c r="G5381" i="10"/>
  <c r="H5381" i="10"/>
  <c r="G5382" i="10"/>
  <c r="H5382" i="10"/>
  <c r="G5383" i="10"/>
  <c r="H5383" i="10"/>
  <c r="G5384" i="10"/>
  <c r="H5384" i="10"/>
  <c r="G5385" i="10"/>
  <c r="H5385" i="10"/>
  <c r="G5386" i="10"/>
  <c r="H5386" i="10"/>
  <c r="G5387" i="10"/>
  <c r="H5387" i="10"/>
  <c r="G5388" i="10"/>
  <c r="H5388" i="10"/>
  <c r="G5389" i="10"/>
  <c r="H5389" i="10"/>
  <c r="G5390" i="10"/>
  <c r="H5390" i="10"/>
  <c r="G5391" i="10"/>
  <c r="H5391" i="10"/>
  <c r="G5392" i="10"/>
  <c r="H5392" i="10"/>
  <c r="G5393" i="10"/>
  <c r="H5393" i="10"/>
  <c r="G5394" i="10"/>
  <c r="H5394" i="10"/>
  <c r="G5395" i="10"/>
  <c r="H5395" i="10"/>
  <c r="G5396" i="10"/>
  <c r="H5396" i="10"/>
  <c r="G5397" i="10"/>
  <c r="H5397" i="10"/>
  <c r="G5398" i="10"/>
  <c r="H5398" i="10"/>
  <c r="G5399" i="10"/>
  <c r="H5399" i="10"/>
  <c r="G5400" i="10"/>
  <c r="H5400" i="10"/>
  <c r="G5401" i="10"/>
  <c r="H5401" i="10"/>
  <c r="G5402" i="10"/>
  <c r="H5402" i="10"/>
  <c r="G5403" i="10"/>
  <c r="H5403" i="10"/>
  <c r="G5404" i="10"/>
  <c r="H5404" i="10"/>
  <c r="G5405" i="10"/>
  <c r="H5405" i="10"/>
  <c r="G5406" i="10"/>
  <c r="H5406" i="10"/>
  <c r="G5407" i="10"/>
  <c r="H5407" i="10"/>
  <c r="G5408" i="10"/>
  <c r="H5408" i="10"/>
  <c r="G5409" i="10"/>
  <c r="H5409" i="10"/>
  <c r="G5410" i="10"/>
  <c r="H5410" i="10"/>
  <c r="G5411" i="10"/>
  <c r="H5411" i="10"/>
  <c r="G5412" i="10"/>
  <c r="H5412" i="10"/>
  <c r="G5413" i="10"/>
  <c r="H5413" i="10"/>
  <c r="G5414" i="10"/>
  <c r="H5414" i="10"/>
  <c r="G5415" i="10"/>
  <c r="H5415" i="10"/>
  <c r="G5416" i="10"/>
  <c r="H5416" i="10"/>
  <c r="G5417" i="10"/>
  <c r="H5417" i="10"/>
  <c r="G5418" i="10"/>
  <c r="H5418" i="10"/>
  <c r="G5419" i="10"/>
  <c r="H5419" i="10"/>
  <c r="G5420" i="10"/>
  <c r="H5420" i="10"/>
  <c r="G5421" i="10"/>
  <c r="H5421" i="10"/>
  <c r="G5422" i="10"/>
  <c r="H5422" i="10"/>
  <c r="G5423" i="10"/>
  <c r="H5423" i="10"/>
  <c r="G5424" i="10"/>
  <c r="H5424" i="10"/>
  <c r="G5425" i="10"/>
  <c r="H5425" i="10"/>
  <c r="G5426" i="10"/>
  <c r="H5426" i="10"/>
  <c r="G5427" i="10"/>
  <c r="H5427" i="10"/>
  <c r="G5428" i="10"/>
  <c r="H5428" i="10"/>
  <c r="G5429" i="10"/>
  <c r="H5429" i="10"/>
  <c r="G5430" i="10"/>
  <c r="H5430" i="10"/>
  <c r="G5431" i="10"/>
  <c r="H5431" i="10"/>
  <c r="G5432" i="10"/>
  <c r="H5432" i="10"/>
  <c r="G5433" i="10"/>
  <c r="H5433" i="10"/>
  <c r="G5434" i="10"/>
  <c r="H5434" i="10"/>
  <c r="G5435" i="10"/>
  <c r="H5435" i="10"/>
  <c r="G5436" i="10"/>
  <c r="H5436" i="10"/>
  <c r="G5437" i="10"/>
  <c r="H5437" i="10"/>
  <c r="G5438" i="10"/>
  <c r="H5438" i="10"/>
  <c r="G5439" i="10"/>
  <c r="H5439" i="10"/>
  <c r="G5440" i="10"/>
  <c r="H5440" i="10"/>
  <c r="G5441" i="10"/>
  <c r="H5441" i="10"/>
  <c r="G5442" i="10"/>
  <c r="H5442" i="10"/>
  <c r="G5443" i="10"/>
  <c r="H5443" i="10"/>
  <c r="G5444" i="10"/>
  <c r="H5444" i="10"/>
  <c r="G5445" i="10"/>
  <c r="H5445" i="10"/>
  <c r="G5446" i="10"/>
  <c r="H5446" i="10"/>
  <c r="G5447" i="10"/>
  <c r="H5447" i="10"/>
  <c r="G5448" i="10"/>
  <c r="H5448" i="10"/>
  <c r="G5449" i="10"/>
  <c r="H5449" i="10"/>
  <c r="G5450" i="10"/>
  <c r="H5450" i="10"/>
  <c r="G5451" i="10"/>
  <c r="H5451" i="10"/>
  <c r="G5452" i="10"/>
  <c r="H5452" i="10"/>
  <c r="G5453" i="10"/>
  <c r="H5453" i="10"/>
  <c r="G5454" i="10"/>
  <c r="H5454" i="10"/>
  <c r="G5455" i="10"/>
  <c r="H5455" i="10"/>
  <c r="G5456" i="10"/>
  <c r="H5456" i="10"/>
  <c r="G5457" i="10"/>
  <c r="H5457" i="10"/>
  <c r="G5458" i="10"/>
  <c r="H5458" i="10"/>
  <c r="G5459" i="10"/>
  <c r="H5459" i="10"/>
  <c r="G5460" i="10"/>
  <c r="H5460" i="10"/>
  <c r="G5461" i="10"/>
  <c r="H5461" i="10"/>
  <c r="G5462" i="10"/>
  <c r="H5462" i="10"/>
  <c r="G5463" i="10"/>
  <c r="H5463" i="10"/>
  <c r="G5464" i="10"/>
  <c r="H5464" i="10"/>
  <c r="G5465" i="10"/>
  <c r="H5465" i="10"/>
  <c r="G5466" i="10"/>
  <c r="H5466" i="10"/>
  <c r="G5467" i="10"/>
  <c r="H5467" i="10"/>
  <c r="G5468" i="10"/>
  <c r="H5468" i="10"/>
  <c r="G5469" i="10"/>
  <c r="H5469" i="10"/>
  <c r="G5470" i="10"/>
  <c r="H5470" i="10"/>
  <c r="G5471" i="10"/>
  <c r="H5471" i="10"/>
  <c r="G5472" i="10"/>
  <c r="H5472" i="10"/>
  <c r="G5473" i="10"/>
  <c r="H5473" i="10"/>
  <c r="G5474" i="10"/>
  <c r="H5474" i="10"/>
  <c r="G5475" i="10"/>
  <c r="H5475" i="10"/>
  <c r="G5476" i="10"/>
  <c r="H5476" i="10"/>
  <c r="G5477" i="10"/>
  <c r="H5477" i="10"/>
  <c r="G5478" i="10"/>
  <c r="H5478" i="10"/>
  <c r="G5479" i="10"/>
  <c r="H5479" i="10"/>
  <c r="G5480" i="10"/>
  <c r="H5480" i="10"/>
  <c r="G5481" i="10"/>
  <c r="H5481" i="10"/>
  <c r="G5482" i="10"/>
  <c r="H5482" i="10"/>
  <c r="G5483" i="10"/>
  <c r="H5483" i="10"/>
  <c r="G5484" i="10"/>
  <c r="H5484" i="10"/>
  <c r="G5485" i="10"/>
  <c r="H5485" i="10"/>
  <c r="G5486" i="10"/>
  <c r="H5486" i="10"/>
  <c r="G5487" i="10"/>
  <c r="H5487" i="10"/>
  <c r="G5488" i="10"/>
  <c r="H5488" i="10"/>
  <c r="G5489" i="10"/>
  <c r="H5489" i="10"/>
  <c r="G5490" i="10"/>
  <c r="H5490" i="10"/>
  <c r="G5491" i="10"/>
  <c r="H5491" i="10"/>
  <c r="G5492" i="10"/>
  <c r="H5492" i="10"/>
  <c r="G5493" i="10"/>
  <c r="H5493" i="10"/>
  <c r="G5494" i="10"/>
  <c r="H5494" i="10"/>
  <c r="G5495" i="10"/>
  <c r="H5495" i="10"/>
  <c r="G5496" i="10"/>
  <c r="H5496" i="10"/>
  <c r="G5497" i="10"/>
  <c r="H5497" i="10"/>
  <c r="G5498" i="10"/>
  <c r="H5498" i="10"/>
  <c r="G5499" i="10"/>
  <c r="H5499" i="10"/>
  <c r="G5500" i="10"/>
  <c r="H5500" i="10"/>
  <c r="G5501" i="10"/>
  <c r="H5501" i="10"/>
  <c r="G5502" i="10"/>
  <c r="H5502" i="10"/>
  <c r="G5503" i="10"/>
  <c r="H5503" i="10"/>
  <c r="G5504" i="10"/>
  <c r="H5504" i="10"/>
  <c r="G5505" i="10"/>
  <c r="H5505" i="10"/>
  <c r="G5506" i="10"/>
  <c r="H5506" i="10"/>
  <c r="G5507" i="10"/>
  <c r="H5507" i="10"/>
  <c r="G5508" i="10"/>
  <c r="H5508" i="10"/>
  <c r="G5509" i="10"/>
  <c r="H5509" i="10"/>
  <c r="G5510" i="10"/>
  <c r="H5510" i="10"/>
  <c r="G5511" i="10"/>
  <c r="H5511" i="10"/>
  <c r="G5512" i="10"/>
  <c r="H5512" i="10"/>
  <c r="G5513" i="10"/>
  <c r="H5513" i="10"/>
  <c r="G5514" i="10"/>
  <c r="H5514" i="10"/>
  <c r="G5515" i="10"/>
  <c r="H5515" i="10"/>
  <c r="G5516" i="10"/>
  <c r="H5516" i="10"/>
  <c r="G5517" i="10"/>
  <c r="H5517" i="10"/>
  <c r="G5518" i="10"/>
  <c r="H5518" i="10"/>
  <c r="G5519" i="10"/>
  <c r="H5519" i="10"/>
  <c r="G5520" i="10"/>
  <c r="H5520" i="10"/>
  <c r="G5521" i="10"/>
  <c r="H5521" i="10"/>
  <c r="G5522" i="10"/>
  <c r="H5522" i="10"/>
  <c r="G5523" i="10"/>
  <c r="H5523" i="10"/>
  <c r="G5524" i="10"/>
  <c r="H5524" i="10"/>
  <c r="G5525" i="10"/>
  <c r="H5525" i="10"/>
  <c r="G5526" i="10"/>
  <c r="H5526" i="10"/>
  <c r="G5527" i="10"/>
  <c r="H5527" i="10"/>
  <c r="G5528" i="10"/>
  <c r="H5528" i="10"/>
  <c r="G5529" i="10"/>
  <c r="H5529" i="10"/>
  <c r="G5530" i="10"/>
  <c r="H5530" i="10"/>
  <c r="G5531" i="10"/>
  <c r="H5531" i="10"/>
  <c r="G5532" i="10"/>
  <c r="H5532" i="10"/>
  <c r="G5533" i="10"/>
  <c r="H5533" i="10"/>
  <c r="G5534" i="10"/>
  <c r="H5534" i="10"/>
  <c r="G5535" i="10"/>
  <c r="H5535" i="10"/>
  <c r="G5536" i="10"/>
  <c r="H5536" i="10"/>
  <c r="G5537" i="10"/>
  <c r="H5537" i="10"/>
  <c r="G5538" i="10"/>
  <c r="H5538" i="10"/>
  <c r="G5539" i="10"/>
  <c r="H5539" i="10"/>
  <c r="G5540" i="10"/>
  <c r="H5540" i="10"/>
  <c r="G5541" i="10"/>
  <c r="H5541" i="10"/>
  <c r="G5542" i="10"/>
  <c r="H5542" i="10"/>
  <c r="G5543" i="10"/>
  <c r="H5543" i="10"/>
  <c r="G5544" i="10"/>
  <c r="H5544" i="10"/>
  <c r="G5545" i="10"/>
  <c r="H5545" i="10"/>
  <c r="G5546" i="10"/>
  <c r="H5546" i="10"/>
  <c r="G5547" i="10"/>
  <c r="H5547" i="10"/>
  <c r="G5548" i="10"/>
  <c r="H5548" i="10"/>
  <c r="G5549" i="10"/>
  <c r="H5549" i="10"/>
  <c r="G5550" i="10"/>
  <c r="H5550" i="10"/>
  <c r="G5551" i="10"/>
  <c r="H5551" i="10"/>
  <c r="G5552" i="10"/>
  <c r="H5552" i="10"/>
  <c r="G5553" i="10"/>
  <c r="H5553" i="10"/>
  <c r="G5554" i="10"/>
  <c r="H5554" i="10"/>
  <c r="G5555" i="10"/>
  <c r="H5555" i="10"/>
  <c r="G5556" i="10"/>
  <c r="H5556" i="10"/>
  <c r="G5557" i="10"/>
  <c r="H5557" i="10"/>
  <c r="G5558" i="10"/>
  <c r="H5558" i="10"/>
  <c r="G5559" i="10"/>
  <c r="H5559" i="10"/>
  <c r="G5560" i="10"/>
  <c r="H5560" i="10"/>
  <c r="G5561" i="10"/>
  <c r="H5561" i="10"/>
  <c r="G5562" i="10"/>
  <c r="H5562" i="10"/>
  <c r="G5563" i="10"/>
  <c r="H5563" i="10"/>
  <c r="G5564" i="10"/>
  <c r="H5564" i="10"/>
  <c r="G5565" i="10"/>
  <c r="H5565" i="10"/>
  <c r="G5566" i="10"/>
  <c r="H5566" i="10"/>
  <c r="G5567" i="10"/>
  <c r="H5567" i="10"/>
  <c r="G5568" i="10"/>
  <c r="H5568" i="10"/>
  <c r="G5569" i="10"/>
  <c r="H5569" i="10"/>
  <c r="G5570" i="10"/>
  <c r="H5570" i="10"/>
  <c r="G5571" i="10"/>
  <c r="H5571" i="10"/>
  <c r="G5572" i="10"/>
  <c r="H5572" i="10"/>
  <c r="G5573" i="10"/>
  <c r="H5573" i="10"/>
  <c r="G5574" i="10"/>
  <c r="H5574" i="10"/>
  <c r="G5575" i="10"/>
  <c r="H5575" i="10"/>
  <c r="G5576" i="10"/>
  <c r="H5576" i="10"/>
  <c r="G5577" i="10"/>
  <c r="H5577" i="10"/>
  <c r="G5578" i="10"/>
  <c r="H5578" i="10"/>
  <c r="G5579" i="10"/>
  <c r="H5579" i="10"/>
  <c r="G5580" i="10"/>
  <c r="H5580" i="10"/>
  <c r="G5581" i="10"/>
  <c r="H5581" i="10"/>
  <c r="G5582" i="10"/>
  <c r="H5582" i="10"/>
  <c r="G5583" i="10"/>
  <c r="H5583" i="10"/>
  <c r="G5584" i="10"/>
  <c r="H5584" i="10"/>
  <c r="G5585" i="10"/>
  <c r="H5585" i="10"/>
  <c r="G5586" i="10"/>
  <c r="H5586" i="10"/>
  <c r="G5587" i="10"/>
  <c r="H5587" i="10"/>
  <c r="G5588" i="10"/>
  <c r="H5588" i="10"/>
  <c r="G5589" i="10"/>
  <c r="H5589" i="10"/>
  <c r="G5590" i="10"/>
  <c r="H5590" i="10"/>
  <c r="G5591" i="10"/>
  <c r="H5591" i="10"/>
  <c r="G5592" i="10"/>
  <c r="H5592" i="10"/>
  <c r="G5593" i="10"/>
  <c r="H5593" i="10"/>
  <c r="G5594" i="10"/>
  <c r="H5594" i="10"/>
  <c r="G5595" i="10"/>
  <c r="H5595" i="10"/>
  <c r="G5596" i="10"/>
  <c r="H5596" i="10"/>
  <c r="G5597" i="10"/>
  <c r="H5597" i="10"/>
  <c r="G5598" i="10"/>
  <c r="H5598" i="10"/>
  <c r="G5599" i="10"/>
  <c r="H5599" i="10"/>
  <c r="G5600" i="10"/>
  <c r="H5600" i="10"/>
  <c r="G5601" i="10"/>
  <c r="H5601" i="10"/>
  <c r="G5602" i="10"/>
  <c r="H5602" i="10"/>
  <c r="G5603" i="10"/>
  <c r="H5603" i="10"/>
  <c r="G5604" i="10"/>
  <c r="H5604" i="10"/>
  <c r="G5605" i="10"/>
  <c r="H5605" i="10"/>
  <c r="G5606" i="10"/>
  <c r="H5606" i="10"/>
  <c r="G5607" i="10"/>
  <c r="H5607" i="10"/>
  <c r="G5608" i="10"/>
  <c r="H5608" i="10"/>
  <c r="G5609" i="10"/>
  <c r="H5609" i="10"/>
  <c r="G5610" i="10"/>
  <c r="H5610" i="10"/>
  <c r="G5611" i="10"/>
  <c r="H5611" i="10"/>
  <c r="G5612" i="10"/>
  <c r="H5612" i="10"/>
  <c r="G5613" i="10"/>
  <c r="H5613" i="10"/>
  <c r="G5614" i="10"/>
  <c r="H5614" i="10"/>
  <c r="G5615" i="10"/>
  <c r="H5615" i="10"/>
  <c r="G5616" i="10"/>
  <c r="H5616" i="10"/>
  <c r="G5617" i="10"/>
  <c r="H5617" i="10"/>
  <c r="G5618" i="10"/>
  <c r="H5618" i="10"/>
  <c r="G5619" i="10"/>
  <c r="H5619" i="10"/>
  <c r="G5620" i="10"/>
  <c r="H5620" i="10"/>
  <c r="G5621" i="10"/>
  <c r="H5621" i="10"/>
  <c r="G5622" i="10"/>
  <c r="H5622" i="10"/>
  <c r="G5623" i="10"/>
  <c r="H5623" i="10"/>
  <c r="G5624" i="10"/>
  <c r="H5624" i="10"/>
  <c r="G5625" i="10"/>
  <c r="H5625" i="10"/>
  <c r="G5626" i="10"/>
  <c r="H5626" i="10"/>
  <c r="G5627" i="10"/>
  <c r="H5627" i="10"/>
  <c r="G5628" i="10"/>
  <c r="H5628" i="10"/>
  <c r="G5629" i="10"/>
  <c r="H5629" i="10"/>
  <c r="G5630" i="10"/>
  <c r="H5630" i="10"/>
  <c r="G5631" i="10"/>
  <c r="H5631" i="10"/>
  <c r="G5632" i="10"/>
  <c r="H5632" i="10"/>
  <c r="G5633" i="10"/>
  <c r="H5633" i="10"/>
  <c r="G5634" i="10"/>
  <c r="H5634" i="10"/>
  <c r="G5635" i="10"/>
  <c r="H5635" i="10"/>
  <c r="G5636" i="10"/>
  <c r="H5636" i="10"/>
  <c r="G5637" i="10"/>
  <c r="H5637" i="10"/>
  <c r="G5638" i="10"/>
  <c r="H5638" i="10"/>
  <c r="G5639" i="10"/>
  <c r="H5639" i="10"/>
  <c r="G5640" i="10"/>
  <c r="H5640" i="10"/>
  <c r="G5641" i="10"/>
  <c r="H5641" i="10"/>
  <c r="G5642" i="10"/>
  <c r="H5642" i="10"/>
  <c r="G5643" i="10"/>
  <c r="H5643" i="10"/>
  <c r="G5644" i="10"/>
  <c r="H5644" i="10"/>
  <c r="G5645" i="10"/>
  <c r="H5645" i="10"/>
  <c r="G5646" i="10"/>
  <c r="H5646" i="10"/>
  <c r="G5647" i="10"/>
  <c r="H5647" i="10"/>
  <c r="G5648" i="10"/>
  <c r="H5648" i="10"/>
  <c r="G5649" i="10"/>
  <c r="H5649" i="10"/>
  <c r="G5650" i="10"/>
  <c r="H5650" i="10"/>
  <c r="G5651" i="10"/>
  <c r="H5651" i="10"/>
  <c r="G5652" i="10"/>
  <c r="H5652" i="10"/>
  <c r="G5653" i="10"/>
  <c r="H5653" i="10"/>
  <c r="G5654" i="10"/>
  <c r="H5654" i="10"/>
  <c r="G5655" i="10"/>
  <c r="H5655" i="10"/>
  <c r="G5656" i="10"/>
  <c r="H5656" i="10"/>
  <c r="G5657" i="10"/>
  <c r="H5657" i="10"/>
  <c r="G5658" i="10"/>
  <c r="H5658" i="10"/>
  <c r="G5659" i="10"/>
  <c r="H5659" i="10"/>
  <c r="G5660" i="10"/>
  <c r="H5660" i="10"/>
  <c r="G5661" i="10"/>
  <c r="H5661" i="10"/>
  <c r="G5662" i="10"/>
  <c r="H5662" i="10"/>
  <c r="G5663" i="10"/>
  <c r="H5663" i="10"/>
  <c r="G5664" i="10"/>
  <c r="H5664" i="10"/>
  <c r="G5665" i="10"/>
  <c r="H5665" i="10"/>
  <c r="G5666" i="10"/>
  <c r="H5666" i="10"/>
  <c r="G5667" i="10"/>
  <c r="H5667" i="10"/>
  <c r="G5668" i="10"/>
  <c r="H5668" i="10"/>
  <c r="G5669" i="10"/>
  <c r="H5669" i="10"/>
  <c r="G5670" i="10"/>
  <c r="H5670" i="10"/>
  <c r="G5671" i="10"/>
  <c r="H5671" i="10"/>
  <c r="G5672" i="10"/>
  <c r="H5672" i="10"/>
  <c r="G5673" i="10"/>
  <c r="H5673" i="10"/>
  <c r="G5674" i="10"/>
  <c r="H5674" i="10"/>
  <c r="G5675" i="10"/>
  <c r="H5675" i="10"/>
  <c r="G5676" i="10"/>
  <c r="H5676" i="10"/>
  <c r="G5677" i="10"/>
  <c r="H5677" i="10"/>
  <c r="G5678" i="10"/>
  <c r="H5678" i="10"/>
  <c r="G5679" i="10"/>
  <c r="H5679" i="10"/>
  <c r="G5680" i="10"/>
  <c r="H5680" i="10"/>
  <c r="G5681" i="10"/>
  <c r="H5681" i="10"/>
  <c r="G5682" i="10"/>
  <c r="H5682" i="10"/>
  <c r="G5683" i="10"/>
  <c r="H5683" i="10"/>
  <c r="G5684" i="10"/>
  <c r="H5684" i="10"/>
  <c r="G5685" i="10"/>
  <c r="H5685" i="10"/>
  <c r="G5686" i="10"/>
  <c r="H5686" i="10"/>
  <c r="G5687" i="10"/>
  <c r="H5687" i="10"/>
  <c r="G5688" i="10"/>
  <c r="H5688" i="10"/>
  <c r="G5689" i="10"/>
  <c r="H5689" i="10"/>
  <c r="G5690" i="10"/>
  <c r="H5690" i="10"/>
  <c r="G5691" i="10"/>
  <c r="H5691" i="10"/>
  <c r="G5692" i="10"/>
  <c r="H5692" i="10"/>
  <c r="G5693" i="10"/>
  <c r="H5693" i="10"/>
  <c r="G5694" i="10"/>
  <c r="H5694" i="10"/>
  <c r="G5695" i="10"/>
  <c r="H5695" i="10"/>
  <c r="G5696" i="10"/>
  <c r="H5696" i="10"/>
  <c r="G5697" i="10"/>
  <c r="H5697" i="10"/>
  <c r="G5698" i="10"/>
  <c r="H5698" i="10"/>
  <c r="G5699" i="10"/>
  <c r="H5699" i="10"/>
  <c r="G5700" i="10"/>
  <c r="H5700" i="10"/>
  <c r="G5701" i="10"/>
  <c r="H5701" i="10"/>
  <c r="G5702" i="10"/>
  <c r="H5702" i="10"/>
  <c r="G5703" i="10"/>
  <c r="H5703" i="10"/>
  <c r="G5704" i="10"/>
  <c r="H5704" i="10"/>
  <c r="G5705" i="10"/>
  <c r="H5705" i="10"/>
  <c r="G5706" i="10"/>
  <c r="H5706" i="10"/>
  <c r="G5707" i="10"/>
  <c r="H5707" i="10"/>
  <c r="G5708" i="10"/>
  <c r="H5708" i="10"/>
  <c r="G5709" i="10"/>
  <c r="H5709" i="10"/>
  <c r="G5710" i="10"/>
  <c r="H5710" i="10"/>
  <c r="G5711" i="10"/>
  <c r="H5711" i="10"/>
  <c r="G5712" i="10"/>
  <c r="H5712" i="10"/>
  <c r="G5713" i="10"/>
  <c r="H5713" i="10"/>
  <c r="G5714" i="10"/>
  <c r="H5714" i="10"/>
  <c r="G5715" i="10"/>
  <c r="H5715" i="10"/>
  <c r="G5716" i="10"/>
  <c r="H5716" i="10"/>
  <c r="G5717" i="10"/>
  <c r="H5717" i="10"/>
  <c r="G5718" i="10"/>
  <c r="H5718" i="10"/>
  <c r="G5719" i="10"/>
  <c r="H5719" i="10"/>
  <c r="G5720" i="10"/>
  <c r="H5720" i="10"/>
  <c r="G5721" i="10"/>
  <c r="H5721" i="10"/>
  <c r="G5722" i="10"/>
  <c r="H5722" i="10"/>
  <c r="G5723" i="10"/>
  <c r="H5723" i="10"/>
  <c r="G5724" i="10"/>
  <c r="H5724" i="10"/>
  <c r="G5725" i="10"/>
  <c r="H5725" i="10"/>
  <c r="G5726" i="10"/>
  <c r="H5726" i="10"/>
  <c r="G5727" i="10"/>
  <c r="H5727" i="10"/>
  <c r="G5728" i="10"/>
  <c r="H5728" i="10"/>
  <c r="G5729" i="10"/>
  <c r="H5729" i="10"/>
  <c r="G5730" i="10"/>
  <c r="H5730" i="10"/>
  <c r="G5731" i="10"/>
  <c r="H5731" i="10"/>
  <c r="G5732" i="10"/>
  <c r="H5732" i="10"/>
  <c r="G5733" i="10"/>
  <c r="H5733" i="10"/>
  <c r="G5734" i="10"/>
  <c r="H5734" i="10"/>
  <c r="G5735" i="10"/>
  <c r="H5735" i="10"/>
  <c r="G5736" i="10"/>
  <c r="H5736" i="10"/>
  <c r="G5737" i="10"/>
  <c r="H5737" i="10"/>
  <c r="G5738" i="10"/>
  <c r="H5738" i="10"/>
  <c r="G5739" i="10"/>
  <c r="H5739" i="10"/>
  <c r="G5740" i="10"/>
  <c r="H5740" i="10"/>
  <c r="G5741" i="10"/>
  <c r="H5741" i="10"/>
  <c r="G5742" i="10"/>
  <c r="H5742" i="10"/>
  <c r="G5743" i="10"/>
  <c r="H5743" i="10"/>
  <c r="G5744" i="10"/>
  <c r="H5744" i="10"/>
  <c r="G5745" i="10"/>
  <c r="H5745" i="10"/>
  <c r="G5746" i="10"/>
  <c r="H5746" i="10"/>
  <c r="G5747" i="10"/>
  <c r="H5747" i="10"/>
  <c r="G5748" i="10"/>
  <c r="H5748" i="10"/>
  <c r="G5749" i="10"/>
  <c r="H5749" i="10"/>
  <c r="G5750" i="10"/>
  <c r="H5750" i="10"/>
  <c r="G5751" i="10"/>
  <c r="H5751" i="10"/>
  <c r="G5752" i="10"/>
  <c r="H5752" i="10"/>
  <c r="G5753" i="10"/>
  <c r="H5753" i="10"/>
  <c r="G5754" i="10"/>
  <c r="H5754" i="10"/>
  <c r="G5755" i="10"/>
  <c r="H5755" i="10"/>
  <c r="G5756" i="10"/>
  <c r="H5756" i="10"/>
  <c r="G5757" i="10"/>
  <c r="H5757" i="10"/>
  <c r="G5758" i="10"/>
  <c r="H5758" i="10"/>
  <c r="G5759" i="10"/>
  <c r="H5759" i="10"/>
  <c r="G5760" i="10"/>
  <c r="H5760" i="10"/>
  <c r="G5761" i="10"/>
  <c r="H5761" i="10"/>
  <c r="G5762" i="10"/>
  <c r="H5762" i="10"/>
  <c r="G5763" i="10"/>
  <c r="H5763" i="10"/>
  <c r="G5764" i="10"/>
  <c r="H5764" i="10"/>
  <c r="G5765" i="10"/>
  <c r="H5765" i="10"/>
  <c r="G5766" i="10"/>
  <c r="H5766" i="10"/>
  <c r="G5767" i="10"/>
  <c r="H5767" i="10"/>
  <c r="G5768" i="10"/>
  <c r="H5768" i="10"/>
  <c r="G5769" i="10"/>
  <c r="H5769" i="10"/>
  <c r="G5770" i="10"/>
  <c r="H5770" i="10"/>
  <c r="G5771" i="10"/>
  <c r="H5771" i="10"/>
  <c r="G5772" i="10"/>
  <c r="H5772" i="10"/>
  <c r="G5773" i="10"/>
  <c r="H5773" i="10"/>
  <c r="G5774" i="10"/>
  <c r="H5774" i="10"/>
  <c r="G5775" i="10"/>
  <c r="H5775" i="10"/>
  <c r="G5776" i="10"/>
  <c r="H5776" i="10"/>
  <c r="G5777" i="10"/>
  <c r="H5777" i="10"/>
  <c r="G5778" i="10"/>
  <c r="H5778" i="10"/>
  <c r="G5779" i="10"/>
  <c r="H5779" i="10"/>
  <c r="G5780" i="10"/>
  <c r="H5780" i="10"/>
  <c r="G5781" i="10"/>
  <c r="H5781" i="10"/>
  <c r="G5782" i="10"/>
  <c r="H5782" i="10"/>
  <c r="G5783" i="10"/>
  <c r="H5783" i="10"/>
  <c r="G5784" i="10"/>
  <c r="H5784" i="10"/>
  <c r="G5785" i="10"/>
  <c r="H5785" i="10"/>
  <c r="G5786" i="10"/>
  <c r="H5786" i="10"/>
  <c r="G5787" i="10"/>
  <c r="H5787" i="10"/>
  <c r="G5788" i="10"/>
  <c r="H5788" i="10"/>
  <c r="G5789" i="10"/>
  <c r="H5789" i="10"/>
  <c r="G5790" i="10"/>
  <c r="H5790" i="10"/>
  <c r="G5791" i="10"/>
  <c r="H5791" i="10"/>
  <c r="G5792" i="10"/>
  <c r="H5792" i="10"/>
  <c r="G5793" i="10"/>
  <c r="H5793" i="10"/>
  <c r="G5794" i="10"/>
  <c r="H5794" i="10"/>
  <c r="G5795" i="10"/>
  <c r="H5795" i="10"/>
  <c r="G5796" i="10"/>
  <c r="H5796" i="10"/>
  <c r="G5797" i="10"/>
  <c r="H5797" i="10"/>
  <c r="G5798" i="10"/>
  <c r="H5798" i="10"/>
  <c r="G5799" i="10"/>
  <c r="H5799" i="10"/>
  <c r="G5800" i="10"/>
  <c r="H5800" i="10"/>
  <c r="G5801" i="10"/>
  <c r="H5801" i="10"/>
  <c r="G5802" i="10"/>
  <c r="H5802" i="10"/>
  <c r="G5803" i="10"/>
  <c r="H5803" i="10"/>
  <c r="G5804" i="10"/>
  <c r="H5804" i="10"/>
  <c r="G5805" i="10"/>
  <c r="H5805" i="10"/>
  <c r="G5806" i="10"/>
  <c r="H5806" i="10"/>
  <c r="G5807" i="10"/>
  <c r="H5807" i="10"/>
  <c r="G5808" i="10"/>
  <c r="H5808" i="10"/>
  <c r="G5809" i="10"/>
  <c r="H5809" i="10"/>
  <c r="G5810" i="10"/>
  <c r="H5810" i="10"/>
  <c r="G5811" i="10"/>
  <c r="H5811" i="10"/>
  <c r="G5812" i="10"/>
  <c r="H5812" i="10"/>
  <c r="G5813" i="10"/>
  <c r="H5813" i="10"/>
  <c r="G5814" i="10"/>
  <c r="H5814" i="10"/>
  <c r="G5815" i="10"/>
  <c r="H5815" i="10"/>
  <c r="G5816" i="10"/>
  <c r="H5816" i="10"/>
  <c r="G5817" i="10"/>
  <c r="H5817" i="10"/>
  <c r="G5818" i="10"/>
  <c r="H5818" i="10"/>
  <c r="G5819" i="10"/>
  <c r="H5819" i="10"/>
  <c r="G5820" i="10"/>
  <c r="H5820" i="10"/>
  <c r="G5821" i="10"/>
  <c r="H5821" i="10"/>
  <c r="G5822" i="10"/>
  <c r="H5822" i="10"/>
  <c r="G5823" i="10"/>
  <c r="H5823" i="10"/>
  <c r="G5824" i="10"/>
  <c r="H5824" i="10"/>
  <c r="G5825" i="10"/>
  <c r="H5825" i="10"/>
  <c r="G5826" i="10"/>
  <c r="H5826" i="10"/>
  <c r="G5827" i="10"/>
  <c r="H5827" i="10"/>
  <c r="G5828" i="10"/>
  <c r="H5828" i="10"/>
  <c r="G5829" i="10"/>
  <c r="H5829" i="10"/>
  <c r="G5830" i="10"/>
  <c r="H5830" i="10"/>
  <c r="G5831" i="10"/>
  <c r="H5831" i="10"/>
  <c r="G5832" i="10"/>
  <c r="H5832" i="10"/>
  <c r="G5833" i="10"/>
  <c r="H5833" i="10"/>
  <c r="G5834" i="10"/>
  <c r="H5834" i="10"/>
  <c r="G5835" i="10"/>
  <c r="H5835" i="10"/>
  <c r="G5836" i="10"/>
  <c r="H5836" i="10"/>
  <c r="G5837" i="10"/>
  <c r="H5837" i="10"/>
  <c r="G5838" i="10"/>
  <c r="H5838" i="10"/>
  <c r="G5839" i="10"/>
  <c r="H5839" i="10"/>
  <c r="G5840" i="10"/>
  <c r="H5840" i="10"/>
  <c r="G5841" i="10"/>
  <c r="H5841" i="10"/>
  <c r="G5842" i="10"/>
  <c r="H5842" i="10"/>
  <c r="G5843" i="10"/>
  <c r="H5843" i="10"/>
  <c r="G5844" i="10"/>
  <c r="H5844" i="10"/>
  <c r="G5845" i="10"/>
  <c r="H5845" i="10"/>
  <c r="G5846" i="10"/>
  <c r="H5846" i="10"/>
  <c r="G5847" i="10"/>
  <c r="H5847" i="10"/>
  <c r="G5848" i="10"/>
  <c r="H5848" i="10"/>
  <c r="G5849" i="10"/>
  <c r="H5849" i="10"/>
  <c r="G5850" i="10"/>
  <c r="H5850" i="10"/>
  <c r="G5851" i="10"/>
  <c r="H5851" i="10"/>
  <c r="G5852" i="10"/>
  <c r="H5852" i="10"/>
  <c r="G5853" i="10"/>
  <c r="H5853" i="10"/>
  <c r="G5854" i="10"/>
  <c r="H5854" i="10"/>
  <c r="G5855" i="10"/>
  <c r="H5855" i="10"/>
  <c r="G5856" i="10"/>
  <c r="H5856" i="10"/>
  <c r="G5857" i="10"/>
  <c r="H5857" i="10"/>
  <c r="G5858" i="10"/>
  <c r="H5858" i="10"/>
  <c r="G5859" i="10"/>
  <c r="H5859" i="10"/>
  <c r="G5860" i="10"/>
  <c r="H5860" i="10"/>
  <c r="G5861" i="10"/>
  <c r="H5861" i="10"/>
  <c r="G5862" i="10"/>
  <c r="H5862" i="10"/>
  <c r="G5863" i="10"/>
  <c r="H5863" i="10"/>
  <c r="G5864" i="10"/>
  <c r="H5864" i="10"/>
  <c r="G5865" i="10"/>
  <c r="H5865" i="10"/>
  <c r="G5866" i="10"/>
  <c r="H5866" i="10"/>
  <c r="G5867" i="10"/>
  <c r="H5867" i="10"/>
  <c r="G5868" i="10"/>
  <c r="H5868" i="10"/>
  <c r="G5869" i="10"/>
  <c r="H5869" i="10"/>
  <c r="G5870" i="10"/>
  <c r="H5870" i="10"/>
  <c r="G5871" i="10"/>
  <c r="H5871" i="10"/>
  <c r="G5872" i="10"/>
  <c r="H5872" i="10"/>
  <c r="G5873" i="10"/>
  <c r="H5873" i="10"/>
  <c r="G5874" i="10"/>
  <c r="H5874" i="10"/>
  <c r="G5875" i="10"/>
  <c r="H5875" i="10"/>
  <c r="G5876" i="10"/>
  <c r="H5876" i="10"/>
  <c r="G5877" i="10"/>
  <c r="H5877" i="10"/>
  <c r="G5878" i="10"/>
  <c r="H5878" i="10"/>
  <c r="G5879" i="10"/>
  <c r="H5879" i="10"/>
  <c r="G5880" i="10"/>
  <c r="H5880" i="10"/>
  <c r="G5881" i="10"/>
  <c r="H5881" i="10"/>
  <c r="G5882" i="10"/>
  <c r="H5882" i="10"/>
  <c r="G5883" i="10"/>
  <c r="H5883" i="10"/>
  <c r="G5884" i="10"/>
  <c r="H5884" i="10"/>
  <c r="G5885" i="10"/>
  <c r="H5885" i="10"/>
  <c r="G5886" i="10"/>
  <c r="H5886" i="10"/>
  <c r="G5887" i="10"/>
  <c r="H5887" i="10"/>
  <c r="G5888" i="10"/>
  <c r="H5888" i="10"/>
  <c r="G5889" i="10"/>
  <c r="H5889" i="10"/>
  <c r="G5890" i="10"/>
  <c r="H5890" i="10"/>
  <c r="G5891" i="10"/>
  <c r="H5891" i="10"/>
  <c r="G5892" i="10"/>
  <c r="H5892" i="10"/>
  <c r="G5893" i="10"/>
  <c r="H5893" i="10"/>
  <c r="G5894" i="10"/>
  <c r="H5894" i="10"/>
  <c r="G5895" i="10"/>
  <c r="H5895" i="10"/>
  <c r="G5896" i="10"/>
  <c r="H5896" i="10"/>
  <c r="G5897" i="10"/>
  <c r="H5897" i="10"/>
  <c r="G5898" i="10"/>
  <c r="H5898" i="10"/>
  <c r="G5899" i="10"/>
  <c r="H5899" i="10"/>
  <c r="G5900" i="10"/>
  <c r="H5900" i="10"/>
  <c r="G5901" i="10"/>
  <c r="H5901" i="10"/>
  <c r="G5902" i="10"/>
  <c r="H5902" i="10"/>
  <c r="G5903" i="10"/>
  <c r="H5903" i="10"/>
  <c r="G5904" i="10"/>
  <c r="H5904" i="10"/>
  <c r="G5905" i="10"/>
  <c r="H5905" i="10"/>
  <c r="G5906" i="10"/>
  <c r="H5906" i="10"/>
  <c r="G5907" i="10"/>
  <c r="H5907" i="10"/>
  <c r="G5908" i="10"/>
  <c r="H5908" i="10"/>
  <c r="G5909" i="10"/>
  <c r="H5909" i="10"/>
  <c r="G5910" i="10"/>
  <c r="H5910" i="10"/>
  <c r="G5911" i="10"/>
  <c r="H5911" i="10"/>
  <c r="G5912" i="10"/>
  <c r="H5912" i="10"/>
  <c r="G5913" i="10"/>
  <c r="H5913" i="10"/>
  <c r="G5914" i="10"/>
  <c r="H5914" i="10"/>
  <c r="G5915" i="10"/>
  <c r="H5915" i="10"/>
  <c r="G5916" i="10"/>
  <c r="H5916" i="10"/>
  <c r="G5917" i="10"/>
  <c r="H5917" i="10"/>
  <c r="G5918" i="10"/>
  <c r="H5918" i="10"/>
  <c r="G5919" i="10"/>
  <c r="H5919" i="10"/>
  <c r="G5920" i="10"/>
  <c r="H5920" i="10"/>
  <c r="G5921" i="10"/>
  <c r="H5921" i="10"/>
  <c r="G5922" i="10"/>
  <c r="H5922" i="10"/>
  <c r="G5923" i="10"/>
  <c r="H5923" i="10"/>
  <c r="G5924" i="10"/>
  <c r="H5924" i="10"/>
  <c r="G5925" i="10"/>
  <c r="H5925" i="10"/>
  <c r="G5926" i="10"/>
  <c r="H5926" i="10"/>
  <c r="G5927" i="10"/>
  <c r="H5927" i="10"/>
  <c r="G5928" i="10"/>
  <c r="H5928" i="10"/>
  <c r="G5929" i="10"/>
  <c r="H5929" i="10"/>
  <c r="G5930" i="10"/>
  <c r="H5930" i="10"/>
  <c r="G5931" i="10"/>
  <c r="H5931" i="10"/>
  <c r="G5932" i="10"/>
  <c r="H5932" i="10"/>
  <c r="G5933" i="10"/>
  <c r="H5933" i="10"/>
  <c r="G5934" i="10"/>
  <c r="H5934" i="10"/>
  <c r="G5935" i="10"/>
  <c r="H5935" i="10"/>
  <c r="G5936" i="10"/>
  <c r="H5936" i="10"/>
  <c r="G5937" i="10"/>
  <c r="H5937" i="10"/>
  <c r="G5938" i="10"/>
  <c r="H5938" i="10"/>
  <c r="G5939" i="10"/>
  <c r="H5939" i="10"/>
  <c r="G5940" i="10"/>
  <c r="H5940" i="10"/>
  <c r="G5941" i="10"/>
  <c r="H5941" i="10"/>
  <c r="G5942" i="10"/>
  <c r="H5942" i="10"/>
  <c r="G5943" i="10"/>
  <c r="H5943" i="10"/>
  <c r="G5944" i="10"/>
  <c r="H5944" i="10"/>
  <c r="G5945" i="10"/>
  <c r="H5945" i="10"/>
  <c r="G5946" i="10"/>
  <c r="H5946" i="10"/>
  <c r="G5947" i="10"/>
  <c r="H5947" i="10"/>
  <c r="G5948" i="10"/>
  <c r="H5948" i="10"/>
  <c r="G5949" i="10"/>
  <c r="H5949" i="10"/>
  <c r="G5950" i="10"/>
  <c r="H5950" i="10"/>
  <c r="G5951" i="10"/>
  <c r="H5951" i="10"/>
  <c r="G5952" i="10"/>
  <c r="H5952" i="10"/>
  <c r="G5953" i="10"/>
  <c r="H5953" i="10"/>
  <c r="G5954" i="10"/>
  <c r="H5954" i="10"/>
  <c r="G5955" i="10"/>
  <c r="H5955" i="10"/>
  <c r="G5956" i="10"/>
  <c r="H5956" i="10"/>
  <c r="G5957" i="10"/>
  <c r="H5957" i="10"/>
  <c r="G5958" i="10"/>
  <c r="H5958" i="10"/>
  <c r="G5959" i="10"/>
  <c r="H5959" i="10"/>
  <c r="G5960" i="10"/>
  <c r="H5960" i="10"/>
  <c r="G5961" i="10"/>
  <c r="H5961" i="10"/>
  <c r="G5962" i="10"/>
  <c r="H5962" i="10"/>
  <c r="G5963" i="10"/>
  <c r="H5963" i="10"/>
  <c r="G5964" i="10"/>
  <c r="H5964" i="10"/>
  <c r="G5965" i="10"/>
  <c r="H5965" i="10"/>
  <c r="G5966" i="10"/>
  <c r="H5966" i="10"/>
  <c r="G5967" i="10"/>
  <c r="H5967" i="10"/>
  <c r="G5968" i="10"/>
  <c r="H5968" i="10"/>
  <c r="G5969" i="10"/>
  <c r="H5969" i="10"/>
  <c r="G5970" i="10"/>
  <c r="H5970" i="10"/>
  <c r="G5971" i="10"/>
  <c r="H5971" i="10"/>
  <c r="G5972" i="10"/>
  <c r="H5972" i="10"/>
  <c r="G5973" i="10"/>
  <c r="H5973" i="10"/>
  <c r="G5974" i="10"/>
  <c r="H5974" i="10"/>
  <c r="G5975" i="10"/>
  <c r="H5975" i="10"/>
  <c r="G5976" i="10"/>
  <c r="H5976" i="10"/>
  <c r="G5977" i="10"/>
  <c r="H5977" i="10"/>
  <c r="G5978" i="10"/>
  <c r="H5978" i="10"/>
  <c r="G5979" i="10"/>
  <c r="H5979" i="10"/>
  <c r="G5980" i="10"/>
  <c r="H5980" i="10"/>
  <c r="G5981" i="10"/>
  <c r="H5981" i="10"/>
  <c r="G5982" i="10"/>
  <c r="H5982" i="10"/>
  <c r="G5983" i="10"/>
  <c r="H5983" i="10"/>
  <c r="G5984" i="10"/>
  <c r="H5984" i="10"/>
  <c r="G5985" i="10"/>
  <c r="H5985" i="10"/>
  <c r="G5986" i="10"/>
  <c r="H5986" i="10"/>
  <c r="G5987" i="10"/>
  <c r="H5987" i="10"/>
  <c r="G5988" i="10"/>
  <c r="H5988" i="10"/>
  <c r="G5989" i="10"/>
  <c r="H5989" i="10"/>
  <c r="G5990" i="10"/>
  <c r="H5990" i="10"/>
  <c r="G5991" i="10"/>
  <c r="H5991" i="10"/>
  <c r="G5992" i="10"/>
  <c r="H5992" i="10"/>
  <c r="G5993" i="10"/>
  <c r="H5993" i="10"/>
  <c r="G5994" i="10"/>
  <c r="H5994" i="10"/>
  <c r="G5995" i="10"/>
  <c r="H5995" i="10"/>
  <c r="G5996" i="10"/>
  <c r="H5996" i="10"/>
  <c r="G5997" i="10"/>
  <c r="H5997" i="10"/>
  <c r="G5998" i="10"/>
  <c r="H5998" i="10"/>
  <c r="G5999" i="10"/>
  <c r="H5999" i="10"/>
  <c r="G6000" i="10"/>
  <c r="H6000" i="10"/>
  <c r="G6001" i="10"/>
  <c r="H6001" i="10"/>
  <c r="G6002" i="10"/>
  <c r="H6002" i="10"/>
  <c r="G6003" i="10"/>
  <c r="H6003" i="10"/>
  <c r="G6004" i="10"/>
  <c r="H6004" i="10"/>
  <c r="G6005" i="10"/>
  <c r="H6005" i="10"/>
  <c r="G6006" i="10"/>
  <c r="H6006" i="10"/>
  <c r="G6007" i="10"/>
  <c r="H6007" i="10"/>
  <c r="G6008" i="10"/>
  <c r="H6008" i="10"/>
  <c r="G6009" i="10"/>
  <c r="H6009" i="10"/>
  <c r="G6010" i="10"/>
  <c r="H6010" i="10"/>
  <c r="G6011" i="10"/>
  <c r="H6011" i="10"/>
  <c r="G6012" i="10"/>
  <c r="H6012" i="10"/>
  <c r="G6013" i="10"/>
  <c r="H6013" i="10"/>
  <c r="G6014" i="10"/>
  <c r="H6014" i="10"/>
  <c r="G6015" i="10"/>
  <c r="H6015" i="10"/>
  <c r="G6016" i="10"/>
  <c r="H6016" i="10"/>
  <c r="G6017" i="10"/>
  <c r="H6017" i="10"/>
  <c r="G6018" i="10"/>
  <c r="H6018" i="10"/>
  <c r="G6019" i="10"/>
  <c r="H6019" i="10"/>
  <c r="G6020" i="10"/>
  <c r="H6020" i="10"/>
  <c r="G6021" i="10"/>
  <c r="H6021" i="10"/>
  <c r="G6022" i="10"/>
  <c r="H6022" i="10"/>
  <c r="G6023" i="10"/>
  <c r="H6023" i="10"/>
  <c r="G6024" i="10"/>
  <c r="H6024" i="10"/>
  <c r="G6025" i="10"/>
  <c r="H6025" i="10"/>
  <c r="G6026" i="10"/>
  <c r="H6026" i="10"/>
  <c r="G6027" i="10"/>
  <c r="H6027" i="10"/>
  <c r="G6028" i="10"/>
  <c r="H6028" i="10"/>
  <c r="G6029" i="10"/>
  <c r="H6029" i="10"/>
  <c r="G6030" i="10"/>
  <c r="H6030" i="10"/>
  <c r="G6031" i="10"/>
  <c r="H6031" i="10"/>
  <c r="G6032" i="10"/>
  <c r="H6032" i="10"/>
  <c r="G6033" i="10"/>
  <c r="H6033" i="10"/>
  <c r="G6034" i="10"/>
  <c r="H6034" i="10"/>
  <c r="G6035" i="10"/>
  <c r="H6035" i="10"/>
  <c r="G6036" i="10"/>
  <c r="H6036" i="10"/>
  <c r="G6037" i="10"/>
  <c r="H6037" i="10"/>
  <c r="G6038" i="10"/>
  <c r="H6038" i="10"/>
  <c r="G6039" i="10"/>
  <c r="H6039" i="10"/>
  <c r="G6040" i="10"/>
  <c r="H6040" i="10"/>
  <c r="G6041" i="10"/>
  <c r="H6041" i="10"/>
  <c r="G6042" i="10"/>
  <c r="H6042" i="10"/>
  <c r="G6043" i="10"/>
  <c r="H6043" i="10"/>
  <c r="G6044" i="10"/>
  <c r="H6044" i="10"/>
  <c r="G6045" i="10"/>
  <c r="H6045" i="10"/>
  <c r="G6046" i="10"/>
  <c r="H6046" i="10"/>
  <c r="G6047" i="10"/>
  <c r="H6047" i="10"/>
  <c r="G6048" i="10"/>
  <c r="H6048" i="10"/>
  <c r="G6049" i="10"/>
  <c r="H6049" i="10"/>
  <c r="G6050" i="10"/>
  <c r="H6050" i="10"/>
  <c r="G6051" i="10"/>
  <c r="H6051" i="10"/>
  <c r="G6052" i="10"/>
  <c r="H6052" i="10"/>
  <c r="G6053" i="10"/>
  <c r="H6053" i="10"/>
  <c r="G6054" i="10"/>
  <c r="H6054" i="10"/>
  <c r="G6055" i="10"/>
  <c r="H6055" i="10"/>
  <c r="G6056" i="10"/>
  <c r="H6056" i="10"/>
  <c r="G6057" i="10"/>
  <c r="H6057" i="10"/>
  <c r="G6058" i="10"/>
  <c r="H6058" i="10"/>
  <c r="G6059" i="10"/>
  <c r="H6059" i="10"/>
  <c r="G6060" i="10"/>
  <c r="H6060" i="10"/>
  <c r="G6061" i="10"/>
  <c r="H6061" i="10"/>
  <c r="G6062" i="10"/>
  <c r="H6062" i="10"/>
  <c r="G6063" i="10"/>
  <c r="H6063" i="10"/>
  <c r="G6064" i="10"/>
  <c r="H6064" i="10"/>
  <c r="G6065" i="10"/>
  <c r="H6065" i="10"/>
  <c r="G6066" i="10"/>
  <c r="H6066" i="10"/>
  <c r="G6067" i="10"/>
  <c r="H6067" i="10"/>
  <c r="G6068" i="10"/>
  <c r="H6068" i="10"/>
  <c r="G6069" i="10"/>
  <c r="H6069" i="10"/>
  <c r="G6070" i="10"/>
  <c r="H6070" i="10"/>
  <c r="G6071" i="10"/>
  <c r="H6071" i="10"/>
  <c r="G6072" i="10"/>
  <c r="H6072" i="10"/>
  <c r="G6073" i="10"/>
  <c r="H6073" i="10"/>
  <c r="G6074" i="10"/>
  <c r="H6074" i="10"/>
  <c r="G6075" i="10"/>
  <c r="H6075" i="10"/>
  <c r="G6076" i="10"/>
  <c r="H6076" i="10"/>
  <c r="G6077" i="10"/>
  <c r="H6077" i="10"/>
  <c r="G6078" i="10"/>
  <c r="H6078" i="10"/>
  <c r="G6079" i="10"/>
  <c r="H6079" i="10"/>
  <c r="G6080" i="10"/>
  <c r="H6080" i="10"/>
  <c r="G6081" i="10"/>
  <c r="H6081" i="10"/>
  <c r="G6082" i="10"/>
  <c r="H6082" i="10"/>
  <c r="G6083" i="10"/>
  <c r="H6083" i="10"/>
  <c r="G6084" i="10"/>
  <c r="H6084" i="10"/>
  <c r="G6085" i="10"/>
  <c r="H6085" i="10"/>
  <c r="G6086" i="10"/>
  <c r="H6086" i="10"/>
  <c r="G6087" i="10"/>
  <c r="H6087" i="10"/>
  <c r="G6088" i="10"/>
  <c r="H6088" i="10"/>
  <c r="G6089" i="10"/>
  <c r="H6089" i="10"/>
  <c r="G6090" i="10"/>
  <c r="H6090" i="10"/>
  <c r="G6091" i="10"/>
  <c r="H6091" i="10"/>
  <c r="G6092" i="10"/>
  <c r="H6092" i="10"/>
  <c r="G6093" i="10"/>
  <c r="H6093" i="10"/>
  <c r="G6094" i="10"/>
  <c r="H6094" i="10"/>
  <c r="G6095" i="10"/>
  <c r="H6095" i="10"/>
  <c r="G6096" i="10"/>
  <c r="H6096" i="10"/>
  <c r="G6097" i="10"/>
  <c r="H6097" i="10"/>
  <c r="G6098" i="10"/>
  <c r="H6098" i="10"/>
  <c r="G6099" i="10"/>
  <c r="H6099" i="10"/>
  <c r="G6100" i="10"/>
  <c r="H6100" i="10"/>
  <c r="G6101" i="10"/>
  <c r="H6101" i="10"/>
  <c r="G6102" i="10"/>
  <c r="H6102" i="10"/>
  <c r="G6103" i="10"/>
  <c r="H6103" i="10"/>
  <c r="G6104" i="10"/>
  <c r="H6104" i="10"/>
  <c r="G6105" i="10"/>
  <c r="H6105" i="10"/>
  <c r="G6106" i="10"/>
  <c r="H6106" i="10"/>
  <c r="G6107" i="10"/>
  <c r="H6107" i="10"/>
  <c r="G6108" i="10"/>
  <c r="H6108" i="10"/>
  <c r="G6109" i="10"/>
  <c r="H6109" i="10"/>
  <c r="G6110" i="10"/>
  <c r="H6110" i="10"/>
  <c r="G6111" i="10"/>
  <c r="H6111" i="10"/>
  <c r="G6112" i="10"/>
  <c r="H6112" i="10"/>
  <c r="G6113" i="10"/>
  <c r="H6113" i="10"/>
  <c r="G6114" i="10"/>
  <c r="H6114" i="10"/>
  <c r="G6115" i="10"/>
  <c r="H6115" i="10"/>
  <c r="G6116" i="10"/>
  <c r="H6116" i="10"/>
  <c r="G6117" i="10"/>
  <c r="H6117" i="10"/>
  <c r="G6118" i="10"/>
  <c r="H6118" i="10"/>
  <c r="G6119" i="10"/>
  <c r="H6119" i="10"/>
  <c r="G6120" i="10"/>
  <c r="H6120" i="10"/>
  <c r="G6121" i="10"/>
  <c r="H6121" i="10"/>
  <c r="G6122" i="10"/>
  <c r="H6122" i="10"/>
  <c r="G6123" i="10"/>
  <c r="H6123" i="10"/>
  <c r="G6124" i="10"/>
  <c r="H6124" i="10"/>
  <c r="G6125" i="10"/>
  <c r="H6125" i="10"/>
  <c r="G6126" i="10"/>
  <c r="H6126" i="10"/>
  <c r="G6127" i="10"/>
  <c r="H6127" i="10"/>
  <c r="G6128" i="10"/>
  <c r="H6128" i="10"/>
  <c r="G6129" i="10"/>
  <c r="H6129" i="10"/>
  <c r="G6130" i="10"/>
  <c r="H6130" i="10"/>
  <c r="G6131" i="10"/>
  <c r="H6131" i="10"/>
  <c r="G6132" i="10"/>
  <c r="H6132" i="10"/>
  <c r="G6133" i="10"/>
  <c r="H6133" i="10"/>
  <c r="G6134" i="10"/>
  <c r="H6134" i="10"/>
  <c r="G6135" i="10"/>
  <c r="H6135" i="10"/>
  <c r="G6136" i="10"/>
  <c r="H6136" i="10"/>
  <c r="G6137" i="10"/>
  <c r="H6137" i="10"/>
  <c r="G6138" i="10"/>
  <c r="H6138" i="10"/>
  <c r="G6139" i="10"/>
  <c r="H6139" i="10"/>
  <c r="G6140" i="10"/>
  <c r="H6140" i="10"/>
  <c r="G6141" i="10"/>
  <c r="H6141" i="10"/>
  <c r="G6142" i="10"/>
  <c r="H6142" i="10"/>
  <c r="G6143" i="10"/>
  <c r="H6143" i="10"/>
  <c r="G6144" i="10"/>
  <c r="H6144" i="10"/>
  <c r="G6145" i="10"/>
  <c r="H6145" i="10"/>
  <c r="G6146" i="10"/>
  <c r="H6146" i="10"/>
  <c r="G6147" i="10"/>
  <c r="H6147" i="10"/>
  <c r="G6148" i="10"/>
  <c r="H6148" i="10"/>
  <c r="G6149" i="10"/>
  <c r="H6149" i="10"/>
  <c r="G6150" i="10"/>
  <c r="H6150" i="10"/>
  <c r="G6151" i="10"/>
  <c r="H6151" i="10"/>
  <c r="G6152" i="10"/>
  <c r="H6152" i="10"/>
  <c r="G6153" i="10"/>
  <c r="H6153" i="10"/>
  <c r="G6154" i="10"/>
  <c r="H6154" i="10"/>
  <c r="G6155" i="10"/>
  <c r="H6155" i="10"/>
  <c r="G6156" i="10"/>
  <c r="H6156" i="10"/>
  <c r="G6157" i="10"/>
  <c r="H6157" i="10"/>
  <c r="G6158" i="10"/>
  <c r="H6158" i="10"/>
  <c r="G6159" i="10"/>
  <c r="H6159" i="10"/>
  <c r="G6160" i="10"/>
  <c r="H6160" i="10"/>
  <c r="G6161" i="10"/>
  <c r="H6161" i="10"/>
  <c r="G6162" i="10"/>
  <c r="H6162" i="10"/>
  <c r="G6163" i="10"/>
  <c r="H6163" i="10"/>
  <c r="G6164" i="10"/>
  <c r="H6164" i="10"/>
  <c r="G6165" i="10"/>
  <c r="H6165" i="10"/>
  <c r="G6166" i="10"/>
  <c r="H6166" i="10"/>
  <c r="G6167" i="10"/>
  <c r="H6167" i="10"/>
  <c r="G6168" i="10"/>
  <c r="H6168" i="10"/>
  <c r="G6169" i="10"/>
  <c r="H6169" i="10"/>
  <c r="G6170" i="10"/>
  <c r="H6170" i="10"/>
  <c r="G6171" i="10"/>
  <c r="H6171" i="10"/>
  <c r="G6172" i="10"/>
  <c r="H6172" i="10"/>
  <c r="G6173" i="10"/>
  <c r="H6173" i="10"/>
  <c r="G6174" i="10"/>
  <c r="H6174" i="10"/>
  <c r="G6175" i="10"/>
  <c r="H6175" i="10"/>
  <c r="G6176" i="10"/>
  <c r="H6176" i="10"/>
  <c r="G6177" i="10"/>
  <c r="H6177" i="10"/>
  <c r="G6178" i="10"/>
  <c r="H6178" i="10"/>
  <c r="G6179" i="10"/>
  <c r="H6179" i="10"/>
  <c r="G6180" i="10"/>
  <c r="H6180" i="10"/>
  <c r="G6181" i="10"/>
  <c r="H6181" i="10"/>
  <c r="G6182" i="10"/>
  <c r="H6182" i="10"/>
  <c r="G6183" i="10"/>
  <c r="H6183" i="10"/>
  <c r="G6184" i="10"/>
  <c r="H6184" i="10"/>
  <c r="G6185" i="10"/>
  <c r="H6185" i="10"/>
  <c r="G6186" i="10"/>
  <c r="H6186" i="10"/>
  <c r="G6187" i="10"/>
  <c r="H6187" i="10"/>
  <c r="G6188" i="10"/>
  <c r="H6188" i="10"/>
  <c r="G6189" i="10"/>
  <c r="H6189" i="10"/>
  <c r="G6190" i="10"/>
  <c r="H6190" i="10"/>
  <c r="G6191" i="10"/>
  <c r="H6191" i="10"/>
  <c r="G6192" i="10"/>
  <c r="H6192" i="10"/>
  <c r="G6193" i="10"/>
  <c r="H6193" i="10"/>
  <c r="G6194" i="10"/>
  <c r="H6194" i="10"/>
  <c r="G6195" i="10"/>
  <c r="H6195" i="10"/>
  <c r="G6196" i="10"/>
  <c r="H6196" i="10"/>
  <c r="G6197" i="10"/>
  <c r="H6197" i="10"/>
  <c r="G6198" i="10"/>
  <c r="H6198" i="10"/>
  <c r="G6199" i="10"/>
  <c r="H6199" i="10"/>
  <c r="G6200" i="10"/>
  <c r="H6200" i="10"/>
  <c r="G6201" i="10"/>
  <c r="H6201" i="10"/>
  <c r="G6202" i="10"/>
  <c r="H6202" i="10"/>
  <c r="G6203" i="10"/>
  <c r="H6203" i="10"/>
  <c r="G6204" i="10"/>
  <c r="H6204" i="10"/>
  <c r="G6205" i="10"/>
  <c r="H6205" i="10"/>
  <c r="G6206" i="10"/>
  <c r="H6206" i="10"/>
  <c r="G6207" i="10"/>
  <c r="H6207" i="10"/>
  <c r="G6208" i="10"/>
  <c r="H6208" i="10"/>
  <c r="G6209" i="10"/>
  <c r="H6209" i="10"/>
  <c r="G6210" i="10"/>
  <c r="H6210" i="10"/>
  <c r="G6211" i="10"/>
  <c r="H6211" i="10"/>
  <c r="G6212" i="10"/>
  <c r="H6212" i="10"/>
  <c r="G6213" i="10"/>
  <c r="H6213" i="10"/>
  <c r="G6214" i="10"/>
  <c r="H6214" i="10"/>
  <c r="G6215" i="10"/>
  <c r="H6215" i="10"/>
  <c r="G6216" i="10"/>
  <c r="H6216" i="10"/>
  <c r="G6217" i="10"/>
  <c r="H6217" i="10"/>
  <c r="G6218" i="10"/>
  <c r="H6218" i="10"/>
  <c r="G6219" i="10"/>
  <c r="H6219" i="10"/>
  <c r="G6220" i="10"/>
  <c r="H6220" i="10"/>
  <c r="G6221" i="10"/>
  <c r="H6221" i="10"/>
  <c r="G6222" i="10"/>
  <c r="H6222" i="10"/>
  <c r="G6223" i="10"/>
  <c r="H6223" i="10"/>
  <c r="G6224" i="10"/>
  <c r="H6224" i="10"/>
  <c r="G6225" i="10"/>
  <c r="H6225" i="10"/>
  <c r="G6226" i="10"/>
  <c r="H6226" i="10"/>
  <c r="G6227" i="10"/>
  <c r="H6227" i="10"/>
  <c r="G6228" i="10"/>
  <c r="H6228" i="10"/>
  <c r="G6229" i="10"/>
  <c r="H6229" i="10"/>
  <c r="G6230" i="10"/>
  <c r="H6230" i="10"/>
  <c r="G6231" i="10"/>
  <c r="H6231" i="10"/>
  <c r="G6232" i="10"/>
  <c r="H6232" i="10"/>
  <c r="G6233" i="10"/>
  <c r="H6233" i="10"/>
  <c r="G6234" i="10"/>
  <c r="H6234" i="10"/>
  <c r="G6235" i="10"/>
  <c r="H6235" i="10"/>
  <c r="G6236" i="10"/>
  <c r="H6236" i="10"/>
  <c r="G6237" i="10"/>
  <c r="H6237" i="10"/>
  <c r="G6238" i="10"/>
  <c r="H6238" i="10"/>
  <c r="G6239" i="10"/>
  <c r="H6239" i="10"/>
  <c r="G6240" i="10"/>
  <c r="H6240" i="10"/>
  <c r="G6241" i="10"/>
  <c r="H6241" i="10"/>
  <c r="G6242" i="10"/>
  <c r="H6242" i="10"/>
  <c r="G6243" i="10"/>
  <c r="H6243" i="10"/>
  <c r="G6244" i="10"/>
  <c r="H6244" i="10"/>
  <c r="G6245" i="10"/>
  <c r="H6245" i="10"/>
  <c r="G6246" i="10"/>
  <c r="H6246" i="10"/>
  <c r="G6247" i="10"/>
  <c r="H6247" i="10"/>
  <c r="G6248" i="10"/>
  <c r="H6248" i="10"/>
  <c r="G6249" i="10"/>
  <c r="H6249" i="10"/>
  <c r="G6250" i="10"/>
  <c r="H6250" i="10"/>
  <c r="G6251" i="10"/>
  <c r="H6251" i="10"/>
  <c r="G6252" i="10"/>
  <c r="H6252" i="10"/>
  <c r="G6253" i="10"/>
  <c r="H6253" i="10"/>
  <c r="G6254" i="10"/>
  <c r="H6254" i="10"/>
  <c r="G6255" i="10"/>
  <c r="H6255" i="10"/>
  <c r="G6256" i="10"/>
  <c r="H6256" i="10"/>
  <c r="G6257" i="10"/>
  <c r="H6257" i="10"/>
  <c r="G6258" i="10"/>
  <c r="H6258" i="10"/>
  <c r="G6259" i="10"/>
  <c r="H6259" i="10"/>
  <c r="G6260" i="10"/>
  <c r="H6260" i="10"/>
  <c r="G6261" i="10"/>
  <c r="H6261" i="10"/>
  <c r="G6262" i="10"/>
  <c r="H6262" i="10"/>
  <c r="G6263" i="10"/>
  <c r="H6263" i="10"/>
  <c r="G6264" i="10"/>
  <c r="H6264" i="10"/>
  <c r="G6265" i="10"/>
  <c r="H6265" i="10"/>
  <c r="G6266" i="10"/>
  <c r="H6266" i="10"/>
  <c r="G6267" i="10"/>
  <c r="H6267" i="10"/>
  <c r="G6268" i="10"/>
  <c r="H6268" i="10"/>
  <c r="G6269" i="10"/>
  <c r="H6269" i="10"/>
  <c r="G6270" i="10"/>
  <c r="H6270" i="10"/>
  <c r="G6271" i="10"/>
  <c r="H6271" i="10"/>
  <c r="G6272" i="10"/>
  <c r="H6272" i="10"/>
  <c r="G6273" i="10"/>
  <c r="H6273" i="10"/>
  <c r="G6274" i="10"/>
  <c r="H6274" i="10"/>
  <c r="G6275" i="10"/>
  <c r="H6275" i="10"/>
  <c r="G6276" i="10"/>
  <c r="H6276" i="10"/>
  <c r="G6277" i="10"/>
  <c r="H6277" i="10"/>
  <c r="G6278" i="10"/>
  <c r="H6278" i="10"/>
  <c r="G6279" i="10"/>
  <c r="H6279" i="10"/>
  <c r="G6280" i="10"/>
  <c r="H6280" i="10"/>
  <c r="G6281" i="10"/>
  <c r="H6281" i="10"/>
  <c r="G6282" i="10"/>
  <c r="H6282" i="10"/>
  <c r="G6283" i="10"/>
  <c r="H6283" i="10"/>
  <c r="G6284" i="10"/>
  <c r="H6284" i="10"/>
  <c r="G6285" i="10"/>
  <c r="H6285" i="10"/>
  <c r="G6286" i="10"/>
  <c r="H6286" i="10"/>
  <c r="G6287" i="10"/>
  <c r="H6287" i="10"/>
  <c r="G6288" i="10"/>
  <c r="H6288" i="10"/>
  <c r="G6289" i="10"/>
  <c r="H6289" i="10"/>
  <c r="G6290" i="10"/>
  <c r="H6290" i="10"/>
  <c r="G6291" i="10"/>
  <c r="H6291" i="10"/>
  <c r="G6292" i="10"/>
  <c r="H6292" i="10"/>
  <c r="G6293" i="10"/>
  <c r="H6293" i="10"/>
  <c r="G6294" i="10"/>
  <c r="H6294" i="10"/>
  <c r="G6295" i="10"/>
  <c r="H6295" i="10"/>
  <c r="G6296" i="10"/>
  <c r="H6296" i="10"/>
  <c r="G6297" i="10"/>
  <c r="H6297" i="10"/>
  <c r="G6298" i="10"/>
  <c r="H6298" i="10"/>
  <c r="G6299" i="10"/>
  <c r="H6299" i="10"/>
  <c r="G6300" i="10"/>
  <c r="H6300" i="10"/>
  <c r="G6301" i="10"/>
  <c r="H6301" i="10"/>
  <c r="G6302" i="10"/>
  <c r="H6302" i="10"/>
  <c r="G6303" i="10"/>
  <c r="H6303" i="10"/>
  <c r="G6304" i="10"/>
  <c r="H6304" i="10"/>
  <c r="G6305" i="10"/>
  <c r="H6305" i="10"/>
  <c r="G6306" i="10"/>
  <c r="H6306" i="10"/>
  <c r="G6307" i="10"/>
  <c r="H6307" i="10"/>
  <c r="G6308" i="10"/>
  <c r="H6308" i="10"/>
  <c r="G6309" i="10"/>
  <c r="H6309" i="10"/>
  <c r="G6310" i="10"/>
  <c r="H6310" i="10"/>
  <c r="G6311" i="10"/>
  <c r="H6311" i="10"/>
  <c r="G6312" i="10"/>
  <c r="H6312" i="10"/>
  <c r="G6313" i="10"/>
  <c r="H6313" i="10"/>
  <c r="G6314" i="10"/>
  <c r="H6314" i="10"/>
  <c r="G6315" i="10"/>
  <c r="H6315" i="10"/>
  <c r="G6316" i="10"/>
  <c r="H6316" i="10"/>
  <c r="G6317" i="10"/>
  <c r="H6317" i="10"/>
  <c r="G6318" i="10"/>
  <c r="H6318" i="10"/>
  <c r="G6319" i="10"/>
  <c r="H6319" i="10"/>
  <c r="G6320" i="10"/>
  <c r="H6320" i="10"/>
  <c r="G6321" i="10"/>
  <c r="H6321" i="10"/>
  <c r="G6322" i="10"/>
  <c r="H6322" i="10"/>
  <c r="G6323" i="10"/>
  <c r="H6323" i="10"/>
  <c r="G6324" i="10"/>
  <c r="H6324" i="10"/>
  <c r="G6325" i="10"/>
  <c r="H6325" i="10"/>
  <c r="G6326" i="10"/>
  <c r="H6326" i="10"/>
  <c r="G6327" i="10"/>
  <c r="H6327" i="10"/>
  <c r="G6328" i="10"/>
  <c r="H6328" i="10"/>
  <c r="G6329" i="10"/>
  <c r="H6329" i="10"/>
  <c r="G6330" i="10"/>
  <c r="H6330" i="10"/>
  <c r="G6331" i="10"/>
  <c r="H6331" i="10"/>
  <c r="G6332" i="10"/>
  <c r="H6332" i="10"/>
  <c r="G6333" i="10"/>
  <c r="H6333" i="10"/>
  <c r="G6334" i="10"/>
  <c r="H6334" i="10"/>
  <c r="G6335" i="10"/>
  <c r="H6335" i="10"/>
  <c r="G6336" i="10"/>
  <c r="H6336" i="10"/>
  <c r="G6337" i="10"/>
  <c r="H6337" i="10"/>
  <c r="G6338" i="10"/>
  <c r="H6338" i="10"/>
  <c r="G6339" i="10"/>
  <c r="H6339" i="10"/>
  <c r="G6340" i="10"/>
  <c r="H6340" i="10"/>
  <c r="G6341" i="10"/>
  <c r="H6341" i="10"/>
  <c r="G6342" i="10"/>
  <c r="H6342" i="10"/>
  <c r="G6343" i="10"/>
  <c r="H6343" i="10"/>
  <c r="G6344" i="10"/>
  <c r="H6344" i="10"/>
  <c r="G6345" i="10"/>
  <c r="H6345" i="10"/>
  <c r="G6346" i="10"/>
  <c r="H6346" i="10"/>
  <c r="G6347" i="10"/>
  <c r="H6347" i="10"/>
  <c r="G6348" i="10"/>
  <c r="H6348" i="10"/>
  <c r="G6349" i="10"/>
  <c r="H6349" i="10"/>
  <c r="G6350" i="10"/>
  <c r="H6350" i="10"/>
  <c r="G6351" i="10"/>
  <c r="H6351" i="10"/>
  <c r="G6352" i="10"/>
  <c r="H6352" i="10"/>
  <c r="G6353" i="10"/>
  <c r="H6353" i="10"/>
  <c r="G6354" i="10"/>
  <c r="H6354" i="10"/>
  <c r="G6355" i="10"/>
  <c r="H6355" i="10"/>
  <c r="G6356" i="10"/>
  <c r="H6356" i="10"/>
  <c r="G6357" i="10"/>
  <c r="H6357" i="10"/>
  <c r="G6358" i="10"/>
  <c r="H6358" i="10"/>
  <c r="G6359" i="10"/>
  <c r="H6359" i="10"/>
  <c r="G6360" i="10"/>
  <c r="H6360" i="10"/>
  <c r="G6361" i="10"/>
  <c r="H6361" i="10"/>
  <c r="G6362" i="10"/>
  <c r="H6362" i="10"/>
  <c r="G6363" i="10"/>
  <c r="H6363" i="10"/>
  <c r="G6364" i="10"/>
  <c r="H6364" i="10"/>
  <c r="G6365" i="10"/>
  <c r="H6365" i="10"/>
  <c r="G6366" i="10"/>
  <c r="H6366" i="10"/>
  <c r="G6367" i="10"/>
  <c r="H6367" i="10"/>
  <c r="G6368" i="10"/>
  <c r="H6368" i="10"/>
  <c r="G6369" i="10"/>
  <c r="H6369" i="10"/>
  <c r="G6370" i="10"/>
  <c r="H6370" i="10"/>
  <c r="G6371" i="10"/>
  <c r="H6371" i="10"/>
  <c r="G6372" i="10"/>
  <c r="H6372" i="10"/>
  <c r="G6373" i="10"/>
  <c r="H6373" i="10"/>
  <c r="G6374" i="10"/>
  <c r="H6374" i="10"/>
  <c r="G6375" i="10"/>
  <c r="H6375" i="10"/>
  <c r="G6376" i="10"/>
  <c r="H6376" i="10"/>
  <c r="G6377" i="10"/>
  <c r="H6377" i="10"/>
  <c r="G6378" i="10"/>
  <c r="H6378" i="10"/>
  <c r="G6379" i="10"/>
  <c r="H6379" i="10"/>
  <c r="G6380" i="10"/>
  <c r="H6380" i="10"/>
  <c r="G6381" i="10"/>
  <c r="H6381" i="10"/>
  <c r="G6382" i="10"/>
  <c r="H6382" i="10"/>
  <c r="G6383" i="10"/>
  <c r="H6383" i="10"/>
  <c r="G6384" i="10"/>
  <c r="H6384" i="10"/>
  <c r="G6385" i="10"/>
  <c r="H6385" i="10"/>
  <c r="G6386" i="10"/>
  <c r="H6386" i="10"/>
  <c r="G6387" i="10"/>
  <c r="H6387" i="10"/>
  <c r="G6388" i="10"/>
  <c r="H6388" i="10"/>
  <c r="G6389" i="10"/>
  <c r="H6389" i="10"/>
  <c r="G6390" i="10"/>
  <c r="H6390" i="10"/>
  <c r="G6391" i="10"/>
  <c r="H6391" i="10"/>
  <c r="G6392" i="10"/>
  <c r="H6392" i="10"/>
  <c r="G6393" i="10"/>
  <c r="H6393" i="10"/>
  <c r="G6394" i="10"/>
  <c r="H6394" i="10"/>
  <c r="G6395" i="10"/>
  <c r="H6395" i="10"/>
  <c r="G6396" i="10"/>
  <c r="H6396" i="10"/>
  <c r="G6397" i="10"/>
  <c r="H6397" i="10"/>
  <c r="G6398" i="10"/>
  <c r="H6398" i="10"/>
  <c r="G6399" i="10"/>
  <c r="H6399" i="10"/>
  <c r="G6400" i="10"/>
  <c r="H6400" i="10"/>
  <c r="G6401" i="10"/>
  <c r="H6401" i="10"/>
  <c r="G6402" i="10"/>
  <c r="H6402" i="10"/>
  <c r="G6403" i="10"/>
  <c r="H6403" i="10"/>
  <c r="G6404" i="10"/>
  <c r="H6404" i="10"/>
  <c r="G6405" i="10"/>
  <c r="H6405" i="10"/>
  <c r="G6406" i="10"/>
  <c r="H6406" i="10"/>
  <c r="G6407" i="10"/>
  <c r="H6407" i="10"/>
  <c r="G6408" i="10"/>
  <c r="H6408" i="10"/>
  <c r="G6409" i="10"/>
  <c r="H6409" i="10"/>
  <c r="G6410" i="10"/>
  <c r="H6410" i="10"/>
  <c r="G6411" i="10"/>
  <c r="H6411" i="10"/>
  <c r="G6412" i="10"/>
  <c r="H6412" i="10"/>
  <c r="G6413" i="10"/>
  <c r="H6413" i="10"/>
  <c r="G6414" i="10"/>
  <c r="H6414" i="10"/>
  <c r="G6415" i="10"/>
  <c r="H6415" i="10"/>
  <c r="G6416" i="10"/>
  <c r="H6416" i="10"/>
  <c r="G6417" i="10"/>
  <c r="H6417" i="10"/>
  <c r="G6418" i="10"/>
  <c r="H6418" i="10"/>
  <c r="G6419" i="10"/>
  <c r="H6419" i="10"/>
  <c r="G6420" i="10"/>
  <c r="H6420" i="10"/>
  <c r="G6421" i="10"/>
  <c r="H6421" i="10"/>
  <c r="G6422" i="10"/>
  <c r="H6422" i="10"/>
  <c r="G6423" i="10"/>
  <c r="H6423" i="10"/>
  <c r="G6424" i="10"/>
  <c r="H6424" i="10"/>
  <c r="G6425" i="10"/>
  <c r="H6425" i="10"/>
  <c r="G6426" i="10"/>
  <c r="H6426" i="10"/>
  <c r="G6427" i="10"/>
  <c r="H6427" i="10"/>
  <c r="G6428" i="10"/>
  <c r="H6428" i="10"/>
  <c r="G6429" i="10"/>
  <c r="H6429" i="10"/>
  <c r="G6430" i="10"/>
  <c r="H6430" i="10"/>
  <c r="G6431" i="10"/>
  <c r="H6431" i="10"/>
  <c r="G6432" i="10"/>
  <c r="H6432" i="10"/>
  <c r="G6433" i="10"/>
  <c r="H6433" i="10"/>
  <c r="G6434" i="10"/>
  <c r="H6434" i="10"/>
  <c r="G6435" i="10"/>
  <c r="H6435" i="10"/>
  <c r="G6436" i="10"/>
  <c r="H6436" i="10"/>
  <c r="G6437" i="10"/>
  <c r="H6437" i="10"/>
  <c r="G6438" i="10"/>
  <c r="H6438" i="10"/>
  <c r="G6439" i="10"/>
  <c r="H6439" i="10"/>
  <c r="G6440" i="10"/>
  <c r="H6440" i="10"/>
  <c r="G6441" i="10"/>
  <c r="H6441" i="10"/>
  <c r="G6442" i="10"/>
  <c r="H6442" i="10"/>
  <c r="G6443" i="10"/>
  <c r="H6443" i="10"/>
  <c r="G6444" i="10"/>
  <c r="H6444" i="10"/>
  <c r="G6445" i="10"/>
  <c r="H6445" i="10"/>
  <c r="G6446" i="10"/>
  <c r="H6446" i="10"/>
  <c r="G6447" i="10"/>
  <c r="H6447" i="10"/>
  <c r="G6448" i="10"/>
  <c r="H6448" i="10"/>
  <c r="G6449" i="10"/>
  <c r="H6449" i="10"/>
  <c r="G6450" i="10"/>
  <c r="H6450" i="10"/>
  <c r="G6451" i="10"/>
  <c r="H6451" i="10"/>
  <c r="G6452" i="10"/>
  <c r="H6452" i="10"/>
  <c r="G6453" i="10"/>
  <c r="H6453" i="10"/>
  <c r="G6454" i="10"/>
  <c r="H6454" i="10"/>
  <c r="G6455" i="10"/>
  <c r="H6455" i="10"/>
  <c r="G6456" i="10"/>
  <c r="H6456" i="10"/>
  <c r="G6457" i="10"/>
  <c r="H6457" i="10"/>
  <c r="G6458" i="10"/>
  <c r="H6458" i="10"/>
  <c r="G6459" i="10"/>
  <c r="H6459" i="10"/>
  <c r="G6460" i="10"/>
  <c r="H6460" i="10"/>
  <c r="G6461" i="10"/>
  <c r="H6461" i="10"/>
  <c r="G6462" i="10"/>
  <c r="H6462" i="10"/>
  <c r="G6463" i="10"/>
  <c r="H6463" i="10"/>
  <c r="G6464" i="10"/>
  <c r="H6464" i="10"/>
  <c r="G6465" i="10"/>
  <c r="H6465" i="10"/>
  <c r="G6466" i="10"/>
  <c r="H6466" i="10"/>
  <c r="G6467" i="10"/>
  <c r="H6467" i="10"/>
  <c r="G6468" i="10"/>
  <c r="H6468" i="10"/>
  <c r="G6469" i="10"/>
  <c r="H6469" i="10"/>
  <c r="G6470" i="10"/>
  <c r="H6470" i="10"/>
  <c r="G6471" i="10"/>
  <c r="H6471" i="10"/>
  <c r="G6472" i="10"/>
  <c r="H6472" i="10"/>
  <c r="G6473" i="10"/>
  <c r="H6473" i="10"/>
  <c r="G6474" i="10"/>
  <c r="H6474" i="10"/>
  <c r="G6475" i="10"/>
  <c r="H6475" i="10"/>
  <c r="G6476" i="10"/>
  <c r="H6476" i="10"/>
  <c r="G6477" i="10"/>
  <c r="H6477" i="10"/>
  <c r="G6478" i="10"/>
  <c r="H6478" i="10"/>
  <c r="G6479" i="10"/>
  <c r="H6479" i="10"/>
  <c r="G6480" i="10"/>
  <c r="H6480" i="10"/>
  <c r="G6481" i="10"/>
  <c r="H6481" i="10"/>
  <c r="G6482" i="10"/>
  <c r="H6482" i="10"/>
  <c r="G6483" i="10"/>
  <c r="H6483" i="10"/>
  <c r="G6484" i="10"/>
  <c r="H6484" i="10"/>
  <c r="G6485" i="10"/>
  <c r="H6485" i="10"/>
  <c r="G6486" i="10"/>
  <c r="H6486" i="10"/>
  <c r="G6487" i="10"/>
  <c r="H6487" i="10"/>
  <c r="G6488" i="10"/>
  <c r="H6488" i="10"/>
  <c r="G6489" i="10"/>
  <c r="H6489" i="10"/>
  <c r="G6490" i="10"/>
  <c r="H6490" i="10"/>
  <c r="G6491" i="10"/>
  <c r="H6491" i="10"/>
  <c r="G6492" i="10"/>
  <c r="H6492" i="10"/>
  <c r="G6493" i="10"/>
  <c r="H6493" i="10"/>
  <c r="G6494" i="10"/>
  <c r="H6494" i="10"/>
  <c r="G6495" i="10"/>
  <c r="H6495" i="10"/>
  <c r="G6496" i="10"/>
  <c r="H6496" i="10"/>
  <c r="G6497" i="10"/>
  <c r="H6497" i="10"/>
  <c r="G6498" i="10"/>
  <c r="H6498" i="10"/>
  <c r="G6499" i="10"/>
  <c r="H6499" i="10"/>
  <c r="G6500" i="10"/>
  <c r="H6500" i="10"/>
  <c r="G6501" i="10"/>
  <c r="H6501" i="10"/>
  <c r="G6502" i="10"/>
  <c r="H6502" i="10"/>
  <c r="G6503" i="10"/>
  <c r="H6503" i="10"/>
  <c r="G6504" i="10"/>
  <c r="H6504" i="10"/>
  <c r="G6505" i="10"/>
  <c r="H6505" i="10"/>
  <c r="G6506" i="10"/>
  <c r="H6506" i="10"/>
  <c r="G6507" i="10"/>
  <c r="H6507" i="10"/>
  <c r="G6508" i="10"/>
  <c r="H6508" i="10"/>
  <c r="G6509" i="10"/>
  <c r="H6509" i="10"/>
  <c r="G6510" i="10"/>
  <c r="H6510" i="10"/>
  <c r="G6511" i="10"/>
  <c r="H6511" i="10"/>
  <c r="G6512" i="10"/>
  <c r="H6512" i="10"/>
  <c r="G6513" i="10"/>
  <c r="H6513" i="10"/>
  <c r="G6514" i="10"/>
  <c r="H6514" i="10"/>
  <c r="G6515" i="10"/>
  <c r="H6515" i="10"/>
  <c r="G6516" i="10"/>
  <c r="H6516" i="10"/>
  <c r="G6517" i="10"/>
  <c r="H6517" i="10"/>
  <c r="G6518" i="10"/>
  <c r="H6518" i="10"/>
  <c r="G6519" i="10"/>
  <c r="H6519" i="10"/>
  <c r="G6520" i="10"/>
  <c r="H6520" i="10"/>
  <c r="G6521" i="10"/>
  <c r="H6521" i="10"/>
  <c r="G6522" i="10"/>
  <c r="H6522" i="10"/>
  <c r="G6523" i="10"/>
  <c r="H6523" i="10"/>
  <c r="G6524" i="10"/>
  <c r="H6524" i="10"/>
  <c r="G6525" i="10"/>
  <c r="H6525" i="10"/>
  <c r="G6526" i="10"/>
  <c r="H6526" i="10"/>
  <c r="G6527" i="10"/>
  <c r="H6527" i="10"/>
  <c r="G6528" i="10"/>
  <c r="H6528" i="10"/>
  <c r="G6529" i="10"/>
  <c r="H6529" i="10"/>
  <c r="G6530" i="10"/>
  <c r="H6530" i="10"/>
  <c r="G6531" i="10"/>
  <c r="H6531" i="10"/>
  <c r="G6532" i="10"/>
  <c r="H6532" i="10"/>
  <c r="G6533" i="10"/>
  <c r="H6533" i="10"/>
  <c r="G6534" i="10"/>
  <c r="H6534" i="10"/>
  <c r="G6535" i="10"/>
  <c r="H6535" i="10"/>
  <c r="G6536" i="10"/>
  <c r="H6536" i="10"/>
  <c r="G6537" i="10"/>
  <c r="H6537" i="10"/>
  <c r="G6538" i="10"/>
  <c r="H6538" i="10"/>
  <c r="G6539" i="10"/>
  <c r="H6539" i="10"/>
  <c r="G6540" i="10"/>
  <c r="H6540" i="10"/>
  <c r="G6541" i="10"/>
  <c r="H6541" i="10"/>
  <c r="G6542" i="10"/>
  <c r="H6542" i="10"/>
  <c r="G6543" i="10"/>
  <c r="H6543" i="10"/>
  <c r="G6544" i="10"/>
  <c r="H6544" i="10"/>
  <c r="G6545" i="10"/>
  <c r="H6545" i="10"/>
  <c r="G6546" i="10"/>
  <c r="H6546" i="10"/>
  <c r="G6547" i="10"/>
  <c r="H6547" i="10"/>
  <c r="G6548" i="10"/>
  <c r="H6548" i="10"/>
  <c r="G6549" i="10"/>
  <c r="H6549" i="10"/>
  <c r="G6550" i="10"/>
  <c r="H6550" i="10"/>
  <c r="G6551" i="10"/>
  <c r="H6551" i="10"/>
  <c r="G6552" i="10"/>
  <c r="H6552" i="10"/>
  <c r="G6553" i="10"/>
  <c r="H6553" i="10"/>
  <c r="G6554" i="10"/>
  <c r="H6554" i="10"/>
  <c r="G6555" i="10"/>
  <c r="H6555" i="10"/>
  <c r="G6556" i="10"/>
  <c r="H6556" i="10"/>
  <c r="G6557" i="10"/>
  <c r="H6557" i="10"/>
  <c r="G6558" i="10"/>
  <c r="H6558" i="10"/>
  <c r="G6559" i="10"/>
  <c r="H6559" i="10"/>
  <c r="G6560" i="10"/>
  <c r="H6560" i="10"/>
  <c r="G6561" i="10"/>
  <c r="H6561" i="10"/>
  <c r="G6562" i="10"/>
  <c r="H6562" i="10"/>
  <c r="G6563" i="10"/>
  <c r="H6563" i="10"/>
  <c r="G6564" i="10"/>
  <c r="H6564" i="10"/>
  <c r="G6565" i="10"/>
  <c r="H6565" i="10"/>
  <c r="G6566" i="10"/>
  <c r="H6566" i="10"/>
  <c r="G6567" i="10"/>
  <c r="H6567" i="10"/>
  <c r="G6568" i="10"/>
  <c r="H6568" i="10"/>
  <c r="G6569" i="10"/>
  <c r="H6569" i="10"/>
  <c r="G6570" i="10"/>
  <c r="H6570" i="10"/>
  <c r="G6571" i="10"/>
  <c r="H6571" i="10"/>
  <c r="G6572" i="10"/>
  <c r="H6572" i="10"/>
  <c r="G6573" i="10"/>
  <c r="H6573" i="10"/>
  <c r="G6574" i="10"/>
  <c r="H6574" i="10"/>
  <c r="G6575" i="10"/>
  <c r="H6575" i="10"/>
  <c r="G6576" i="10"/>
  <c r="H6576" i="10"/>
  <c r="G6577" i="10"/>
  <c r="H6577" i="10"/>
  <c r="G6578" i="10"/>
  <c r="H6578" i="10"/>
  <c r="G6579" i="10"/>
  <c r="H6579" i="10"/>
  <c r="G6580" i="10"/>
  <c r="H6580" i="10"/>
  <c r="G6581" i="10"/>
  <c r="H6581" i="10"/>
  <c r="G6582" i="10"/>
  <c r="H6582" i="10"/>
  <c r="G6583" i="10"/>
  <c r="H6583" i="10"/>
  <c r="G6584" i="10"/>
  <c r="H6584" i="10"/>
  <c r="G6585" i="10"/>
  <c r="H6585" i="10"/>
  <c r="G6586" i="10"/>
  <c r="H6586" i="10"/>
  <c r="G6587" i="10"/>
  <c r="H6587" i="10"/>
  <c r="G6588" i="10"/>
  <c r="H6588" i="10"/>
  <c r="G6589" i="10"/>
  <c r="H6589" i="10"/>
  <c r="G6590" i="10"/>
  <c r="H6590" i="10"/>
  <c r="G6591" i="10"/>
  <c r="H6591" i="10"/>
  <c r="G6592" i="10"/>
  <c r="H6592" i="10"/>
  <c r="G6593" i="10"/>
  <c r="H6593" i="10"/>
  <c r="G6594" i="10"/>
  <c r="H6594" i="10"/>
  <c r="G6595" i="10"/>
  <c r="H6595" i="10"/>
  <c r="G6596" i="10"/>
  <c r="H6596" i="10"/>
  <c r="G6597" i="10"/>
  <c r="H6597" i="10"/>
  <c r="G6598" i="10"/>
  <c r="H6598" i="10"/>
  <c r="G6599" i="10"/>
  <c r="H6599" i="10"/>
  <c r="G6600" i="10"/>
  <c r="H6600" i="10"/>
  <c r="G6601" i="10"/>
  <c r="H6601" i="10"/>
  <c r="G6602" i="10"/>
  <c r="H6602" i="10"/>
  <c r="G6603" i="10"/>
  <c r="H6603" i="10"/>
  <c r="G6604" i="10"/>
  <c r="H6604" i="10"/>
  <c r="G6605" i="10"/>
  <c r="H6605" i="10"/>
  <c r="G6606" i="10"/>
  <c r="H6606" i="10"/>
  <c r="G6607" i="10"/>
  <c r="H6607" i="10"/>
  <c r="G6608" i="10"/>
  <c r="H6608" i="10"/>
  <c r="G6609" i="10"/>
  <c r="H6609" i="10"/>
  <c r="G6610" i="10"/>
  <c r="H6610" i="10"/>
  <c r="G6611" i="10"/>
  <c r="H6611" i="10"/>
  <c r="G6612" i="10"/>
  <c r="H6612" i="10"/>
  <c r="G6613" i="10"/>
  <c r="H6613" i="10"/>
  <c r="G6614" i="10"/>
  <c r="H6614" i="10"/>
  <c r="G6615" i="10"/>
  <c r="H6615" i="10"/>
  <c r="G6616" i="10"/>
  <c r="H6616" i="10"/>
  <c r="G6617" i="10"/>
  <c r="H6617" i="10"/>
  <c r="G6618" i="10"/>
  <c r="H6618" i="10"/>
  <c r="G6619" i="10"/>
  <c r="H6619" i="10"/>
  <c r="G6620" i="10"/>
  <c r="H6620" i="10"/>
  <c r="G6621" i="10"/>
  <c r="H6621" i="10"/>
  <c r="G6622" i="10"/>
  <c r="H6622" i="10"/>
  <c r="G6623" i="10"/>
  <c r="H6623" i="10"/>
  <c r="G6624" i="10"/>
  <c r="H6624" i="10"/>
  <c r="G6625" i="10"/>
  <c r="H6625" i="10"/>
  <c r="G6626" i="10"/>
  <c r="H6626" i="10"/>
  <c r="G6627" i="10"/>
  <c r="H6627" i="10"/>
  <c r="G6628" i="10"/>
  <c r="H6628" i="10"/>
  <c r="G6629" i="10"/>
  <c r="H6629" i="10"/>
  <c r="G6630" i="10"/>
  <c r="H6630" i="10"/>
  <c r="G6631" i="10"/>
  <c r="H6631" i="10"/>
  <c r="G6632" i="10"/>
  <c r="H6632" i="10"/>
  <c r="G6633" i="10"/>
  <c r="H6633" i="10"/>
  <c r="G6634" i="10"/>
  <c r="H6634" i="10"/>
  <c r="G6635" i="10"/>
  <c r="H6635" i="10"/>
  <c r="G6636" i="10"/>
  <c r="H6636" i="10"/>
  <c r="G6637" i="10"/>
  <c r="H6637" i="10"/>
  <c r="G6638" i="10"/>
  <c r="H6638" i="10"/>
  <c r="G6639" i="10"/>
  <c r="H6639" i="10"/>
  <c r="G6640" i="10"/>
  <c r="H6640" i="10"/>
  <c r="G6641" i="10"/>
  <c r="H6641" i="10"/>
  <c r="G6642" i="10"/>
  <c r="H6642" i="10"/>
  <c r="G6643" i="10"/>
  <c r="H6643" i="10"/>
  <c r="G6644" i="10"/>
  <c r="H6644" i="10"/>
  <c r="G6645" i="10"/>
  <c r="H6645" i="10"/>
  <c r="G6646" i="10"/>
  <c r="H6646" i="10"/>
  <c r="G6647" i="10"/>
  <c r="H6647" i="10"/>
  <c r="G6648" i="10"/>
  <c r="H6648" i="10"/>
  <c r="G6649" i="10"/>
  <c r="H6649" i="10"/>
  <c r="G6650" i="10"/>
  <c r="H6650" i="10"/>
  <c r="G6651" i="10"/>
  <c r="H6651" i="10"/>
  <c r="G6652" i="10"/>
  <c r="H6652" i="10"/>
  <c r="G6653" i="10"/>
  <c r="H6653" i="10"/>
  <c r="G6654" i="10"/>
  <c r="H6654" i="10"/>
  <c r="G6655" i="10"/>
  <c r="H6655" i="10"/>
  <c r="G6656" i="10"/>
  <c r="H6656" i="10"/>
  <c r="G6657" i="10"/>
  <c r="H6657" i="10"/>
  <c r="G6658" i="10"/>
  <c r="H6658" i="10"/>
  <c r="G6659" i="10"/>
  <c r="H6659" i="10"/>
  <c r="G6660" i="10"/>
  <c r="H6660" i="10"/>
  <c r="G6661" i="10"/>
  <c r="H6661" i="10"/>
  <c r="G6662" i="10"/>
  <c r="H6662" i="10"/>
  <c r="G6663" i="10"/>
  <c r="H6663" i="10"/>
  <c r="G6664" i="10"/>
  <c r="H6664" i="10"/>
  <c r="G6665" i="10"/>
  <c r="H6665" i="10"/>
  <c r="G6666" i="10"/>
  <c r="H6666" i="10"/>
  <c r="G6667" i="10"/>
  <c r="H6667" i="10"/>
  <c r="G6668" i="10"/>
  <c r="H6668" i="10"/>
  <c r="G6669" i="10"/>
  <c r="H6669" i="10"/>
  <c r="G6670" i="10"/>
  <c r="H6670" i="10"/>
  <c r="G6671" i="10"/>
  <c r="H6671" i="10"/>
  <c r="G6672" i="10"/>
  <c r="H6672" i="10"/>
  <c r="G6673" i="10"/>
  <c r="H6673" i="10"/>
  <c r="G6674" i="10"/>
  <c r="H6674" i="10"/>
  <c r="G6675" i="10"/>
  <c r="H6675" i="10"/>
  <c r="G6676" i="10"/>
  <c r="H6676" i="10"/>
  <c r="G6677" i="10"/>
  <c r="H6677" i="10"/>
  <c r="G6678" i="10"/>
  <c r="H6678" i="10"/>
  <c r="G6679" i="10"/>
  <c r="H6679" i="10"/>
  <c r="G6680" i="10"/>
  <c r="H6680" i="10"/>
  <c r="G6681" i="10"/>
  <c r="H6681" i="10"/>
  <c r="G6682" i="10"/>
  <c r="H6682" i="10"/>
  <c r="G6683" i="10"/>
  <c r="H6683" i="10"/>
  <c r="G6684" i="10"/>
  <c r="H6684" i="10"/>
  <c r="G6685" i="10"/>
  <c r="H6685" i="10"/>
  <c r="G6686" i="10"/>
  <c r="H6686" i="10"/>
  <c r="G6687" i="10"/>
  <c r="H6687" i="10"/>
  <c r="G6688" i="10"/>
  <c r="H6688" i="10"/>
  <c r="G6689" i="10"/>
  <c r="H6689" i="10"/>
  <c r="G6690" i="10"/>
  <c r="H6690" i="10"/>
  <c r="G6691" i="10"/>
  <c r="H6691" i="10"/>
  <c r="G6692" i="10"/>
  <c r="H6692" i="10"/>
  <c r="G6693" i="10"/>
  <c r="H6693" i="10"/>
  <c r="G6694" i="10"/>
  <c r="H6694" i="10"/>
  <c r="G6695" i="10"/>
  <c r="H6695" i="10"/>
  <c r="G6696" i="10"/>
  <c r="H6696" i="10"/>
  <c r="G6697" i="10"/>
  <c r="H6697" i="10"/>
  <c r="G6698" i="10"/>
  <c r="H6698" i="10"/>
  <c r="G6699" i="10"/>
  <c r="H6699" i="10"/>
  <c r="G6700" i="10"/>
  <c r="H6700" i="10"/>
  <c r="G6701" i="10"/>
  <c r="H6701" i="10"/>
  <c r="G6702" i="10"/>
  <c r="H6702" i="10"/>
  <c r="G6703" i="10"/>
  <c r="H6703" i="10"/>
  <c r="G6704" i="10"/>
  <c r="H6704" i="10"/>
  <c r="G6705" i="10"/>
  <c r="H6705" i="10"/>
  <c r="G6706" i="10"/>
  <c r="H6706" i="10"/>
  <c r="G6707" i="10"/>
  <c r="H6707" i="10"/>
  <c r="G6708" i="10"/>
  <c r="H6708" i="10"/>
  <c r="G6709" i="10"/>
  <c r="H6709" i="10"/>
  <c r="G6710" i="10"/>
  <c r="H6710" i="10"/>
  <c r="G6711" i="10"/>
  <c r="H6711" i="10"/>
  <c r="G6712" i="10"/>
  <c r="H6712" i="10"/>
  <c r="G6713" i="10"/>
  <c r="H6713" i="10"/>
  <c r="G6714" i="10"/>
  <c r="H6714" i="10"/>
  <c r="G6715" i="10"/>
  <c r="H6715" i="10"/>
  <c r="G6716" i="10"/>
  <c r="H6716" i="10"/>
  <c r="G6717" i="10"/>
  <c r="H6717" i="10"/>
  <c r="G6718" i="10"/>
  <c r="H6718" i="10"/>
  <c r="G6719" i="10"/>
  <c r="H6719" i="10"/>
  <c r="G6720" i="10"/>
  <c r="H6720" i="10"/>
  <c r="G6721" i="10"/>
  <c r="H6721" i="10"/>
  <c r="G6722" i="10"/>
  <c r="H6722" i="10"/>
  <c r="G6723" i="10"/>
  <c r="H6723" i="10"/>
  <c r="G6724" i="10"/>
  <c r="H6724" i="10"/>
  <c r="G6725" i="10"/>
  <c r="H6725" i="10"/>
  <c r="G6726" i="10"/>
  <c r="H6726" i="10"/>
  <c r="G6727" i="10"/>
  <c r="H6727" i="10"/>
  <c r="G6728" i="10"/>
  <c r="H6728" i="10"/>
  <c r="G6729" i="10"/>
  <c r="H6729" i="10"/>
  <c r="G6730" i="10"/>
  <c r="H6730" i="10"/>
  <c r="G6731" i="10"/>
  <c r="H6731" i="10"/>
  <c r="G6732" i="10"/>
  <c r="H6732" i="10"/>
  <c r="G6733" i="10"/>
  <c r="H6733" i="10"/>
  <c r="G6734" i="10"/>
  <c r="H6734" i="10"/>
  <c r="G6735" i="10"/>
  <c r="H6735" i="10"/>
  <c r="G6736" i="10"/>
  <c r="H6736" i="10"/>
  <c r="G6737" i="10"/>
  <c r="H6737" i="10"/>
  <c r="G6738" i="10"/>
  <c r="H6738" i="10"/>
  <c r="G6739" i="10"/>
  <c r="H6739" i="10"/>
  <c r="G6740" i="10"/>
  <c r="H6740" i="10"/>
  <c r="G6741" i="10"/>
  <c r="H6741" i="10"/>
  <c r="G6742" i="10"/>
  <c r="H6742" i="10"/>
  <c r="G6743" i="10"/>
  <c r="H6743" i="10"/>
  <c r="G6744" i="10"/>
  <c r="H6744" i="10"/>
  <c r="G6745" i="10"/>
  <c r="H6745" i="10"/>
  <c r="G6746" i="10"/>
  <c r="H6746" i="10"/>
  <c r="G6747" i="10"/>
  <c r="H6747" i="10"/>
  <c r="G6748" i="10"/>
  <c r="H6748" i="10"/>
  <c r="G6749" i="10"/>
  <c r="H6749" i="10"/>
  <c r="G6750" i="10"/>
  <c r="H6750" i="10"/>
  <c r="G6751" i="10"/>
  <c r="H6751" i="10"/>
  <c r="G6752" i="10"/>
  <c r="H6752" i="10"/>
  <c r="G6753" i="10"/>
  <c r="H6753" i="10"/>
  <c r="G6754" i="10"/>
  <c r="H6754" i="10"/>
  <c r="G6755" i="10"/>
  <c r="H6755" i="10"/>
  <c r="G6756" i="10"/>
  <c r="H6756" i="10"/>
  <c r="G6757" i="10"/>
  <c r="H6757" i="10"/>
  <c r="G6758" i="10"/>
  <c r="H6758" i="10"/>
  <c r="G6759" i="10"/>
  <c r="H6759" i="10"/>
  <c r="G6760" i="10"/>
  <c r="H6760" i="10"/>
  <c r="G6761" i="10"/>
  <c r="H6761" i="10"/>
  <c r="G6762" i="10"/>
  <c r="H6762" i="10"/>
  <c r="G6763" i="10"/>
  <c r="H6763" i="10"/>
  <c r="G6764" i="10"/>
  <c r="H6764" i="10"/>
  <c r="G6765" i="10"/>
  <c r="H6765" i="10"/>
  <c r="G6766" i="10"/>
  <c r="H6766" i="10"/>
  <c r="G6767" i="10"/>
  <c r="H6767" i="10"/>
  <c r="G6768" i="10"/>
  <c r="H6768" i="10"/>
  <c r="G6769" i="10"/>
  <c r="H6769" i="10"/>
  <c r="G6770" i="10"/>
  <c r="H6770" i="10"/>
  <c r="G6771" i="10"/>
  <c r="H6771" i="10"/>
  <c r="G6772" i="10"/>
  <c r="H6772" i="10"/>
  <c r="G6773" i="10"/>
  <c r="H6773" i="10"/>
  <c r="G6774" i="10"/>
  <c r="H6774" i="10"/>
  <c r="G6775" i="10"/>
  <c r="H6775" i="10"/>
  <c r="G6776" i="10"/>
  <c r="H6776" i="10"/>
  <c r="G6777" i="10"/>
  <c r="H6777" i="10"/>
  <c r="G6778" i="10"/>
  <c r="H6778" i="10"/>
  <c r="G6779" i="10"/>
  <c r="H6779" i="10"/>
  <c r="G6780" i="10"/>
  <c r="H6780" i="10"/>
  <c r="G6781" i="10"/>
  <c r="H6781" i="10"/>
  <c r="G6782" i="10"/>
  <c r="H6782" i="10"/>
  <c r="G6783" i="10"/>
  <c r="H6783" i="10"/>
  <c r="G6784" i="10"/>
  <c r="H6784" i="10"/>
  <c r="G6785" i="10"/>
  <c r="H6785" i="10"/>
  <c r="G6786" i="10"/>
  <c r="H6786" i="10"/>
  <c r="G6787" i="10"/>
  <c r="H6787" i="10"/>
  <c r="G6788" i="10"/>
  <c r="H6788" i="10"/>
  <c r="G6789" i="10"/>
  <c r="H6789" i="10"/>
  <c r="G6790" i="10"/>
  <c r="H6790" i="10"/>
  <c r="G6791" i="10"/>
  <c r="H6791" i="10"/>
  <c r="G6792" i="10"/>
  <c r="H6792" i="10"/>
  <c r="G6793" i="10"/>
  <c r="H6793" i="10"/>
  <c r="G6794" i="10"/>
  <c r="H6794" i="10"/>
  <c r="G6795" i="10"/>
  <c r="H6795" i="10"/>
  <c r="G6796" i="10"/>
  <c r="H6796" i="10"/>
  <c r="G6797" i="10"/>
  <c r="H6797" i="10"/>
  <c r="G6798" i="10"/>
  <c r="H6798" i="10"/>
  <c r="G6799" i="10"/>
  <c r="H6799" i="10"/>
  <c r="G6800" i="10"/>
  <c r="H6800" i="10"/>
  <c r="G6801" i="10"/>
  <c r="H6801" i="10"/>
  <c r="G6802" i="10"/>
  <c r="H6802" i="10"/>
  <c r="G6803" i="10"/>
  <c r="H6803" i="10"/>
  <c r="G6804" i="10"/>
  <c r="H6804" i="10"/>
  <c r="G6805" i="10"/>
  <c r="H6805" i="10"/>
  <c r="G6806" i="10"/>
  <c r="H6806" i="10"/>
  <c r="G6807" i="10"/>
  <c r="H6807" i="10"/>
  <c r="G6808" i="10"/>
  <c r="H6808" i="10"/>
  <c r="G6809" i="10"/>
  <c r="H6809" i="10"/>
  <c r="G6810" i="10"/>
  <c r="H6810" i="10"/>
  <c r="G6811" i="10"/>
  <c r="H6811" i="10"/>
  <c r="G6812" i="10"/>
  <c r="H6812" i="10"/>
  <c r="G6813" i="10"/>
  <c r="H6813" i="10"/>
  <c r="G6814" i="10"/>
  <c r="H6814" i="10"/>
  <c r="G6815" i="10"/>
  <c r="H6815" i="10"/>
  <c r="G6816" i="10"/>
  <c r="H6816" i="10"/>
  <c r="G6817" i="10"/>
  <c r="H6817" i="10"/>
  <c r="G6818" i="10"/>
  <c r="H6818" i="10"/>
  <c r="G6819" i="10"/>
  <c r="H6819" i="10"/>
  <c r="G6820" i="10"/>
  <c r="H6820" i="10"/>
  <c r="G6821" i="10"/>
  <c r="H6821" i="10"/>
  <c r="G6822" i="10"/>
  <c r="H6822" i="10"/>
  <c r="G6823" i="10"/>
  <c r="H6823" i="10"/>
  <c r="G6824" i="10"/>
  <c r="H6824" i="10"/>
  <c r="G6825" i="10"/>
  <c r="H6825" i="10"/>
  <c r="G6826" i="10"/>
  <c r="H6826" i="10"/>
  <c r="G6827" i="10"/>
  <c r="H6827" i="10"/>
  <c r="G6828" i="10"/>
  <c r="H6828" i="10"/>
  <c r="G6829" i="10"/>
  <c r="H6829" i="10"/>
  <c r="G6830" i="10"/>
  <c r="H6830" i="10"/>
  <c r="G6831" i="10"/>
  <c r="H6831" i="10"/>
  <c r="G6832" i="10"/>
  <c r="H6832" i="10"/>
  <c r="G6833" i="10"/>
  <c r="H6833" i="10"/>
  <c r="G6834" i="10"/>
  <c r="H6834" i="10"/>
  <c r="G6835" i="10"/>
  <c r="H6835" i="10"/>
  <c r="G6836" i="10"/>
  <c r="H6836" i="10"/>
  <c r="G6837" i="10"/>
  <c r="H6837" i="10"/>
  <c r="G6838" i="10"/>
  <c r="H6838" i="10"/>
  <c r="G6839" i="10"/>
  <c r="H6839" i="10"/>
  <c r="G6840" i="10"/>
  <c r="H6840" i="10"/>
  <c r="G6841" i="10"/>
  <c r="H6841" i="10"/>
  <c r="G6842" i="10"/>
  <c r="H6842" i="10"/>
  <c r="G6843" i="10"/>
  <c r="H6843" i="10"/>
  <c r="G6844" i="10"/>
  <c r="H6844" i="10"/>
  <c r="G6845" i="10"/>
  <c r="H6845" i="10"/>
  <c r="G6846" i="10"/>
  <c r="H6846" i="10"/>
  <c r="G6847" i="10"/>
  <c r="H6847" i="10"/>
  <c r="G6848" i="10"/>
  <c r="H6848" i="10"/>
  <c r="G6849" i="10"/>
  <c r="H6849" i="10"/>
  <c r="G6850" i="10"/>
  <c r="H6850" i="10"/>
  <c r="G6851" i="10"/>
  <c r="H6851" i="10"/>
  <c r="G6852" i="10"/>
  <c r="H6852" i="10"/>
  <c r="G6853" i="10"/>
  <c r="H6853" i="10"/>
  <c r="G6854" i="10"/>
  <c r="H6854" i="10"/>
  <c r="G6855" i="10"/>
  <c r="H6855" i="10"/>
  <c r="G6856" i="10"/>
  <c r="H6856" i="10"/>
  <c r="G6857" i="10"/>
  <c r="H6857" i="10"/>
  <c r="G6858" i="10"/>
  <c r="H6858" i="10"/>
  <c r="G6859" i="10"/>
  <c r="H6859" i="10"/>
  <c r="G6860" i="10"/>
  <c r="H6860" i="10"/>
  <c r="G6861" i="10"/>
  <c r="H6861" i="10"/>
  <c r="G6862" i="10"/>
  <c r="H6862" i="10"/>
  <c r="G6863" i="10"/>
  <c r="H6863" i="10"/>
  <c r="G6864" i="10"/>
  <c r="H6864" i="10"/>
  <c r="G6865" i="10"/>
  <c r="H6865" i="10"/>
  <c r="G6866" i="10"/>
  <c r="H6866" i="10"/>
  <c r="G6867" i="10"/>
  <c r="H6867" i="10"/>
  <c r="G6868" i="10"/>
  <c r="H6868" i="10"/>
  <c r="G6869" i="10"/>
  <c r="H6869" i="10"/>
  <c r="G6870" i="10"/>
  <c r="H6870" i="10"/>
  <c r="G6871" i="10"/>
  <c r="H6871" i="10"/>
  <c r="G6872" i="10"/>
  <c r="H6872" i="10"/>
  <c r="G6873" i="10"/>
  <c r="H6873" i="10"/>
  <c r="G6874" i="10"/>
  <c r="H6874" i="10"/>
  <c r="G6875" i="10"/>
  <c r="H6875" i="10"/>
  <c r="G6876" i="10"/>
  <c r="H6876" i="10"/>
  <c r="G6877" i="10"/>
  <c r="H6877" i="10"/>
  <c r="G6878" i="10"/>
  <c r="H6878" i="10"/>
  <c r="G6879" i="10"/>
  <c r="H6879" i="10"/>
  <c r="G6880" i="10"/>
  <c r="H6880" i="10"/>
  <c r="G6881" i="10"/>
  <c r="H6881" i="10"/>
  <c r="G6882" i="10"/>
  <c r="H6882" i="10"/>
  <c r="G6883" i="10"/>
  <c r="H6883" i="10"/>
  <c r="G6884" i="10"/>
  <c r="H6884" i="10"/>
  <c r="G6885" i="10"/>
  <c r="H6885" i="10"/>
  <c r="G6886" i="10"/>
  <c r="H6886" i="10"/>
  <c r="G6887" i="10"/>
  <c r="H6887" i="10"/>
  <c r="G6888" i="10"/>
  <c r="H6888" i="10"/>
  <c r="G6889" i="10"/>
  <c r="H6889" i="10"/>
  <c r="G6890" i="10"/>
  <c r="H6890" i="10"/>
  <c r="G6891" i="10"/>
  <c r="H6891" i="10"/>
  <c r="G6892" i="10"/>
  <c r="H6892" i="10"/>
  <c r="G6893" i="10"/>
  <c r="H6893" i="10"/>
  <c r="G6894" i="10"/>
  <c r="H6894" i="10"/>
  <c r="G6895" i="10"/>
  <c r="H6895" i="10"/>
  <c r="G6896" i="10"/>
  <c r="H6896" i="10"/>
  <c r="G6897" i="10"/>
  <c r="H6897" i="10"/>
  <c r="G6898" i="10"/>
  <c r="H6898" i="10"/>
  <c r="G6899" i="10"/>
  <c r="H6899" i="10"/>
  <c r="G6900" i="10"/>
  <c r="H6900" i="10"/>
  <c r="G6901" i="10"/>
  <c r="H6901" i="10"/>
  <c r="G6902" i="10"/>
  <c r="H6902" i="10"/>
  <c r="G6903" i="10"/>
  <c r="H6903" i="10"/>
  <c r="G6904" i="10"/>
  <c r="H6904" i="10"/>
  <c r="G6905" i="10"/>
  <c r="H6905" i="10"/>
  <c r="G6906" i="10"/>
  <c r="H6906" i="10"/>
  <c r="G6907" i="10"/>
  <c r="H6907" i="10"/>
  <c r="G6908" i="10"/>
  <c r="H6908" i="10"/>
  <c r="G6909" i="10"/>
  <c r="H6909" i="10"/>
  <c r="G6910" i="10"/>
  <c r="H6910" i="10"/>
  <c r="G6911" i="10"/>
  <c r="H6911" i="10"/>
  <c r="G6912" i="10"/>
  <c r="H6912" i="10"/>
  <c r="G6913" i="10"/>
  <c r="H6913" i="10"/>
  <c r="G6914" i="10"/>
  <c r="H6914" i="10"/>
  <c r="G6915" i="10"/>
  <c r="H6915" i="10"/>
  <c r="G6916" i="10"/>
  <c r="H6916" i="10"/>
  <c r="G6917" i="10"/>
  <c r="H6917" i="10"/>
  <c r="G6918" i="10"/>
  <c r="H6918" i="10"/>
  <c r="G6919" i="10"/>
  <c r="H6919" i="10"/>
  <c r="G6920" i="10"/>
  <c r="H6920" i="10"/>
  <c r="G6921" i="10"/>
  <c r="H6921" i="10"/>
  <c r="G6922" i="10"/>
  <c r="H6922" i="10"/>
  <c r="G6923" i="10"/>
  <c r="H6923" i="10"/>
  <c r="G6924" i="10"/>
  <c r="H6924" i="10"/>
  <c r="G6925" i="10"/>
  <c r="H6925" i="10"/>
  <c r="G6926" i="10"/>
  <c r="H6926" i="10"/>
  <c r="G6927" i="10"/>
  <c r="H6927" i="10"/>
  <c r="G6928" i="10"/>
  <c r="H6928" i="10"/>
  <c r="G6929" i="10"/>
  <c r="H6929" i="10"/>
  <c r="G6930" i="10"/>
  <c r="H6930" i="10"/>
  <c r="G6931" i="10"/>
  <c r="H6931" i="10"/>
  <c r="G6932" i="10"/>
  <c r="H6932" i="10"/>
  <c r="G6933" i="10"/>
  <c r="H6933" i="10"/>
  <c r="G6934" i="10"/>
  <c r="H6934" i="10"/>
  <c r="G6935" i="10"/>
  <c r="H6935" i="10"/>
  <c r="G6936" i="10"/>
  <c r="H6936" i="10"/>
  <c r="G6937" i="10"/>
  <c r="H6937" i="10"/>
  <c r="G6938" i="10"/>
  <c r="H6938" i="10"/>
  <c r="G6939" i="10"/>
  <c r="H6939" i="10"/>
  <c r="G6940" i="10"/>
  <c r="H6940" i="10"/>
  <c r="G6941" i="10"/>
  <c r="H6941" i="10"/>
  <c r="G6942" i="10"/>
  <c r="H6942" i="10"/>
  <c r="G6943" i="10"/>
  <c r="H6943" i="10"/>
  <c r="G6944" i="10"/>
  <c r="H6944" i="10"/>
  <c r="G6945" i="10"/>
  <c r="H6945" i="10"/>
  <c r="G6946" i="10"/>
  <c r="H6946" i="10"/>
  <c r="G6947" i="10"/>
  <c r="H6947" i="10"/>
  <c r="G6948" i="10"/>
  <c r="H6948" i="10"/>
  <c r="G6949" i="10"/>
  <c r="H6949" i="10"/>
  <c r="G6950" i="10"/>
  <c r="H6950" i="10"/>
  <c r="G6951" i="10"/>
  <c r="H6951" i="10"/>
  <c r="G6952" i="10"/>
  <c r="H6952" i="10"/>
  <c r="G6953" i="10"/>
  <c r="H6953" i="10"/>
  <c r="G6954" i="10"/>
  <c r="H6954" i="10"/>
  <c r="G6955" i="10"/>
  <c r="H6955" i="10"/>
  <c r="G6956" i="10"/>
  <c r="H6956" i="10"/>
  <c r="G6957" i="10"/>
  <c r="H6957" i="10"/>
  <c r="G6958" i="10"/>
  <c r="H6958" i="10"/>
  <c r="G6959" i="10"/>
  <c r="H6959" i="10"/>
  <c r="G6960" i="10"/>
  <c r="H6960" i="10"/>
  <c r="G6961" i="10"/>
  <c r="H6961" i="10"/>
  <c r="G6962" i="10"/>
  <c r="H6962" i="10"/>
  <c r="G6963" i="10"/>
  <c r="H6963" i="10"/>
  <c r="G6964" i="10"/>
  <c r="H6964" i="10"/>
  <c r="G6965" i="10"/>
  <c r="H6965" i="10"/>
  <c r="G6966" i="10"/>
  <c r="H6966" i="10"/>
  <c r="G6967" i="10"/>
  <c r="H6967" i="10"/>
  <c r="G6968" i="10"/>
  <c r="H6968" i="10"/>
  <c r="G6969" i="10"/>
  <c r="H6969" i="10"/>
  <c r="G6970" i="10"/>
  <c r="H6970" i="10"/>
  <c r="G6971" i="10"/>
  <c r="H6971" i="10"/>
  <c r="G6972" i="10"/>
  <c r="H6972" i="10"/>
  <c r="G6973" i="10"/>
  <c r="H6973" i="10"/>
  <c r="G6974" i="10"/>
  <c r="H6974" i="10"/>
  <c r="G6975" i="10"/>
  <c r="H6975" i="10"/>
  <c r="G6976" i="10"/>
  <c r="H6976" i="10"/>
  <c r="G6977" i="10"/>
  <c r="H6977" i="10"/>
  <c r="G6978" i="10"/>
  <c r="H6978" i="10"/>
  <c r="G6979" i="10"/>
  <c r="H6979" i="10"/>
  <c r="G6980" i="10"/>
  <c r="H6980" i="10"/>
  <c r="G6981" i="10"/>
  <c r="H6981" i="10"/>
  <c r="G6982" i="10"/>
  <c r="H6982" i="10"/>
  <c r="G6983" i="10"/>
  <c r="H6983" i="10"/>
  <c r="G6984" i="10"/>
  <c r="H6984" i="10"/>
  <c r="G6985" i="10"/>
  <c r="H6985" i="10"/>
  <c r="G6986" i="10"/>
  <c r="H6986" i="10"/>
  <c r="G6987" i="10"/>
  <c r="H6987" i="10"/>
  <c r="G6988" i="10"/>
  <c r="H6988" i="10"/>
  <c r="G6989" i="10"/>
  <c r="H6989" i="10"/>
  <c r="G6990" i="10"/>
  <c r="H6990" i="10"/>
  <c r="G6991" i="10"/>
  <c r="H6991" i="10"/>
  <c r="G6992" i="10"/>
  <c r="H6992" i="10"/>
  <c r="G6993" i="10"/>
  <c r="H6993" i="10"/>
  <c r="G6994" i="10"/>
  <c r="H6994" i="10"/>
  <c r="G6995" i="10"/>
  <c r="H6995" i="10"/>
  <c r="G6996" i="10"/>
  <c r="H6996" i="10"/>
  <c r="G6997" i="10"/>
  <c r="H6997" i="10"/>
  <c r="G6998" i="10"/>
  <c r="H6998" i="10"/>
  <c r="G6999" i="10"/>
  <c r="H6999" i="10"/>
  <c r="G7000" i="10"/>
  <c r="H7000" i="10"/>
  <c r="G7001" i="10"/>
  <c r="H7001" i="10"/>
  <c r="G7002" i="10"/>
  <c r="H7002" i="10"/>
  <c r="G7003" i="10"/>
  <c r="H7003" i="10"/>
  <c r="G7004" i="10"/>
  <c r="H7004" i="10"/>
  <c r="G7005" i="10"/>
  <c r="H7005" i="10"/>
  <c r="G7006" i="10"/>
  <c r="H7006" i="10"/>
  <c r="G7007" i="10"/>
  <c r="H7007" i="10"/>
  <c r="G7008" i="10"/>
  <c r="H7008" i="10"/>
  <c r="G7009" i="10"/>
  <c r="H7009" i="10"/>
  <c r="G7010" i="10"/>
  <c r="H7010" i="10"/>
  <c r="G7011" i="10"/>
  <c r="H7011" i="10"/>
  <c r="G7012" i="10"/>
  <c r="H7012" i="10"/>
  <c r="G7013" i="10"/>
  <c r="H7013" i="10"/>
  <c r="G7014" i="10"/>
  <c r="H7014" i="10"/>
  <c r="G7015" i="10"/>
  <c r="H7015" i="10"/>
  <c r="G7016" i="10"/>
  <c r="H7016" i="10"/>
  <c r="G7017" i="10"/>
  <c r="H7017" i="10"/>
  <c r="G7018" i="10"/>
  <c r="H7018" i="10"/>
  <c r="G7019" i="10"/>
  <c r="H7019" i="10"/>
  <c r="G7020" i="10"/>
  <c r="H7020" i="10"/>
  <c r="G7021" i="10"/>
  <c r="H7021" i="10"/>
  <c r="G7022" i="10"/>
  <c r="H7022" i="10"/>
  <c r="G7023" i="10"/>
  <c r="H7023" i="10"/>
  <c r="G7024" i="10"/>
  <c r="H7024" i="10"/>
  <c r="G7025" i="10"/>
  <c r="H7025" i="10"/>
  <c r="G7026" i="10"/>
  <c r="H7026" i="10"/>
  <c r="G7027" i="10"/>
  <c r="H7027" i="10"/>
  <c r="G7028" i="10"/>
  <c r="H7028" i="10"/>
  <c r="G7029" i="10"/>
  <c r="H7029" i="10"/>
  <c r="G7030" i="10"/>
  <c r="H7030" i="10"/>
  <c r="G7031" i="10"/>
  <c r="H7031" i="10"/>
  <c r="G7032" i="10"/>
  <c r="H7032" i="10"/>
  <c r="G7033" i="10"/>
  <c r="H7033" i="10"/>
  <c r="G7034" i="10"/>
  <c r="H7034" i="10"/>
  <c r="G7035" i="10"/>
  <c r="H7035" i="10"/>
  <c r="G7036" i="10"/>
  <c r="H7036" i="10"/>
  <c r="G7037" i="10"/>
  <c r="H7037" i="10"/>
  <c r="G7038" i="10"/>
  <c r="H7038" i="10"/>
  <c r="G7039" i="10"/>
  <c r="H7039" i="10"/>
  <c r="G7040" i="10"/>
  <c r="H7040" i="10"/>
  <c r="G7041" i="10"/>
  <c r="H7041" i="10"/>
  <c r="G7042" i="10"/>
  <c r="H7042" i="10"/>
  <c r="G7043" i="10"/>
  <c r="H7043" i="10"/>
  <c r="G7044" i="10"/>
  <c r="H7044" i="10"/>
  <c r="G7045" i="10"/>
  <c r="H7045" i="10"/>
  <c r="G7046" i="10"/>
  <c r="H7046" i="10"/>
  <c r="G7047" i="10"/>
  <c r="H7047" i="10"/>
  <c r="G7048" i="10"/>
  <c r="H7048" i="10"/>
  <c r="G7049" i="10"/>
  <c r="H7049" i="10"/>
  <c r="G7050" i="10"/>
  <c r="H7050" i="10"/>
  <c r="G7051" i="10"/>
  <c r="H7051" i="10"/>
  <c r="G7052" i="10"/>
  <c r="H7052" i="10"/>
  <c r="G7053" i="10"/>
  <c r="H7053" i="10"/>
  <c r="G7054" i="10"/>
  <c r="H7054" i="10"/>
  <c r="G7055" i="10"/>
  <c r="H7055" i="10"/>
  <c r="G7056" i="10"/>
  <c r="H7056" i="10"/>
  <c r="G7057" i="10"/>
  <c r="H7057" i="10"/>
  <c r="G7058" i="10"/>
  <c r="H7058" i="10"/>
  <c r="G7059" i="10"/>
  <c r="H7059" i="10"/>
  <c r="G7060" i="10"/>
  <c r="H7060" i="10"/>
  <c r="G7061" i="10"/>
  <c r="H7061" i="10"/>
  <c r="G7062" i="10"/>
  <c r="H7062" i="10"/>
  <c r="G7063" i="10"/>
  <c r="H7063" i="10"/>
  <c r="G7064" i="10"/>
  <c r="H7064" i="10"/>
  <c r="G7065" i="10"/>
  <c r="H7065" i="10"/>
  <c r="G7066" i="10"/>
  <c r="H7066" i="10"/>
  <c r="G7067" i="10"/>
  <c r="H7067" i="10"/>
  <c r="G7068" i="10"/>
  <c r="H7068" i="10"/>
  <c r="G7069" i="10"/>
  <c r="H7069" i="10"/>
  <c r="G7070" i="10"/>
  <c r="H7070" i="10"/>
  <c r="G7071" i="10"/>
  <c r="H7071" i="10"/>
  <c r="G7072" i="10"/>
  <c r="H7072" i="10"/>
  <c r="G7073" i="10"/>
  <c r="H7073" i="10"/>
  <c r="G7074" i="10"/>
  <c r="H7074" i="10"/>
  <c r="G7075" i="10"/>
  <c r="H7075" i="10"/>
  <c r="G7076" i="10"/>
  <c r="H7076" i="10"/>
  <c r="G7077" i="10"/>
  <c r="H7077" i="10"/>
  <c r="G7078" i="10"/>
  <c r="H7078" i="10"/>
  <c r="G7079" i="10"/>
  <c r="H7079" i="10"/>
  <c r="G7080" i="10"/>
  <c r="H7080" i="10"/>
  <c r="G7081" i="10"/>
  <c r="H7081" i="10"/>
  <c r="G7082" i="10"/>
  <c r="H7082" i="10"/>
  <c r="G7083" i="10"/>
  <c r="H7083" i="10"/>
  <c r="G7084" i="10"/>
  <c r="H7084" i="10"/>
  <c r="G7085" i="10"/>
  <c r="H7085" i="10"/>
  <c r="G7086" i="10"/>
  <c r="H7086" i="10"/>
  <c r="G7087" i="10"/>
  <c r="H7087" i="10"/>
  <c r="G7088" i="10"/>
  <c r="H7088" i="10"/>
  <c r="G7089" i="10"/>
  <c r="H7089" i="10"/>
  <c r="G7090" i="10"/>
  <c r="H7090" i="10"/>
  <c r="G7091" i="10"/>
  <c r="H7091" i="10"/>
  <c r="G7092" i="10"/>
  <c r="H7092" i="10"/>
  <c r="G7093" i="10"/>
  <c r="H7093" i="10"/>
  <c r="G7094" i="10"/>
  <c r="H7094" i="10"/>
  <c r="G7095" i="10"/>
  <c r="H7095" i="10"/>
  <c r="G7096" i="10"/>
  <c r="H7096" i="10"/>
  <c r="G7097" i="10"/>
  <c r="H7097" i="10"/>
  <c r="G7098" i="10"/>
  <c r="H7098" i="10"/>
  <c r="G7099" i="10"/>
  <c r="H7099" i="10"/>
  <c r="G7100" i="10"/>
  <c r="H7100" i="10"/>
  <c r="G7101" i="10"/>
  <c r="H7101" i="10"/>
  <c r="G7102" i="10"/>
  <c r="H7102" i="10"/>
  <c r="G7103" i="10"/>
  <c r="H7103" i="10"/>
  <c r="G7104" i="10"/>
  <c r="H7104" i="10"/>
  <c r="G7105" i="10"/>
  <c r="H7105" i="10"/>
  <c r="G7106" i="10"/>
  <c r="H7106" i="10"/>
  <c r="G7107" i="10"/>
  <c r="H7107" i="10"/>
  <c r="G7108" i="10"/>
  <c r="H7108" i="10"/>
  <c r="G7109" i="10"/>
  <c r="H7109" i="10"/>
  <c r="G7110" i="10"/>
  <c r="H7110" i="10"/>
  <c r="G7111" i="10"/>
  <c r="H7111" i="10"/>
  <c r="G7112" i="10"/>
  <c r="H7112" i="10"/>
  <c r="G7113" i="10"/>
  <c r="H7113" i="10"/>
  <c r="G7114" i="10"/>
  <c r="H7114" i="10"/>
  <c r="G7115" i="10"/>
  <c r="H7115" i="10"/>
  <c r="G7116" i="10"/>
  <c r="H7116" i="10"/>
  <c r="G7117" i="10"/>
  <c r="H7117" i="10"/>
  <c r="G7118" i="10"/>
  <c r="H7118" i="10"/>
  <c r="G7119" i="10"/>
  <c r="H7119" i="10"/>
  <c r="G7120" i="10"/>
  <c r="H7120" i="10"/>
  <c r="G7121" i="10"/>
  <c r="H7121" i="10"/>
  <c r="G7122" i="10"/>
  <c r="H7122" i="10"/>
  <c r="G7123" i="10"/>
  <c r="H7123" i="10"/>
  <c r="G7124" i="10"/>
  <c r="H7124" i="10"/>
  <c r="G7125" i="10"/>
  <c r="H7125" i="10"/>
  <c r="G7126" i="10"/>
  <c r="H7126" i="10"/>
  <c r="G7127" i="10"/>
  <c r="H7127" i="10"/>
  <c r="G7128" i="10"/>
  <c r="H7128" i="10"/>
  <c r="G7129" i="10"/>
  <c r="H7129" i="10"/>
  <c r="G7130" i="10"/>
  <c r="H7130" i="10"/>
  <c r="G7131" i="10"/>
  <c r="H7131" i="10"/>
  <c r="G7132" i="10"/>
  <c r="H7132" i="10"/>
  <c r="G7133" i="10"/>
  <c r="H7133" i="10"/>
  <c r="G7134" i="10"/>
  <c r="H7134" i="10"/>
  <c r="G7135" i="10"/>
  <c r="H7135" i="10"/>
  <c r="G7136" i="10"/>
  <c r="H7136" i="10"/>
  <c r="G7137" i="10"/>
  <c r="H7137" i="10"/>
  <c r="G7138" i="10"/>
  <c r="H7138" i="10"/>
  <c r="G7139" i="10"/>
  <c r="H7139" i="10"/>
  <c r="G7140" i="10"/>
  <c r="H7140" i="10"/>
  <c r="G7141" i="10"/>
  <c r="H7141" i="10"/>
  <c r="G7142" i="10"/>
  <c r="H7142" i="10"/>
  <c r="G7143" i="10"/>
  <c r="H7143" i="10"/>
  <c r="G7144" i="10"/>
  <c r="H7144" i="10"/>
  <c r="G7145" i="10"/>
  <c r="H7145" i="10"/>
  <c r="G7146" i="10"/>
  <c r="H7146" i="10"/>
  <c r="G7147" i="10"/>
  <c r="H7147" i="10"/>
  <c r="G7148" i="10"/>
  <c r="H7148" i="10"/>
  <c r="G7149" i="10"/>
  <c r="H7149" i="10"/>
  <c r="G7150" i="10"/>
  <c r="H7150" i="10"/>
  <c r="G7151" i="10"/>
  <c r="H7151" i="10"/>
  <c r="G7152" i="10"/>
  <c r="H7152" i="10"/>
  <c r="G7153" i="10"/>
  <c r="H7153" i="10"/>
  <c r="G7154" i="10"/>
  <c r="H7154" i="10"/>
  <c r="G7155" i="10"/>
  <c r="H7155" i="10"/>
  <c r="G7156" i="10"/>
  <c r="H7156" i="10"/>
  <c r="G7157" i="10"/>
  <c r="H7157" i="10"/>
  <c r="G7158" i="10"/>
  <c r="H7158" i="10"/>
  <c r="G7159" i="10"/>
  <c r="H7159" i="10"/>
  <c r="G7160" i="10"/>
  <c r="H7160" i="10"/>
  <c r="G7161" i="10"/>
  <c r="H7161" i="10"/>
  <c r="G7162" i="10"/>
  <c r="H7162" i="10"/>
  <c r="G7163" i="10"/>
  <c r="H7163" i="10"/>
  <c r="G7164" i="10"/>
  <c r="H7164" i="10"/>
  <c r="G7165" i="10"/>
  <c r="H7165" i="10"/>
  <c r="G7166" i="10"/>
  <c r="H7166" i="10"/>
  <c r="G7167" i="10"/>
  <c r="H7167" i="10"/>
  <c r="G7168" i="10"/>
  <c r="H7168" i="10"/>
  <c r="G7169" i="10"/>
  <c r="H7169" i="10"/>
  <c r="G7170" i="10"/>
  <c r="H7170" i="10"/>
  <c r="G7171" i="10"/>
  <c r="H7171" i="10"/>
  <c r="G7172" i="10"/>
  <c r="H7172" i="10"/>
  <c r="G7173" i="10"/>
  <c r="H7173" i="10"/>
  <c r="G7174" i="10"/>
  <c r="H7174" i="10"/>
  <c r="G7175" i="10"/>
  <c r="H7175" i="10"/>
  <c r="G7176" i="10"/>
  <c r="H7176" i="10"/>
  <c r="G7177" i="10"/>
  <c r="H7177" i="10"/>
  <c r="G7178" i="10"/>
  <c r="H7178" i="10"/>
  <c r="G7179" i="10"/>
  <c r="H7179" i="10"/>
  <c r="G7180" i="10"/>
  <c r="H7180" i="10"/>
  <c r="G7181" i="10"/>
  <c r="H7181" i="10"/>
  <c r="G7182" i="10"/>
  <c r="H7182" i="10"/>
  <c r="G7183" i="10"/>
  <c r="H7183" i="10"/>
  <c r="G7184" i="10"/>
  <c r="H7184" i="10"/>
  <c r="G7185" i="10"/>
  <c r="H7185" i="10"/>
  <c r="G7186" i="10"/>
  <c r="H7186" i="10"/>
  <c r="G7187" i="10"/>
  <c r="H7187" i="10"/>
  <c r="G7188" i="10"/>
  <c r="H7188" i="10"/>
  <c r="G7189" i="10"/>
  <c r="H7189" i="10"/>
  <c r="G7190" i="10"/>
  <c r="H7190" i="10"/>
  <c r="G7191" i="10"/>
  <c r="H7191" i="10"/>
  <c r="G7192" i="10"/>
  <c r="H7192" i="10"/>
  <c r="G7193" i="10"/>
  <c r="H7193" i="10"/>
  <c r="G7194" i="10"/>
  <c r="H7194" i="10"/>
  <c r="G7195" i="10"/>
  <c r="H7195" i="10"/>
  <c r="G7196" i="10"/>
  <c r="H7196" i="10"/>
  <c r="G7197" i="10"/>
  <c r="H7197" i="10"/>
  <c r="G7198" i="10"/>
  <c r="H7198" i="10"/>
  <c r="G7199" i="10"/>
  <c r="H7199" i="10"/>
  <c r="G7200" i="10"/>
  <c r="H7200" i="10"/>
  <c r="G7201" i="10"/>
  <c r="H7201" i="10"/>
  <c r="G7202" i="10"/>
  <c r="H7202" i="10"/>
  <c r="G7203" i="10"/>
  <c r="H7203" i="10"/>
  <c r="G7204" i="10"/>
  <c r="H7204" i="10"/>
  <c r="G7205" i="10"/>
  <c r="H7205" i="10"/>
  <c r="G7206" i="10"/>
  <c r="H7206" i="10"/>
  <c r="G7207" i="10"/>
  <c r="H7207" i="10"/>
  <c r="G7208" i="10"/>
  <c r="H7208" i="10"/>
  <c r="G7209" i="10"/>
  <c r="H7209" i="10"/>
  <c r="G7210" i="10"/>
  <c r="H7210" i="10"/>
  <c r="G7211" i="10"/>
  <c r="H7211" i="10"/>
  <c r="G7212" i="10"/>
  <c r="H7212" i="10"/>
  <c r="G7213" i="10"/>
  <c r="H7213" i="10"/>
  <c r="G7214" i="10"/>
  <c r="H7214" i="10"/>
  <c r="G7215" i="10"/>
  <c r="H7215" i="10"/>
  <c r="G7216" i="10"/>
  <c r="H7216" i="10"/>
  <c r="G7217" i="10"/>
  <c r="H7217" i="10"/>
  <c r="G7218" i="10"/>
  <c r="H7218" i="10"/>
  <c r="G7219" i="10"/>
  <c r="H7219" i="10"/>
  <c r="G7220" i="10"/>
  <c r="H7220" i="10"/>
  <c r="G7221" i="10"/>
  <c r="H7221" i="10"/>
  <c r="G7222" i="10"/>
  <c r="H7222" i="10"/>
  <c r="G7223" i="10"/>
  <c r="H7223" i="10"/>
  <c r="G7224" i="10"/>
  <c r="H7224" i="10"/>
  <c r="G7225" i="10"/>
  <c r="H7225" i="10"/>
  <c r="G7226" i="10"/>
  <c r="H7226" i="10"/>
  <c r="G7227" i="10"/>
  <c r="H7227" i="10"/>
  <c r="G7228" i="10"/>
  <c r="H7228" i="10"/>
  <c r="G7229" i="10"/>
  <c r="H7229" i="10"/>
  <c r="G7230" i="10"/>
  <c r="H7230" i="10"/>
  <c r="G7231" i="10"/>
  <c r="H7231" i="10"/>
  <c r="G7232" i="10"/>
  <c r="H7232" i="10"/>
  <c r="G7233" i="10"/>
  <c r="H7233" i="10"/>
  <c r="G7234" i="10"/>
  <c r="H7234" i="10"/>
  <c r="G7235" i="10"/>
  <c r="H7235" i="10"/>
  <c r="G7236" i="10"/>
  <c r="H7236" i="10"/>
  <c r="G7237" i="10"/>
  <c r="H7237" i="10"/>
  <c r="G7238" i="10"/>
  <c r="H7238" i="10"/>
  <c r="G7239" i="10"/>
  <c r="H7239" i="10"/>
  <c r="G7240" i="10"/>
  <c r="H7240" i="10"/>
  <c r="G7241" i="10"/>
  <c r="H7241" i="10"/>
  <c r="G7242" i="10"/>
  <c r="H7242" i="10"/>
  <c r="G7243" i="10"/>
  <c r="H7243" i="10"/>
  <c r="G7244" i="10"/>
  <c r="H7244" i="10"/>
  <c r="G7245" i="10"/>
  <c r="H7245" i="10"/>
  <c r="G7246" i="10"/>
  <c r="H7246" i="10"/>
  <c r="G7247" i="10"/>
  <c r="H7247" i="10"/>
  <c r="G7248" i="10"/>
  <c r="H7248" i="10"/>
  <c r="G7249" i="10"/>
  <c r="H7249" i="10"/>
  <c r="G7250" i="10"/>
  <c r="H7250" i="10"/>
  <c r="G7251" i="10"/>
  <c r="H7251" i="10"/>
  <c r="G7252" i="10"/>
  <c r="H7252" i="10"/>
  <c r="G7253" i="10"/>
  <c r="H7253" i="10"/>
  <c r="G7254" i="10"/>
  <c r="H7254" i="10"/>
  <c r="G7255" i="10"/>
  <c r="H7255" i="10"/>
  <c r="G7256" i="10"/>
  <c r="H7256" i="10"/>
  <c r="G7257" i="10"/>
  <c r="H7257" i="10"/>
  <c r="G7258" i="10"/>
  <c r="H7258" i="10"/>
  <c r="G7259" i="10"/>
  <c r="H7259" i="10"/>
  <c r="G7260" i="10"/>
  <c r="H7260" i="10"/>
  <c r="G7261" i="10"/>
  <c r="H7261" i="10"/>
  <c r="G7262" i="10"/>
  <c r="H7262" i="10"/>
  <c r="G7263" i="10"/>
  <c r="H7263" i="10"/>
  <c r="G7264" i="10"/>
  <c r="H7264" i="10"/>
  <c r="G7265" i="10"/>
  <c r="H7265" i="10"/>
  <c r="G7266" i="10"/>
  <c r="H7266" i="10"/>
  <c r="G7267" i="10"/>
  <c r="H7267" i="10"/>
  <c r="G7268" i="10"/>
  <c r="H7268" i="10"/>
  <c r="G7269" i="10"/>
  <c r="H7269" i="10"/>
  <c r="G7270" i="10"/>
  <c r="H7270" i="10"/>
  <c r="G7271" i="10"/>
  <c r="H7271" i="10"/>
  <c r="G7272" i="10"/>
  <c r="H7272" i="10"/>
  <c r="G7273" i="10"/>
  <c r="H7273" i="10"/>
  <c r="G7274" i="10"/>
  <c r="H7274" i="10"/>
  <c r="G7275" i="10"/>
  <c r="H7275" i="10"/>
  <c r="G7276" i="10"/>
  <c r="H7276" i="10"/>
  <c r="G7277" i="10"/>
  <c r="H7277" i="10"/>
  <c r="G7278" i="10"/>
  <c r="H7278" i="10"/>
  <c r="G7279" i="10"/>
  <c r="H7279" i="10"/>
  <c r="G7280" i="10"/>
  <c r="H7280" i="10"/>
  <c r="G7281" i="10"/>
  <c r="H7281" i="10"/>
  <c r="G7282" i="10"/>
  <c r="H7282" i="10"/>
  <c r="G7283" i="10"/>
  <c r="H7283" i="10"/>
  <c r="G7284" i="10"/>
  <c r="H7284" i="10"/>
  <c r="G7285" i="10"/>
  <c r="H7285" i="10"/>
  <c r="G7286" i="10"/>
  <c r="H7286" i="10"/>
  <c r="G7287" i="10"/>
  <c r="H7287" i="10"/>
  <c r="G7288" i="10"/>
  <c r="H7288" i="10"/>
  <c r="G7289" i="10"/>
  <c r="H7289" i="10"/>
  <c r="G7290" i="10"/>
  <c r="H7290" i="10"/>
  <c r="G7291" i="10"/>
  <c r="H7291" i="10"/>
  <c r="G7292" i="10"/>
  <c r="H7292" i="10"/>
  <c r="G7293" i="10"/>
  <c r="H7293" i="10"/>
  <c r="G7294" i="10"/>
  <c r="H7294" i="10"/>
  <c r="G7295" i="10"/>
  <c r="H7295" i="10"/>
  <c r="G7296" i="10"/>
  <c r="H7296" i="10"/>
  <c r="G7297" i="10"/>
  <c r="H7297" i="10"/>
  <c r="G7298" i="10"/>
  <c r="H7298" i="10"/>
  <c r="G7299" i="10"/>
  <c r="H7299" i="10"/>
  <c r="G7300" i="10"/>
  <c r="H7300" i="10"/>
  <c r="G7301" i="10"/>
  <c r="H7301" i="10"/>
  <c r="G7302" i="10"/>
  <c r="H7302" i="10"/>
  <c r="G7303" i="10"/>
  <c r="H7303" i="10"/>
  <c r="G7304" i="10"/>
  <c r="H7304" i="10"/>
  <c r="G7305" i="10"/>
  <c r="H7305" i="10"/>
  <c r="G7306" i="10"/>
  <c r="H7306" i="10"/>
  <c r="G7307" i="10"/>
  <c r="H7307" i="10"/>
  <c r="G7308" i="10"/>
  <c r="H7308" i="10"/>
  <c r="G7309" i="10"/>
  <c r="H7309" i="10"/>
  <c r="G7310" i="10"/>
  <c r="H7310" i="10"/>
  <c r="G7311" i="10"/>
  <c r="H7311" i="10"/>
  <c r="G7312" i="10"/>
  <c r="H7312" i="10"/>
  <c r="G7313" i="10"/>
  <c r="H7313" i="10"/>
  <c r="G7314" i="10"/>
  <c r="H7314" i="10"/>
  <c r="G7315" i="10"/>
  <c r="H7315" i="10"/>
  <c r="G7316" i="10"/>
  <c r="H7316" i="10"/>
  <c r="G7317" i="10"/>
  <c r="H7317" i="10"/>
  <c r="G7318" i="10"/>
  <c r="H7318" i="10"/>
  <c r="G7319" i="10"/>
  <c r="H7319" i="10"/>
  <c r="G7320" i="10"/>
  <c r="H7320" i="10"/>
  <c r="G7321" i="10"/>
  <c r="H7321" i="10"/>
  <c r="G7322" i="10"/>
  <c r="H7322" i="10"/>
  <c r="G7323" i="10"/>
  <c r="H7323" i="10"/>
  <c r="G7324" i="10"/>
  <c r="H7324" i="10"/>
  <c r="G7325" i="10"/>
  <c r="H7325" i="10"/>
  <c r="G7326" i="10"/>
  <c r="H7326" i="10"/>
  <c r="G7327" i="10"/>
  <c r="H7327" i="10"/>
  <c r="G7328" i="10"/>
  <c r="H7328" i="10"/>
  <c r="G7329" i="10"/>
  <c r="H7329" i="10"/>
  <c r="G7330" i="10"/>
  <c r="H7330" i="10"/>
  <c r="G7331" i="10"/>
  <c r="H7331" i="10"/>
  <c r="G7332" i="10"/>
  <c r="H7332" i="10"/>
  <c r="G7333" i="10"/>
  <c r="H7333" i="10"/>
  <c r="G7334" i="10"/>
  <c r="H7334" i="10"/>
  <c r="G7335" i="10"/>
  <c r="H7335" i="10"/>
  <c r="G7336" i="10"/>
  <c r="H7336" i="10"/>
  <c r="G7337" i="10"/>
  <c r="H7337" i="10"/>
  <c r="G7338" i="10"/>
  <c r="H7338" i="10"/>
  <c r="G7339" i="10"/>
  <c r="H7339" i="10"/>
  <c r="G7340" i="10"/>
  <c r="H7340" i="10"/>
  <c r="G7341" i="10"/>
  <c r="H7341" i="10"/>
  <c r="G7342" i="10"/>
  <c r="H7342" i="10"/>
  <c r="G7343" i="10"/>
  <c r="H7343" i="10"/>
  <c r="G7344" i="10"/>
  <c r="H7344" i="10"/>
  <c r="G7345" i="10"/>
  <c r="H7345" i="10"/>
  <c r="G7346" i="10"/>
  <c r="H7346" i="10"/>
  <c r="G7347" i="10"/>
  <c r="H7347" i="10"/>
  <c r="G7348" i="10"/>
  <c r="H7348" i="10"/>
  <c r="G7349" i="10"/>
  <c r="H7349" i="10"/>
  <c r="G7350" i="10"/>
  <c r="H7350" i="10"/>
  <c r="G7351" i="10"/>
  <c r="H7351" i="10"/>
  <c r="G7352" i="10"/>
  <c r="H7352" i="10"/>
  <c r="G7353" i="10"/>
  <c r="H7353" i="10"/>
  <c r="G7354" i="10"/>
  <c r="H7354" i="10"/>
  <c r="G7355" i="10"/>
  <c r="H7355" i="10"/>
  <c r="G7356" i="10"/>
  <c r="H7356" i="10"/>
  <c r="G7357" i="10"/>
  <c r="H7357" i="10"/>
  <c r="G7358" i="10"/>
  <c r="H7358" i="10"/>
  <c r="G7359" i="10"/>
  <c r="H7359" i="10"/>
  <c r="G7360" i="10"/>
  <c r="H7360" i="10"/>
  <c r="G7361" i="10"/>
  <c r="H7361" i="10"/>
  <c r="G7362" i="10"/>
  <c r="H7362" i="10"/>
  <c r="G7363" i="10"/>
  <c r="H7363" i="10"/>
  <c r="G7364" i="10"/>
  <c r="H7364" i="10"/>
  <c r="G7365" i="10"/>
  <c r="H7365" i="10"/>
  <c r="G7366" i="10"/>
  <c r="H7366" i="10"/>
  <c r="G7367" i="10"/>
  <c r="H7367" i="10"/>
  <c r="G7368" i="10"/>
  <c r="H7368" i="10"/>
  <c r="G7369" i="10"/>
  <c r="H7369" i="10"/>
  <c r="G7370" i="10"/>
  <c r="H7370" i="10"/>
  <c r="G7371" i="10"/>
  <c r="H7371" i="10"/>
  <c r="G7372" i="10"/>
  <c r="H7372" i="10"/>
  <c r="G7373" i="10"/>
  <c r="H7373" i="10"/>
  <c r="G7374" i="10"/>
  <c r="H7374" i="10"/>
  <c r="G7375" i="10"/>
  <c r="H7375" i="10"/>
  <c r="G7376" i="10"/>
  <c r="H7376" i="10"/>
  <c r="G7377" i="10"/>
  <c r="H7377" i="10"/>
  <c r="G7378" i="10"/>
  <c r="H7378" i="10"/>
  <c r="G7379" i="10"/>
  <c r="H7379" i="10"/>
  <c r="G7380" i="10"/>
  <c r="H7380" i="10"/>
  <c r="G7381" i="10"/>
  <c r="H7381" i="10"/>
  <c r="G7382" i="10"/>
  <c r="H7382" i="10"/>
  <c r="G7383" i="10"/>
  <c r="H7383" i="10"/>
  <c r="G7384" i="10"/>
  <c r="H7384" i="10"/>
  <c r="G7385" i="10"/>
  <c r="H7385" i="10"/>
  <c r="G7386" i="10"/>
  <c r="H7386" i="10"/>
  <c r="G7387" i="10"/>
  <c r="H7387" i="10"/>
  <c r="G7388" i="10"/>
  <c r="H7388" i="10"/>
  <c r="G7389" i="10"/>
  <c r="H7389" i="10"/>
  <c r="G7390" i="10"/>
  <c r="H7390" i="10"/>
  <c r="G7391" i="10"/>
  <c r="H7391" i="10"/>
  <c r="G7392" i="10"/>
  <c r="H7392" i="10"/>
  <c r="G7393" i="10"/>
  <c r="H7393" i="10"/>
  <c r="G7394" i="10"/>
  <c r="H7394" i="10"/>
  <c r="G7395" i="10"/>
  <c r="H7395" i="10"/>
  <c r="G7396" i="10"/>
  <c r="H7396" i="10"/>
  <c r="G7397" i="10"/>
  <c r="H7397" i="10"/>
  <c r="G7398" i="10"/>
  <c r="H7398" i="10"/>
  <c r="G7399" i="10"/>
  <c r="H7399" i="10"/>
  <c r="G7400" i="10"/>
  <c r="H7400" i="10"/>
  <c r="G7401" i="10"/>
  <c r="H7401" i="10"/>
  <c r="G7402" i="10"/>
  <c r="H7402" i="10"/>
  <c r="G7403" i="10"/>
  <c r="H7403" i="10"/>
  <c r="G7404" i="10"/>
  <c r="H7404" i="10"/>
  <c r="G7405" i="10"/>
  <c r="H7405" i="10"/>
  <c r="G7406" i="10"/>
  <c r="H7406" i="10"/>
  <c r="G7407" i="10"/>
  <c r="H7407" i="10"/>
  <c r="G7408" i="10"/>
  <c r="H7408" i="10"/>
  <c r="G7409" i="10"/>
  <c r="H7409" i="10"/>
  <c r="G7410" i="10"/>
  <c r="H7410" i="10"/>
  <c r="G7411" i="10"/>
  <c r="H7411" i="10"/>
  <c r="G7412" i="10"/>
  <c r="H7412" i="10"/>
  <c r="G7413" i="10"/>
  <c r="H7413" i="10"/>
  <c r="G7414" i="10"/>
  <c r="H7414" i="10"/>
  <c r="G7415" i="10"/>
  <c r="H7415" i="10"/>
  <c r="G7416" i="10"/>
  <c r="H7416" i="10"/>
  <c r="G7417" i="10"/>
  <c r="H7417" i="10"/>
  <c r="G7418" i="10"/>
  <c r="H7418" i="10"/>
  <c r="G7419" i="10"/>
  <c r="H7419" i="10"/>
  <c r="G7420" i="10"/>
  <c r="H7420" i="10"/>
  <c r="G7421" i="10"/>
  <c r="H7421" i="10"/>
  <c r="G7422" i="10"/>
  <c r="H7422" i="10"/>
  <c r="G7423" i="10"/>
  <c r="H7423" i="10"/>
  <c r="G7424" i="10"/>
  <c r="H7424" i="10"/>
  <c r="G7425" i="10"/>
  <c r="H7425" i="10"/>
  <c r="G7426" i="10"/>
  <c r="H7426" i="10"/>
  <c r="G7427" i="10"/>
  <c r="H7427" i="10"/>
  <c r="G7428" i="10"/>
  <c r="H7428" i="10"/>
  <c r="G7429" i="10"/>
  <c r="H7429" i="10"/>
  <c r="G7430" i="10"/>
  <c r="H7430" i="10"/>
  <c r="G7431" i="10"/>
  <c r="H7431" i="10"/>
  <c r="G7432" i="10"/>
  <c r="H7432" i="10"/>
  <c r="G7433" i="10"/>
  <c r="H7433" i="10"/>
  <c r="G7434" i="10"/>
  <c r="H7434" i="10"/>
  <c r="G7435" i="10"/>
  <c r="H7435" i="10"/>
  <c r="G7436" i="10"/>
  <c r="H7436" i="10"/>
  <c r="G7437" i="10"/>
  <c r="H7437" i="10"/>
  <c r="G7438" i="10"/>
  <c r="H7438" i="10"/>
  <c r="G7439" i="10"/>
  <c r="H7439" i="10"/>
  <c r="G7440" i="10"/>
  <c r="H7440" i="10"/>
  <c r="G7441" i="10"/>
  <c r="H7441" i="10"/>
  <c r="G7442" i="10"/>
  <c r="H7442" i="10"/>
  <c r="G7443" i="10"/>
  <c r="H7443" i="10"/>
  <c r="G7444" i="10"/>
  <c r="H7444" i="10"/>
  <c r="G7445" i="10"/>
  <c r="H7445" i="10"/>
  <c r="G7446" i="10"/>
  <c r="H7446" i="10"/>
  <c r="G7447" i="10"/>
  <c r="H7447" i="10"/>
  <c r="G7448" i="10"/>
  <c r="H7448" i="10"/>
  <c r="G7449" i="10"/>
  <c r="H7449" i="10"/>
  <c r="G7450" i="10"/>
  <c r="H7450" i="10"/>
  <c r="G7451" i="10"/>
  <c r="H7451" i="10"/>
  <c r="G7452" i="10"/>
  <c r="H7452" i="10"/>
  <c r="G7453" i="10"/>
  <c r="H7453" i="10"/>
  <c r="G7454" i="10"/>
  <c r="H7454" i="10"/>
  <c r="G7455" i="10"/>
  <c r="H7455" i="10"/>
  <c r="G7456" i="10"/>
  <c r="H7456" i="10"/>
  <c r="G7457" i="10"/>
  <c r="H7457" i="10"/>
  <c r="G7458" i="10"/>
  <c r="H7458" i="10"/>
  <c r="G7459" i="10"/>
  <c r="H7459" i="10"/>
  <c r="G7460" i="10"/>
  <c r="H7460" i="10"/>
  <c r="G7461" i="10"/>
  <c r="H7461" i="10"/>
  <c r="G7462" i="10"/>
  <c r="H7462" i="10"/>
  <c r="G7463" i="10"/>
  <c r="H7463" i="10"/>
  <c r="G7464" i="10"/>
  <c r="H7464" i="10"/>
  <c r="G7465" i="10"/>
  <c r="H7465" i="10"/>
  <c r="G7466" i="10"/>
  <c r="H7466" i="10"/>
  <c r="G7467" i="10"/>
  <c r="H7467" i="10"/>
  <c r="G7468" i="10"/>
  <c r="H7468" i="10"/>
  <c r="G7469" i="10"/>
  <c r="H7469" i="10"/>
  <c r="G7470" i="10"/>
  <c r="H7470" i="10"/>
  <c r="G7471" i="10"/>
  <c r="H7471" i="10"/>
  <c r="G7472" i="10"/>
  <c r="H7472" i="10"/>
  <c r="G7473" i="10"/>
  <c r="H7473" i="10"/>
  <c r="G7474" i="10"/>
  <c r="H7474" i="10"/>
  <c r="G7475" i="10"/>
  <c r="H7475" i="10"/>
  <c r="G7476" i="10"/>
  <c r="H7476" i="10"/>
  <c r="G7477" i="10"/>
  <c r="H7477" i="10"/>
  <c r="G7478" i="10"/>
  <c r="H7478" i="10"/>
  <c r="G7479" i="10"/>
  <c r="H7479" i="10"/>
  <c r="G7480" i="10"/>
  <c r="H7480" i="10"/>
  <c r="G7481" i="10"/>
  <c r="H7481" i="10"/>
  <c r="G7482" i="10"/>
  <c r="H7482" i="10"/>
  <c r="G7483" i="10"/>
  <c r="H7483" i="10"/>
  <c r="G7484" i="10"/>
  <c r="H7484" i="10"/>
  <c r="G7485" i="10"/>
  <c r="H7485" i="10"/>
  <c r="G7486" i="10"/>
  <c r="H7486" i="10"/>
  <c r="G7487" i="10"/>
  <c r="H7487" i="10"/>
  <c r="G7488" i="10"/>
  <c r="H7488" i="10"/>
  <c r="G7489" i="10"/>
  <c r="H7489" i="10"/>
  <c r="G7490" i="10"/>
  <c r="H7490" i="10"/>
  <c r="G7491" i="10"/>
  <c r="H7491" i="10"/>
  <c r="G7492" i="10"/>
  <c r="H7492" i="10"/>
  <c r="G7493" i="10"/>
  <c r="H7493" i="10"/>
  <c r="G7494" i="10"/>
  <c r="H7494" i="10"/>
  <c r="G7495" i="10"/>
  <c r="H7495" i="10"/>
  <c r="G7496" i="10"/>
  <c r="H7496" i="10"/>
  <c r="G7497" i="10"/>
  <c r="H7497" i="10"/>
  <c r="G7498" i="10"/>
  <c r="H7498" i="10"/>
  <c r="G7499" i="10"/>
  <c r="H7499" i="10"/>
  <c r="G7500" i="10"/>
  <c r="H7500" i="10"/>
  <c r="G7501" i="10"/>
  <c r="H7501" i="10"/>
  <c r="G7502" i="10"/>
  <c r="H7502" i="10"/>
  <c r="G7503" i="10"/>
  <c r="H7503" i="10"/>
  <c r="G7504" i="10"/>
  <c r="H7504" i="10"/>
  <c r="G7505" i="10"/>
  <c r="H7505" i="10"/>
  <c r="G7506" i="10"/>
  <c r="H7506" i="10"/>
  <c r="G7507" i="10"/>
  <c r="H7507" i="10"/>
  <c r="G7508" i="10"/>
  <c r="H7508" i="10"/>
  <c r="G7509" i="10"/>
  <c r="H7509" i="10"/>
  <c r="G7510" i="10"/>
  <c r="H7510" i="10"/>
  <c r="G7511" i="10"/>
  <c r="H7511" i="10"/>
  <c r="G7512" i="10"/>
  <c r="H7512" i="10"/>
  <c r="G7513" i="10"/>
  <c r="H7513" i="10"/>
  <c r="G7514" i="10"/>
  <c r="H7514" i="10"/>
  <c r="G7515" i="10"/>
  <c r="H7515" i="10"/>
  <c r="G7516" i="10"/>
  <c r="H7516" i="10"/>
  <c r="G7517" i="10"/>
  <c r="H7517" i="10"/>
  <c r="G7518" i="10"/>
  <c r="H7518" i="10"/>
  <c r="G7519" i="10"/>
  <c r="H7519" i="10"/>
  <c r="G7520" i="10"/>
  <c r="H7520" i="10"/>
  <c r="G7521" i="10"/>
  <c r="H7521" i="10"/>
  <c r="G7522" i="10"/>
  <c r="H7522" i="10"/>
  <c r="G7523" i="10"/>
  <c r="H7523" i="10"/>
  <c r="G7524" i="10"/>
  <c r="H7524" i="10"/>
  <c r="G7525" i="10"/>
  <c r="H7525" i="10"/>
  <c r="G7526" i="10"/>
  <c r="H7526" i="10"/>
  <c r="G7527" i="10"/>
  <c r="H7527" i="10"/>
  <c r="G7528" i="10"/>
  <c r="H7528" i="10"/>
  <c r="G7529" i="10"/>
  <c r="H7529" i="10"/>
  <c r="G7530" i="10"/>
  <c r="H7530" i="10"/>
  <c r="G7531" i="10"/>
  <c r="H7531" i="10"/>
  <c r="G7532" i="10"/>
  <c r="H7532" i="10"/>
  <c r="G7533" i="10"/>
  <c r="H7533" i="10"/>
  <c r="G7534" i="10"/>
  <c r="H7534" i="10"/>
  <c r="G7535" i="10"/>
  <c r="H7535" i="10"/>
  <c r="G7536" i="10"/>
  <c r="H7536" i="10"/>
  <c r="G7537" i="10"/>
  <c r="H7537" i="10"/>
  <c r="G7538" i="10"/>
  <c r="H7538" i="10"/>
  <c r="G7539" i="10"/>
  <c r="H7539" i="10"/>
  <c r="G7540" i="10"/>
  <c r="H7540" i="10"/>
  <c r="G7541" i="10"/>
  <c r="H7541" i="10"/>
  <c r="G7542" i="10"/>
  <c r="H7542" i="10"/>
  <c r="G7543" i="10"/>
  <c r="H7543" i="10"/>
  <c r="G7544" i="10"/>
  <c r="H7544" i="10"/>
  <c r="G7545" i="10"/>
  <c r="H7545" i="10"/>
  <c r="G7546" i="10"/>
  <c r="H7546" i="10"/>
  <c r="G7547" i="10"/>
  <c r="H7547" i="10"/>
  <c r="G7548" i="10"/>
  <c r="H7548" i="10"/>
  <c r="G7549" i="10"/>
  <c r="H7549" i="10"/>
  <c r="G7550" i="10"/>
  <c r="H7550" i="10"/>
  <c r="G7551" i="10"/>
  <c r="H7551" i="10"/>
  <c r="G7552" i="10"/>
  <c r="H7552" i="10"/>
  <c r="G7553" i="10"/>
  <c r="H7553" i="10"/>
  <c r="G7554" i="10"/>
  <c r="H7554" i="10"/>
  <c r="G7555" i="10"/>
  <c r="H7555" i="10"/>
  <c r="G7556" i="10"/>
  <c r="H7556" i="10"/>
  <c r="G7557" i="10"/>
  <c r="H7557" i="10"/>
  <c r="G7558" i="10"/>
  <c r="H7558" i="10"/>
  <c r="G7559" i="10"/>
  <c r="H7559" i="10"/>
  <c r="G7560" i="10"/>
  <c r="H7560" i="10"/>
  <c r="G7561" i="10"/>
  <c r="H7561" i="10"/>
  <c r="G7562" i="10"/>
  <c r="H7562" i="10"/>
  <c r="G7563" i="10"/>
  <c r="H7563" i="10"/>
  <c r="G7564" i="10"/>
  <c r="H7564" i="10"/>
  <c r="G7565" i="10"/>
  <c r="H7565" i="10"/>
  <c r="G7566" i="10"/>
  <c r="H7566" i="10"/>
  <c r="G7567" i="10"/>
  <c r="H7567" i="10"/>
  <c r="G7568" i="10"/>
  <c r="H7568" i="10"/>
  <c r="G7569" i="10"/>
  <c r="H7569" i="10"/>
  <c r="G7570" i="10"/>
  <c r="H7570" i="10"/>
  <c r="G7571" i="10"/>
  <c r="H7571" i="10"/>
  <c r="G7572" i="10"/>
  <c r="H7572" i="10"/>
  <c r="G7573" i="10"/>
  <c r="H7573" i="10"/>
  <c r="G7574" i="10"/>
  <c r="H7574" i="10"/>
  <c r="G7575" i="10"/>
  <c r="H7575" i="10"/>
  <c r="G7576" i="10"/>
  <c r="H7576" i="10"/>
  <c r="G7577" i="10"/>
  <c r="H7577" i="10"/>
  <c r="G7578" i="10"/>
  <c r="H7578" i="10"/>
  <c r="G7579" i="10"/>
  <c r="H7579" i="10"/>
  <c r="G7580" i="10"/>
  <c r="H7580" i="10"/>
  <c r="G7581" i="10"/>
  <c r="H7581" i="10"/>
  <c r="G7582" i="10"/>
  <c r="H7582" i="10"/>
  <c r="G7583" i="10"/>
  <c r="H7583" i="10"/>
  <c r="G7584" i="10"/>
  <c r="H7584" i="10"/>
  <c r="G7585" i="10"/>
  <c r="H7585" i="10"/>
  <c r="G7586" i="10"/>
  <c r="H7586" i="10"/>
  <c r="G7587" i="10"/>
  <c r="H7587" i="10"/>
  <c r="G7588" i="10"/>
  <c r="H7588" i="10"/>
  <c r="G7589" i="10"/>
  <c r="H7589" i="10"/>
  <c r="G7590" i="10"/>
  <c r="H7590" i="10"/>
  <c r="G7591" i="10"/>
  <c r="H7591" i="10"/>
  <c r="G7592" i="10"/>
  <c r="H7592" i="10"/>
  <c r="G7593" i="10"/>
  <c r="H7593" i="10"/>
  <c r="G7594" i="10"/>
  <c r="H7594" i="10"/>
  <c r="G7595" i="10"/>
  <c r="H7595" i="10"/>
  <c r="G7596" i="10"/>
  <c r="H7596" i="10"/>
  <c r="G7597" i="10"/>
  <c r="H7597" i="10"/>
  <c r="G7598" i="10"/>
  <c r="H7598" i="10"/>
  <c r="G7599" i="10"/>
  <c r="H7599" i="10"/>
  <c r="G7600" i="10"/>
  <c r="H7600" i="10"/>
  <c r="G7601" i="10"/>
  <c r="H7601" i="10"/>
  <c r="G7602" i="10"/>
  <c r="H7602" i="10"/>
  <c r="G7603" i="10"/>
  <c r="H7603" i="10"/>
  <c r="G7604" i="10"/>
  <c r="H7604" i="10"/>
  <c r="G7605" i="10"/>
  <c r="H7605" i="10"/>
  <c r="G7606" i="10"/>
  <c r="H7606" i="10"/>
  <c r="G7607" i="10"/>
  <c r="H7607" i="10"/>
  <c r="G7608" i="10"/>
  <c r="H7608" i="10"/>
  <c r="G7609" i="10"/>
  <c r="H7609" i="10"/>
  <c r="G7610" i="10"/>
  <c r="H7610" i="10"/>
  <c r="G7611" i="10"/>
  <c r="H7611" i="10"/>
  <c r="G7612" i="10"/>
  <c r="H7612" i="10"/>
  <c r="G7613" i="10"/>
  <c r="H7613" i="10"/>
  <c r="G7614" i="10"/>
  <c r="H7614" i="10"/>
  <c r="G7615" i="10"/>
  <c r="H7615" i="10"/>
  <c r="G7616" i="10"/>
  <c r="H7616" i="10"/>
  <c r="G7617" i="10"/>
  <c r="H7617" i="10"/>
  <c r="G7618" i="10"/>
  <c r="H7618" i="10"/>
  <c r="G7619" i="10"/>
  <c r="H7619" i="10"/>
  <c r="G7620" i="10"/>
  <c r="H7620" i="10"/>
  <c r="G7621" i="10"/>
  <c r="H7621" i="10"/>
  <c r="G7622" i="10"/>
  <c r="H7622" i="10"/>
  <c r="G7623" i="10"/>
  <c r="H7623" i="10"/>
  <c r="G7624" i="10"/>
  <c r="H7624" i="10"/>
  <c r="G7625" i="10"/>
  <c r="H7625" i="10"/>
  <c r="G7626" i="10"/>
  <c r="H7626" i="10"/>
  <c r="G7627" i="10"/>
  <c r="H7627" i="10"/>
  <c r="G7628" i="10"/>
  <c r="H7628" i="10"/>
  <c r="G7629" i="10"/>
  <c r="H7629" i="10"/>
  <c r="G7630" i="10"/>
  <c r="H7630" i="10"/>
  <c r="G7631" i="10"/>
  <c r="H7631" i="10"/>
  <c r="G7632" i="10"/>
  <c r="H7632" i="10"/>
  <c r="G7633" i="10"/>
  <c r="H7633" i="10"/>
  <c r="G7634" i="10"/>
  <c r="H7634" i="10"/>
  <c r="G7635" i="10"/>
  <c r="H7635" i="10"/>
  <c r="G7636" i="10"/>
  <c r="H7636" i="10"/>
  <c r="G7637" i="10"/>
  <c r="H7637" i="10"/>
  <c r="G7638" i="10"/>
  <c r="H7638" i="10"/>
  <c r="G7639" i="10"/>
  <c r="H7639" i="10"/>
  <c r="G7640" i="10"/>
  <c r="H7640" i="10"/>
  <c r="G7641" i="10"/>
  <c r="H7641" i="10"/>
  <c r="G7642" i="10"/>
  <c r="H7642" i="10"/>
  <c r="G7643" i="10"/>
  <c r="H7643" i="10"/>
  <c r="G7644" i="10"/>
  <c r="H7644" i="10"/>
  <c r="G7645" i="10"/>
  <c r="H7645" i="10"/>
  <c r="G7646" i="10"/>
  <c r="H7646" i="10"/>
  <c r="G7647" i="10"/>
  <c r="H7647" i="10"/>
  <c r="G7648" i="10"/>
  <c r="H7648" i="10"/>
  <c r="G7649" i="10"/>
  <c r="H7649" i="10"/>
  <c r="G7650" i="10"/>
  <c r="H7650" i="10"/>
  <c r="G7651" i="10"/>
  <c r="H7651" i="10"/>
  <c r="G7652" i="10"/>
  <c r="H7652" i="10"/>
  <c r="G7653" i="10"/>
  <c r="H7653" i="10"/>
  <c r="G7654" i="10"/>
  <c r="H7654" i="10"/>
  <c r="G7655" i="10"/>
  <c r="H7655" i="10"/>
  <c r="G7656" i="10"/>
  <c r="H7656" i="10"/>
  <c r="G7657" i="10"/>
  <c r="H7657" i="10"/>
  <c r="G7658" i="10"/>
  <c r="H7658" i="10"/>
  <c r="G7659" i="10"/>
  <c r="H7659" i="10"/>
  <c r="G7660" i="10"/>
  <c r="H7660" i="10"/>
  <c r="G7661" i="10"/>
  <c r="H7661" i="10"/>
  <c r="G7662" i="10"/>
  <c r="H7662" i="10"/>
  <c r="G7663" i="10"/>
  <c r="H7663" i="10"/>
  <c r="G7664" i="10"/>
  <c r="H7664" i="10"/>
  <c r="G7665" i="10"/>
  <c r="H7665" i="10"/>
  <c r="G7666" i="10"/>
  <c r="H7666" i="10"/>
  <c r="G7667" i="10"/>
  <c r="H7667" i="10"/>
  <c r="G7668" i="10"/>
  <c r="H7668" i="10"/>
  <c r="G7669" i="10"/>
  <c r="H7669" i="10"/>
  <c r="G7670" i="10"/>
  <c r="H7670" i="10"/>
  <c r="G7671" i="10"/>
  <c r="H7671" i="10"/>
  <c r="G7672" i="10"/>
  <c r="H7672" i="10"/>
  <c r="G7673" i="10"/>
  <c r="H7673" i="10"/>
  <c r="G7674" i="10"/>
  <c r="H7674" i="10"/>
  <c r="G7675" i="10"/>
  <c r="H7675" i="10"/>
  <c r="G7676" i="10"/>
  <c r="H7676" i="10"/>
  <c r="G7677" i="10"/>
  <c r="H7677" i="10"/>
  <c r="G7678" i="10"/>
  <c r="H7678" i="10"/>
  <c r="G7679" i="10"/>
  <c r="H7679" i="10"/>
  <c r="G7680" i="10"/>
  <c r="H7680" i="10"/>
  <c r="G7681" i="10"/>
  <c r="H7681" i="10"/>
  <c r="G7682" i="10"/>
  <c r="H7682" i="10"/>
  <c r="G7683" i="10"/>
  <c r="H7683" i="10"/>
  <c r="G7684" i="10"/>
  <c r="H7684" i="10"/>
  <c r="G7685" i="10"/>
  <c r="H7685" i="10"/>
  <c r="G7686" i="10"/>
  <c r="H7686" i="10"/>
  <c r="G7687" i="10"/>
  <c r="H7687" i="10"/>
  <c r="G7688" i="10"/>
  <c r="H7688" i="10"/>
  <c r="G7689" i="10"/>
  <c r="H7689" i="10"/>
  <c r="G7690" i="10"/>
  <c r="H7690" i="10"/>
  <c r="G7691" i="10"/>
  <c r="H7691" i="10"/>
  <c r="G7692" i="10"/>
  <c r="H7692" i="10"/>
  <c r="G7693" i="10"/>
  <c r="H7693" i="10"/>
  <c r="G7694" i="10"/>
  <c r="H7694" i="10"/>
  <c r="G7695" i="10"/>
  <c r="H7695" i="10"/>
  <c r="G7696" i="10"/>
  <c r="H7696" i="10"/>
  <c r="G7697" i="10"/>
  <c r="H7697" i="10"/>
  <c r="G7698" i="10"/>
  <c r="H7698" i="10"/>
  <c r="G7699" i="10"/>
  <c r="H7699" i="10"/>
  <c r="G7700" i="10"/>
  <c r="H7700" i="10"/>
  <c r="G7701" i="10"/>
  <c r="H7701" i="10"/>
  <c r="G7702" i="10"/>
  <c r="H7702" i="10"/>
  <c r="G7703" i="10"/>
  <c r="H7703" i="10"/>
  <c r="G7704" i="10"/>
  <c r="H7704" i="10"/>
  <c r="G7705" i="10"/>
  <c r="H7705" i="10"/>
  <c r="G7706" i="10"/>
  <c r="H7706" i="10"/>
  <c r="G7707" i="10"/>
  <c r="H7707" i="10"/>
  <c r="G7708" i="10"/>
  <c r="H7708" i="10"/>
  <c r="G7709" i="10"/>
  <c r="H7709" i="10"/>
  <c r="G7710" i="10"/>
  <c r="H7710" i="10"/>
  <c r="G7711" i="10"/>
  <c r="H7711" i="10"/>
  <c r="G7712" i="10"/>
  <c r="H7712" i="10"/>
  <c r="G7713" i="10"/>
  <c r="H7713" i="10"/>
  <c r="G7714" i="10"/>
  <c r="H7714" i="10"/>
  <c r="G7715" i="10"/>
  <c r="H7715" i="10"/>
  <c r="G7716" i="10"/>
  <c r="H7716" i="10"/>
  <c r="G7717" i="10"/>
  <c r="H7717" i="10"/>
  <c r="G7718" i="10"/>
  <c r="H7718" i="10"/>
  <c r="G7719" i="10"/>
  <c r="H7719" i="10"/>
  <c r="G7720" i="10"/>
  <c r="H7720" i="10"/>
  <c r="G7721" i="10"/>
  <c r="H7721" i="10"/>
  <c r="G7722" i="10"/>
  <c r="H7722" i="10"/>
  <c r="G7723" i="10"/>
  <c r="H7723" i="10"/>
  <c r="G7724" i="10"/>
  <c r="H7724" i="10"/>
  <c r="G7725" i="10"/>
  <c r="H7725" i="10"/>
  <c r="G7726" i="10"/>
  <c r="H7726" i="10"/>
  <c r="G7727" i="10"/>
  <c r="H7727" i="10"/>
  <c r="G7728" i="10"/>
  <c r="H7728" i="10"/>
  <c r="G7729" i="10"/>
  <c r="H7729" i="10"/>
  <c r="G7730" i="10"/>
  <c r="H7730" i="10"/>
  <c r="G7731" i="10"/>
  <c r="H7731" i="10"/>
  <c r="G7732" i="10"/>
  <c r="H7732" i="10"/>
  <c r="G7733" i="10"/>
  <c r="H7733" i="10"/>
  <c r="G7734" i="10"/>
  <c r="H7734" i="10"/>
  <c r="G7735" i="10"/>
  <c r="H7735" i="10"/>
  <c r="G7736" i="10"/>
  <c r="H7736" i="10"/>
  <c r="G7737" i="10"/>
  <c r="H7737" i="10"/>
  <c r="G7738" i="10"/>
  <c r="H7738" i="10"/>
  <c r="G7739" i="10"/>
  <c r="H7739" i="10"/>
  <c r="G7740" i="10"/>
  <c r="H7740" i="10"/>
  <c r="G7741" i="10"/>
  <c r="H7741" i="10"/>
  <c r="G7742" i="10"/>
  <c r="H7742" i="10"/>
  <c r="G7743" i="10"/>
  <c r="H7743" i="10"/>
  <c r="G7744" i="10"/>
  <c r="H7744" i="10"/>
  <c r="G7745" i="10"/>
  <c r="H7745" i="10"/>
  <c r="G7746" i="10"/>
  <c r="H7746" i="10"/>
  <c r="G7747" i="10"/>
  <c r="H7747" i="10"/>
  <c r="G7748" i="10"/>
  <c r="H7748" i="10"/>
  <c r="G7749" i="10"/>
  <c r="H7749" i="10"/>
  <c r="G7750" i="10"/>
  <c r="H7750" i="10"/>
  <c r="G7751" i="10"/>
  <c r="H7751" i="10"/>
  <c r="G7752" i="10"/>
  <c r="H7752" i="10"/>
  <c r="G7753" i="10"/>
  <c r="H7753" i="10"/>
  <c r="G7754" i="10"/>
  <c r="H7754" i="10"/>
  <c r="G7755" i="10"/>
  <c r="H7755" i="10"/>
  <c r="G7756" i="10"/>
  <c r="H7756" i="10"/>
  <c r="G7757" i="10"/>
  <c r="H7757" i="10"/>
  <c r="G7758" i="10"/>
  <c r="H7758" i="10"/>
  <c r="G7759" i="10"/>
  <c r="H7759" i="10"/>
  <c r="G7760" i="10"/>
  <c r="H7760" i="10"/>
  <c r="G7761" i="10"/>
  <c r="H7761" i="10"/>
  <c r="G7762" i="10"/>
  <c r="H7762" i="10"/>
  <c r="G7763" i="10"/>
  <c r="H7763" i="10"/>
  <c r="G7764" i="10"/>
  <c r="H7764" i="10"/>
  <c r="G7765" i="10"/>
  <c r="H7765" i="10"/>
  <c r="G7766" i="10"/>
  <c r="H7766" i="10"/>
  <c r="G7767" i="10"/>
  <c r="H7767" i="10"/>
  <c r="G7768" i="10"/>
  <c r="H7768" i="10"/>
  <c r="G7769" i="10"/>
  <c r="H7769" i="10"/>
  <c r="G7770" i="10"/>
  <c r="H7770" i="10"/>
  <c r="G7771" i="10"/>
  <c r="H7771" i="10"/>
  <c r="G7772" i="10"/>
  <c r="H7772" i="10"/>
  <c r="G7773" i="10"/>
  <c r="H7773" i="10"/>
  <c r="G7774" i="10"/>
  <c r="H7774" i="10"/>
  <c r="G7775" i="10"/>
  <c r="H7775" i="10"/>
  <c r="G7776" i="10"/>
  <c r="H7776" i="10"/>
  <c r="G7777" i="10"/>
  <c r="H7777" i="10"/>
  <c r="G7778" i="10"/>
  <c r="H7778" i="10"/>
  <c r="G7779" i="10"/>
  <c r="H7779" i="10"/>
  <c r="G7780" i="10"/>
  <c r="H7780" i="10"/>
  <c r="G7781" i="10"/>
  <c r="H7781" i="10"/>
  <c r="G7782" i="10"/>
  <c r="H7782" i="10"/>
  <c r="G7783" i="10"/>
  <c r="H7783" i="10"/>
  <c r="G7784" i="10"/>
  <c r="H7784" i="10"/>
  <c r="G7785" i="10"/>
  <c r="H7785" i="10"/>
  <c r="G7786" i="10"/>
  <c r="H7786" i="10"/>
  <c r="G7787" i="10"/>
  <c r="H7787" i="10"/>
  <c r="G7788" i="10"/>
  <c r="H7788" i="10"/>
  <c r="G7789" i="10"/>
  <c r="H7789" i="10"/>
  <c r="G7790" i="10"/>
  <c r="H7790" i="10"/>
  <c r="G7791" i="10"/>
  <c r="H7791" i="10"/>
  <c r="G7792" i="10"/>
  <c r="H7792" i="10"/>
  <c r="G7793" i="10"/>
  <c r="H7793" i="10"/>
  <c r="G7794" i="10"/>
  <c r="H7794" i="10"/>
  <c r="G7795" i="10"/>
  <c r="H7795" i="10"/>
  <c r="G7796" i="10"/>
  <c r="H7796" i="10"/>
  <c r="G7797" i="10"/>
  <c r="H7797" i="10"/>
  <c r="G7798" i="10"/>
  <c r="H7798" i="10"/>
  <c r="G7799" i="10"/>
  <c r="H7799" i="10"/>
  <c r="G7800" i="10"/>
  <c r="H7800" i="10"/>
  <c r="G7801" i="10"/>
  <c r="H7801" i="10"/>
  <c r="G7802" i="10"/>
  <c r="H7802" i="10"/>
  <c r="G7803" i="10"/>
  <c r="H7803" i="10"/>
  <c r="G7804" i="10"/>
  <c r="H7804" i="10"/>
  <c r="G7805" i="10"/>
  <c r="H7805" i="10"/>
  <c r="G7806" i="10"/>
  <c r="H7806" i="10"/>
  <c r="G7807" i="10"/>
  <c r="H7807" i="10"/>
  <c r="G7808" i="10"/>
  <c r="H7808" i="10"/>
  <c r="G7809" i="10"/>
  <c r="H7809" i="10"/>
  <c r="G7810" i="10"/>
  <c r="H7810" i="10"/>
  <c r="G7811" i="10"/>
  <c r="H7811" i="10"/>
  <c r="G7812" i="10"/>
  <c r="H7812" i="10"/>
  <c r="G7813" i="10"/>
  <c r="H7813" i="10"/>
  <c r="G7814" i="10"/>
  <c r="H7814" i="10"/>
  <c r="G7815" i="10"/>
  <c r="H7815" i="10"/>
  <c r="G7816" i="10"/>
  <c r="H7816" i="10"/>
  <c r="G7817" i="10"/>
  <c r="H7817" i="10"/>
  <c r="G7818" i="10"/>
  <c r="H7818" i="10"/>
  <c r="G7819" i="10"/>
  <c r="H7819" i="10"/>
  <c r="G7820" i="10"/>
  <c r="H7820" i="10"/>
  <c r="G7821" i="10"/>
  <c r="H7821" i="10"/>
  <c r="G7822" i="10"/>
  <c r="H7822" i="10"/>
  <c r="G7823" i="10"/>
  <c r="H7823" i="10"/>
  <c r="G7824" i="10"/>
  <c r="H7824" i="10"/>
  <c r="G7825" i="10"/>
  <c r="H7825" i="10"/>
  <c r="G7826" i="10"/>
  <c r="H7826" i="10"/>
  <c r="G7827" i="10"/>
  <c r="H7827" i="10"/>
  <c r="G7828" i="10"/>
  <c r="H7828" i="10"/>
  <c r="G7829" i="10"/>
  <c r="H7829" i="10"/>
  <c r="G7830" i="10"/>
  <c r="H7830" i="10"/>
  <c r="G7831" i="10"/>
  <c r="H7831" i="10"/>
  <c r="G7832" i="10"/>
  <c r="H7832" i="10"/>
  <c r="G7833" i="10"/>
  <c r="H7833" i="10"/>
  <c r="G7834" i="10"/>
  <c r="H7834" i="10"/>
  <c r="G7835" i="10"/>
  <c r="H7835" i="10"/>
  <c r="G7836" i="10"/>
  <c r="H7836" i="10"/>
  <c r="G7837" i="10"/>
  <c r="H7837" i="10"/>
  <c r="G7838" i="10"/>
  <c r="H7838" i="10"/>
  <c r="G7839" i="10"/>
  <c r="H7839" i="10"/>
  <c r="G7840" i="10"/>
  <c r="H7840" i="10"/>
  <c r="G7841" i="10"/>
  <c r="H7841" i="10"/>
  <c r="G7842" i="10"/>
  <c r="H7842" i="10"/>
  <c r="G7843" i="10"/>
  <c r="H7843" i="10"/>
  <c r="G7844" i="10"/>
  <c r="H7844" i="10"/>
  <c r="G7845" i="10"/>
  <c r="H7845" i="10"/>
  <c r="G7846" i="10"/>
  <c r="H7846" i="10"/>
  <c r="G7847" i="10"/>
  <c r="H7847" i="10"/>
  <c r="G7848" i="10"/>
  <c r="H7848" i="10"/>
  <c r="G7849" i="10"/>
  <c r="H7849" i="10"/>
  <c r="G7850" i="10"/>
  <c r="H7850" i="10"/>
  <c r="G7851" i="10"/>
  <c r="H7851" i="10"/>
  <c r="G7852" i="10"/>
  <c r="H7852" i="10"/>
  <c r="G7853" i="10"/>
  <c r="H7853" i="10"/>
  <c r="G7854" i="10"/>
  <c r="H7854" i="10"/>
  <c r="G7855" i="10"/>
  <c r="H7855" i="10"/>
  <c r="G7856" i="10"/>
  <c r="H7856" i="10"/>
  <c r="G7857" i="10"/>
  <c r="H7857" i="10"/>
  <c r="G7858" i="10"/>
  <c r="H7858" i="10"/>
  <c r="G7859" i="10"/>
  <c r="H7859" i="10"/>
  <c r="G7860" i="10"/>
  <c r="H7860" i="10"/>
  <c r="G7861" i="10"/>
  <c r="H7861" i="10"/>
  <c r="G7862" i="10"/>
  <c r="H7862" i="10"/>
  <c r="G7863" i="10"/>
  <c r="H7863" i="10"/>
  <c r="G7864" i="10"/>
  <c r="H7864" i="10"/>
  <c r="G7865" i="10"/>
  <c r="H7865" i="10"/>
  <c r="G7866" i="10"/>
  <c r="H7866" i="10"/>
  <c r="G7867" i="10"/>
  <c r="H7867" i="10"/>
  <c r="G7868" i="10"/>
  <c r="H7868" i="10"/>
  <c r="G7869" i="10"/>
  <c r="H7869" i="10"/>
  <c r="G7870" i="10"/>
  <c r="H7870" i="10"/>
  <c r="G7871" i="10"/>
  <c r="H7871" i="10"/>
  <c r="G7872" i="10"/>
  <c r="H7872" i="10"/>
  <c r="G7873" i="10"/>
  <c r="H7873" i="10"/>
  <c r="G7874" i="10"/>
  <c r="H7874" i="10"/>
  <c r="G7875" i="10"/>
  <c r="H7875" i="10"/>
  <c r="G7876" i="10"/>
  <c r="H7876" i="10"/>
  <c r="G7877" i="10"/>
  <c r="H7877" i="10"/>
  <c r="G7878" i="10"/>
  <c r="H7878" i="10"/>
  <c r="G7879" i="10"/>
  <c r="H7879" i="10"/>
  <c r="G7880" i="10"/>
  <c r="H7880" i="10"/>
  <c r="G7881" i="10"/>
  <c r="H7881" i="10"/>
  <c r="G7882" i="10"/>
  <c r="H7882" i="10"/>
  <c r="G7883" i="10"/>
  <c r="H7883" i="10"/>
  <c r="G7884" i="10"/>
  <c r="H7884" i="10"/>
  <c r="G7885" i="10"/>
  <c r="H7885" i="10"/>
  <c r="G7886" i="10"/>
  <c r="H7886" i="10"/>
  <c r="G7887" i="10"/>
  <c r="H7887" i="10"/>
  <c r="G7888" i="10"/>
  <c r="H7888" i="10"/>
  <c r="G7889" i="10"/>
  <c r="H7889" i="10"/>
  <c r="G7890" i="10"/>
  <c r="H7890" i="10"/>
  <c r="G7891" i="10"/>
  <c r="H7891" i="10"/>
  <c r="G7892" i="10"/>
  <c r="H7892" i="10"/>
  <c r="G7893" i="10"/>
  <c r="H7893" i="10"/>
  <c r="G7894" i="10"/>
  <c r="H7894" i="10"/>
  <c r="G7895" i="10"/>
  <c r="H7895" i="10"/>
  <c r="G7896" i="10"/>
  <c r="H7896" i="10"/>
  <c r="G7897" i="10"/>
  <c r="H7897" i="10"/>
  <c r="G7898" i="10"/>
  <c r="H7898" i="10"/>
  <c r="G7899" i="10"/>
  <c r="H7899" i="10"/>
  <c r="G7900" i="10"/>
  <c r="H7900" i="10"/>
  <c r="G7901" i="10"/>
  <c r="H7901" i="10"/>
  <c r="G7902" i="10"/>
  <c r="H7902" i="10"/>
  <c r="G7903" i="10"/>
  <c r="H7903" i="10"/>
  <c r="G7904" i="10"/>
  <c r="H7904" i="10"/>
  <c r="G7905" i="10"/>
  <c r="H7905" i="10"/>
  <c r="G7906" i="10"/>
  <c r="H7906" i="10"/>
  <c r="G7907" i="10"/>
  <c r="H7907" i="10"/>
  <c r="G7908" i="10"/>
  <c r="H7908" i="10"/>
  <c r="G7909" i="10"/>
  <c r="H7909" i="10"/>
  <c r="G7910" i="10"/>
  <c r="H7910" i="10"/>
  <c r="G7911" i="10"/>
  <c r="H7911" i="10"/>
  <c r="G7912" i="10"/>
  <c r="H7912" i="10"/>
  <c r="G7913" i="10"/>
  <c r="H7913" i="10"/>
  <c r="G7914" i="10"/>
  <c r="H7914" i="10"/>
  <c r="G7915" i="10"/>
  <c r="H7915" i="10"/>
  <c r="G7916" i="10"/>
  <c r="H7916" i="10"/>
  <c r="G7917" i="10"/>
  <c r="H7917" i="10"/>
  <c r="G7918" i="10"/>
  <c r="H7918" i="10"/>
  <c r="G7919" i="10"/>
  <c r="H7919" i="10"/>
  <c r="G7920" i="10"/>
  <c r="H7920" i="10"/>
  <c r="G7921" i="10"/>
  <c r="H7921" i="10"/>
  <c r="G7922" i="10"/>
  <c r="H7922" i="10"/>
  <c r="G7923" i="10"/>
  <c r="H7923" i="10"/>
  <c r="G7924" i="10"/>
  <c r="H7924" i="10"/>
  <c r="G7925" i="10"/>
  <c r="H7925" i="10"/>
  <c r="G7926" i="10"/>
  <c r="H7926" i="10"/>
  <c r="G7927" i="10"/>
  <c r="H7927" i="10"/>
  <c r="G7928" i="10"/>
  <c r="H7928" i="10"/>
  <c r="G7929" i="10"/>
  <c r="H7929" i="10"/>
  <c r="G7930" i="10"/>
  <c r="H7930" i="10"/>
  <c r="G7931" i="10"/>
  <c r="H7931" i="10"/>
  <c r="G7932" i="10"/>
  <c r="H7932" i="10"/>
  <c r="G7933" i="10"/>
  <c r="H7933" i="10"/>
  <c r="G7934" i="10"/>
  <c r="H7934" i="10"/>
  <c r="G7935" i="10"/>
  <c r="H7935" i="10"/>
  <c r="G7936" i="10"/>
  <c r="H7936" i="10"/>
  <c r="G7937" i="10"/>
  <c r="H7937" i="10"/>
  <c r="G7938" i="10"/>
  <c r="H7938" i="10"/>
  <c r="G7939" i="10"/>
  <c r="H7939" i="10"/>
  <c r="G7940" i="10"/>
  <c r="H7940" i="10"/>
  <c r="G7941" i="10"/>
  <c r="H7941" i="10"/>
  <c r="G7942" i="10"/>
  <c r="H7942" i="10"/>
  <c r="G7943" i="10"/>
  <c r="H7943" i="10"/>
  <c r="G7944" i="10"/>
  <c r="H7944" i="10"/>
  <c r="G7945" i="10"/>
  <c r="H7945" i="10"/>
  <c r="G7946" i="10"/>
  <c r="H7946" i="10"/>
  <c r="G7947" i="10"/>
  <c r="H7947" i="10"/>
  <c r="G7948" i="10"/>
  <c r="H7948" i="10"/>
  <c r="G7949" i="10"/>
  <c r="H7949" i="10"/>
  <c r="G7950" i="10"/>
  <c r="H7950" i="10"/>
  <c r="G7951" i="10"/>
  <c r="H7951" i="10"/>
  <c r="G7952" i="10"/>
  <c r="H7952" i="10"/>
  <c r="G7953" i="10"/>
  <c r="H7953" i="10"/>
  <c r="G7954" i="10"/>
  <c r="H7954" i="10"/>
  <c r="G7955" i="10"/>
  <c r="H7955" i="10"/>
  <c r="G7956" i="10"/>
  <c r="H7956" i="10"/>
  <c r="G7957" i="10"/>
  <c r="H7957" i="10"/>
  <c r="G7958" i="10"/>
  <c r="H7958" i="10"/>
  <c r="G7959" i="10"/>
  <c r="H7959" i="10"/>
  <c r="G7960" i="10"/>
  <c r="H7960" i="10"/>
  <c r="G7961" i="10"/>
  <c r="H7961" i="10"/>
  <c r="G7962" i="10"/>
  <c r="H7962" i="10"/>
  <c r="G7963" i="10"/>
  <c r="H7963" i="10"/>
  <c r="G7964" i="10"/>
  <c r="H7964" i="10"/>
  <c r="G7965" i="10"/>
  <c r="H7965" i="10"/>
  <c r="G7966" i="10"/>
  <c r="H7966" i="10"/>
  <c r="G7967" i="10"/>
  <c r="H7967" i="10"/>
  <c r="G7968" i="10"/>
  <c r="H7968" i="10"/>
  <c r="G7969" i="10"/>
  <c r="H7969" i="10"/>
  <c r="G7970" i="10"/>
  <c r="H7970" i="10"/>
  <c r="G7971" i="10"/>
  <c r="H7971" i="10"/>
  <c r="G7972" i="10"/>
  <c r="H7972" i="10"/>
  <c r="G7973" i="10"/>
  <c r="H7973" i="10"/>
  <c r="G7974" i="10"/>
  <c r="H7974" i="10"/>
  <c r="G7975" i="10"/>
  <c r="H7975" i="10"/>
  <c r="G7976" i="10"/>
  <c r="H7976" i="10"/>
  <c r="G7977" i="10"/>
  <c r="H7977" i="10"/>
  <c r="G7978" i="10"/>
  <c r="H7978" i="10"/>
  <c r="G7979" i="10"/>
  <c r="H7979" i="10"/>
  <c r="G7980" i="10"/>
  <c r="H7980" i="10"/>
  <c r="G7981" i="10"/>
  <c r="H7981" i="10"/>
  <c r="G7982" i="10"/>
  <c r="H7982" i="10"/>
  <c r="G7983" i="10"/>
  <c r="H7983" i="10"/>
  <c r="G7984" i="10"/>
  <c r="H7984" i="10"/>
  <c r="G7985" i="10"/>
  <c r="H7985" i="10"/>
  <c r="G7986" i="10"/>
  <c r="H7986" i="10"/>
  <c r="G7987" i="10"/>
  <c r="H7987" i="10"/>
  <c r="G7988" i="10"/>
  <c r="H7988" i="10"/>
  <c r="G7989" i="10"/>
  <c r="H7989" i="10"/>
  <c r="G7990" i="10"/>
  <c r="H7990" i="10"/>
  <c r="G7991" i="10"/>
  <c r="H7991" i="10"/>
  <c r="G7992" i="10"/>
  <c r="H7992" i="10"/>
  <c r="G7993" i="10"/>
  <c r="H7993" i="10"/>
  <c r="G7994" i="10"/>
  <c r="H7994" i="10"/>
  <c r="G7995" i="10"/>
  <c r="H7995" i="10"/>
  <c r="G7996" i="10"/>
  <c r="H7996" i="10"/>
  <c r="G7997" i="10"/>
  <c r="H7997" i="10"/>
  <c r="G7998" i="10"/>
  <c r="H7998" i="10"/>
  <c r="G7999" i="10"/>
  <c r="H7999" i="10"/>
  <c r="G8000" i="10"/>
  <c r="H8000" i="10"/>
  <c r="G8001" i="10"/>
  <c r="H8001" i="10"/>
  <c r="G8002" i="10"/>
  <c r="H8002" i="10"/>
  <c r="G8003" i="10"/>
  <c r="H8003" i="10"/>
  <c r="G8004" i="10"/>
  <c r="H8004" i="10"/>
  <c r="G8005" i="10"/>
  <c r="H8005" i="10"/>
  <c r="G8006" i="10"/>
  <c r="H8006" i="10"/>
  <c r="G8007" i="10"/>
  <c r="H8007" i="10"/>
  <c r="G8008" i="10"/>
  <c r="H8008" i="10"/>
  <c r="G8009" i="10"/>
  <c r="H8009" i="10"/>
  <c r="G8010" i="10"/>
  <c r="H8010" i="10"/>
  <c r="G8011" i="10"/>
  <c r="H8011" i="10"/>
  <c r="G8012" i="10"/>
  <c r="H8012" i="10"/>
  <c r="G8013" i="10"/>
  <c r="H8013" i="10"/>
  <c r="G8014" i="10"/>
  <c r="H8014" i="10"/>
  <c r="G8015" i="10"/>
  <c r="H8015" i="10"/>
  <c r="G8016" i="10"/>
  <c r="H8016" i="10"/>
  <c r="G8017" i="10"/>
  <c r="H8017" i="10"/>
  <c r="G8018" i="10"/>
  <c r="H8018" i="10"/>
  <c r="G8019" i="10"/>
  <c r="H8019" i="10"/>
  <c r="G8020" i="10"/>
  <c r="H8020" i="10"/>
  <c r="G8021" i="10"/>
  <c r="H8021" i="10"/>
  <c r="G8022" i="10"/>
  <c r="H8022" i="10"/>
  <c r="G8023" i="10"/>
  <c r="H8023" i="10"/>
  <c r="G8024" i="10"/>
  <c r="H8024" i="10"/>
  <c r="G8025" i="10"/>
  <c r="H8025" i="10"/>
  <c r="G8026" i="10"/>
  <c r="H8026" i="10"/>
  <c r="G8027" i="10"/>
  <c r="H8027" i="10"/>
  <c r="G8028" i="10"/>
  <c r="H8028" i="10"/>
  <c r="G8029" i="10"/>
  <c r="H8029" i="10"/>
  <c r="G8030" i="10"/>
  <c r="H8030" i="10"/>
  <c r="G8031" i="10"/>
  <c r="H8031" i="10"/>
  <c r="G8032" i="10"/>
  <c r="H8032" i="10"/>
  <c r="G8033" i="10"/>
  <c r="H8033" i="10"/>
  <c r="G8034" i="10"/>
  <c r="H8034" i="10"/>
  <c r="B5" i="10"/>
  <c r="E7" i="1" l="1"/>
  <c r="C2" i="14" l="1"/>
  <c r="G6" i="11"/>
  <c r="C175" i="14" l="1"/>
  <c r="C5" i="14"/>
  <c r="C210" i="14"/>
  <c r="C174" i="14"/>
  <c r="C138" i="14"/>
  <c r="C91" i="14"/>
  <c r="C43" i="14"/>
  <c r="C139" i="14"/>
  <c r="C53" i="14"/>
  <c r="C173" i="14"/>
  <c r="C90" i="14"/>
  <c r="C243" i="14"/>
  <c r="C171" i="14"/>
  <c r="C89" i="14"/>
  <c r="C41" i="14"/>
  <c r="C235" i="14"/>
  <c r="C199" i="14"/>
  <c r="C163" i="14"/>
  <c r="C127" i="14"/>
  <c r="C79" i="14"/>
  <c r="C31" i="14"/>
  <c r="C101" i="14"/>
  <c r="C209" i="14"/>
  <c r="C137" i="14"/>
  <c r="C42" i="14"/>
  <c r="C207" i="14"/>
  <c r="C135" i="14"/>
  <c r="C234" i="14"/>
  <c r="C198" i="14"/>
  <c r="C162" i="14"/>
  <c r="C126" i="14"/>
  <c r="C78" i="14"/>
  <c r="C30" i="14"/>
  <c r="C233" i="14"/>
  <c r="C197" i="14"/>
  <c r="C161" i="14"/>
  <c r="C125" i="14"/>
  <c r="C77" i="14"/>
  <c r="C29" i="14"/>
  <c r="C231" i="14"/>
  <c r="C195" i="14"/>
  <c r="C159" i="14"/>
  <c r="C115" i="14"/>
  <c r="C67" i="14"/>
  <c r="C19" i="14"/>
  <c r="C211" i="14"/>
  <c r="C187" i="14"/>
  <c r="C114" i="14"/>
  <c r="C18" i="14"/>
  <c r="C186" i="14"/>
  <c r="C113" i="14"/>
  <c r="C17" i="14"/>
  <c r="C221" i="14"/>
  <c r="C185" i="14"/>
  <c r="C149" i="14"/>
  <c r="C103" i="14"/>
  <c r="C55" i="14"/>
  <c r="C7" i="14"/>
  <c r="C223" i="14"/>
  <c r="C151" i="14"/>
  <c r="C66" i="14"/>
  <c r="C222" i="14"/>
  <c r="C150" i="14"/>
  <c r="C65" i="14"/>
  <c r="C219" i="14"/>
  <c r="C183" i="14"/>
  <c r="C147" i="14"/>
  <c r="C102" i="14"/>
  <c r="C54" i="14"/>
  <c r="C6" i="14"/>
  <c r="C123" i="14"/>
  <c r="C99" i="14"/>
  <c r="C75" i="14"/>
  <c r="C51" i="14"/>
  <c r="C27" i="14"/>
  <c r="C15" i="14"/>
  <c r="C242" i="14"/>
  <c r="C218" i="14"/>
  <c r="C194" i="14"/>
  <c r="C170" i="14"/>
  <c r="C146" i="14"/>
  <c r="C122" i="14"/>
  <c r="C98" i="14"/>
  <c r="C62" i="14"/>
  <c r="C50" i="14"/>
  <c r="C26" i="14"/>
  <c r="C241" i="14"/>
  <c r="C229" i="14"/>
  <c r="C217" i="14"/>
  <c r="C205" i="14"/>
  <c r="C193" i="14"/>
  <c r="C181" i="14"/>
  <c r="C169" i="14"/>
  <c r="C157" i="14"/>
  <c r="C145" i="14"/>
  <c r="C133" i="14"/>
  <c r="C121" i="14"/>
  <c r="C109" i="14"/>
  <c r="C97" i="14"/>
  <c r="C85" i="14"/>
  <c r="C73" i="14"/>
  <c r="C61" i="14"/>
  <c r="C49" i="14"/>
  <c r="C37" i="14"/>
  <c r="C25" i="14"/>
  <c r="C13" i="14"/>
  <c r="C111" i="14"/>
  <c r="C87" i="14"/>
  <c r="C63" i="14"/>
  <c r="C39" i="14"/>
  <c r="C3" i="14"/>
  <c r="C230" i="14"/>
  <c r="C206" i="14"/>
  <c r="C182" i="14"/>
  <c r="C158" i="14"/>
  <c r="C134" i="14"/>
  <c r="C110" i="14"/>
  <c r="C86" i="14"/>
  <c r="C74" i="14"/>
  <c r="C38" i="14"/>
  <c r="C14" i="14"/>
  <c r="C240" i="14"/>
  <c r="C228" i="14"/>
  <c r="C216" i="14"/>
  <c r="C204" i="14"/>
  <c r="C192" i="14"/>
  <c r="C180" i="14"/>
  <c r="C168" i="14"/>
  <c r="C156" i="14"/>
  <c r="C144" i="14"/>
  <c r="C132" i="14"/>
  <c r="C120" i="14"/>
  <c r="C108" i="14"/>
  <c r="C96" i="14"/>
  <c r="C84" i="14"/>
  <c r="C72" i="14"/>
  <c r="C60" i="14"/>
  <c r="C48" i="14"/>
  <c r="C36" i="14"/>
  <c r="C24" i="14"/>
  <c r="C12" i="14"/>
  <c r="C239" i="14"/>
  <c r="C227" i="14"/>
  <c r="C215" i="14"/>
  <c r="C203" i="14"/>
  <c r="C191" i="14"/>
  <c r="C179" i="14"/>
  <c r="C167" i="14"/>
  <c r="C155" i="14"/>
  <c r="C143" i="14"/>
  <c r="C131" i="14"/>
  <c r="C119" i="14"/>
  <c r="C107" i="14"/>
  <c r="C95" i="14"/>
  <c r="C83" i="14"/>
  <c r="C71" i="14"/>
  <c r="C59" i="14"/>
  <c r="C47" i="14"/>
  <c r="C35" i="14"/>
  <c r="C23" i="14"/>
  <c r="C11" i="14"/>
  <c r="C238" i="14"/>
  <c r="C226" i="14"/>
  <c r="C214" i="14"/>
  <c r="C202" i="14"/>
  <c r="C190" i="14"/>
  <c r="C178" i="14"/>
  <c r="C166" i="14"/>
  <c r="C154" i="14"/>
  <c r="C142" i="14"/>
  <c r="C130" i="14"/>
  <c r="C118" i="14"/>
  <c r="C106" i="14"/>
  <c r="C94" i="14"/>
  <c r="C82" i="14"/>
  <c r="C70" i="14"/>
  <c r="C58" i="14"/>
  <c r="C46" i="14"/>
  <c r="C34" i="14"/>
  <c r="C22" i="14"/>
  <c r="C10" i="14"/>
  <c r="C237" i="14"/>
  <c r="C225" i="14"/>
  <c r="C213" i="14"/>
  <c r="C201" i="14"/>
  <c r="C189" i="14"/>
  <c r="C177" i="14"/>
  <c r="C165" i="14"/>
  <c r="C153" i="14"/>
  <c r="C141" i="14"/>
  <c r="C129" i="14"/>
  <c r="C117" i="14"/>
  <c r="C105" i="14"/>
  <c r="C93" i="14"/>
  <c r="C81" i="14"/>
  <c r="C69" i="14"/>
  <c r="C57" i="14"/>
  <c r="C45" i="14"/>
  <c r="C33" i="14"/>
  <c r="C21" i="14"/>
  <c r="C9" i="14"/>
  <c r="C236" i="14"/>
  <c r="C224" i="14"/>
  <c r="C212" i="14"/>
  <c r="C200" i="14"/>
  <c r="C188" i="14"/>
  <c r="C176" i="14"/>
  <c r="C164" i="14"/>
  <c r="C152" i="14"/>
  <c r="C140" i="14"/>
  <c r="C128" i="14"/>
  <c r="C116" i="14"/>
  <c r="C104" i="14"/>
  <c r="C92" i="14"/>
  <c r="C80" i="14"/>
  <c r="C68" i="14"/>
  <c r="C56" i="14"/>
  <c r="C44" i="14"/>
  <c r="C32" i="14"/>
  <c r="C20" i="14"/>
  <c r="C8" i="14"/>
  <c r="C232" i="14"/>
  <c r="C220" i="14"/>
  <c r="C208" i="14"/>
  <c r="C196" i="14"/>
  <c r="C184" i="14"/>
  <c r="C172" i="14"/>
  <c r="C160" i="14"/>
  <c r="C148" i="14"/>
  <c r="C136" i="14"/>
  <c r="C124" i="14"/>
  <c r="C112" i="14"/>
  <c r="C100" i="14"/>
  <c r="C88" i="14"/>
  <c r="C76" i="14"/>
  <c r="C64" i="14"/>
  <c r="C52" i="14"/>
  <c r="C40" i="14"/>
  <c r="C28" i="14"/>
  <c r="C16" i="14"/>
  <c r="C4" i="14"/>
  <c r="G5" i="11"/>
  <c r="D5" i="10" l="1"/>
  <c r="K24" i="1"/>
  <c r="I24" i="1"/>
  <c r="G24" i="1"/>
  <c r="E24" i="1"/>
  <c r="D11" i="1"/>
  <c r="E5" i="10"/>
  <c r="F5" i="10" l="1"/>
  <c r="G10" i="11"/>
  <c r="E2" i="14"/>
  <c r="G10" i="13"/>
  <c r="G9" i="13"/>
  <c r="G9" i="11"/>
  <c r="B4" i="10"/>
  <c r="B1" i="13"/>
  <c r="B1" i="11"/>
  <c r="G5" i="10" l="1"/>
  <c r="G3" i="11"/>
  <c r="G2" i="13"/>
  <c r="F2" i="13"/>
  <c r="F3" i="13"/>
  <c r="F3" i="11"/>
  <c r="G2" i="11"/>
  <c r="F2" i="11"/>
  <c r="A4" i="13"/>
  <c r="A4" i="11"/>
  <c r="C4" i="11"/>
  <c r="G6" i="13"/>
  <c r="E3" i="14" l="1"/>
  <c r="B2" i="14"/>
  <c r="D2" i="14" l="1"/>
  <c r="F2" i="14" s="1"/>
  <c r="G5" i="13"/>
  <c r="G3" i="13" s="1"/>
  <c r="E182" i="14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E4" i="14"/>
  <c r="B5" i="14"/>
  <c r="B4" i="14"/>
  <c r="B3" i="14"/>
  <c r="C4" i="13"/>
  <c r="D1" i="13"/>
  <c r="E103" i="10"/>
  <c r="H451" i="10" l="1"/>
  <c r="F451" i="10"/>
  <c r="E451" i="10"/>
  <c r="G451" i="10"/>
  <c r="H391" i="10"/>
  <c r="F391" i="10"/>
  <c r="E391" i="10"/>
  <c r="G391" i="10"/>
  <c r="H367" i="10"/>
  <c r="F367" i="10"/>
  <c r="E367" i="10"/>
  <c r="G367" i="10"/>
  <c r="E331" i="10"/>
  <c r="F331" i="10"/>
  <c r="G331" i="10"/>
  <c r="H331" i="10"/>
  <c r="E295" i="10"/>
  <c r="F295" i="10"/>
  <c r="G295" i="10"/>
  <c r="H295" i="10"/>
  <c r="E283" i="10"/>
  <c r="F283" i="10"/>
  <c r="G283" i="10"/>
  <c r="H283" i="10"/>
  <c r="E247" i="10"/>
  <c r="F247" i="10"/>
  <c r="G247" i="10"/>
  <c r="H247" i="10"/>
  <c r="E235" i="10"/>
  <c r="F235" i="10"/>
  <c r="G235" i="10"/>
  <c r="H235" i="10"/>
  <c r="E223" i="10"/>
  <c r="F223" i="10"/>
  <c r="G223" i="10"/>
  <c r="H223" i="10"/>
  <c r="E211" i="10"/>
  <c r="F211" i="10"/>
  <c r="G211" i="10"/>
  <c r="H211" i="10"/>
  <c r="E199" i="10"/>
  <c r="F199" i="10"/>
  <c r="G199" i="10"/>
  <c r="H199" i="10"/>
  <c r="E187" i="10"/>
  <c r="F187" i="10"/>
  <c r="G187" i="10"/>
  <c r="H187" i="10"/>
  <c r="E175" i="10"/>
  <c r="F175" i="10"/>
  <c r="G175" i="10"/>
  <c r="H175" i="10"/>
  <c r="E139" i="10"/>
  <c r="F139" i="10"/>
  <c r="G139" i="10"/>
  <c r="H139" i="10"/>
  <c r="E127" i="10"/>
  <c r="F127" i="10"/>
  <c r="G127" i="10"/>
  <c r="H127" i="10"/>
  <c r="E115" i="10"/>
  <c r="F115" i="10"/>
  <c r="G115" i="10"/>
  <c r="H115" i="10"/>
  <c r="H439" i="10"/>
  <c r="F439" i="10"/>
  <c r="E439" i="10"/>
  <c r="G439" i="10"/>
  <c r="H415" i="10"/>
  <c r="F415" i="10"/>
  <c r="E415" i="10"/>
  <c r="G415" i="10"/>
  <c r="H379" i="10"/>
  <c r="F379" i="10"/>
  <c r="E379" i="10"/>
  <c r="G379" i="10"/>
  <c r="E343" i="10"/>
  <c r="F343" i="10"/>
  <c r="G343" i="10"/>
  <c r="H343" i="10"/>
  <c r="E307" i="10"/>
  <c r="F307" i="10"/>
  <c r="G307" i="10"/>
  <c r="H307" i="10"/>
  <c r="E271" i="10"/>
  <c r="F271" i="10"/>
  <c r="G271" i="10"/>
  <c r="H271" i="10"/>
  <c r="E151" i="10"/>
  <c r="F151" i="10"/>
  <c r="G151" i="10"/>
  <c r="H151" i="10"/>
  <c r="E498" i="10"/>
  <c r="F498" i="10"/>
  <c r="G498" i="10"/>
  <c r="H498" i="10"/>
  <c r="E486" i="10"/>
  <c r="F486" i="10"/>
  <c r="G486" i="10"/>
  <c r="H486" i="10"/>
  <c r="E474" i="10"/>
  <c r="F474" i="10"/>
  <c r="G474" i="10"/>
  <c r="H474" i="10"/>
  <c r="E462" i="10"/>
  <c r="F462" i="10"/>
  <c r="G462" i="10"/>
  <c r="H462" i="10"/>
  <c r="E450" i="10"/>
  <c r="F450" i="10"/>
  <c r="G450" i="10"/>
  <c r="H450" i="10"/>
  <c r="E438" i="10"/>
  <c r="F438" i="10"/>
  <c r="G438" i="10"/>
  <c r="H438" i="10"/>
  <c r="E426" i="10"/>
  <c r="F426" i="10"/>
  <c r="G426" i="10"/>
  <c r="H426" i="10"/>
  <c r="E414" i="10"/>
  <c r="F414" i="10"/>
  <c r="G414" i="10"/>
  <c r="H414" i="10"/>
  <c r="E402" i="10"/>
  <c r="F402" i="10"/>
  <c r="G402" i="10"/>
  <c r="H402" i="10"/>
  <c r="E390" i="10"/>
  <c r="F390" i="10"/>
  <c r="G390" i="10"/>
  <c r="H390" i="10"/>
  <c r="E378" i="10"/>
  <c r="F378" i="10"/>
  <c r="G378" i="10"/>
  <c r="H378" i="10"/>
  <c r="E366" i="10"/>
  <c r="F366" i="10"/>
  <c r="G366" i="10"/>
  <c r="H366" i="10"/>
  <c r="F354" i="10"/>
  <c r="G354" i="10"/>
  <c r="H354" i="10"/>
  <c r="E354" i="10"/>
  <c r="F342" i="10"/>
  <c r="G342" i="10"/>
  <c r="H342" i="10"/>
  <c r="E342" i="10"/>
  <c r="F330" i="10"/>
  <c r="G330" i="10"/>
  <c r="H330" i="10"/>
  <c r="E330" i="10"/>
  <c r="F318" i="10"/>
  <c r="G318" i="10"/>
  <c r="H318" i="10"/>
  <c r="E318" i="10"/>
  <c r="F306" i="10"/>
  <c r="G306" i="10"/>
  <c r="H306" i="10"/>
  <c r="E306" i="10"/>
  <c r="F294" i="10"/>
  <c r="G294" i="10"/>
  <c r="H294" i="10"/>
  <c r="E294" i="10"/>
  <c r="F282" i="10"/>
  <c r="G282" i="10"/>
  <c r="H282" i="10"/>
  <c r="E282" i="10"/>
  <c r="F270" i="10"/>
  <c r="G270" i="10"/>
  <c r="H270" i="10"/>
  <c r="E270" i="10"/>
  <c r="F258" i="10"/>
  <c r="G258" i="10"/>
  <c r="H258" i="10"/>
  <c r="E258" i="10"/>
  <c r="F246" i="10"/>
  <c r="G246" i="10"/>
  <c r="H246" i="10"/>
  <c r="E246" i="10"/>
  <c r="F234" i="10"/>
  <c r="G234" i="10"/>
  <c r="H234" i="10"/>
  <c r="E234" i="10"/>
  <c r="F222" i="10"/>
  <c r="G222" i="10"/>
  <c r="H222" i="10"/>
  <c r="E222" i="10"/>
  <c r="F210" i="10"/>
  <c r="G210" i="10"/>
  <c r="H210" i="10"/>
  <c r="E210" i="10"/>
  <c r="E198" i="10"/>
  <c r="F198" i="10"/>
  <c r="G198" i="10"/>
  <c r="H198" i="10"/>
  <c r="E186" i="10"/>
  <c r="F186" i="10"/>
  <c r="G186" i="10"/>
  <c r="H186" i="10"/>
  <c r="E174" i="10"/>
  <c r="F174" i="10"/>
  <c r="G174" i="10"/>
  <c r="H174" i="10"/>
  <c r="E162" i="10"/>
  <c r="F162" i="10"/>
  <c r="G162" i="10"/>
  <c r="H162" i="10"/>
  <c r="E150" i="10"/>
  <c r="F150" i="10"/>
  <c r="G150" i="10"/>
  <c r="H150" i="10"/>
  <c r="E138" i="10"/>
  <c r="F138" i="10"/>
  <c r="G138" i="10"/>
  <c r="H138" i="10"/>
  <c r="E126" i="10"/>
  <c r="F126" i="10"/>
  <c r="G126" i="10"/>
  <c r="H126" i="10"/>
  <c r="E114" i="10"/>
  <c r="F114" i="10"/>
  <c r="G114" i="10"/>
  <c r="H114" i="10"/>
  <c r="H427" i="10"/>
  <c r="F427" i="10"/>
  <c r="E427" i="10"/>
  <c r="G427" i="10"/>
  <c r="H403" i="10"/>
  <c r="F403" i="10"/>
  <c r="E403" i="10"/>
  <c r="G403" i="10"/>
  <c r="E355" i="10"/>
  <c r="F355" i="10"/>
  <c r="G355" i="10"/>
  <c r="H355" i="10"/>
  <c r="E319" i="10"/>
  <c r="F319" i="10"/>
  <c r="G319" i="10"/>
  <c r="H319" i="10"/>
  <c r="E259" i="10"/>
  <c r="F259" i="10"/>
  <c r="G259" i="10"/>
  <c r="H259" i="10"/>
  <c r="E163" i="10"/>
  <c r="F163" i="10"/>
  <c r="G163" i="10"/>
  <c r="H163" i="10"/>
  <c r="E497" i="10"/>
  <c r="F497" i="10"/>
  <c r="G497" i="10"/>
  <c r="H497" i="10"/>
  <c r="E485" i="10"/>
  <c r="F485" i="10"/>
  <c r="G485" i="10"/>
  <c r="H485" i="10"/>
  <c r="E473" i="10"/>
  <c r="F473" i="10"/>
  <c r="G473" i="10"/>
  <c r="H473" i="10"/>
  <c r="E461" i="10"/>
  <c r="F461" i="10"/>
  <c r="G461" i="10"/>
  <c r="H461" i="10"/>
  <c r="E449" i="10"/>
  <c r="F449" i="10"/>
  <c r="G449" i="10"/>
  <c r="H449" i="10"/>
  <c r="E437" i="10"/>
  <c r="F437" i="10"/>
  <c r="G437" i="10"/>
  <c r="H437" i="10"/>
  <c r="E425" i="10"/>
  <c r="F425" i="10"/>
  <c r="G425" i="10"/>
  <c r="H425" i="10"/>
  <c r="E413" i="10"/>
  <c r="F413" i="10"/>
  <c r="G413" i="10"/>
  <c r="H413" i="10"/>
  <c r="E401" i="10"/>
  <c r="F401" i="10"/>
  <c r="G401" i="10"/>
  <c r="H401" i="10"/>
  <c r="E389" i="10"/>
  <c r="F389" i="10"/>
  <c r="G389" i="10"/>
  <c r="H389" i="10"/>
  <c r="E377" i="10"/>
  <c r="F377" i="10"/>
  <c r="G377" i="10"/>
  <c r="H377" i="10"/>
  <c r="E365" i="10"/>
  <c r="F365" i="10"/>
  <c r="G365" i="10"/>
  <c r="H365" i="10"/>
  <c r="G353" i="10"/>
  <c r="H353" i="10"/>
  <c r="E353" i="10"/>
  <c r="F353" i="10"/>
  <c r="G341" i="10"/>
  <c r="H341" i="10"/>
  <c r="E341" i="10"/>
  <c r="F341" i="10"/>
  <c r="G329" i="10"/>
  <c r="H329" i="10"/>
  <c r="F329" i="10"/>
  <c r="E329" i="10"/>
  <c r="G317" i="10"/>
  <c r="H317" i="10"/>
  <c r="E317" i="10"/>
  <c r="F317" i="10"/>
  <c r="G305" i="10"/>
  <c r="H305" i="10"/>
  <c r="E305" i="10"/>
  <c r="F305" i="10"/>
  <c r="G293" i="10"/>
  <c r="H293" i="10"/>
  <c r="E293" i="10"/>
  <c r="F293" i="10"/>
  <c r="G281" i="10"/>
  <c r="H281" i="10"/>
  <c r="F281" i="10"/>
  <c r="E281" i="10"/>
  <c r="G269" i="10"/>
  <c r="H269" i="10"/>
  <c r="E269" i="10"/>
  <c r="F269" i="10"/>
  <c r="G257" i="10"/>
  <c r="H257" i="10"/>
  <c r="E257" i="10"/>
  <c r="F257" i="10"/>
  <c r="G245" i="10"/>
  <c r="H245" i="10"/>
  <c r="F245" i="10"/>
  <c r="E245" i="10"/>
  <c r="G233" i="10"/>
  <c r="H233" i="10"/>
  <c r="E233" i="10"/>
  <c r="F233" i="10"/>
  <c r="G221" i="10"/>
  <c r="H221" i="10"/>
  <c r="E221" i="10"/>
  <c r="F221" i="10"/>
  <c r="G209" i="10"/>
  <c r="H209" i="10"/>
  <c r="F209" i="10"/>
  <c r="E209" i="10"/>
  <c r="G197" i="10"/>
  <c r="H197" i="10"/>
  <c r="E197" i="10"/>
  <c r="F197" i="10"/>
  <c r="G185" i="10"/>
  <c r="H185" i="10"/>
  <c r="E185" i="10"/>
  <c r="F185" i="10"/>
  <c r="G173" i="10"/>
  <c r="H173" i="10"/>
  <c r="E173" i="10"/>
  <c r="F173" i="10"/>
  <c r="G161" i="10"/>
  <c r="H161" i="10"/>
  <c r="E161" i="10"/>
  <c r="F161" i="10"/>
  <c r="G149" i="10"/>
  <c r="H149" i="10"/>
  <c r="E149" i="10"/>
  <c r="F149" i="10"/>
  <c r="G137" i="10"/>
  <c r="H137" i="10"/>
  <c r="E137" i="10"/>
  <c r="F137" i="10"/>
  <c r="G125" i="10"/>
  <c r="H125" i="10"/>
  <c r="E125" i="10"/>
  <c r="F125" i="10"/>
  <c r="G113" i="10"/>
  <c r="H113" i="10"/>
  <c r="E113" i="10"/>
  <c r="F113" i="10"/>
  <c r="E172" i="10"/>
  <c r="F172" i="10"/>
  <c r="G172" i="10"/>
  <c r="H172" i="10"/>
  <c r="E160" i="10"/>
  <c r="F160" i="10"/>
  <c r="G160" i="10"/>
  <c r="H160" i="10"/>
  <c r="E148" i="10"/>
  <c r="F148" i="10"/>
  <c r="G148" i="10"/>
  <c r="H148" i="10"/>
  <c r="E136" i="10"/>
  <c r="F136" i="10"/>
  <c r="G136" i="10"/>
  <c r="H136" i="10"/>
  <c r="E124" i="10"/>
  <c r="F124" i="10"/>
  <c r="G124" i="10"/>
  <c r="H124" i="10"/>
  <c r="E112" i="10"/>
  <c r="F112" i="10"/>
  <c r="G112" i="10"/>
  <c r="H112" i="10"/>
  <c r="H424" i="10"/>
  <c r="F424" i="10"/>
  <c r="E424" i="10"/>
  <c r="G424" i="10"/>
  <c r="H364" i="10"/>
  <c r="E364" i="10"/>
  <c r="F364" i="10"/>
  <c r="G364" i="10"/>
  <c r="E244" i="10"/>
  <c r="F244" i="10"/>
  <c r="G244" i="10"/>
  <c r="H244" i="10"/>
  <c r="E495" i="10"/>
  <c r="F495" i="10"/>
  <c r="G495" i="10"/>
  <c r="H495" i="10"/>
  <c r="E483" i="10"/>
  <c r="F483" i="10"/>
  <c r="G483" i="10"/>
  <c r="H483" i="10"/>
  <c r="E471" i="10"/>
  <c r="F471" i="10"/>
  <c r="G471" i="10"/>
  <c r="H471" i="10"/>
  <c r="E459" i="10"/>
  <c r="F459" i="10"/>
  <c r="G459" i="10"/>
  <c r="H459" i="10"/>
  <c r="E447" i="10"/>
  <c r="F447" i="10"/>
  <c r="G447" i="10"/>
  <c r="H447" i="10"/>
  <c r="E435" i="10"/>
  <c r="F435" i="10"/>
  <c r="G435" i="10"/>
  <c r="H435" i="10"/>
  <c r="E423" i="10"/>
  <c r="F423" i="10"/>
  <c r="G423" i="10"/>
  <c r="H423" i="10"/>
  <c r="E411" i="10"/>
  <c r="F411" i="10"/>
  <c r="G411" i="10"/>
  <c r="H411" i="10"/>
  <c r="E399" i="10"/>
  <c r="F399" i="10"/>
  <c r="G399" i="10"/>
  <c r="H399" i="10"/>
  <c r="E387" i="10"/>
  <c r="F387" i="10"/>
  <c r="G387" i="10"/>
  <c r="H387" i="10"/>
  <c r="E375" i="10"/>
  <c r="F375" i="10"/>
  <c r="G375" i="10"/>
  <c r="H375" i="10"/>
  <c r="E363" i="10"/>
  <c r="F363" i="10"/>
  <c r="G363" i="10"/>
  <c r="H363" i="10"/>
  <c r="F351" i="10"/>
  <c r="G351" i="10"/>
  <c r="H351" i="10"/>
  <c r="E351" i="10"/>
  <c r="F339" i="10"/>
  <c r="G339" i="10"/>
  <c r="H339" i="10"/>
  <c r="E339" i="10"/>
  <c r="F327" i="10"/>
  <c r="G327" i="10"/>
  <c r="H327" i="10"/>
  <c r="E327" i="10"/>
  <c r="F315" i="10"/>
  <c r="G315" i="10"/>
  <c r="H315" i="10"/>
  <c r="E315" i="10"/>
  <c r="F303" i="10"/>
  <c r="G303" i="10"/>
  <c r="H303" i="10"/>
  <c r="E303" i="10"/>
  <c r="F291" i="10"/>
  <c r="G291" i="10"/>
  <c r="H291" i="10"/>
  <c r="E291" i="10"/>
  <c r="F279" i="10"/>
  <c r="G279" i="10"/>
  <c r="H279" i="10"/>
  <c r="E279" i="10"/>
  <c r="F267" i="10"/>
  <c r="G267" i="10"/>
  <c r="H267" i="10"/>
  <c r="E267" i="10"/>
  <c r="F255" i="10"/>
  <c r="G255" i="10"/>
  <c r="H255" i="10"/>
  <c r="E255" i="10"/>
  <c r="F243" i="10"/>
  <c r="G243" i="10"/>
  <c r="H243" i="10"/>
  <c r="E243" i="10"/>
  <c r="F231" i="10"/>
  <c r="G231" i="10"/>
  <c r="H231" i="10"/>
  <c r="E231" i="10"/>
  <c r="F219" i="10"/>
  <c r="G219" i="10"/>
  <c r="H219" i="10"/>
  <c r="E219" i="10"/>
  <c r="F207" i="10"/>
  <c r="G207" i="10"/>
  <c r="H207" i="10"/>
  <c r="E207" i="10"/>
  <c r="E195" i="10"/>
  <c r="F195" i="10"/>
  <c r="G195" i="10"/>
  <c r="H195" i="10"/>
  <c r="E183" i="10"/>
  <c r="F183" i="10"/>
  <c r="G183" i="10"/>
  <c r="H183" i="10"/>
  <c r="E171" i="10"/>
  <c r="F171" i="10"/>
  <c r="G171" i="10"/>
  <c r="H171" i="10"/>
  <c r="E159" i="10"/>
  <c r="F159" i="10"/>
  <c r="G159" i="10"/>
  <c r="H159" i="10"/>
  <c r="E147" i="10"/>
  <c r="F147" i="10"/>
  <c r="G147" i="10"/>
  <c r="H147" i="10"/>
  <c r="E135" i="10"/>
  <c r="F135" i="10"/>
  <c r="G135" i="10"/>
  <c r="H135" i="10"/>
  <c r="E123" i="10"/>
  <c r="F123" i="10"/>
  <c r="G123" i="10"/>
  <c r="H123" i="10"/>
  <c r="E111" i="10"/>
  <c r="F111" i="10"/>
  <c r="G111" i="10"/>
  <c r="H111" i="10"/>
  <c r="H463" i="10"/>
  <c r="F463" i="10"/>
  <c r="E463" i="10"/>
  <c r="G463" i="10"/>
  <c r="H496" i="10"/>
  <c r="F496" i="10"/>
  <c r="E496" i="10"/>
  <c r="G496" i="10"/>
  <c r="H400" i="10"/>
  <c r="F400" i="10"/>
  <c r="E400" i="10"/>
  <c r="G400" i="10"/>
  <c r="E328" i="10"/>
  <c r="F328" i="10"/>
  <c r="H328" i="10"/>
  <c r="G328" i="10"/>
  <c r="E220" i="10"/>
  <c r="F220" i="10"/>
  <c r="G220" i="10"/>
  <c r="H220" i="10"/>
  <c r="E494" i="10"/>
  <c r="F494" i="10"/>
  <c r="G494" i="10"/>
  <c r="H494" i="10"/>
  <c r="E482" i="10"/>
  <c r="F482" i="10"/>
  <c r="G482" i="10"/>
  <c r="H482" i="10"/>
  <c r="E470" i="10"/>
  <c r="F470" i="10"/>
  <c r="G470" i="10"/>
  <c r="H470" i="10"/>
  <c r="E458" i="10"/>
  <c r="F458" i="10"/>
  <c r="G458" i="10"/>
  <c r="H458" i="10"/>
  <c r="E446" i="10"/>
  <c r="F446" i="10"/>
  <c r="G446" i="10"/>
  <c r="H446" i="10"/>
  <c r="E434" i="10"/>
  <c r="F434" i="10"/>
  <c r="G434" i="10"/>
  <c r="H434" i="10"/>
  <c r="E422" i="10"/>
  <c r="F422" i="10"/>
  <c r="G422" i="10"/>
  <c r="H422" i="10"/>
  <c r="E410" i="10"/>
  <c r="F410" i="10"/>
  <c r="G410" i="10"/>
  <c r="H410" i="10"/>
  <c r="E398" i="10"/>
  <c r="F398" i="10"/>
  <c r="G398" i="10"/>
  <c r="H398" i="10"/>
  <c r="E386" i="10"/>
  <c r="F386" i="10"/>
  <c r="G386" i="10"/>
  <c r="H386" i="10"/>
  <c r="E374" i="10"/>
  <c r="F374" i="10"/>
  <c r="G374" i="10"/>
  <c r="H374" i="10"/>
  <c r="E362" i="10"/>
  <c r="F362" i="10"/>
  <c r="G362" i="10"/>
  <c r="H362" i="10"/>
  <c r="G350" i="10"/>
  <c r="H350" i="10"/>
  <c r="E350" i="10"/>
  <c r="F350" i="10"/>
  <c r="G338" i="10"/>
  <c r="H338" i="10"/>
  <c r="E338" i="10"/>
  <c r="F338" i="10"/>
  <c r="G326" i="10"/>
  <c r="H326" i="10"/>
  <c r="E326" i="10"/>
  <c r="F326" i="10"/>
  <c r="G314" i="10"/>
  <c r="H314" i="10"/>
  <c r="E314" i="10"/>
  <c r="F314" i="10"/>
  <c r="G302" i="10"/>
  <c r="H302" i="10"/>
  <c r="E302" i="10"/>
  <c r="F302" i="10"/>
  <c r="G290" i="10"/>
  <c r="H290" i="10"/>
  <c r="F290" i="10"/>
  <c r="E290" i="10"/>
  <c r="G278" i="10"/>
  <c r="H278" i="10"/>
  <c r="E278" i="10"/>
  <c r="F278" i="10"/>
  <c r="G266" i="10"/>
  <c r="H266" i="10"/>
  <c r="E266" i="10"/>
  <c r="F266" i="10"/>
  <c r="G254" i="10"/>
  <c r="H254" i="10"/>
  <c r="E254" i="10"/>
  <c r="F254" i="10"/>
  <c r="G242" i="10"/>
  <c r="H242" i="10"/>
  <c r="E242" i="10"/>
  <c r="F242" i="10"/>
  <c r="G230" i="10"/>
  <c r="H230" i="10"/>
  <c r="E230" i="10"/>
  <c r="F230" i="10"/>
  <c r="G218" i="10"/>
  <c r="H218" i="10"/>
  <c r="F218" i="10"/>
  <c r="E218" i="10"/>
  <c r="G206" i="10"/>
  <c r="H206" i="10"/>
  <c r="E206" i="10"/>
  <c r="F206" i="10"/>
  <c r="G194" i="10"/>
  <c r="H194" i="10"/>
  <c r="E194" i="10"/>
  <c r="F194" i="10"/>
  <c r="G182" i="10"/>
  <c r="H182" i="10"/>
  <c r="E182" i="10"/>
  <c r="F182" i="10"/>
  <c r="G170" i="10"/>
  <c r="H170" i="10"/>
  <c r="E170" i="10"/>
  <c r="F170" i="10"/>
  <c r="G158" i="10"/>
  <c r="H158" i="10"/>
  <c r="E158" i="10"/>
  <c r="F158" i="10"/>
  <c r="G146" i="10"/>
  <c r="H146" i="10"/>
  <c r="E146" i="10"/>
  <c r="F146" i="10"/>
  <c r="G134" i="10"/>
  <c r="H134" i="10"/>
  <c r="E134" i="10"/>
  <c r="F134" i="10"/>
  <c r="G122" i="10"/>
  <c r="H122" i="10"/>
  <c r="E122" i="10"/>
  <c r="F122" i="10"/>
  <c r="G110" i="10"/>
  <c r="H110" i="10"/>
  <c r="E110" i="10"/>
  <c r="F110" i="10"/>
  <c r="H499" i="10"/>
  <c r="F499" i="10"/>
  <c r="E499" i="10"/>
  <c r="G499" i="10"/>
  <c r="H472" i="10"/>
  <c r="F472" i="10"/>
  <c r="E472" i="10"/>
  <c r="G472" i="10"/>
  <c r="H388" i="10"/>
  <c r="F388" i="10"/>
  <c r="E388" i="10"/>
  <c r="G388" i="10"/>
  <c r="E208" i="10"/>
  <c r="F208" i="10"/>
  <c r="G208" i="10"/>
  <c r="H208" i="10"/>
  <c r="H493" i="10"/>
  <c r="F493" i="10"/>
  <c r="E493" i="10"/>
  <c r="G493" i="10"/>
  <c r="H481" i="10"/>
  <c r="F481" i="10"/>
  <c r="E481" i="10"/>
  <c r="G481" i="10"/>
  <c r="H469" i="10"/>
  <c r="F469" i="10"/>
  <c r="E469" i="10"/>
  <c r="G469" i="10"/>
  <c r="H457" i="10"/>
  <c r="E457" i="10"/>
  <c r="F457" i="10"/>
  <c r="G457" i="10"/>
  <c r="H445" i="10"/>
  <c r="F445" i="10"/>
  <c r="E445" i="10"/>
  <c r="G445" i="10"/>
  <c r="H433" i="10"/>
  <c r="E433" i="10"/>
  <c r="F433" i="10"/>
  <c r="G433" i="10"/>
  <c r="H421" i="10"/>
  <c r="F421" i="10"/>
  <c r="E421" i="10"/>
  <c r="G421" i="10"/>
  <c r="H409" i="10"/>
  <c r="E409" i="10"/>
  <c r="F409" i="10"/>
  <c r="G409" i="10"/>
  <c r="H397" i="10"/>
  <c r="F397" i="10"/>
  <c r="E397" i="10"/>
  <c r="G397" i="10"/>
  <c r="H385" i="10"/>
  <c r="E385" i="10"/>
  <c r="F385" i="10"/>
  <c r="G385" i="10"/>
  <c r="H373" i="10"/>
  <c r="F373" i="10"/>
  <c r="E373" i="10"/>
  <c r="G373" i="10"/>
  <c r="H361" i="10"/>
  <c r="F361" i="10"/>
  <c r="E361" i="10"/>
  <c r="G361" i="10"/>
  <c r="E349" i="10"/>
  <c r="F349" i="10"/>
  <c r="G349" i="10"/>
  <c r="H349" i="10"/>
  <c r="E337" i="10"/>
  <c r="F337" i="10"/>
  <c r="G337" i="10"/>
  <c r="H337" i="10"/>
  <c r="E325" i="10"/>
  <c r="F325" i="10"/>
  <c r="G325" i="10"/>
  <c r="H325" i="10"/>
  <c r="E313" i="10"/>
  <c r="F313" i="10"/>
  <c r="G313" i="10"/>
  <c r="H313" i="10"/>
  <c r="E301" i="10"/>
  <c r="F301" i="10"/>
  <c r="G301" i="10"/>
  <c r="H301" i="10"/>
  <c r="E289" i="10"/>
  <c r="F289" i="10"/>
  <c r="G289" i="10"/>
  <c r="H289" i="10"/>
  <c r="E277" i="10"/>
  <c r="F277" i="10"/>
  <c r="G277" i="10"/>
  <c r="H277" i="10"/>
  <c r="E265" i="10"/>
  <c r="F265" i="10"/>
  <c r="G265" i="10"/>
  <c r="H265" i="10"/>
  <c r="E253" i="10"/>
  <c r="F253" i="10"/>
  <c r="G253" i="10"/>
  <c r="H253" i="10"/>
  <c r="E241" i="10"/>
  <c r="F241" i="10"/>
  <c r="G241" i="10"/>
  <c r="H241" i="10"/>
  <c r="E229" i="10"/>
  <c r="F229" i="10"/>
  <c r="G229" i="10"/>
  <c r="H229" i="10"/>
  <c r="E217" i="10"/>
  <c r="F217" i="10"/>
  <c r="G217" i="10"/>
  <c r="H217" i="10"/>
  <c r="E205" i="10"/>
  <c r="F205" i="10"/>
  <c r="G205" i="10"/>
  <c r="H205" i="10"/>
  <c r="E193" i="10"/>
  <c r="F193" i="10"/>
  <c r="G193" i="10"/>
  <c r="H193" i="10"/>
  <c r="E181" i="10"/>
  <c r="F181" i="10"/>
  <c r="G181" i="10"/>
  <c r="H181" i="10"/>
  <c r="E169" i="10"/>
  <c r="F169" i="10"/>
  <c r="G169" i="10"/>
  <c r="H169" i="10"/>
  <c r="E157" i="10"/>
  <c r="F157" i="10"/>
  <c r="G157" i="10"/>
  <c r="H157" i="10"/>
  <c r="E145" i="10"/>
  <c r="F145" i="10"/>
  <c r="G145" i="10"/>
  <c r="H145" i="10"/>
  <c r="E133" i="10"/>
  <c r="F133" i="10"/>
  <c r="G133" i="10"/>
  <c r="H133" i="10"/>
  <c r="E121" i="10"/>
  <c r="F121" i="10"/>
  <c r="G121" i="10"/>
  <c r="H121" i="10"/>
  <c r="E109" i="10"/>
  <c r="F109" i="10"/>
  <c r="G109" i="10"/>
  <c r="H109" i="10"/>
  <c r="H460" i="10"/>
  <c r="F460" i="10"/>
  <c r="E460" i="10"/>
  <c r="G460" i="10"/>
  <c r="E352" i="10"/>
  <c r="F352" i="10"/>
  <c r="G352" i="10"/>
  <c r="H352" i="10"/>
  <c r="E316" i="10"/>
  <c r="F316" i="10"/>
  <c r="G316" i="10"/>
  <c r="H316" i="10"/>
  <c r="E292" i="10"/>
  <c r="F292" i="10"/>
  <c r="G292" i="10"/>
  <c r="H292" i="10"/>
  <c r="E184" i="10"/>
  <c r="F184" i="10"/>
  <c r="G184" i="10"/>
  <c r="H184" i="10"/>
  <c r="E492" i="10"/>
  <c r="F492" i="10"/>
  <c r="G492" i="10"/>
  <c r="H492" i="10"/>
  <c r="E480" i="10"/>
  <c r="F480" i="10"/>
  <c r="G480" i="10"/>
  <c r="H480" i="10"/>
  <c r="E468" i="10"/>
  <c r="F468" i="10"/>
  <c r="G468" i="10"/>
  <c r="H468" i="10"/>
  <c r="E456" i="10"/>
  <c r="F456" i="10"/>
  <c r="G456" i="10"/>
  <c r="H456" i="10"/>
  <c r="E444" i="10"/>
  <c r="F444" i="10"/>
  <c r="G444" i="10"/>
  <c r="H444" i="10"/>
  <c r="E432" i="10"/>
  <c r="F432" i="10"/>
  <c r="G432" i="10"/>
  <c r="H432" i="10"/>
  <c r="E420" i="10"/>
  <c r="F420" i="10"/>
  <c r="G420" i="10"/>
  <c r="H420" i="10"/>
  <c r="E408" i="10"/>
  <c r="F408" i="10"/>
  <c r="G408" i="10"/>
  <c r="H408" i="10"/>
  <c r="E396" i="10"/>
  <c r="F396" i="10"/>
  <c r="G396" i="10"/>
  <c r="H396" i="10"/>
  <c r="E384" i="10"/>
  <c r="F384" i="10"/>
  <c r="G384" i="10"/>
  <c r="H384" i="10"/>
  <c r="E372" i="10"/>
  <c r="F372" i="10"/>
  <c r="G372" i="10"/>
  <c r="H372" i="10"/>
  <c r="E360" i="10"/>
  <c r="F360" i="10"/>
  <c r="G360" i="10"/>
  <c r="H360" i="10"/>
  <c r="F348" i="10"/>
  <c r="G348" i="10"/>
  <c r="H348" i="10"/>
  <c r="E348" i="10"/>
  <c r="F336" i="10"/>
  <c r="G336" i="10"/>
  <c r="H336" i="10"/>
  <c r="E336" i="10"/>
  <c r="F324" i="10"/>
  <c r="G324" i="10"/>
  <c r="H324" i="10"/>
  <c r="E324" i="10"/>
  <c r="F312" i="10"/>
  <c r="G312" i="10"/>
  <c r="H312" i="10"/>
  <c r="E312" i="10"/>
  <c r="F300" i="10"/>
  <c r="G300" i="10"/>
  <c r="H300" i="10"/>
  <c r="E300" i="10"/>
  <c r="F288" i="10"/>
  <c r="G288" i="10"/>
  <c r="H288" i="10"/>
  <c r="E288" i="10"/>
  <c r="F276" i="10"/>
  <c r="G276" i="10"/>
  <c r="H276" i="10"/>
  <c r="E276" i="10"/>
  <c r="F264" i="10"/>
  <c r="G264" i="10"/>
  <c r="H264" i="10"/>
  <c r="E264" i="10"/>
  <c r="F252" i="10"/>
  <c r="G252" i="10"/>
  <c r="H252" i="10"/>
  <c r="E252" i="10"/>
  <c r="F240" i="10"/>
  <c r="G240" i="10"/>
  <c r="H240" i="10"/>
  <c r="E240" i="10"/>
  <c r="F228" i="10"/>
  <c r="G228" i="10"/>
  <c r="H228" i="10"/>
  <c r="E228" i="10"/>
  <c r="F216" i="10"/>
  <c r="G216" i="10"/>
  <c r="H216" i="10"/>
  <c r="E216" i="10"/>
  <c r="F204" i="10"/>
  <c r="G204" i="10"/>
  <c r="H204" i="10"/>
  <c r="E204" i="10"/>
  <c r="E192" i="10"/>
  <c r="F192" i="10"/>
  <c r="G192" i="10"/>
  <c r="H192" i="10"/>
  <c r="E180" i="10"/>
  <c r="F180" i="10"/>
  <c r="G180" i="10"/>
  <c r="H180" i="10"/>
  <c r="E168" i="10"/>
  <c r="F168" i="10"/>
  <c r="G168" i="10"/>
  <c r="H168" i="10"/>
  <c r="E156" i="10"/>
  <c r="F156" i="10"/>
  <c r="G156" i="10"/>
  <c r="H156" i="10"/>
  <c r="E144" i="10"/>
  <c r="F144" i="10"/>
  <c r="G144" i="10"/>
  <c r="H144" i="10"/>
  <c r="E132" i="10"/>
  <c r="F132" i="10"/>
  <c r="G132" i="10"/>
  <c r="H132" i="10"/>
  <c r="E120" i="10"/>
  <c r="F120" i="10"/>
  <c r="G120" i="10"/>
  <c r="H120" i="10"/>
  <c r="E108" i="10"/>
  <c r="F108" i="10"/>
  <c r="G108" i="10"/>
  <c r="H108" i="10"/>
  <c r="E196" i="10"/>
  <c r="F196" i="10"/>
  <c r="G196" i="10"/>
  <c r="H196" i="10"/>
  <c r="E491" i="10"/>
  <c r="F491" i="10"/>
  <c r="G491" i="10"/>
  <c r="H491" i="10"/>
  <c r="E479" i="10"/>
  <c r="F479" i="10"/>
  <c r="G479" i="10"/>
  <c r="H479" i="10"/>
  <c r="E467" i="10"/>
  <c r="F467" i="10"/>
  <c r="G467" i="10"/>
  <c r="H467" i="10"/>
  <c r="E455" i="10"/>
  <c r="F455" i="10"/>
  <c r="G455" i="10"/>
  <c r="H455" i="10"/>
  <c r="E443" i="10"/>
  <c r="F443" i="10"/>
  <c r="G443" i="10"/>
  <c r="H443" i="10"/>
  <c r="E431" i="10"/>
  <c r="F431" i="10"/>
  <c r="G431" i="10"/>
  <c r="H431" i="10"/>
  <c r="E419" i="10"/>
  <c r="F419" i="10"/>
  <c r="G419" i="10"/>
  <c r="H419" i="10"/>
  <c r="E407" i="10"/>
  <c r="F407" i="10"/>
  <c r="G407" i="10"/>
  <c r="H407" i="10"/>
  <c r="E395" i="10"/>
  <c r="F395" i="10"/>
  <c r="G395" i="10"/>
  <c r="H395" i="10"/>
  <c r="E383" i="10"/>
  <c r="F383" i="10"/>
  <c r="G383" i="10"/>
  <c r="H383" i="10"/>
  <c r="E371" i="10"/>
  <c r="F371" i="10"/>
  <c r="G371" i="10"/>
  <c r="H371" i="10"/>
  <c r="E359" i="10"/>
  <c r="F359" i="10"/>
  <c r="G359" i="10"/>
  <c r="H359" i="10"/>
  <c r="G347" i="10"/>
  <c r="H347" i="10"/>
  <c r="E347" i="10"/>
  <c r="F347" i="10"/>
  <c r="G335" i="10"/>
  <c r="H335" i="10"/>
  <c r="F335" i="10"/>
  <c r="E335" i="10"/>
  <c r="G323" i="10"/>
  <c r="H323" i="10"/>
  <c r="E323" i="10"/>
  <c r="F323" i="10"/>
  <c r="G311" i="10"/>
  <c r="H311" i="10"/>
  <c r="E311" i="10"/>
  <c r="F311" i="10"/>
  <c r="G299" i="10"/>
  <c r="H299" i="10"/>
  <c r="F299" i="10"/>
  <c r="E299" i="10"/>
  <c r="G287" i="10"/>
  <c r="H287" i="10"/>
  <c r="E287" i="10"/>
  <c r="F287" i="10"/>
  <c r="G275" i="10"/>
  <c r="H275" i="10"/>
  <c r="E275" i="10"/>
  <c r="F275" i="10"/>
  <c r="G263" i="10"/>
  <c r="H263" i="10"/>
  <c r="F263" i="10"/>
  <c r="E263" i="10"/>
  <c r="G251" i="10"/>
  <c r="H251" i="10"/>
  <c r="E251" i="10"/>
  <c r="F251" i="10"/>
  <c r="G239" i="10"/>
  <c r="H239" i="10"/>
  <c r="E239" i="10"/>
  <c r="F239" i="10"/>
  <c r="G227" i="10"/>
  <c r="H227" i="10"/>
  <c r="F227" i="10"/>
  <c r="E227" i="10"/>
  <c r="G215" i="10"/>
  <c r="H215" i="10"/>
  <c r="E215" i="10"/>
  <c r="F215" i="10"/>
  <c r="G203" i="10"/>
  <c r="H203" i="10"/>
  <c r="E203" i="10"/>
  <c r="F203" i="10"/>
  <c r="G191" i="10"/>
  <c r="H191" i="10"/>
  <c r="E191" i="10"/>
  <c r="F191" i="10"/>
  <c r="G179" i="10"/>
  <c r="H179" i="10"/>
  <c r="E179" i="10"/>
  <c r="F179" i="10"/>
  <c r="G167" i="10"/>
  <c r="H167" i="10"/>
  <c r="E167" i="10"/>
  <c r="F167" i="10"/>
  <c r="G155" i="10"/>
  <c r="H155" i="10"/>
  <c r="E155" i="10"/>
  <c r="F155" i="10"/>
  <c r="G143" i="10"/>
  <c r="H143" i="10"/>
  <c r="E143" i="10"/>
  <c r="F143" i="10"/>
  <c r="G131" i="10"/>
  <c r="H131" i="10"/>
  <c r="E131" i="10"/>
  <c r="F131" i="10"/>
  <c r="G119" i="10"/>
  <c r="H119" i="10"/>
  <c r="E119" i="10"/>
  <c r="F119" i="10"/>
  <c r="G107" i="10"/>
  <c r="H107" i="10"/>
  <c r="E107" i="10"/>
  <c r="F107" i="10"/>
  <c r="H448" i="10"/>
  <c r="F448" i="10"/>
  <c r="E448" i="10"/>
  <c r="G448" i="10"/>
  <c r="H376" i="10"/>
  <c r="F376" i="10"/>
  <c r="E376" i="10"/>
  <c r="G376" i="10"/>
  <c r="E268" i="10"/>
  <c r="F268" i="10"/>
  <c r="G268" i="10"/>
  <c r="H268" i="10"/>
  <c r="H490" i="10"/>
  <c r="F490" i="10"/>
  <c r="E490" i="10"/>
  <c r="G490" i="10"/>
  <c r="H478" i="10"/>
  <c r="E478" i="10"/>
  <c r="F478" i="10"/>
  <c r="G478" i="10"/>
  <c r="H466" i="10"/>
  <c r="F466" i="10"/>
  <c r="E466" i="10"/>
  <c r="G466" i="10"/>
  <c r="H454" i="10"/>
  <c r="F454" i="10"/>
  <c r="E454" i="10"/>
  <c r="G454" i="10"/>
  <c r="H442" i="10"/>
  <c r="F442" i="10"/>
  <c r="E442" i="10"/>
  <c r="G442" i="10"/>
  <c r="H430" i="10"/>
  <c r="F430" i="10"/>
  <c r="E430" i="10"/>
  <c r="G430" i="10"/>
  <c r="H418" i="10"/>
  <c r="F418" i="10"/>
  <c r="E418" i="10"/>
  <c r="G418" i="10"/>
  <c r="H406" i="10"/>
  <c r="F406" i="10"/>
  <c r="E406" i="10"/>
  <c r="G406" i="10"/>
  <c r="H394" i="10"/>
  <c r="F394" i="10"/>
  <c r="E394" i="10"/>
  <c r="G394" i="10"/>
  <c r="H382" i="10"/>
  <c r="F382" i="10"/>
  <c r="E382" i="10"/>
  <c r="G382" i="10"/>
  <c r="H370" i="10"/>
  <c r="F370" i="10"/>
  <c r="E370" i="10"/>
  <c r="G370" i="10"/>
  <c r="E358" i="10"/>
  <c r="F358" i="10"/>
  <c r="H358" i="10"/>
  <c r="G358" i="10"/>
  <c r="E346" i="10"/>
  <c r="F346" i="10"/>
  <c r="G346" i="10"/>
  <c r="H346" i="10"/>
  <c r="E334" i="10"/>
  <c r="F334" i="10"/>
  <c r="G334" i="10"/>
  <c r="H334" i="10"/>
  <c r="E322" i="10"/>
  <c r="F322" i="10"/>
  <c r="H322" i="10"/>
  <c r="G322" i="10"/>
  <c r="E310" i="10"/>
  <c r="F310" i="10"/>
  <c r="G310" i="10"/>
  <c r="H310" i="10"/>
  <c r="E298" i="10"/>
  <c r="F298" i="10"/>
  <c r="G298" i="10"/>
  <c r="H298" i="10"/>
  <c r="E286" i="10"/>
  <c r="F286" i="10"/>
  <c r="G286" i="10"/>
  <c r="H286" i="10"/>
  <c r="E274" i="10"/>
  <c r="F274" i="10"/>
  <c r="G274" i="10"/>
  <c r="H274" i="10"/>
  <c r="E262" i="10"/>
  <c r="F262" i="10"/>
  <c r="G262" i="10"/>
  <c r="H262" i="10"/>
  <c r="E250" i="10"/>
  <c r="F250" i="10"/>
  <c r="G250" i="10"/>
  <c r="H250" i="10"/>
  <c r="E238" i="10"/>
  <c r="F238" i="10"/>
  <c r="G238" i="10"/>
  <c r="H238" i="10"/>
  <c r="E226" i="10"/>
  <c r="F226" i="10"/>
  <c r="G226" i="10"/>
  <c r="H226" i="10"/>
  <c r="E214" i="10"/>
  <c r="F214" i="10"/>
  <c r="G214" i="10"/>
  <c r="H214" i="10"/>
  <c r="E202" i="10"/>
  <c r="F202" i="10"/>
  <c r="G202" i="10"/>
  <c r="H202" i="10"/>
  <c r="E190" i="10"/>
  <c r="F190" i="10"/>
  <c r="G190" i="10"/>
  <c r="H190" i="10"/>
  <c r="E178" i="10"/>
  <c r="F178" i="10"/>
  <c r="G178" i="10"/>
  <c r="H178" i="10"/>
  <c r="E166" i="10"/>
  <c r="F166" i="10"/>
  <c r="G166" i="10"/>
  <c r="H166" i="10"/>
  <c r="E154" i="10"/>
  <c r="F154" i="10"/>
  <c r="G154" i="10"/>
  <c r="H154" i="10"/>
  <c r="E142" i="10"/>
  <c r="F142" i="10"/>
  <c r="G142" i="10"/>
  <c r="H142" i="10"/>
  <c r="E130" i="10"/>
  <c r="F130" i="10"/>
  <c r="G130" i="10"/>
  <c r="H130" i="10"/>
  <c r="E118" i="10"/>
  <c r="F118" i="10"/>
  <c r="G118" i="10"/>
  <c r="H118" i="10"/>
  <c r="E106" i="10"/>
  <c r="F106" i="10"/>
  <c r="G106" i="10"/>
  <c r="H106" i="10"/>
  <c r="H487" i="10"/>
  <c r="F487" i="10"/>
  <c r="E487" i="10"/>
  <c r="G487" i="10"/>
  <c r="H436" i="10"/>
  <c r="F436" i="10"/>
  <c r="E436" i="10"/>
  <c r="G436" i="10"/>
  <c r="E304" i="10"/>
  <c r="F304" i="10"/>
  <c r="G304" i="10"/>
  <c r="H304" i="10"/>
  <c r="E280" i="10"/>
  <c r="F280" i="10"/>
  <c r="G280" i="10"/>
  <c r="H280" i="10"/>
  <c r="E232" i="10"/>
  <c r="F232" i="10"/>
  <c r="G232" i="10"/>
  <c r="H232" i="10"/>
  <c r="E489" i="10"/>
  <c r="F489" i="10"/>
  <c r="G489" i="10"/>
  <c r="H489" i="10"/>
  <c r="E477" i="10"/>
  <c r="F477" i="10"/>
  <c r="G477" i="10"/>
  <c r="H477" i="10"/>
  <c r="E465" i="10"/>
  <c r="F465" i="10"/>
  <c r="G465" i="10"/>
  <c r="H465" i="10"/>
  <c r="E453" i="10"/>
  <c r="F453" i="10"/>
  <c r="G453" i="10"/>
  <c r="H453" i="10"/>
  <c r="E441" i="10"/>
  <c r="F441" i="10"/>
  <c r="G441" i="10"/>
  <c r="H441" i="10"/>
  <c r="E429" i="10"/>
  <c r="F429" i="10"/>
  <c r="G429" i="10"/>
  <c r="H429" i="10"/>
  <c r="E417" i="10"/>
  <c r="F417" i="10"/>
  <c r="G417" i="10"/>
  <c r="H417" i="10"/>
  <c r="E405" i="10"/>
  <c r="F405" i="10"/>
  <c r="G405" i="10"/>
  <c r="H405" i="10"/>
  <c r="E393" i="10"/>
  <c r="F393" i="10"/>
  <c r="G393" i="10"/>
  <c r="H393" i="10"/>
  <c r="E381" i="10"/>
  <c r="F381" i="10"/>
  <c r="G381" i="10"/>
  <c r="H381" i="10"/>
  <c r="E369" i="10"/>
  <c r="F369" i="10"/>
  <c r="G369" i="10"/>
  <c r="H369" i="10"/>
  <c r="F357" i="10"/>
  <c r="G357" i="10"/>
  <c r="H357" i="10"/>
  <c r="E357" i="10"/>
  <c r="F345" i="10"/>
  <c r="G345" i="10"/>
  <c r="H345" i="10"/>
  <c r="E345" i="10"/>
  <c r="F333" i="10"/>
  <c r="G333" i="10"/>
  <c r="H333" i="10"/>
  <c r="E333" i="10"/>
  <c r="F321" i="10"/>
  <c r="G321" i="10"/>
  <c r="H321" i="10"/>
  <c r="E321" i="10"/>
  <c r="F309" i="10"/>
  <c r="G309" i="10"/>
  <c r="H309" i="10"/>
  <c r="E309" i="10"/>
  <c r="F297" i="10"/>
  <c r="G297" i="10"/>
  <c r="H297" i="10"/>
  <c r="E297" i="10"/>
  <c r="F285" i="10"/>
  <c r="G285" i="10"/>
  <c r="H285" i="10"/>
  <c r="E285" i="10"/>
  <c r="F273" i="10"/>
  <c r="G273" i="10"/>
  <c r="H273" i="10"/>
  <c r="E273" i="10"/>
  <c r="F261" i="10"/>
  <c r="G261" i="10"/>
  <c r="H261" i="10"/>
  <c r="E261" i="10"/>
  <c r="F249" i="10"/>
  <c r="G249" i="10"/>
  <c r="H249" i="10"/>
  <c r="E249" i="10"/>
  <c r="F237" i="10"/>
  <c r="G237" i="10"/>
  <c r="H237" i="10"/>
  <c r="E237" i="10"/>
  <c r="F225" i="10"/>
  <c r="G225" i="10"/>
  <c r="H225" i="10"/>
  <c r="E225" i="10"/>
  <c r="F213" i="10"/>
  <c r="G213" i="10"/>
  <c r="H213" i="10"/>
  <c r="E213" i="10"/>
  <c r="E201" i="10"/>
  <c r="F201" i="10"/>
  <c r="G201" i="10"/>
  <c r="H201" i="10"/>
  <c r="E189" i="10"/>
  <c r="F189" i="10"/>
  <c r="G189" i="10"/>
  <c r="H189" i="10"/>
  <c r="E177" i="10"/>
  <c r="F177" i="10"/>
  <c r="G177" i="10"/>
  <c r="H177" i="10"/>
  <c r="E165" i="10"/>
  <c r="F165" i="10"/>
  <c r="G165" i="10"/>
  <c r="H165" i="10"/>
  <c r="E153" i="10"/>
  <c r="F153" i="10"/>
  <c r="G153" i="10"/>
  <c r="H153" i="10"/>
  <c r="E141" i="10"/>
  <c r="F141" i="10"/>
  <c r="G141" i="10"/>
  <c r="H141" i="10"/>
  <c r="E129" i="10"/>
  <c r="F129" i="10"/>
  <c r="G129" i="10"/>
  <c r="H129" i="10"/>
  <c r="E117" i="10"/>
  <c r="F117" i="10"/>
  <c r="G117" i="10"/>
  <c r="H117" i="10"/>
  <c r="F105" i="10"/>
  <c r="H475" i="10"/>
  <c r="F475" i="10"/>
  <c r="E475" i="10"/>
  <c r="G475" i="10"/>
  <c r="H484" i="10"/>
  <c r="F484" i="10"/>
  <c r="E484" i="10"/>
  <c r="G484" i="10"/>
  <c r="H412" i="10"/>
  <c r="F412" i="10"/>
  <c r="E412" i="10"/>
  <c r="G412" i="10"/>
  <c r="E340" i="10"/>
  <c r="F340" i="10"/>
  <c r="G340" i="10"/>
  <c r="H340" i="10"/>
  <c r="E256" i="10"/>
  <c r="F256" i="10"/>
  <c r="G256" i="10"/>
  <c r="H256" i="10"/>
  <c r="E500" i="10"/>
  <c r="F500" i="10"/>
  <c r="G500" i="10"/>
  <c r="H500" i="10"/>
  <c r="E488" i="10"/>
  <c r="F488" i="10"/>
  <c r="G488" i="10"/>
  <c r="H488" i="10"/>
  <c r="E476" i="10"/>
  <c r="F476" i="10"/>
  <c r="G476" i="10"/>
  <c r="H476" i="10"/>
  <c r="E464" i="10"/>
  <c r="F464" i="10"/>
  <c r="G464" i="10"/>
  <c r="H464" i="10"/>
  <c r="E452" i="10"/>
  <c r="F452" i="10"/>
  <c r="G452" i="10"/>
  <c r="H452" i="10"/>
  <c r="E440" i="10"/>
  <c r="F440" i="10"/>
  <c r="G440" i="10"/>
  <c r="H440" i="10"/>
  <c r="E428" i="10"/>
  <c r="F428" i="10"/>
  <c r="G428" i="10"/>
  <c r="H428" i="10"/>
  <c r="E416" i="10"/>
  <c r="F416" i="10"/>
  <c r="G416" i="10"/>
  <c r="H416" i="10"/>
  <c r="E404" i="10"/>
  <c r="F404" i="10"/>
  <c r="G404" i="10"/>
  <c r="H404" i="10"/>
  <c r="E392" i="10"/>
  <c r="F392" i="10"/>
  <c r="G392" i="10"/>
  <c r="H392" i="10"/>
  <c r="E380" i="10"/>
  <c r="F380" i="10"/>
  <c r="G380" i="10"/>
  <c r="H380" i="10"/>
  <c r="E368" i="10"/>
  <c r="F368" i="10"/>
  <c r="G368" i="10"/>
  <c r="H368" i="10"/>
  <c r="G356" i="10"/>
  <c r="H356" i="10"/>
  <c r="E356" i="10"/>
  <c r="F356" i="10"/>
  <c r="G344" i="10"/>
  <c r="H344" i="10"/>
  <c r="E344" i="10"/>
  <c r="F344" i="10"/>
  <c r="G332" i="10"/>
  <c r="H332" i="10"/>
  <c r="E332" i="10"/>
  <c r="F332" i="10"/>
  <c r="G320" i="10"/>
  <c r="H320" i="10"/>
  <c r="E320" i="10"/>
  <c r="F320" i="10"/>
  <c r="G308" i="10"/>
  <c r="H308" i="10"/>
  <c r="E308" i="10"/>
  <c r="F308" i="10"/>
  <c r="G296" i="10"/>
  <c r="H296" i="10"/>
  <c r="E296" i="10"/>
  <c r="F296" i="10"/>
  <c r="G284" i="10"/>
  <c r="H284" i="10"/>
  <c r="E284" i="10"/>
  <c r="F284" i="10"/>
  <c r="G272" i="10"/>
  <c r="H272" i="10"/>
  <c r="F272" i="10"/>
  <c r="E272" i="10"/>
  <c r="G260" i="10"/>
  <c r="H260" i="10"/>
  <c r="E260" i="10"/>
  <c r="F260" i="10"/>
  <c r="G248" i="10"/>
  <c r="H248" i="10"/>
  <c r="E248" i="10"/>
  <c r="F248" i="10"/>
  <c r="G236" i="10"/>
  <c r="H236" i="10"/>
  <c r="F236" i="10"/>
  <c r="E236" i="10"/>
  <c r="G224" i="10"/>
  <c r="H224" i="10"/>
  <c r="E224" i="10"/>
  <c r="F224" i="10"/>
  <c r="G212" i="10"/>
  <c r="H212" i="10"/>
  <c r="E212" i="10"/>
  <c r="F212" i="10"/>
  <c r="G200" i="10"/>
  <c r="H200" i="10"/>
  <c r="E200" i="10"/>
  <c r="F200" i="10"/>
  <c r="G188" i="10"/>
  <c r="H188" i="10"/>
  <c r="E188" i="10"/>
  <c r="F188" i="10"/>
  <c r="G176" i="10"/>
  <c r="H176" i="10"/>
  <c r="E176" i="10"/>
  <c r="F176" i="10"/>
  <c r="G164" i="10"/>
  <c r="H164" i="10"/>
  <c r="E164" i="10"/>
  <c r="F164" i="10"/>
  <c r="G152" i="10"/>
  <c r="H152" i="10"/>
  <c r="E152" i="10"/>
  <c r="F152" i="10"/>
  <c r="G140" i="10"/>
  <c r="H140" i="10"/>
  <c r="F140" i="10"/>
  <c r="E140" i="10"/>
  <c r="G128" i="10"/>
  <c r="H128" i="10"/>
  <c r="E128" i="10"/>
  <c r="F128" i="10"/>
  <c r="G116" i="10"/>
  <c r="H116" i="10"/>
  <c r="E116" i="10"/>
  <c r="F116" i="10"/>
  <c r="F103" i="10"/>
  <c r="F91" i="10"/>
  <c r="F79" i="10"/>
  <c r="F102" i="10"/>
  <c r="F90" i="10"/>
  <c r="F78" i="10"/>
  <c r="F101" i="10"/>
  <c r="F89" i="10"/>
  <c r="F77" i="10"/>
  <c r="F100" i="10"/>
  <c r="F88" i="10"/>
  <c r="F76" i="10"/>
  <c r="F99" i="10"/>
  <c r="F87" i="10"/>
  <c r="F75" i="10"/>
  <c r="F98" i="10"/>
  <c r="F86" i="10"/>
  <c r="F74" i="10"/>
  <c r="F97" i="10"/>
  <c r="F85" i="10"/>
  <c r="F73" i="10"/>
  <c r="F96" i="10"/>
  <c r="F84" i="10"/>
  <c r="F72" i="10"/>
  <c r="F95" i="10"/>
  <c r="F83" i="10"/>
  <c r="F71" i="10"/>
  <c r="F94" i="10"/>
  <c r="F82" i="10"/>
  <c r="F93" i="10"/>
  <c r="F81" i="10"/>
  <c r="F104" i="10"/>
  <c r="F92" i="10"/>
  <c r="F80" i="10"/>
  <c r="E25" i="1"/>
  <c r="F24" i="1" s="1"/>
  <c r="K25" i="1"/>
  <c r="L24" i="1" s="1"/>
  <c r="I25" i="1"/>
  <c r="J24" i="1" s="1"/>
  <c r="G25" i="1"/>
  <c r="H24" i="1" s="1"/>
  <c r="E153" i="14"/>
  <c r="E231" i="14"/>
  <c r="E201" i="14"/>
  <c r="E176" i="14"/>
  <c r="E170" i="14"/>
  <c r="E164" i="14"/>
  <c r="E158" i="14"/>
  <c r="E152" i="14"/>
  <c r="E146" i="14"/>
  <c r="E140" i="14"/>
  <c r="E134" i="14"/>
  <c r="E128" i="14"/>
  <c r="E122" i="14"/>
  <c r="E165" i="14"/>
  <c r="E219" i="14"/>
  <c r="E189" i="14"/>
  <c r="F242" i="14"/>
  <c r="E242" i="14"/>
  <c r="E236" i="14"/>
  <c r="E230" i="14"/>
  <c r="E224" i="14"/>
  <c r="E218" i="14"/>
  <c r="E212" i="14"/>
  <c r="E206" i="14"/>
  <c r="E200" i="14"/>
  <c r="E194" i="14"/>
  <c r="E188" i="14"/>
  <c r="E147" i="14"/>
  <c r="E225" i="14"/>
  <c r="E195" i="14"/>
  <c r="E181" i="14"/>
  <c r="E175" i="14"/>
  <c r="E169" i="14"/>
  <c r="E163" i="14"/>
  <c r="E157" i="14"/>
  <c r="E151" i="14"/>
  <c r="E145" i="14"/>
  <c r="E139" i="14"/>
  <c r="E133" i="14"/>
  <c r="E127" i="14"/>
  <c r="E135" i="14"/>
  <c r="E243" i="14"/>
  <c r="E207" i="14"/>
  <c r="F241" i="14"/>
  <c r="E241" i="14"/>
  <c r="E235" i="14"/>
  <c r="E229" i="14"/>
  <c r="E223" i="14"/>
  <c r="E217" i="14"/>
  <c r="E211" i="14"/>
  <c r="E205" i="14"/>
  <c r="E199" i="14"/>
  <c r="E193" i="14"/>
  <c r="E187" i="14"/>
  <c r="E177" i="14"/>
  <c r="E237" i="14"/>
  <c r="E213" i="14"/>
  <c r="E183" i="14"/>
  <c r="E180" i="14"/>
  <c r="E174" i="14"/>
  <c r="E168" i="14"/>
  <c r="E162" i="14"/>
  <c r="E156" i="14"/>
  <c r="E150" i="14"/>
  <c r="E144" i="14"/>
  <c r="E138" i="14"/>
  <c r="E132" i="14"/>
  <c r="E126" i="14"/>
  <c r="E129" i="14"/>
  <c r="E240" i="14"/>
  <c r="E210" i="14"/>
  <c r="E123" i="14"/>
  <c r="E234" i="14"/>
  <c r="E216" i="14"/>
  <c r="E186" i="14"/>
  <c r="E155" i="14"/>
  <c r="E141" i="14"/>
  <c r="E228" i="14"/>
  <c r="E198" i="14"/>
  <c r="E173" i="14"/>
  <c r="E137" i="14"/>
  <c r="E239" i="14"/>
  <c r="E233" i="14"/>
  <c r="E227" i="14"/>
  <c r="E221" i="14"/>
  <c r="E215" i="14"/>
  <c r="E209" i="14"/>
  <c r="E203" i="14"/>
  <c r="E197" i="14"/>
  <c r="E191" i="14"/>
  <c r="E185" i="14"/>
  <c r="E171" i="14"/>
  <c r="E204" i="14"/>
  <c r="E179" i="14"/>
  <c r="E161" i="14"/>
  <c r="E149" i="14"/>
  <c r="E143" i="14"/>
  <c r="E178" i="14"/>
  <c r="E172" i="14"/>
  <c r="E166" i="14"/>
  <c r="E160" i="14"/>
  <c r="E154" i="14"/>
  <c r="E148" i="14"/>
  <c r="E142" i="14"/>
  <c r="E136" i="14"/>
  <c r="E130" i="14"/>
  <c r="E124" i="14"/>
  <c r="E159" i="14"/>
  <c r="E222" i="14"/>
  <c r="E192" i="14"/>
  <c r="E167" i="14"/>
  <c r="E131" i="14"/>
  <c r="E238" i="14"/>
  <c r="E232" i="14"/>
  <c r="E226" i="14"/>
  <c r="E220" i="14"/>
  <c r="E214" i="14"/>
  <c r="E208" i="14"/>
  <c r="E202" i="14"/>
  <c r="E196" i="14"/>
  <c r="E190" i="14"/>
  <c r="E184" i="14"/>
  <c r="E125" i="14"/>
  <c r="E121" i="14"/>
  <c r="E120" i="14"/>
  <c r="E40" i="14"/>
  <c r="E34" i="14"/>
  <c r="E28" i="14"/>
  <c r="E57" i="14"/>
  <c r="E44" i="14"/>
  <c r="E38" i="14"/>
  <c r="E32" i="14"/>
  <c r="E26" i="14"/>
  <c r="E20" i="14"/>
  <c r="E14" i="14"/>
  <c r="E8" i="14"/>
  <c r="E117" i="14"/>
  <c r="E93" i="14"/>
  <c r="E51" i="14"/>
  <c r="E116" i="14"/>
  <c r="E98" i="14"/>
  <c r="E92" i="14"/>
  <c r="E86" i="14"/>
  <c r="E80" i="14"/>
  <c r="E74" i="14"/>
  <c r="E68" i="14"/>
  <c r="E62" i="14"/>
  <c r="E56" i="14"/>
  <c r="E50" i="14"/>
  <c r="E111" i="14"/>
  <c r="E81" i="14"/>
  <c r="E110" i="14"/>
  <c r="E43" i="14"/>
  <c r="E37" i="14"/>
  <c r="E31" i="14"/>
  <c r="E25" i="14"/>
  <c r="E19" i="14"/>
  <c r="E13" i="14"/>
  <c r="E7" i="14"/>
  <c r="E105" i="14"/>
  <c r="E87" i="14"/>
  <c r="E63" i="14"/>
  <c r="E104" i="14"/>
  <c r="E115" i="14"/>
  <c r="E109" i="14"/>
  <c r="E103" i="14"/>
  <c r="E97" i="14"/>
  <c r="E91" i="14"/>
  <c r="E85" i="14"/>
  <c r="E79" i="14"/>
  <c r="E73" i="14"/>
  <c r="E67" i="14"/>
  <c r="E61" i="14"/>
  <c r="E55" i="14"/>
  <c r="E49" i="14"/>
  <c r="E99" i="14"/>
  <c r="E69" i="14"/>
  <c r="E42" i="14"/>
  <c r="E36" i="14"/>
  <c r="E30" i="14"/>
  <c r="E24" i="14"/>
  <c r="E18" i="14"/>
  <c r="E12" i="14"/>
  <c r="E6" i="14"/>
  <c r="E75" i="14"/>
  <c r="E114" i="14"/>
  <c r="E108" i="14"/>
  <c r="E102" i="14"/>
  <c r="E96" i="14"/>
  <c r="E90" i="14"/>
  <c r="E84" i="14"/>
  <c r="E78" i="14"/>
  <c r="E72" i="14"/>
  <c r="E66" i="14"/>
  <c r="E60" i="14"/>
  <c r="E54" i="14"/>
  <c r="E48" i="14"/>
  <c r="E41" i="14"/>
  <c r="E35" i="14"/>
  <c r="E29" i="14"/>
  <c r="E23" i="14"/>
  <c r="E17" i="14"/>
  <c r="E11" i="14"/>
  <c r="E119" i="14"/>
  <c r="E113" i="14"/>
  <c r="E107" i="14"/>
  <c r="E101" i="14"/>
  <c r="E95" i="14"/>
  <c r="E89" i="14"/>
  <c r="E83" i="14"/>
  <c r="E77" i="14"/>
  <c r="E71" i="14"/>
  <c r="E65" i="14"/>
  <c r="E59" i="14"/>
  <c r="E53" i="14"/>
  <c r="E47" i="14"/>
  <c r="E22" i="14"/>
  <c r="E16" i="14"/>
  <c r="E10" i="14"/>
  <c r="E112" i="14"/>
  <c r="E58" i="14"/>
  <c r="E118" i="14"/>
  <c r="E106" i="14"/>
  <c r="E100" i="14"/>
  <c r="E94" i="14"/>
  <c r="E88" i="14"/>
  <c r="E82" i="14"/>
  <c r="E76" i="14"/>
  <c r="E70" i="14"/>
  <c r="E64" i="14"/>
  <c r="E52" i="14"/>
  <c r="E5" i="14"/>
  <c r="E45" i="14"/>
  <c r="E39" i="14"/>
  <c r="E33" i="14"/>
  <c r="E27" i="14"/>
  <c r="E21" i="14"/>
  <c r="E15" i="14"/>
  <c r="E9" i="14"/>
  <c r="E46" i="14"/>
  <c r="D181" i="14"/>
  <c r="D185" i="14"/>
  <c r="D4" i="14"/>
  <c r="D197" i="14"/>
  <c r="D243" i="14"/>
  <c r="D207" i="14"/>
  <c r="D171" i="14"/>
  <c r="D135" i="14"/>
  <c r="D87" i="14"/>
  <c r="D39" i="14"/>
  <c r="D218" i="14"/>
  <c r="D182" i="14"/>
  <c r="F182" i="14" s="1"/>
  <c r="D146" i="14"/>
  <c r="D110" i="14"/>
  <c r="D86" i="14"/>
  <c r="D62" i="14"/>
  <c r="D26" i="14"/>
  <c r="D241" i="14"/>
  <c r="D229" i="14"/>
  <c r="D217" i="14"/>
  <c r="D205" i="14"/>
  <c r="D193" i="14"/>
  <c r="D169" i="14"/>
  <c r="D157" i="14"/>
  <c r="D145" i="14"/>
  <c r="D133" i="14"/>
  <c r="D121" i="14"/>
  <c r="D109" i="14"/>
  <c r="D97" i="14"/>
  <c r="D85" i="14"/>
  <c r="D73" i="14"/>
  <c r="D61" i="14"/>
  <c r="D49" i="14"/>
  <c r="D37" i="14"/>
  <c r="D25" i="14"/>
  <c r="D13" i="14"/>
  <c r="D221" i="14"/>
  <c r="D231" i="14"/>
  <c r="D183" i="14"/>
  <c r="D147" i="14"/>
  <c r="D99" i="14"/>
  <c r="D63" i="14"/>
  <c r="D15" i="14"/>
  <c r="D230" i="14"/>
  <c r="D170" i="14"/>
  <c r="D122" i="14"/>
  <c r="D74" i="14"/>
  <c r="D38" i="14"/>
  <c r="D240" i="14"/>
  <c r="D228" i="14"/>
  <c r="D216" i="14"/>
  <c r="D204" i="14"/>
  <c r="D192" i="14"/>
  <c r="D180" i="14"/>
  <c r="D168" i="14"/>
  <c r="D156" i="14"/>
  <c r="D144" i="14"/>
  <c r="D132" i="14"/>
  <c r="D120" i="14"/>
  <c r="D108" i="14"/>
  <c r="D96" i="14"/>
  <c r="D84" i="14"/>
  <c r="D72" i="14"/>
  <c r="D60" i="14"/>
  <c r="D48" i="14"/>
  <c r="D36" i="14"/>
  <c r="D24" i="14"/>
  <c r="D12" i="14"/>
  <c r="D219" i="14"/>
  <c r="D195" i="14"/>
  <c r="D159" i="14"/>
  <c r="D111" i="14"/>
  <c r="D75" i="14"/>
  <c r="D51" i="14"/>
  <c r="D27" i="14"/>
  <c r="D3" i="14"/>
  <c r="D242" i="14"/>
  <c r="D206" i="14"/>
  <c r="D158" i="14"/>
  <c r="D134" i="14"/>
  <c r="D98" i="14"/>
  <c r="D50" i="14"/>
  <c r="D14" i="14"/>
  <c r="D239" i="14"/>
  <c r="D227" i="14"/>
  <c r="D215" i="14"/>
  <c r="D203" i="14"/>
  <c r="D191" i="14"/>
  <c r="D179" i="14"/>
  <c r="D167" i="14"/>
  <c r="D155" i="14"/>
  <c r="D143" i="14"/>
  <c r="D131" i="14"/>
  <c r="D119" i="14"/>
  <c r="D107" i="14"/>
  <c r="D95" i="14"/>
  <c r="D83" i="14"/>
  <c r="D71" i="14"/>
  <c r="D59" i="14"/>
  <c r="D47" i="14"/>
  <c r="D35" i="14"/>
  <c r="D23" i="14"/>
  <c r="D11" i="14"/>
  <c r="D123" i="14"/>
  <c r="D194" i="14"/>
  <c r="D238" i="14"/>
  <c r="D226" i="14"/>
  <c r="D214" i="14"/>
  <c r="D202" i="14"/>
  <c r="D190" i="14"/>
  <c r="D178" i="14"/>
  <c r="D166" i="14"/>
  <c r="D154" i="14"/>
  <c r="D142" i="14"/>
  <c r="D130" i="14"/>
  <c r="D118" i="14"/>
  <c r="D106" i="14"/>
  <c r="D94" i="14"/>
  <c r="D82" i="14"/>
  <c r="D70" i="14"/>
  <c r="D58" i="14"/>
  <c r="D46" i="14"/>
  <c r="D34" i="14"/>
  <c r="D22" i="14"/>
  <c r="D10" i="14"/>
  <c r="D237" i="14"/>
  <c r="D201" i="14"/>
  <c r="D177" i="14"/>
  <c r="D153" i="14"/>
  <c r="D129" i="14"/>
  <c r="D69" i="14"/>
  <c r="D236" i="14"/>
  <c r="D212" i="14"/>
  <c r="D164" i="14"/>
  <c r="D128" i="14"/>
  <c r="D92" i="14"/>
  <c r="D8" i="14"/>
  <c r="D225" i="14"/>
  <c r="D213" i="14"/>
  <c r="D189" i="14"/>
  <c r="D165" i="14"/>
  <c r="D141" i="14"/>
  <c r="D117" i="14"/>
  <c r="D105" i="14"/>
  <c r="D93" i="14"/>
  <c r="D81" i="14"/>
  <c r="D57" i="14"/>
  <c r="D45" i="14"/>
  <c r="D33" i="14"/>
  <c r="D21" i="14"/>
  <c r="D9" i="14"/>
  <c r="D224" i="14"/>
  <c r="D200" i="14"/>
  <c r="D188" i="14"/>
  <c r="D176" i="14"/>
  <c r="D152" i="14"/>
  <c r="D140" i="14"/>
  <c r="D116" i="14"/>
  <c r="D104" i="14"/>
  <c r="D80" i="14"/>
  <c r="D68" i="14"/>
  <c r="D56" i="14"/>
  <c r="D44" i="14"/>
  <c r="D32" i="14"/>
  <c r="D20" i="14"/>
  <c r="D235" i="14"/>
  <c r="D223" i="14"/>
  <c r="D211" i="14"/>
  <c r="D199" i="14"/>
  <c r="D187" i="14"/>
  <c r="D175" i="14"/>
  <c r="D163" i="14"/>
  <c r="D151" i="14"/>
  <c r="D139" i="14"/>
  <c r="D127" i="14"/>
  <c r="D115" i="14"/>
  <c r="D103" i="14"/>
  <c r="D91" i="14"/>
  <c r="D79" i="14"/>
  <c r="D67" i="14"/>
  <c r="D55" i="14"/>
  <c r="D43" i="14"/>
  <c r="D31" i="14"/>
  <c r="D19" i="14"/>
  <c r="D7" i="14"/>
  <c r="D234" i="14"/>
  <c r="D222" i="14"/>
  <c r="D210" i="14"/>
  <c r="D198" i="14"/>
  <c r="D186" i="14"/>
  <c r="D174" i="14"/>
  <c r="D162" i="14"/>
  <c r="D150" i="14"/>
  <c r="D138" i="14"/>
  <c r="D126" i="14"/>
  <c r="D114" i="14"/>
  <c r="D102" i="14"/>
  <c r="D90" i="14"/>
  <c r="D78" i="14"/>
  <c r="D66" i="14"/>
  <c r="D54" i="14"/>
  <c r="D42" i="14"/>
  <c r="D30" i="14"/>
  <c r="D18" i="14"/>
  <c r="D6" i="14"/>
  <c r="D233" i="14"/>
  <c r="D209" i="14"/>
  <c r="D173" i="14"/>
  <c r="D161" i="14"/>
  <c r="D149" i="14"/>
  <c r="D137" i="14"/>
  <c r="D125" i="14"/>
  <c r="D113" i="14"/>
  <c r="D101" i="14"/>
  <c r="D89" i="14"/>
  <c r="D77" i="14"/>
  <c r="D65" i="14"/>
  <c r="D53" i="14"/>
  <c r="D41" i="14"/>
  <c r="D29" i="14"/>
  <c r="D17" i="14"/>
  <c r="D5" i="14"/>
  <c r="D232" i="14"/>
  <c r="D220" i="14"/>
  <c r="D208" i="14"/>
  <c r="D196" i="14"/>
  <c r="D184" i="14"/>
  <c r="D172" i="14"/>
  <c r="D160" i="14"/>
  <c r="D148" i="14"/>
  <c r="D136" i="14"/>
  <c r="D124" i="14"/>
  <c r="D112" i="14"/>
  <c r="D100" i="14"/>
  <c r="D88" i="14"/>
  <c r="D76" i="14"/>
  <c r="D64" i="14"/>
  <c r="D52" i="14"/>
  <c r="D40" i="14"/>
  <c r="D28" i="14"/>
  <c r="D16" i="14"/>
  <c r="E105" i="10"/>
  <c r="E104" i="10"/>
  <c r="E78" i="10"/>
  <c r="E71" i="10"/>
  <c r="E90" i="10"/>
  <c r="E99" i="10"/>
  <c r="E76" i="10"/>
  <c r="E97" i="10"/>
  <c r="E83" i="10"/>
  <c r="E88" i="10"/>
  <c r="E95" i="10"/>
  <c r="E81" i="10"/>
  <c r="E94" i="10"/>
  <c r="E84" i="10"/>
  <c r="E98" i="10"/>
  <c r="E102" i="10"/>
  <c r="E96" i="10"/>
  <c r="E72" i="10"/>
  <c r="E79" i="10"/>
  <c r="E87" i="10"/>
  <c r="E92" i="10"/>
  <c r="E86" i="10"/>
  <c r="E89" i="10"/>
  <c r="E93" i="10"/>
  <c r="E73" i="10"/>
  <c r="E82" i="10"/>
  <c r="E80" i="10"/>
  <c r="E100" i="10"/>
  <c r="E77" i="10"/>
  <c r="E74" i="10"/>
  <c r="E75" i="10"/>
  <c r="E101" i="10"/>
  <c r="E85" i="10"/>
  <c r="E91" i="10"/>
  <c r="G105" i="10" l="1"/>
  <c r="H105" i="10" s="1"/>
  <c r="G92" i="10"/>
  <c r="G71" i="10"/>
  <c r="G74" i="10"/>
  <c r="G77" i="10"/>
  <c r="G93" i="10"/>
  <c r="G72" i="10"/>
  <c r="G73" i="10"/>
  <c r="G75" i="10"/>
  <c r="G76" i="10"/>
  <c r="H76" i="10" s="1"/>
  <c r="G78" i="10"/>
  <c r="G79" i="10"/>
  <c r="G104" i="10"/>
  <c r="H104" i="10" s="1"/>
  <c r="G83" i="10"/>
  <c r="G89" i="10"/>
  <c r="G82" i="10"/>
  <c r="G84" i="10"/>
  <c r="G85" i="10"/>
  <c r="G86" i="10"/>
  <c r="G87" i="10"/>
  <c r="G88" i="10"/>
  <c r="H88" i="10" s="1"/>
  <c r="G90" i="10"/>
  <c r="G91" i="10"/>
  <c r="G80" i="10"/>
  <c r="G95" i="10"/>
  <c r="G98" i="10"/>
  <c r="G101" i="10"/>
  <c r="G81" i="10"/>
  <c r="G94" i="10"/>
  <c r="G96" i="10"/>
  <c r="G97" i="10"/>
  <c r="G99" i="10"/>
  <c r="G100" i="10"/>
  <c r="H100" i="10" s="1"/>
  <c r="G102" i="10"/>
  <c r="G103" i="10"/>
  <c r="F243" i="14"/>
  <c r="F213" i="14"/>
  <c r="F224" i="14"/>
  <c r="F214" i="14"/>
  <c r="F226" i="14"/>
  <c r="F198" i="14"/>
  <c r="F177" i="14"/>
  <c r="F207" i="14"/>
  <c r="F181" i="14"/>
  <c r="F236" i="14"/>
  <c r="F202" i="14"/>
  <c r="F233" i="14"/>
  <c r="F210" i="14"/>
  <c r="F180" i="14"/>
  <c r="F229" i="14"/>
  <c r="F212" i="14"/>
  <c r="F208" i="14"/>
  <c r="F179" i="14"/>
  <c r="F239" i="14"/>
  <c r="F240" i="14"/>
  <c r="F183" i="14"/>
  <c r="F235" i="14"/>
  <c r="F218" i="14"/>
  <c r="F220" i="14"/>
  <c r="F237" i="14"/>
  <c r="F175" i="14"/>
  <c r="F230" i="14"/>
  <c r="F204" i="14"/>
  <c r="F232" i="14"/>
  <c r="F191" i="14"/>
  <c r="F228" i="14"/>
  <c r="F187" i="14"/>
  <c r="F195" i="14"/>
  <c r="F238" i="14"/>
  <c r="F197" i="14"/>
  <c r="F193" i="14"/>
  <c r="F225" i="14"/>
  <c r="F203" i="14"/>
  <c r="F199" i="14"/>
  <c r="F189" i="14"/>
  <c r="F176" i="14"/>
  <c r="F209" i="14"/>
  <c r="F186" i="14"/>
  <c r="F205" i="14"/>
  <c r="F188" i="14"/>
  <c r="F219" i="14"/>
  <c r="F201" i="14"/>
  <c r="F185" i="14"/>
  <c r="F184" i="14"/>
  <c r="F192" i="14"/>
  <c r="F178" i="14"/>
  <c r="F215" i="14"/>
  <c r="F216" i="14"/>
  <c r="F211" i="14"/>
  <c r="F194" i="14"/>
  <c r="F231" i="14"/>
  <c r="F190" i="14"/>
  <c r="F222" i="14"/>
  <c r="F221" i="14"/>
  <c r="F234" i="14"/>
  <c r="F217" i="14"/>
  <c r="F200" i="14"/>
  <c r="F196" i="14"/>
  <c r="F227" i="14"/>
  <c r="F223" i="14"/>
  <c r="F206" i="14"/>
  <c r="F154" i="14"/>
  <c r="F162" i="14"/>
  <c r="F167" i="14"/>
  <c r="F171" i="14"/>
  <c r="F168" i="14"/>
  <c r="F169" i="14"/>
  <c r="F156" i="14"/>
  <c r="F160" i="14"/>
  <c r="F152" i="14"/>
  <c r="F166" i="14"/>
  <c r="F174" i="14"/>
  <c r="F158" i="14"/>
  <c r="F172" i="14"/>
  <c r="F164" i="14"/>
  <c r="F170" i="14"/>
  <c r="F155" i="14"/>
  <c r="F159" i="14"/>
  <c r="F151" i="14"/>
  <c r="F157" i="14"/>
  <c r="F165" i="14"/>
  <c r="F161" i="14"/>
  <c r="F163" i="14"/>
  <c r="F148" i="14"/>
  <c r="F173" i="14"/>
  <c r="F153" i="14"/>
  <c r="F144" i="14"/>
  <c r="F149" i="14"/>
  <c r="F141" i="14"/>
  <c r="F147" i="14"/>
  <c r="F135" i="14"/>
  <c r="F137" i="14"/>
  <c r="F138" i="14"/>
  <c r="F133" i="14"/>
  <c r="F134" i="14"/>
  <c r="F139" i="14"/>
  <c r="F140" i="14"/>
  <c r="F145" i="14"/>
  <c r="F146" i="14"/>
  <c r="F150" i="14"/>
  <c r="F136" i="14"/>
  <c r="F142" i="14"/>
  <c r="F143" i="14"/>
  <c r="F131" i="14"/>
  <c r="F122" i="14"/>
  <c r="F128" i="14"/>
  <c r="F132" i="14"/>
  <c r="F124" i="14"/>
  <c r="F130" i="14"/>
  <c r="F129" i="14"/>
  <c r="F126" i="14"/>
  <c r="F125" i="14"/>
  <c r="F127" i="14"/>
  <c r="F123" i="14"/>
  <c r="F119" i="14"/>
  <c r="F115" i="14"/>
  <c r="F116" i="14"/>
  <c r="F118" i="14"/>
  <c r="F120" i="14"/>
  <c r="F117" i="14"/>
  <c r="F121" i="14"/>
  <c r="F98" i="14"/>
  <c r="F107" i="14"/>
  <c r="F106" i="14"/>
  <c r="F97" i="14"/>
  <c r="F92" i="14"/>
  <c r="F91" i="14"/>
  <c r="F100" i="14"/>
  <c r="F99" i="14"/>
  <c r="F105" i="14"/>
  <c r="F110" i="14"/>
  <c r="F113" i="14"/>
  <c r="F109" i="14"/>
  <c r="F104" i="14"/>
  <c r="F103" i="14"/>
  <c r="F101" i="14"/>
  <c r="F112" i="14"/>
  <c r="F89" i="14"/>
  <c r="F111" i="14"/>
  <c r="F96" i="14"/>
  <c r="F95" i="14"/>
  <c r="F94" i="14"/>
  <c r="F93" i="14"/>
  <c r="F88" i="14"/>
  <c r="F108" i="14"/>
  <c r="F114" i="14"/>
  <c r="F90" i="14"/>
  <c r="F102" i="14"/>
  <c r="F86" i="14"/>
  <c r="F85" i="14"/>
  <c r="F87" i="14"/>
  <c r="F84" i="14"/>
  <c r="F83" i="14"/>
  <c r="F69" i="14"/>
  <c r="F70" i="14"/>
  <c r="F71" i="14"/>
  <c r="F63" i="14"/>
  <c r="F74" i="14"/>
  <c r="F65" i="14"/>
  <c r="F64" i="14"/>
  <c r="F73" i="14"/>
  <c r="F77" i="14"/>
  <c r="F80" i="14"/>
  <c r="F79" i="14"/>
  <c r="F82" i="14"/>
  <c r="F81" i="14"/>
  <c r="F76" i="14"/>
  <c r="F75" i="14"/>
  <c r="F72" i="14"/>
  <c r="F78" i="14"/>
  <c r="F66" i="14"/>
  <c r="F68" i="14"/>
  <c r="F67" i="14"/>
  <c r="F48" i="14"/>
  <c r="F57" i="14"/>
  <c r="F60" i="14"/>
  <c r="F59" i="14"/>
  <c r="F62" i="14"/>
  <c r="F58" i="14"/>
  <c r="F61" i="14"/>
  <c r="F4" i="14"/>
  <c r="F44" i="14"/>
  <c r="F56" i="14"/>
  <c r="F34" i="14"/>
  <c r="F11" i="14"/>
  <c r="F51" i="14"/>
  <c r="F14" i="14"/>
  <c r="F47" i="14"/>
  <c r="F50" i="14"/>
  <c r="F29" i="14"/>
  <c r="F54" i="14"/>
  <c r="F10" i="14"/>
  <c r="F41" i="14"/>
  <c r="F9" i="14"/>
  <c r="F33" i="14"/>
  <c r="F27" i="14"/>
  <c r="F43" i="14"/>
  <c r="F36" i="14"/>
  <c r="F45" i="14"/>
  <c r="F39" i="14"/>
  <c r="F6" i="14"/>
  <c r="F55" i="14"/>
  <c r="F18" i="14"/>
  <c r="F20" i="14"/>
  <c r="F23" i="14"/>
  <c r="F26" i="14"/>
  <c r="F5" i="14"/>
  <c r="F30" i="14"/>
  <c r="F32" i="14"/>
  <c r="F35" i="14"/>
  <c r="F38" i="14"/>
  <c r="F17" i="14"/>
  <c r="F13" i="14"/>
  <c r="F22" i="14"/>
  <c r="F25" i="14"/>
  <c r="F53" i="14"/>
  <c r="F37" i="14"/>
  <c r="F16" i="14"/>
  <c r="F49" i="14"/>
  <c r="F28" i="14"/>
  <c r="F7" i="14"/>
  <c r="F12" i="14"/>
  <c r="F3" i="14"/>
  <c r="F40" i="14"/>
  <c r="F19" i="14"/>
  <c r="F21" i="14"/>
  <c r="F24" i="14"/>
  <c r="F15" i="14"/>
  <c r="F52" i="14"/>
  <c r="F31" i="14"/>
  <c r="F8" i="14"/>
  <c r="F42" i="14"/>
  <c r="F46" i="14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E52" i="10"/>
  <c r="E6" i="10"/>
  <c r="E27" i="10"/>
  <c r="E34" i="10"/>
  <c r="B3" i="8"/>
  <c r="E45" i="10"/>
  <c r="E26" i="10"/>
  <c r="E22" i="10"/>
  <c r="E25" i="10"/>
  <c r="E17" i="10"/>
  <c r="E3" i="8"/>
  <c r="E32" i="10"/>
  <c r="E10" i="10"/>
  <c r="E20" i="10"/>
  <c r="E35" i="10"/>
  <c r="E47" i="10"/>
  <c r="E40" i="10"/>
  <c r="E46" i="10"/>
  <c r="E8" i="10"/>
  <c r="E37" i="10"/>
  <c r="E38" i="10"/>
  <c r="E50" i="10"/>
  <c r="E15" i="10"/>
  <c r="D1" i="11"/>
  <c r="E18" i="10"/>
  <c r="E29" i="10"/>
  <c r="E49" i="10"/>
  <c r="E39" i="10"/>
  <c r="E42" i="10"/>
  <c r="E16" i="10"/>
  <c r="E31" i="10"/>
  <c r="E14" i="10"/>
  <c r="E11" i="10"/>
  <c r="E53" i="10"/>
  <c r="E28" i="10"/>
  <c r="E41" i="10"/>
  <c r="E13" i="10"/>
  <c r="C4" i="10"/>
  <c r="E30" i="10"/>
  <c r="E44" i="10"/>
  <c r="E23" i="10"/>
  <c r="E12" i="10"/>
  <c r="E36" i="10"/>
  <c r="E43" i="10"/>
  <c r="E9" i="10"/>
  <c r="E24" i="10"/>
  <c r="E48" i="10"/>
  <c r="E21" i="10"/>
  <c r="E51" i="10"/>
  <c r="E19" i="10"/>
  <c r="E54" i="10"/>
  <c r="E33" i="10"/>
  <c r="E7" i="10"/>
  <c r="H81" i="10" l="1"/>
  <c r="H73" i="10"/>
  <c r="H80" i="10"/>
  <c r="H95" i="10"/>
  <c r="H91" i="10"/>
  <c r="H97" i="10"/>
  <c r="H82" i="10"/>
  <c r="H102" i="10"/>
  <c r="H90" i="10"/>
  <c r="H75" i="10"/>
  <c r="H86" i="10"/>
  <c r="H72" i="10"/>
  <c r="H84" i="10"/>
  <c r="F17" i="10"/>
  <c r="G17" i="10"/>
  <c r="F57" i="10"/>
  <c r="F45" i="10"/>
  <c r="G45" i="10"/>
  <c r="F33" i="10"/>
  <c r="G33" i="10"/>
  <c r="F21" i="10"/>
  <c r="G21" i="10"/>
  <c r="F9" i="10"/>
  <c r="G9" i="10"/>
  <c r="F68" i="10"/>
  <c r="F56" i="10"/>
  <c r="F44" i="10"/>
  <c r="G44" i="10"/>
  <c r="F32" i="10"/>
  <c r="G32" i="10"/>
  <c r="F20" i="10"/>
  <c r="G20" i="10"/>
  <c r="F8" i="10"/>
  <c r="G8" i="10"/>
  <c r="H79" i="10"/>
  <c r="F29" i="10"/>
  <c r="G29" i="10"/>
  <c r="F69" i="10"/>
  <c r="F67" i="10"/>
  <c r="F55" i="10"/>
  <c r="F43" i="10"/>
  <c r="G43" i="10"/>
  <c r="F31" i="10"/>
  <c r="G31" i="10"/>
  <c r="F19" i="10"/>
  <c r="G19" i="10"/>
  <c r="F7" i="10"/>
  <c r="G7" i="10"/>
  <c r="H103" i="10"/>
  <c r="H78" i="10"/>
  <c r="F65" i="10"/>
  <c r="F66" i="10"/>
  <c r="F54" i="10"/>
  <c r="G54" i="10"/>
  <c r="F42" i="10"/>
  <c r="G42" i="10"/>
  <c r="F30" i="10"/>
  <c r="G30" i="10"/>
  <c r="F18" i="10"/>
  <c r="G18" i="10"/>
  <c r="F6" i="10"/>
  <c r="G6" i="10"/>
  <c r="H5" i="10" s="1"/>
  <c r="F64" i="10"/>
  <c r="F52" i="10"/>
  <c r="G52" i="10"/>
  <c r="F40" i="10"/>
  <c r="G40" i="10"/>
  <c r="F28" i="10"/>
  <c r="G28" i="10"/>
  <c r="F16" i="10"/>
  <c r="G16" i="10"/>
  <c r="H99" i="10"/>
  <c r="H87" i="10"/>
  <c r="F41" i="10"/>
  <c r="G41" i="10"/>
  <c r="F63" i="10"/>
  <c r="F51" i="10"/>
  <c r="G51" i="10"/>
  <c r="F39" i="10"/>
  <c r="G39" i="10"/>
  <c r="F27" i="10"/>
  <c r="G27" i="10"/>
  <c r="F15" i="10"/>
  <c r="G15" i="10"/>
  <c r="F62" i="10"/>
  <c r="F50" i="10"/>
  <c r="G50" i="10"/>
  <c r="F38" i="10"/>
  <c r="G38" i="10"/>
  <c r="F26" i="10"/>
  <c r="G26" i="10"/>
  <c r="F14" i="10"/>
  <c r="G14" i="10"/>
  <c r="H96" i="10"/>
  <c r="H85" i="10"/>
  <c r="H93" i="10"/>
  <c r="F61" i="10"/>
  <c r="F49" i="10"/>
  <c r="G49" i="10"/>
  <c r="H49" i="10" s="1"/>
  <c r="F37" i="10"/>
  <c r="G37" i="10"/>
  <c r="F25" i="10"/>
  <c r="G25" i="10"/>
  <c r="H25" i="10" s="1"/>
  <c r="F13" i="10"/>
  <c r="G13" i="10"/>
  <c r="H13" i="10" s="1"/>
  <c r="H94" i="10"/>
  <c r="H77" i="10"/>
  <c r="F60" i="10"/>
  <c r="F48" i="10"/>
  <c r="G48" i="10"/>
  <c r="F36" i="10"/>
  <c r="G36" i="10"/>
  <c r="F24" i="10"/>
  <c r="G24" i="10"/>
  <c r="F12" i="10"/>
  <c r="G12" i="10"/>
  <c r="H74" i="10"/>
  <c r="F53" i="10"/>
  <c r="G53" i="10"/>
  <c r="F59" i="10"/>
  <c r="F47" i="10"/>
  <c r="G47" i="10"/>
  <c r="F35" i="10"/>
  <c r="G35" i="10"/>
  <c r="F23" i="10"/>
  <c r="G23" i="10"/>
  <c r="F11" i="10"/>
  <c r="G11" i="10"/>
  <c r="H101" i="10"/>
  <c r="H89" i="10"/>
  <c r="H71" i="10"/>
  <c r="F70" i="10"/>
  <c r="F58" i="10"/>
  <c r="F46" i="10"/>
  <c r="G46" i="10"/>
  <c r="F34" i="10"/>
  <c r="G34" i="10"/>
  <c r="F22" i="10"/>
  <c r="G22" i="10"/>
  <c r="F10" i="10"/>
  <c r="G10" i="10"/>
  <c r="H98" i="10"/>
  <c r="H83" i="10"/>
  <c r="H92" i="10"/>
  <c r="E9" i="1"/>
  <c r="E4" i="1"/>
  <c r="I9" i="1"/>
  <c r="J9" i="1" s="1"/>
  <c r="I4" i="1"/>
  <c r="M4" i="1"/>
  <c r="E63" i="10"/>
  <c r="E60" i="10"/>
  <c r="E55" i="10"/>
  <c r="E64" i="10"/>
  <c r="E70" i="10"/>
  <c r="E66" i="10"/>
  <c r="E62" i="10"/>
  <c r="E69" i="10"/>
  <c r="E59" i="10"/>
  <c r="E68" i="10"/>
  <c r="E56" i="10"/>
  <c r="E67" i="10"/>
  <c r="E57" i="10"/>
  <c r="E58" i="10"/>
  <c r="E61" i="10"/>
  <c r="E65" i="10"/>
  <c r="H30" i="10" l="1"/>
  <c r="H19" i="10"/>
  <c r="H18" i="10"/>
  <c r="H7" i="10"/>
  <c r="H47" i="10"/>
  <c r="H24" i="10"/>
  <c r="H51" i="10"/>
  <c r="H36" i="10"/>
  <c r="H28" i="10"/>
  <c r="H14" i="10"/>
  <c r="H48" i="10"/>
  <c r="H22" i="10"/>
  <c r="H8" i="10"/>
  <c r="H12" i="10"/>
  <c r="H34" i="10"/>
  <c r="H16" i="10"/>
  <c r="H39" i="10"/>
  <c r="H20" i="10"/>
  <c r="H43" i="10"/>
  <c r="H50" i="10"/>
  <c r="H53" i="10"/>
  <c r="H44" i="10"/>
  <c r="H17" i="10"/>
  <c r="H26" i="10"/>
  <c r="H42" i="10"/>
  <c r="H31" i="10"/>
  <c r="H40" i="10"/>
  <c r="H33" i="10"/>
  <c r="G60" i="10"/>
  <c r="G64" i="10"/>
  <c r="G55" i="10"/>
  <c r="G56" i="10"/>
  <c r="G61" i="10"/>
  <c r="G59" i="10"/>
  <c r="G67" i="10"/>
  <c r="G68" i="10"/>
  <c r="G62" i="10"/>
  <c r="G66" i="10"/>
  <c r="G70" i="10"/>
  <c r="H70" i="10" s="1"/>
  <c r="G57" i="10"/>
  <c r="G63" i="10"/>
  <c r="G58" i="10"/>
  <c r="G65" i="10"/>
  <c r="G69" i="10"/>
  <c r="H38" i="10"/>
  <c r="H6" i="10"/>
  <c r="H45" i="10"/>
  <c r="J3" i="10"/>
  <c r="H46" i="10"/>
  <c r="H32" i="10"/>
  <c r="H37" i="10"/>
  <c r="H9" i="10"/>
  <c r="H23" i="10"/>
  <c r="H15" i="10"/>
  <c r="H52" i="10"/>
  <c r="H11" i="10"/>
  <c r="H10" i="10"/>
  <c r="H41" i="10"/>
  <c r="H21" i="10"/>
  <c r="H35" i="10"/>
  <c r="H27" i="10"/>
  <c r="H29" i="10"/>
  <c r="H58" i="10" l="1"/>
  <c r="H66" i="10"/>
  <c r="H65" i="10"/>
  <c r="H62" i="10"/>
  <c r="H63" i="10"/>
  <c r="H61" i="10"/>
  <c r="H69" i="10"/>
  <c r="H56" i="10"/>
  <c r="H55" i="10"/>
  <c r="H60" i="10"/>
  <c r="H57" i="10"/>
  <c r="H68" i="10"/>
  <c r="H67" i="10"/>
  <c r="H54" i="10"/>
  <c r="H59" i="10"/>
  <c r="H6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5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4" authorId="0" shapeId="0" xr:uid="{00000000-0006-0000-05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C4" authorId="0" shapeId="0" xr:uid="{00000000-0006-0000-0500-000002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4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C4" authorId="0" shapeId="0" xr:uid="{00000000-0006-0000-0600-000002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<sst xmlns="http://schemas.openxmlformats.org/spreadsheetml/2006/main" count="78" uniqueCount="49">
  <si>
    <t>000001.SH</t>
  </si>
  <si>
    <t>成交额</t>
  </si>
  <si>
    <t>代码</t>
  </si>
  <si>
    <t>简称</t>
  </si>
  <si>
    <t>上证指数</t>
  </si>
  <si>
    <t>399001.SZ</t>
  </si>
  <si>
    <t>深证成指</t>
  </si>
  <si>
    <t>沪深两市总成交额</t>
    <phoneticPr fontId="3" type="noConversion"/>
  </si>
  <si>
    <t>实时成交额（每分钟刷新）</t>
    <phoneticPr fontId="6" type="noConversion"/>
  </si>
  <si>
    <t>399001.SZ</t>
    <phoneticPr fontId="3" type="noConversion"/>
  </si>
  <si>
    <t>沪市成交额</t>
    <phoneticPr fontId="3" type="noConversion"/>
  </si>
  <si>
    <t>深市成交额</t>
    <phoneticPr fontId="3" type="noConversion"/>
  </si>
  <si>
    <t>时间</t>
  </si>
  <si>
    <t>time</t>
  </si>
  <si>
    <t>amt</t>
  </si>
  <si>
    <t>399001.SZ</t>
    <phoneticPr fontId="3" type="noConversion"/>
  </si>
  <si>
    <t>amt</t>
    <phoneticPr fontId="3" type="noConversion"/>
  </si>
  <si>
    <t>成交额
[单位]亿元</t>
    <phoneticPr fontId="3" type="noConversion"/>
  </si>
  <si>
    <t>日期</t>
    <phoneticPr fontId="3" type="noConversion"/>
  </si>
  <si>
    <t>Date</t>
    <phoneticPr fontId="3" type="noConversion"/>
  </si>
  <si>
    <t>两市合计</t>
  </si>
  <si>
    <t>昨日两市合计</t>
    <phoneticPr fontId="3" type="noConversion"/>
  </si>
  <si>
    <t>今日两市合计</t>
    <phoneticPr fontId="3" type="noConversion"/>
  </si>
  <si>
    <t>昨日累计成交</t>
    <phoneticPr fontId="3" type="noConversion"/>
  </si>
  <si>
    <t>今日累计成交</t>
    <phoneticPr fontId="3" type="noConversion"/>
  </si>
  <si>
    <t>时间</t>
    <phoneticPr fontId="3" type="noConversion"/>
  </si>
  <si>
    <t>沪深两市成交分析</t>
    <phoneticPr fontId="3" type="noConversion"/>
  </si>
  <si>
    <t>行情刷新时间</t>
    <phoneticPr fontId="3" type="noConversion"/>
  </si>
  <si>
    <t>行情刷新分钟</t>
    <phoneticPr fontId="3" type="noConversion"/>
  </si>
  <si>
    <t>较前一日同期变化</t>
    <phoneticPr fontId="3" type="noConversion"/>
  </si>
  <si>
    <t>暂无</t>
    <phoneticPr fontId="3" type="noConversion"/>
  </si>
  <si>
    <t>查询日期:</t>
    <phoneticPr fontId="3" type="noConversion"/>
  </si>
  <si>
    <t>前一工作日</t>
    <phoneticPr fontId="3" type="noConversion"/>
  </si>
  <si>
    <t>查询日期</t>
    <phoneticPr fontId="3" type="noConversion"/>
  </si>
  <si>
    <t>最近更新：</t>
    <phoneticPr fontId="11" type="noConversion"/>
  </si>
  <si>
    <t>沪深两市总成交额</t>
    <phoneticPr fontId="3" type="noConversion"/>
  </si>
  <si>
    <t>每小时成交统计</t>
    <phoneticPr fontId="3" type="noConversion"/>
  </si>
  <si>
    <t>今日</t>
    <phoneticPr fontId="3" type="noConversion"/>
  </si>
  <si>
    <t>前一日</t>
    <phoneticPr fontId="3" type="noConversion"/>
  </si>
  <si>
    <t>9:30-10:30</t>
    <phoneticPr fontId="3" type="noConversion"/>
  </si>
  <si>
    <t>同比</t>
    <phoneticPr fontId="3" type="noConversion"/>
  </si>
  <si>
    <t>10:31-11:30</t>
    <phoneticPr fontId="3" type="noConversion"/>
  </si>
  <si>
    <t>13:00-14:00</t>
    <phoneticPr fontId="3" type="noConversion"/>
  </si>
  <si>
    <t>14:01-15:00</t>
    <phoneticPr fontId="3" type="noConversion"/>
  </si>
  <si>
    <t>区间交易天数</t>
  </si>
  <si>
    <t>日均成交额</t>
    <phoneticPr fontId="11" type="noConversion"/>
  </si>
  <si>
    <t>环比变化</t>
    <phoneticPr fontId="11" type="noConversion"/>
  </si>
  <si>
    <t>统计开始日期:</t>
    <phoneticPr fontId="3" type="noConversion"/>
  </si>
  <si>
    <t>沪深两市成交分析 V1.6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</si>
</sst>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76" formatCode="yyyy\-mm\-dd"/>
    <numFmt numFmtId="177" formatCode="0\.00,,&quot;亿&quot;"/>
    <numFmt numFmtId="178" formatCode="yyyy/mm/dd"/>
    <numFmt numFmtId="179" formatCode="0.0000"/>
    <numFmt numFmtId="180" formatCode="#,##0.0000"/>
    <numFmt numFmtId="181" formatCode="###,###,##0.0000"/>
    <numFmt numFmtId="182" formatCode="yyyy\-mm\-dd\ hh:mm"/>
    <numFmt numFmtId="183" formatCode="0.0000_ "/>
    <numFmt numFmtId="184" formatCode="yyyy/m/d\ h:mm;@"/>
    <numFmt numFmtId="185" formatCode="0.00&quot;亿&quot;"/>
    <numFmt numFmtId="186" formatCode="[$-F400]h:mm:ss\ AM/PM"/>
    <numFmt numFmtId="187" formatCode="0.00_);[Red]\(0.00\)"/>
    <numFmt numFmtId="188" formatCode="h:mm;@"/>
    <numFmt numFmtId="189" formatCode="0_ ;[Red]\-0\ "/>
    <numFmt numFmtId="190" formatCode="0_);[Red]\(0\)"/>
  </numFmts>
  <fonts count="29">
    <font>
      <sz val="11"/>
      <color theme="1"/>
      <name val="等线"/>
      <family val="2"/>
      <scheme val="minor"/>
    </font>
    <font>
      <sz val="14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b/>
      <sz val="14"/>
      <name val="微软雅黑"/>
      <family val="2"/>
      <charset val="134"/>
    </font>
    <font>
      <b/>
      <sz val="12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0"/>
      <name val="Arial"/>
      <family val="2"/>
    </font>
    <font>
      <sz val="10"/>
      <color theme="1"/>
      <name val="微软雅黑"/>
      <family val="2"/>
      <charset val="134"/>
    </font>
    <font>
      <sz val="14"/>
      <color theme="1"/>
      <name val="Arial"/>
      <family val="2"/>
    </font>
    <font>
      <sz val="11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b/>
      <sz val="20"/>
      <color rgb="FFC91818"/>
      <name val="Arial"/>
      <family val="2"/>
    </font>
    <font>
      <b/>
      <sz val="20"/>
      <color rgb="FF107F3A"/>
      <name val="Arial"/>
      <family val="2"/>
    </font>
    <font>
      <b/>
      <sz val="16"/>
      <color rgb="FFC00000"/>
      <name val="Arial"/>
      <family val="2"/>
    </font>
    <font>
      <sz val="11"/>
      <color theme="0"/>
      <name val="微软雅黑"/>
      <family val="2"/>
      <charset val="134"/>
    </font>
    <font>
      <b/>
      <sz val="16"/>
      <color rgb="FF107F3A"/>
      <name val="Arial"/>
      <family val="2"/>
    </font>
    <font>
      <sz val="11"/>
      <color theme="1"/>
      <name val="Arial"/>
      <family val="2"/>
    </font>
    <font>
      <b/>
      <sz val="11"/>
      <color rgb="FF107F3A"/>
      <name val="Arial"/>
      <family val="2"/>
    </font>
    <font>
      <sz val="10"/>
      <color rgb="FF212121"/>
      <name val="微软雅黑"/>
      <family val="2"/>
      <charset val="134"/>
    </font>
    <font>
      <b/>
      <sz val="11"/>
      <color rgb="FF212121"/>
      <name val="微软雅黑"/>
      <family val="2"/>
      <charset val="134"/>
    </font>
    <font>
      <sz val="11"/>
      <name val="Arial"/>
      <family val="2"/>
    </font>
    <font>
      <sz val="12"/>
      <name val="Calibri"/>
      <family val="2"/>
    </font>
    <font>
      <sz val="11"/>
      <color theme="0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F4F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 tint="-0.1499679555650502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7" fillId="0" borderId="0"/>
  </cellStyleXfs>
  <cellXfs count="73">
    <xf numFmtId="0" fontId="0" fillId="0" borderId="0" xfId="0"/>
    <xf numFmtId="0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0" fontId="8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13" fillId="5" borderId="0" xfId="0" applyFont="1" applyFill="1" applyBorder="1" applyAlignment="1"/>
    <xf numFmtId="0" fontId="15" fillId="2" borderId="0" xfId="0" applyFont="1" applyFill="1" applyAlignment="1"/>
    <xf numFmtId="0" fontId="15" fillId="0" borderId="0" xfId="0" applyFont="1"/>
    <xf numFmtId="0" fontId="15" fillId="3" borderId="0" xfId="0" applyFont="1" applyFill="1" applyAlignment="1"/>
    <xf numFmtId="0" fontId="10" fillId="4" borderId="1" xfId="0" applyNumberFormat="1" applyFont="1" applyFill="1" applyBorder="1" applyAlignment="1">
      <alignment vertical="center"/>
    </xf>
    <xf numFmtId="0" fontId="0" fillId="0" borderId="0" xfId="0" applyNumberFormat="1" applyAlignment="1">
      <alignment horizontal="right" wrapText="1"/>
    </xf>
    <xf numFmtId="0" fontId="0" fillId="0" borderId="0" xfId="0" applyNumberFormat="1"/>
    <xf numFmtId="179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43" fontId="0" fillId="0" borderId="0" xfId="1" applyFont="1" applyAlignment="1">
      <alignment horizontal="right"/>
    </xf>
    <xf numFmtId="176" fontId="0" fillId="0" borderId="0" xfId="0" applyNumberFormat="1"/>
    <xf numFmtId="2" fontId="0" fillId="0" borderId="0" xfId="0" applyNumberFormat="1"/>
    <xf numFmtId="181" fontId="0" fillId="0" borderId="0" xfId="0" applyNumberFormat="1" applyAlignment="1">
      <alignment horizontal="right"/>
    </xf>
    <xf numFmtId="182" fontId="0" fillId="0" borderId="0" xfId="0" applyNumberFormat="1" applyAlignment="1">
      <alignment horizontal="right"/>
    </xf>
    <xf numFmtId="182" fontId="0" fillId="0" borderId="0" xfId="0" applyNumberFormat="1"/>
    <xf numFmtId="179" fontId="0" fillId="0" borderId="0" xfId="0" applyNumberFormat="1"/>
    <xf numFmtId="183" fontId="0" fillId="0" borderId="0" xfId="0" applyNumberFormat="1"/>
    <xf numFmtId="18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/>
    <xf numFmtId="0" fontId="15" fillId="3" borderId="0" xfId="0" applyFont="1" applyFill="1" applyBorder="1" applyAlignment="1"/>
    <xf numFmtId="0" fontId="15" fillId="0" borderId="0" xfId="0" applyFont="1" applyBorder="1"/>
    <xf numFmtId="0" fontId="15" fillId="0" borderId="3" xfId="0" applyFont="1" applyBorder="1"/>
    <xf numFmtId="0" fontId="10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15" fillId="0" borderId="5" xfId="0" applyFont="1" applyBorder="1"/>
    <xf numFmtId="0" fontId="15" fillId="0" borderId="6" xfId="0" applyFont="1" applyBorder="1"/>
    <xf numFmtId="0" fontId="16" fillId="0" borderId="7" xfId="0" applyFont="1" applyBorder="1"/>
    <xf numFmtId="177" fontId="18" fillId="0" borderId="7" xfId="1" applyNumberFormat="1" applyFont="1" applyBorder="1" applyAlignment="1">
      <alignment horizontal="right"/>
    </xf>
    <xf numFmtId="0" fontId="15" fillId="0" borderId="7" xfId="0" applyFont="1" applyBorder="1"/>
    <xf numFmtId="177" fontId="17" fillId="0" borderId="7" xfId="1" applyNumberFormat="1" applyFont="1" applyBorder="1" applyAlignment="1">
      <alignment horizontal="right"/>
    </xf>
    <xf numFmtId="0" fontId="15" fillId="0" borderId="8" xfId="0" applyFont="1" applyBorder="1"/>
    <xf numFmtId="0" fontId="10" fillId="4" borderId="9" xfId="0" applyNumberFormat="1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8" fillId="4" borderId="9" xfId="0" applyFont="1" applyFill="1" applyBorder="1" applyAlignment="1">
      <alignment vertical="center"/>
    </xf>
    <xf numFmtId="0" fontId="15" fillId="0" borderId="10" xfId="0" applyFont="1" applyBorder="1"/>
    <xf numFmtId="0" fontId="15" fillId="0" borderId="11" xfId="0" applyFont="1" applyBorder="1"/>
    <xf numFmtId="0" fontId="16" fillId="0" borderId="0" xfId="0" applyFont="1" applyBorder="1" applyAlignment="1">
      <alignment horizontal="left" vertical="center" readingOrder="1"/>
    </xf>
    <xf numFmtId="0" fontId="7" fillId="2" borderId="2" xfId="0" applyFont="1" applyFill="1" applyBorder="1" applyAlignment="1">
      <alignment horizontal="right" vertical="center"/>
    </xf>
    <xf numFmtId="178" fontId="14" fillId="6" borderId="0" xfId="0" applyNumberFormat="1" applyFont="1" applyFill="1" applyBorder="1" applyAlignment="1" applyProtection="1">
      <alignment horizontal="right"/>
      <protection locked="0"/>
    </xf>
    <xf numFmtId="0" fontId="15" fillId="0" borderId="4" xfId="0" applyFont="1" applyBorder="1"/>
    <xf numFmtId="0" fontId="0" fillId="0" borderId="0" xfId="0" applyAlignment="1">
      <alignment horizontal="right"/>
    </xf>
    <xf numFmtId="22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0" fontId="1" fillId="0" borderId="7" xfId="0" applyFont="1" applyBorder="1"/>
    <xf numFmtId="185" fontId="19" fillId="0" borderId="7" xfId="1" applyNumberFormat="1" applyFont="1" applyBorder="1" applyAlignment="1">
      <alignment horizontal="right"/>
    </xf>
    <xf numFmtId="185" fontId="18" fillId="0" borderId="7" xfId="1" applyNumberFormat="1" applyFont="1" applyBorder="1" applyAlignment="1">
      <alignment horizontal="right"/>
    </xf>
    <xf numFmtId="0" fontId="1" fillId="0" borderId="0" xfId="0" applyFont="1" applyBorder="1"/>
    <xf numFmtId="185" fontId="19" fillId="0" borderId="0" xfId="1" applyNumberFormat="1" applyFont="1" applyBorder="1" applyAlignment="1">
      <alignment horizontal="right"/>
    </xf>
    <xf numFmtId="176" fontId="12" fillId="2" borderId="0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center" vertical="center"/>
    </xf>
    <xf numFmtId="185" fontId="21" fillId="0" borderId="7" xfId="1" applyNumberFormat="1" applyFont="1" applyBorder="1" applyAlignment="1">
      <alignment horizontal="right"/>
    </xf>
    <xf numFmtId="177" fontId="15" fillId="3" borderId="0" xfId="0" applyNumberFormat="1" applyFont="1" applyFill="1" applyAlignment="1"/>
    <xf numFmtId="22" fontId="15" fillId="0" borderId="0" xfId="0" applyNumberFormat="1" applyFont="1"/>
    <xf numFmtId="18" fontId="15" fillId="0" borderId="0" xfId="0" applyNumberFormat="1" applyFont="1"/>
    <xf numFmtId="0" fontId="15" fillId="0" borderId="0" xfId="0" applyFont="1" applyBorder="1" applyAlignment="1">
      <alignment horizontal="left"/>
    </xf>
    <xf numFmtId="189" fontId="24" fillId="8" borderId="0" xfId="0" applyNumberFormat="1" applyFont="1" applyFill="1" applyAlignment="1">
      <alignment horizontal="left"/>
    </xf>
    <xf numFmtId="0" fontId="25" fillId="5" borderId="12" xfId="0" applyFont="1" applyFill="1" applyBorder="1" applyAlignment="1"/>
    <xf numFmtId="177" fontId="26" fillId="0" borderId="7" xfId="1" applyNumberFormat="1" applyFont="1" applyBorder="1" applyAlignment="1">
      <alignment horizontal="left"/>
    </xf>
    <xf numFmtId="177" fontId="26" fillId="7" borderId="7" xfId="1" applyNumberFormat="1" applyFont="1" applyFill="1" applyBorder="1" applyAlignment="1">
      <alignment horizontal="left"/>
    </xf>
    <xf numFmtId="0" fontId="22" fillId="7" borderId="7" xfId="0" applyFont="1" applyFill="1" applyBorder="1" applyAlignment="1">
      <alignment horizontal="left"/>
    </xf>
    <xf numFmtId="9" fontId="23" fillId="4" borderId="0" xfId="1" applyNumberFormat="1" applyFont="1" applyFill="1" applyBorder="1" applyAlignment="1">
      <alignment horizontal="left" vertical="center"/>
    </xf>
    <xf numFmtId="10" fontId="0" fillId="0" borderId="0" xfId="2" applyNumberFormat="1" applyFont="1" applyAlignment="1"/>
    <xf numFmtId="190" fontId="28" fillId="0" borderId="0" xfId="0" applyNumberFormat="1" applyFont="1"/>
    <xf numFmtId="0" fontId="5" fillId="2" borderId="0" xfId="0" applyFont="1" applyFill="1" applyAlignment="1">
      <alignment horizontal="center" vertical="center"/>
    </xf>
  </cellXfs>
  <cellStyles count="4">
    <cellStyle name="百分比" xfId="2" builtinId="5"/>
    <cellStyle name="常规" xfId="0" builtinId="0"/>
    <cellStyle name="常规 2" xfId="3" xr:uid="{00000000-0005-0000-0000-000002000000}"/>
    <cellStyle name="千位分隔" xfId="1" builtinId="3"/>
  </cellStyles>
  <dxfs count="20"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</dxfs>
  <tableStyles count="0" defaultTableStyle="TableStyleMedium2" defaultPivotStyle="PivotStyleLight16"/>
  <colors>
    <mruColors>
      <color rgb="FF107F3A"/>
      <color rgb="FFC91818"/>
      <color rgb="FF2276A0"/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1510513250800</v>
        <stp/>
        <stp>000001.SH</stp>
        <stp>rt_amt</stp>
        <stp>RT_Price</stp>
        <tr r="B3" s="8"/>
      </tp>
      <tp>
        <v>1941425791400</v>
        <stp/>
        <stp>399001.SZ</stp>
        <stp>rt_amt</stp>
        <stp>RT_Price</stp>
        <tr r="E3" s="8"/>
      </tp>
      <tp t="s">
        <v>15:00:03</v>
        <stp/>
        <stp>399001.SZ</stp>
        <stp>rt_time</stp>
        <stp>RT_Price</stp>
        <tr r="G6" s="13"/>
      </tp>
      <tp t="s">
        <v>15:00:03</v>
        <stp/>
        <stp>000001.SH</stp>
        <stp>rt_time</stp>
        <stp>RT_Price</stp>
        <tr r="G6" s="1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2"/>
          <c:tx>
            <c:v>较前一日同期变化</c:v>
          </c:tx>
          <c:spPr>
            <a:solidFill>
              <a:srgbClr val="C91818"/>
            </a:solidFill>
            <a:ln>
              <a:noFill/>
            </a:ln>
            <a:effectLst/>
          </c:spPr>
          <c:invertIfNegative val="1"/>
          <c:cat>
            <c:numRef>
              <c:f>沪深两市成交汇总!$A$2:$A$243</c:f>
              <c:numCache>
                <c:formatCode>h:mm;@</c:formatCode>
                <c:ptCount val="242"/>
                <c:pt idx="0">
                  <c:v>0.39583333333333331</c:v>
                </c:pt>
                <c:pt idx="1">
                  <c:v>0.39652777777777781</c:v>
                </c:pt>
                <c:pt idx="2">
                  <c:v>0.39722222222222198</c:v>
                </c:pt>
                <c:pt idx="3">
                  <c:v>0.39791666666666697</c:v>
                </c:pt>
                <c:pt idx="4">
                  <c:v>0.39861111111111103</c:v>
                </c:pt>
                <c:pt idx="5">
                  <c:v>0.39930555555555602</c:v>
                </c:pt>
                <c:pt idx="6">
                  <c:v>0.4</c:v>
                </c:pt>
                <c:pt idx="7">
                  <c:v>0.40069444444444446</c:v>
                </c:pt>
                <c:pt idx="8">
                  <c:v>0.40138888888888902</c:v>
                </c:pt>
                <c:pt idx="9">
                  <c:v>0.40208333333333401</c:v>
                </c:pt>
                <c:pt idx="10">
                  <c:v>0.40277777777777801</c:v>
                </c:pt>
                <c:pt idx="11">
                  <c:v>0.40347222222222301</c:v>
                </c:pt>
                <c:pt idx="12">
                  <c:v>0.40416666666666701</c:v>
                </c:pt>
                <c:pt idx="13">
                  <c:v>0.404861111111112</c:v>
                </c:pt>
                <c:pt idx="14">
                  <c:v>0.405555555555556</c:v>
                </c:pt>
                <c:pt idx="15">
                  <c:v>0.406250000000001</c:v>
                </c:pt>
                <c:pt idx="16">
                  <c:v>0.406944444444445</c:v>
                </c:pt>
                <c:pt idx="17">
                  <c:v>0.40763888888888999</c:v>
                </c:pt>
                <c:pt idx="18">
                  <c:v>0.40833333333333399</c:v>
                </c:pt>
                <c:pt idx="19">
                  <c:v>0.40902777777777899</c:v>
                </c:pt>
                <c:pt idx="20">
                  <c:v>0.40972222222222299</c:v>
                </c:pt>
                <c:pt idx="21">
                  <c:v>0.41041666666666798</c:v>
                </c:pt>
                <c:pt idx="22">
                  <c:v>0.41111111111111198</c:v>
                </c:pt>
                <c:pt idx="23">
                  <c:v>0.41180555555555698</c:v>
                </c:pt>
                <c:pt idx="24">
                  <c:v>0.41250000000000098</c:v>
                </c:pt>
                <c:pt idx="25">
                  <c:v>0.41319444444444597</c:v>
                </c:pt>
                <c:pt idx="26">
                  <c:v>0.41388888888889003</c:v>
                </c:pt>
                <c:pt idx="27">
                  <c:v>0.41458333333333502</c:v>
                </c:pt>
                <c:pt idx="28">
                  <c:v>0.41527777777777902</c:v>
                </c:pt>
                <c:pt idx="29">
                  <c:v>0.41597222222222402</c:v>
                </c:pt>
                <c:pt idx="30">
                  <c:v>0.41666666666666802</c:v>
                </c:pt>
                <c:pt idx="31">
                  <c:v>0.41736111111111301</c:v>
                </c:pt>
                <c:pt idx="32">
                  <c:v>0.41805555555555701</c:v>
                </c:pt>
                <c:pt idx="33">
                  <c:v>0.41875000000000201</c:v>
                </c:pt>
                <c:pt idx="34">
                  <c:v>0.41944444444444601</c:v>
                </c:pt>
                <c:pt idx="35">
                  <c:v>0.420138888888891</c:v>
                </c:pt>
                <c:pt idx="36">
                  <c:v>0.420833333333335</c:v>
                </c:pt>
                <c:pt idx="37">
                  <c:v>0.42152777777778</c:v>
                </c:pt>
                <c:pt idx="38">
                  <c:v>0.422222222222224</c:v>
                </c:pt>
                <c:pt idx="39">
                  <c:v>0.42291666666666899</c:v>
                </c:pt>
                <c:pt idx="40">
                  <c:v>0.42361111111111299</c:v>
                </c:pt>
                <c:pt idx="41">
                  <c:v>0.42430555555555799</c:v>
                </c:pt>
                <c:pt idx="42">
                  <c:v>0.42500000000000199</c:v>
                </c:pt>
                <c:pt idx="43">
                  <c:v>0.42569444444444698</c:v>
                </c:pt>
                <c:pt idx="44">
                  <c:v>0.42638888888889098</c:v>
                </c:pt>
                <c:pt idx="45">
                  <c:v>0.42708333333333598</c:v>
                </c:pt>
                <c:pt idx="46">
                  <c:v>0.42777777777777998</c:v>
                </c:pt>
                <c:pt idx="47">
                  <c:v>0.42847222222222497</c:v>
                </c:pt>
                <c:pt idx="48">
                  <c:v>0.42916666666666903</c:v>
                </c:pt>
                <c:pt idx="49">
                  <c:v>0.42986111111111402</c:v>
                </c:pt>
                <c:pt idx="50">
                  <c:v>0.43055555555555802</c:v>
                </c:pt>
                <c:pt idx="51">
                  <c:v>0.43125000000000302</c:v>
                </c:pt>
                <c:pt idx="52">
                  <c:v>0.43194444444444702</c:v>
                </c:pt>
                <c:pt idx="53">
                  <c:v>0.43263888888889201</c:v>
                </c:pt>
                <c:pt idx="54">
                  <c:v>0.43333333333333601</c:v>
                </c:pt>
                <c:pt idx="55">
                  <c:v>0.43402777777778101</c:v>
                </c:pt>
                <c:pt idx="56">
                  <c:v>0.43472222222222501</c:v>
                </c:pt>
                <c:pt idx="57">
                  <c:v>0.43541666666667</c:v>
                </c:pt>
                <c:pt idx="58">
                  <c:v>0.436111111111114</c:v>
                </c:pt>
                <c:pt idx="59">
                  <c:v>0.436805555555559</c:v>
                </c:pt>
                <c:pt idx="60">
                  <c:v>0.437500000000003</c:v>
                </c:pt>
                <c:pt idx="61">
                  <c:v>0.43819444444444799</c:v>
                </c:pt>
                <c:pt idx="62">
                  <c:v>0.43888888888889199</c:v>
                </c:pt>
                <c:pt idx="63">
                  <c:v>0.43958333333333699</c:v>
                </c:pt>
                <c:pt idx="64">
                  <c:v>0.44027777777778099</c:v>
                </c:pt>
                <c:pt idx="65">
                  <c:v>0.44097222222222598</c:v>
                </c:pt>
                <c:pt idx="66">
                  <c:v>0.44166666666666998</c:v>
                </c:pt>
                <c:pt idx="67">
                  <c:v>0.44236111111111498</c:v>
                </c:pt>
                <c:pt idx="68">
                  <c:v>0.44305555555555898</c:v>
                </c:pt>
                <c:pt idx="69">
                  <c:v>0.44375000000000397</c:v>
                </c:pt>
                <c:pt idx="70">
                  <c:v>0.44444444444444797</c:v>
                </c:pt>
                <c:pt idx="71">
                  <c:v>0.44513888888889303</c:v>
                </c:pt>
                <c:pt idx="72">
                  <c:v>0.44583333333333702</c:v>
                </c:pt>
                <c:pt idx="73">
                  <c:v>0.44652777777778202</c:v>
                </c:pt>
                <c:pt idx="74">
                  <c:v>0.44722222222222602</c:v>
                </c:pt>
                <c:pt idx="75">
                  <c:v>0.44791666666667102</c:v>
                </c:pt>
                <c:pt idx="76">
                  <c:v>0.44861111111111501</c:v>
                </c:pt>
                <c:pt idx="77">
                  <c:v>0.44930555555556001</c:v>
                </c:pt>
                <c:pt idx="78">
                  <c:v>0.45000000000000401</c:v>
                </c:pt>
                <c:pt idx="79">
                  <c:v>0.450694444444449</c:v>
                </c:pt>
                <c:pt idx="80">
                  <c:v>0.451388888888893</c:v>
                </c:pt>
                <c:pt idx="81">
                  <c:v>0.452083333333338</c:v>
                </c:pt>
                <c:pt idx="82">
                  <c:v>0.452777777777782</c:v>
                </c:pt>
                <c:pt idx="83">
                  <c:v>0.45347222222222699</c:v>
                </c:pt>
                <c:pt idx="84">
                  <c:v>0.45416666666667099</c:v>
                </c:pt>
                <c:pt idx="85">
                  <c:v>0.45486111111111599</c:v>
                </c:pt>
                <c:pt idx="86">
                  <c:v>0.45555555555555999</c:v>
                </c:pt>
                <c:pt idx="87">
                  <c:v>0.45625000000000498</c:v>
                </c:pt>
                <c:pt idx="88">
                  <c:v>0.45694444444444898</c:v>
                </c:pt>
                <c:pt idx="89">
                  <c:v>0.45763888888889398</c:v>
                </c:pt>
                <c:pt idx="90">
                  <c:v>0.45833333333333798</c:v>
                </c:pt>
                <c:pt idx="91">
                  <c:v>0.45902777777778297</c:v>
                </c:pt>
                <c:pt idx="92">
                  <c:v>0.45972222222222697</c:v>
                </c:pt>
                <c:pt idx="93">
                  <c:v>0.46041666666667203</c:v>
                </c:pt>
                <c:pt idx="94">
                  <c:v>0.46111111111111602</c:v>
                </c:pt>
                <c:pt idx="95">
                  <c:v>0.46180555555556102</c:v>
                </c:pt>
                <c:pt idx="96">
                  <c:v>0.46250000000000502</c:v>
                </c:pt>
                <c:pt idx="97">
                  <c:v>0.46319444444445002</c:v>
                </c:pt>
                <c:pt idx="98">
                  <c:v>0.46388888888889401</c:v>
                </c:pt>
                <c:pt idx="99">
                  <c:v>0.46458333333333901</c:v>
                </c:pt>
                <c:pt idx="100">
                  <c:v>0.46527777777778301</c:v>
                </c:pt>
                <c:pt idx="101">
                  <c:v>0.46597222222222801</c:v>
                </c:pt>
                <c:pt idx="102">
                  <c:v>0.466666666666672</c:v>
                </c:pt>
                <c:pt idx="103">
                  <c:v>0.467361111111117</c:v>
                </c:pt>
                <c:pt idx="104">
                  <c:v>0.468055555555561</c:v>
                </c:pt>
                <c:pt idx="105">
                  <c:v>0.468750000000005</c:v>
                </c:pt>
                <c:pt idx="106">
                  <c:v>0.46944444444444999</c:v>
                </c:pt>
                <c:pt idx="107">
                  <c:v>0.47013888888889499</c:v>
                </c:pt>
                <c:pt idx="108">
                  <c:v>0.47083333333333899</c:v>
                </c:pt>
                <c:pt idx="109">
                  <c:v>0.47152777777778399</c:v>
                </c:pt>
                <c:pt idx="110">
                  <c:v>0.47222222222222798</c:v>
                </c:pt>
                <c:pt idx="111">
                  <c:v>0.47291666666667298</c:v>
                </c:pt>
                <c:pt idx="112">
                  <c:v>0.47361111111111698</c:v>
                </c:pt>
                <c:pt idx="113">
                  <c:v>0.47430555555556198</c:v>
                </c:pt>
                <c:pt idx="114">
                  <c:v>0.47500000000000597</c:v>
                </c:pt>
                <c:pt idx="115">
                  <c:v>0.47569444444445103</c:v>
                </c:pt>
                <c:pt idx="116">
                  <c:v>0.47638888888889502</c:v>
                </c:pt>
                <c:pt idx="117">
                  <c:v>0.47708333333334002</c:v>
                </c:pt>
                <c:pt idx="118">
                  <c:v>0.47777777777778402</c:v>
                </c:pt>
                <c:pt idx="119">
                  <c:v>0.47847222222222902</c:v>
                </c:pt>
                <c:pt idx="120">
                  <c:v>0.47916666666667301</c:v>
                </c:pt>
                <c:pt idx="121">
                  <c:v>0.54166666666666663</c:v>
                </c:pt>
                <c:pt idx="122">
                  <c:v>0.54236111111111118</c:v>
                </c:pt>
                <c:pt idx="123">
                  <c:v>0.54305555555555596</c:v>
                </c:pt>
                <c:pt idx="124">
                  <c:v>0.54374999999999996</c:v>
                </c:pt>
                <c:pt idx="125">
                  <c:v>0.54444444444444495</c:v>
                </c:pt>
                <c:pt idx="126">
                  <c:v>0.54513888888888895</c:v>
                </c:pt>
                <c:pt idx="127">
                  <c:v>0.54583333333333395</c:v>
                </c:pt>
                <c:pt idx="128">
                  <c:v>0.54652777777777894</c:v>
                </c:pt>
                <c:pt idx="129">
                  <c:v>0.54722222222222305</c:v>
                </c:pt>
                <c:pt idx="130">
                  <c:v>0.54791666666666805</c:v>
                </c:pt>
                <c:pt idx="131">
                  <c:v>0.54861111111111205</c:v>
                </c:pt>
                <c:pt idx="132">
                  <c:v>0.54930555555555705</c:v>
                </c:pt>
                <c:pt idx="133">
                  <c:v>0.55000000000000104</c:v>
                </c:pt>
                <c:pt idx="134">
                  <c:v>0.55069444444444604</c:v>
                </c:pt>
                <c:pt idx="135">
                  <c:v>0.55138888888889004</c:v>
                </c:pt>
                <c:pt idx="136">
                  <c:v>0.55208333333333504</c:v>
                </c:pt>
                <c:pt idx="137">
                  <c:v>0.55277777777777903</c:v>
                </c:pt>
                <c:pt idx="138">
                  <c:v>0.55347222222222403</c:v>
                </c:pt>
                <c:pt idx="139">
                  <c:v>0.55416666666666903</c:v>
                </c:pt>
                <c:pt idx="140">
                  <c:v>0.55486111111111303</c:v>
                </c:pt>
                <c:pt idx="141">
                  <c:v>0.55555555555555802</c:v>
                </c:pt>
                <c:pt idx="142">
                  <c:v>0.55625000000000202</c:v>
                </c:pt>
                <c:pt idx="143">
                  <c:v>0.55694444444444702</c:v>
                </c:pt>
                <c:pt idx="144">
                  <c:v>0.55763888888889102</c:v>
                </c:pt>
                <c:pt idx="145">
                  <c:v>0.55833333333333601</c:v>
                </c:pt>
                <c:pt idx="146">
                  <c:v>0.55902777777778001</c:v>
                </c:pt>
                <c:pt idx="147">
                  <c:v>0.55972222222222501</c:v>
                </c:pt>
                <c:pt idx="148">
                  <c:v>0.56041666666667</c:v>
                </c:pt>
                <c:pt idx="149">
                  <c:v>0.561111111111114</c:v>
                </c:pt>
                <c:pt idx="150">
                  <c:v>0.561805555555559</c:v>
                </c:pt>
                <c:pt idx="151">
                  <c:v>0.562500000000003</c:v>
                </c:pt>
                <c:pt idx="152">
                  <c:v>0.56319444444444799</c:v>
                </c:pt>
                <c:pt idx="153">
                  <c:v>0.56388888888889199</c:v>
                </c:pt>
                <c:pt idx="154">
                  <c:v>0.56458333333333699</c:v>
                </c:pt>
                <c:pt idx="155">
                  <c:v>0.56527777777778099</c:v>
                </c:pt>
                <c:pt idx="156">
                  <c:v>0.56597222222222598</c:v>
                </c:pt>
                <c:pt idx="157">
                  <c:v>0.56666666666667098</c:v>
                </c:pt>
                <c:pt idx="158">
                  <c:v>0.56736111111111498</c:v>
                </c:pt>
                <c:pt idx="159">
                  <c:v>0.56805555555555998</c:v>
                </c:pt>
                <c:pt idx="160">
                  <c:v>0.56875000000000397</c:v>
                </c:pt>
                <c:pt idx="161">
                  <c:v>0.56944444444444897</c:v>
                </c:pt>
                <c:pt idx="162">
                  <c:v>0.57013888888889297</c:v>
                </c:pt>
                <c:pt idx="163">
                  <c:v>0.57083333333333797</c:v>
                </c:pt>
                <c:pt idx="164">
                  <c:v>0.57152777777778196</c:v>
                </c:pt>
                <c:pt idx="165">
                  <c:v>0.57222222222222696</c:v>
                </c:pt>
                <c:pt idx="166">
                  <c:v>0.57291666666667196</c:v>
                </c:pt>
                <c:pt idx="167">
                  <c:v>0.57361111111111596</c:v>
                </c:pt>
                <c:pt idx="168">
                  <c:v>0.57430555555556095</c:v>
                </c:pt>
                <c:pt idx="169">
                  <c:v>0.57500000000000495</c:v>
                </c:pt>
                <c:pt idx="170">
                  <c:v>0.57569444444444995</c:v>
                </c:pt>
                <c:pt idx="171">
                  <c:v>0.57638888888889395</c:v>
                </c:pt>
                <c:pt idx="172">
                  <c:v>0.57708333333333905</c:v>
                </c:pt>
                <c:pt idx="173">
                  <c:v>0.57777777777778305</c:v>
                </c:pt>
                <c:pt idx="174">
                  <c:v>0.57847222222222805</c:v>
                </c:pt>
                <c:pt idx="175">
                  <c:v>0.57916666666667205</c:v>
                </c:pt>
                <c:pt idx="176">
                  <c:v>0.57986111111111704</c:v>
                </c:pt>
                <c:pt idx="177">
                  <c:v>0.58055555555556204</c:v>
                </c:pt>
                <c:pt idx="178">
                  <c:v>0.58125000000000604</c:v>
                </c:pt>
                <c:pt idx="179">
                  <c:v>0.58194444444445104</c:v>
                </c:pt>
                <c:pt idx="180">
                  <c:v>0.58263888888889503</c:v>
                </c:pt>
                <c:pt idx="181">
                  <c:v>0.58333333333334003</c:v>
                </c:pt>
                <c:pt idx="182">
                  <c:v>0.58402777777778403</c:v>
                </c:pt>
                <c:pt idx="183">
                  <c:v>0.58472222222222903</c:v>
                </c:pt>
                <c:pt idx="184">
                  <c:v>0.58541666666667302</c:v>
                </c:pt>
                <c:pt idx="185">
                  <c:v>0.58611111111111802</c:v>
                </c:pt>
                <c:pt idx="186">
                  <c:v>0.58680555555556302</c:v>
                </c:pt>
                <c:pt idx="187">
                  <c:v>0.58750000000000702</c:v>
                </c:pt>
                <c:pt idx="188">
                  <c:v>0.58819444444445201</c:v>
                </c:pt>
                <c:pt idx="189">
                  <c:v>0.58888888888889601</c:v>
                </c:pt>
                <c:pt idx="190">
                  <c:v>0.58958333333334101</c:v>
                </c:pt>
                <c:pt idx="191">
                  <c:v>0.59027777777778501</c:v>
                </c:pt>
                <c:pt idx="192">
                  <c:v>0.59097222222223</c:v>
                </c:pt>
                <c:pt idx="193">
                  <c:v>0.591666666666674</c:v>
                </c:pt>
                <c:pt idx="194">
                  <c:v>0.592361111111119</c:v>
                </c:pt>
                <c:pt idx="195">
                  <c:v>0.593055555555564</c:v>
                </c:pt>
                <c:pt idx="196">
                  <c:v>0.59375000000000799</c:v>
                </c:pt>
                <c:pt idx="197">
                  <c:v>0.59444444444445299</c:v>
                </c:pt>
                <c:pt idx="198">
                  <c:v>0.59513888888889699</c:v>
                </c:pt>
                <c:pt idx="199">
                  <c:v>0.59583333333334199</c:v>
                </c:pt>
                <c:pt idx="200">
                  <c:v>0.59652777777778598</c:v>
                </c:pt>
                <c:pt idx="201">
                  <c:v>0.59722222222223098</c:v>
                </c:pt>
                <c:pt idx="202">
                  <c:v>0.59791666666667498</c:v>
                </c:pt>
                <c:pt idx="203">
                  <c:v>0.59861111111111998</c:v>
                </c:pt>
                <c:pt idx="204">
                  <c:v>0.59930555555556497</c:v>
                </c:pt>
                <c:pt idx="205">
                  <c:v>0.60000000000000897</c:v>
                </c:pt>
                <c:pt idx="206">
                  <c:v>0.60069444444445397</c:v>
                </c:pt>
                <c:pt idx="207">
                  <c:v>0.60138888888889797</c:v>
                </c:pt>
                <c:pt idx="208">
                  <c:v>0.60208333333334296</c:v>
                </c:pt>
                <c:pt idx="209">
                  <c:v>0.60277777777778696</c:v>
                </c:pt>
                <c:pt idx="210">
                  <c:v>0.60347222222223196</c:v>
                </c:pt>
                <c:pt idx="211">
                  <c:v>0.60416666666667596</c:v>
                </c:pt>
                <c:pt idx="212">
                  <c:v>0.60486111111112095</c:v>
                </c:pt>
                <c:pt idx="213">
                  <c:v>0.60555555555556595</c:v>
                </c:pt>
                <c:pt idx="214">
                  <c:v>0.60625000000000995</c:v>
                </c:pt>
                <c:pt idx="215">
                  <c:v>0.60694444444445494</c:v>
                </c:pt>
                <c:pt idx="216">
                  <c:v>0.60763888888889905</c:v>
                </c:pt>
                <c:pt idx="217">
                  <c:v>0.60833333333334405</c:v>
                </c:pt>
                <c:pt idx="218">
                  <c:v>0.60902777777778805</c:v>
                </c:pt>
                <c:pt idx="219">
                  <c:v>0.60972222222223305</c:v>
                </c:pt>
                <c:pt idx="220">
                  <c:v>0.61041666666667704</c:v>
                </c:pt>
                <c:pt idx="221">
                  <c:v>0.61111111111112204</c:v>
                </c:pt>
                <c:pt idx="222">
                  <c:v>0.61180555555556604</c:v>
                </c:pt>
                <c:pt idx="223">
                  <c:v>0.61250000000001104</c:v>
                </c:pt>
                <c:pt idx="224">
                  <c:v>0.61319444444445603</c:v>
                </c:pt>
                <c:pt idx="225">
                  <c:v>0.61388888888890003</c:v>
                </c:pt>
                <c:pt idx="226">
                  <c:v>0.61458333333334503</c:v>
                </c:pt>
                <c:pt idx="227">
                  <c:v>0.61527777777778903</c:v>
                </c:pt>
                <c:pt idx="228">
                  <c:v>0.61597222222223402</c:v>
                </c:pt>
                <c:pt idx="229">
                  <c:v>0.61666666666667802</c:v>
                </c:pt>
                <c:pt idx="230">
                  <c:v>0.61736111111112302</c:v>
                </c:pt>
                <c:pt idx="231">
                  <c:v>0.61805555555556702</c:v>
                </c:pt>
                <c:pt idx="232">
                  <c:v>0.61875000000001201</c:v>
                </c:pt>
                <c:pt idx="233">
                  <c:v>0.61944444444445701</c:v>
                </c:pt>
                <c:pt idx="234">
                  <c:v>0.62013888888890101</c:v>
                </c:pt>
                <c:pt idx="235">
                  <c:v>0.620833333333346</c:v>
                </c:pt>
                <c:pt idx="236">
                  <c:v>0.62152777777779</c:v>
                </c:pt>
                <c:pt idx="237">
                  <c:v>0.622222222222235</c:v>
                </c:pt>
                <c:pt idx="238">
                  <c:v>0.622916666666679</c:v>
                </c:pt>
                <c:pt idx="239">
                  <c:v>0.62361111111112399</c:v>
                </c:pt>
                <c:pt idx="240">
                  <c:v>0.62430555555556799</c:v>
                </c:pt>
                <c:pt idx="241">
                  <c:v>0.62500000000001299</c:v>
                </c:pt>
              </c:numCache>
            </c:numRef>
          </c:cat>
          <c:val>
            <c:numRef>
              <c:f>沪深两市成交汇总!$F$2:$F$243</c:f>
              <c:numCache>
                <c:formatCode>0.0000_ </c:formatCode>
                <c:ptCount val="242"/>
                <c:pt idx="0">
                  <c:v>925.46326999999997</c:v>
                </c:pt>
                <c:pt idx="1">
                  <c:v>1010.0540019999999</c:v>
                </c:pt>
                <c:pt idx="2">
                  <c:v>1095.4229330000003</c:v>
                </c:pt>
                <c:pt idx="3">
                  <c:v>1197.775212</c:v>
                </c:pt>
                <c:pt idx="4">
                  <c:v>1270.506981</c:v>
                </c:pt>
                <c:pt idx="5">
                  <c:v>1359.4992649999999</c:v>
                </c:pt>
                <c:pt idx="6">
                  <c:v>1419.7390829999995</c:v>
                </c:pt>
                <c:pt idx="7">
                  <c:v>1494.2151429999994</c:v>
                </c:pt>
                <c:pt idx="8">
                  <c:v>1550.8421499999995</c:v>
                </c:pt>
                <c:pt idx="9">
                  <c:v>1611.3018430000002</c:v>
                </c:pt>
                <c:pt idx="10">
                  <c:v>1664.82924</c:v>
                </c:pt>
                <c:pt idx="11">
                  <c:v>1716.0975010000002</c:v>
                </c:pt>
                <c:pt idx="12">
                  <c:v>1820.2526419999995</c:v>
                </c:pt>
                <c:pt idx="13">
                  <c:v>1981.658257</c:v>
                </c:pt>
                <c:pt idx="14">
                  <c:v>2117.4608549999994</c:v>
                </c:pt>
                <c:pt idx="15">
                  <c:v>2280.9245869999995</c:v>
                </c:pt>
                <c:pt idx="16">
                  <c:v>2431.0586879999992</c:v>
                </c:pt>
                <c:pt idx="17">
                  <c:v>2500.9182900000005</c:v>
                </c:pt>
                <c:pt idx="18">
                  <c:v>2542.153776000001</c:v>
                </c:pt>
                <c:pt idx="19">
                  <c:v>2625.8107480000008</c:v>
                </c:pt>
                <c:pt idx="20">
                  <c:v>2682.487607</c:v>
                </c:pt>
                <c:pt idx="21">
                  <c:v>2688.6976210000003</c:v>
                </c:pt>
                <c:pt idx="22">
                  <c:v>2662.7122170000011</c:v>
                </c:pt>
                <c:pt idx="23">
                  <c:v>2621.0256460000001</c:v>
                </c:pt>
                <c:pt idx="24">
                  <c:v>2609.2483279999997</c:v>
                </c:pt>
                <c:pt idx="25">
                  <c:v>2608.4369500000012</c:v>
                </c:pt>
                <c:pt idx="26">
                  <c:v>2614.5833599999987</c:v>
                </c:pt>
                <c:pt idx="27">
                  <c:v>2610.4217159999989</c:v>
                </c:pt>
                <c:pt idx="28">
                  <c:v>2626.5620820000004</c:v>
                </c:pt>
                <c:pt idx="29">
                  <c:v>2633.0113680000013</c:v>
                </c:pt>
                <c:pt idx="30">
                  <c:v>2639.0544169999994</c:v>
                </c:pt>
                <c:pt idx="31">
                  <c:v>2654.0752599999996</c:v>
                </c:pt>
                <c:pt idx="32">
                  <c:v>2683.5447629999999</c:v>
                </c:pt>
                <c:pt idx="33">
                  <c:v>2689.358506999999</c:v>
                </c:pt>
                <c:pt idx="34">
                  <c:v>2694.6721309999994</c:v>
                </c:pt>
                <c:pt idx="35">
                  <c:v>2711.9132870000012</c:v>
                </c:pt>
                <c:pt idx="36">
                  <c:v>2724.4578799999999</c:v>
                </c:pt>
                <c:pt idx="37">
                  <c:v>2735.2334580000006</c:v>
                </c:pt>
                <c:pt idx="38">
                  <c:v>2791.4127289999997</c:v>
                </c:pt>
                <c:pt idx="39">
                  <c:v>2862.0083639999993</c:v>
                </c:pt>
                <c:pt idx="40">
                  <c:v>2914.8074390000002</c:v>
                </c:pt>
                <c:pt idx="41">
                  <c:v>2977.4837660000012</c:v>
                </c:pt>
                <c:pt idx="42">
                  <c:v>3052.2350330000008</c:v>
                </c:pt>
                <c:pt idx="43">
                  <c:v>3149.7116100000003</c:v>
                </c:pt>
                <c:pt idx="44">
                  <c:v>3262.1546509999989</c:v>
                </c:pt>
                <c:pt idx="45">
                  <c:v>3416.702405</c:v>
                </c:pt>
                <c:pt idx="46">
                  <c:v>3510.6516069999998</c:v>
                </c:pt>
                <c:pt idx="47">
                  <c:v>3580.1492780000008</c:v>
                </c:pt>
                <c:pt idx="48">
                  <c:v>3614.5854849999996</c:v>
                </c:pt>
                <c:pt idx="49">
                  <c:v>3630.710020999999</c:v>
                </c:pt>
                <c:pt idx="50">
                  <c:v>3624.2315859999999</c:v>
                </c:pt>
                <c:pt idx="51">
                  <c:v>3628.0142490000017</c:v>
                </c:pt>
                <c:pt idx="52">
                  <c:v>3606.0588950000001</c:v>
                </c:pt>
                <c:pt idx="53">
                  <c:v>3598.1616950000007</c:v>
                </c:pt>
                <c:pt idx="54">
                  <c:v>3602.7027859999998</c:v>
                </c:pt>
                <c:pt idx="55">
                  <c:v>3612.6278820000007</c:v>
                </c:pt>
                <c:pt idx="56">
                  <c:v>3626.6192769999998</c:v>
                </c:pt>
                <c:pt idx="57">
                  <c:v>3649.9857780000002</c:v>
                </c:pt>
                <c:pt idx="58">
                  <c:v>3701.6814979999999</c:v>
                </c:pt>
                <c:pt idx="59">
                  <c:v>3771.9103880000002</c:v>
                </c:pt>
                <c:pt idx="60">
                  <c:v>3856.8145750000022</c:v>
                </c:pt>
                <c:pt idx="61">
                  <c:v>3930.9539750000022</c:v>
                </c:pt>
                <c:pt idx="62">
                  <c:v>4057.6248169999999</c:v>
                </c:pt>
                <c:pt idx="63">
                  <c:v>4222.0872980000022</c:v>
                </c:pt>
                <c:pt idx="64">
                  <c:v>4470.2923819999996</c:v>
                </c:pt>
                <c:pt idx="65">
                  <c:v>4783.2345320000022</c:v>
                </c:pt>
                <c:pt idx="66">
                  <c:v>5118.5022640000007</c:v>
                </c:pt>
                <c:pt idx="67">
                  <c:v>5496.4555729999993</c:v>
                </c:pt>
                <c:pt idx="68">
                  <c:v>5823.5493200000001</c:v>
                </c:pt>
                <c:pt idx="69">
                  <c:v>6121.3529689999996</c:v>
                </c:pt>
                <c:pt idx="70">
                  <c:v>6361.4489790000007</c:v>
                </c:pt>
                <c:pt idx="71">
                  <c:v>6550.1928189999981</c:v>
                </c:pt>
                <c:pt idx="72">
                  <c:v>6714.9465800000016</c:v>
                </c:pt>
                <c:pt idx="73">
                  <c:v>6850.946493999998</c:v>
                </c:pt>
                <c:pt idx="74">
                  <c:v>6966.7690629999997</c:v>
                </c:pt>
                <c:pt idx="75">
                  <c:v>7063.7545719999998</c:v>
                </c:pt>
                <c:pt idx="76">
                  <c:v>7131.095886000001</c:v>
                </c:pt>
                <c:pt idx="77">
                  <c:v>7164.9372969999986</c:v>
                </c:pt>
                <c:pt idx="78">
                  <c:v>7191.3922440000006</c:v>
                </c:pt>
                <c:pt idx="79">
                  <c:v>7220.9907269999985</c:v>
                </c:pt>
                <c:pt idx="80">
                  <c:v>7251.4046460000009</c:v>
                </c:pt>
                <c:pt idx="81">
                  <c:v>7293.6116049999982</c:v>
                </c:pt>
                <c:pt idx="82">
                  <c:v>7314.8843070000003</c:v>
                </c:pt>
                <c:pt idx="83">
                  <c:v>7321.5471149999994</c:v>
                </c:pt>
                <c:pt idx="84">
                  <c:v>7336.5292009999994</c:v>
                </c:pt>
                <c:pt idx="85">
                  <c:v>7343.1349679999985</c:v>
                </c:pt>
                <c:pt idx="86">
                  <c:v>7342.3405109999985</c:v>
                </c:pt>
                <c:pt idx="87">
                  <c:v>7342.549160999999</c:v>
                </c:pt>
                <c:pt idx="88">
                  <c:v>7339.1102809999975</c:v>
                </c:pt>
                <c:pt idx="89">
                  <c:v>7342.840282000001</c:v>
                </c:pt>
                <c:pt idx="90">
                  <c:v>7348.1968109999998</c:v>
                </c:pt>
                <c:pt idx="91">
                  <c:v>7348.4267909999999</c:v>
                </c:pt>
                <c:pt idx="92">
                  <c:v>7361.7268889999996</c:v>
                </c:pt>
                <c:pt idx="93">
                  <c:v>7386.6316089999982</c:v>
                </c:pt>
                <c:pt idx="94">
                  <c:v>7402.7829329999986</c:v>
                </c:pt>
                <c:pt idx="95">
                  <c:v>7430.009630999999</c:v>
                </c:pt>
                <c:pt idx="96">
                  <c:v>7457.7512989999996</c:v>
                </c:pt>
                <c:pt idx="97">
                  <c:v>7500.5427359999994</c:v>
                </c:pt>
                <c:pt idx="98">
                  <c:v>7545.5925230000012</c:v>
                </c:pt>
                <c:pt idx="99">
                  <c:v>7593.4235090000002</c:v>
                </c:pt>
                <c:pt idx="100">
                  <c:v>7654.979734999999</c:v>
                </c:pt>
                <c:pt idx="101">
                  <c:v>7701.1134780000011</c:v>
                </c:pt>
                <c:pt idx="102">
                  <c:v>7740.6695830000008</c:v>
                </c:pt>
                <c:pt idx="103">
                  <c:v>7782.5897530000002</c:v>
                </c:pt>
                <c:pt idx="104">
                  <c:v>7825.5824400000001</c:v>
                </c:pt>
                <c:pt idx="105">
                  <c:v>7871.0030200000001</c:v>
                </c:pt>
                <c:pt idx="106">
                  <c:v>7920.6303020000014</c:v>
                </c:pt>
                <c:pt idx="107">
                  <c:v>7974.8750770000006</c:v>
                </c:pt>
                <c:pt idx="108">
                  <c:v>8027.0745329999991</c:v>
                </c:pt>
                <c:pt idx="109">
                  <c:v>8081.4485899999981</c:v>
                </c:pt>
                <c:pt idx="110">
                  <c:v>8113.0814870000013</c:v>
                </c:pt>
                <c:pt idx="111">
                  <c:v>8150.2167939999981</c:v>
                </c:pt>
                <c:pt idx="112">
                  <c:v>8171.6340779999991</c:v>
                </c:pt>
                <c:pt idx="113">
                  <c:v>8181.5472909999989</c:v>
                </c:pt>
                <c:pt idx="114">
                  <c:v>8189.5000409999993</c:v>
                </c:pt>
                <c:pt idx="115">
                  <c:v>8197.8942470000002</c:v>
                </c:pt>
                <c:pt idx="116">
                  <c:v>8207.7514840000003</c:v>
                </c:pt>
                <c:pt idx="117">
                  <c:v>8213.7442239999982</c:v>
                </c:pt>
                <c:pt idx="118">
                  <c:v>8212.3525239999981</c:v>
                </c:pt>
                <c:pt idx="119">
                  <c:v>8210.4403620000012</c:v>
                </c:pt>
                <c:pt idx="120">
                  <c:v>8210.0466970000016</c:v>
                </c:pt>
                <c:pt idx="121">
                  <c:v>8123.1744980000003</c:v>
                </c:pt>
                <c:pt idx="122">
                  <c:v>8064.2133640000029</c:v>
                </c:pt>
                <c:pt idx="123">
                  <c:v>8019.1087150000021</c:v>
                </c:pt>
                <c:pt idx="124">
                  <c:v>7981.9880809999995</c:v>
                </c:pt>
                <c:pt idx="125">
                  <c:v>7969.8452980000002</c:v>
                </c:pt>
                <c:pt idx="126">
                  <c:v>7964.6667449999986</c:v>
                </c:pt>
                <c:pt idx="127">
                  <c:v>7947.5249769999973</c:v>
                </c:pt>
                <c:pt idx="128">
                  <c:v>7923.2688460000027</c:v>
                </c:pt>
                <c:pt idx="129">
                  <c:v>7896.1514639999987</c:v>
                </c:pt>
                <c:pt idx="130">
                  <c:v>7874.4748999999974</c:v>
                </c:pt>
                <c:pt idx="131">
                  <c:v>7848.5804339999995</c:v>
                </c:pt>
                <c:pt idx="132">
                  <c:v>7804.5271729999986</c:v>
                </c:pt>
                <c:pt idx="133">
                  <c:v>7774.1561189999993</c:v>
                </c:pt>
                <c:pt idx="134">
                  <c:v>7751.9958409999999</c:v>
                </c:pt>
                <c:pt idx="135">
                  <c:v>7729.0864510000029</c:v>
                </c:pt>
                <c:pt idx="136">
                  <c:v>7716.2769879999978</c:v>
                </c:pt>
                <c:pt idx="137">
                  <c:v>7707.7792999999983</c:v>
                </c:pt>
                <c:pt idx="138">
                  <c:v>7715.1553559999993</c:v>
                </c:pt>
                <c:pt idx="139">
                  <c:v>7718.5140019999999</c:v>
                </c:pt>
                <c:pt idx="140">
                  <c:v>7727.8276359999982</c:v>
                </c:pt>
                <c:pt idx="141">
                  <c:v>7747.1826760000004</c:v>
                </c:pt>
                <c:pt idx="142">
                  <c:v>7767.6188320000001</c:v>
                </c:pt>
                <c:pt idx="143">
                  <c:v>7775.7897209999974</c:v>
                </c:pt>
                <c:pt idx="144">
                  <c:v>7790.6806639999995</c:v>
                </c:pt>
                <c:pt idx="145">
                  <c:v>7803.9468469999993</c:v>
                </c:pt>
                <c:pt idx="146">
                  <c:v>7820.686816999998</c:v>
                </c:pt>
                <c:pt idx="147">
                  <c:v>7846.5477979999996</c:v>
                </c:pt>
                <c:pt idx="148">
                  <c:v>7857.2292879999986</c:v>
                </c:pt>
                <c:pt idx="149">
                  <c:v>7859.6116010000005</c:v>
                </c:pt>
                <c:pt idx="150">
                  <c:v>7868.9260240000003</c:v>
                </c:pt>
                <c:pt idx="151">
                  <c:v>7875.0595680000006</c:v>
                </c:pt>
                <c:pt idx="152">
                  <c:v>7887.0492010000016</c:v>
                </c:pt>
                <c:pt idx="153">
                  <c:v>7892.4985070000002</c:v>
                </c:pt>
                <c:pt idx="154">
                  <c:v>7895.8327250000002</c:v>
                </c:pt>
                <c:pt idx="155">
                  <c:v>7898.1793479999978</c:v>
                </c:pt>
                <c:pt idx="156">
                  <c:v>7905.1504719999975</c:v>
                </c:pt>
                <c:pt idx="157">
                  <c:v>7916.1440890000013</c:v>
                </c:pt>
                <c:pt idx="158">
                  <c:v>7912.7818680000019</c:v>
                </c:pt>
                <c:pt idx="159">
                  <c:v>7918.7525440000027</c:v>
                </c:pt>
                <c:pt idx="160">
                  <c:v>7922.7001789999995</c:v>
                </c:pt>
                <c:pt idx="161">
                  <c:v>7927.4427140000007</c:v>
                </c:pt>
                <c:pt idx="162">
                  <c:v>7931.5250960000012</c:v>
                </c:pt>
                <c:pt idx="163">
                  <c:v>7935.6841370000002</c:v>
                </c:pt>
                <c:pt idx="164">
                  <c:v>7934.5547350000015</c:v>
                </c:pt>
                <c:pt idx="165">
                  <c:v>7915.4518949999983</c:v>
                </c:pt>
                <c:pt idx="166">
                  <c:v>7894.5513309999988</c:v>
                </c:pt>
                <c:pt idx="167">
                  <c:v>7890.9583199999979</c:v>
                </c:pt>
                <c:pt idx="168">
                  <c:v>7892.246103999998</c:v>
                </c:pt>
                <c:pt idx="169">
                  <c:v>7879.3983770000013</c:v>
                </c:pt>
                <c:pt idx="170">
                  <c:v>7870.1322010000004</c:v>
                </c:pt>
                <c:pt idx="171">
                  <c:v>7858.2060209999981</c:v>
                </c:pt>
                <c:pt idx="172">
                  <c:v>7858.2124120000008</c:v>
                </c:pt>
                <c:pt idx="173">
                  <c:v>7868.3346090000014</c:v>
                </c:pt>
                <c:pt idx="174">
                  <c:v>7874.9252560000023</c:v>
                </c:pt>
                <c:pt idx="175">
                  <c:v>7892.2531630000012</c:v>
                </c:pt>
                <c:pt idx="176">
                  <c:v>7912.2666219999992</c:v>
                </c:pt>
                <c:pt idx="177">
                  <c:v>7931.2271370000017</c:v>
                </c:pt>
                <c:pt idx="178">
                  <c:v>7946.5962499999987</c:v>
                </c:pt>
                <c:pt idx="179">
                  <c:v>7950.2675670000026</c:v>
                </c:pt>
                <c:pt idx="180">
                  <c:v>7950.7230449999988</c:v>
                </c:pt>
                <c:pt idx="181">
                  <c:v>7957.9489219999996</c:v>
                </c:pt>
                <c:pt idx="182">
                  <c:v>7970.1620370000019</c:v>
                </c:pt>
                <c:pt idx="183">
                  <c:v>7979.9525829999984</c:v>
                </c:pt>
                <c:pt idx="184">
                  <c:v>7979.8116230000014</c:v>
                </c:pt>
                <c:pt idx="185">
                  <c:v>7982.1733139999997</c:v>
                </c:pt>
                <c:pt idx="186">
                  <c:v>7967.9177009999985</c:v>
                </c:pt>
                <c:pt idx="187">
                  <c:v>7954.0614600000008</c:v>
                </c:pt>
                <c:pt idx="188">
                  <c:v>7939.6122370000012</c:v>
                </c:pt>
                <c:pt idx="189">
                  <c:v>7926.2819359999994</c:v>
                </c:pt>
                <c:pt idx="190">
                  <c:v>7915.4071069999991</c:v>
                </c:pt>
                <c:pt idx="191">
                  <c:v>7902.1871329999994</c:v>
                </c:pt>
                <c:pt idx="192">
                  <c:v>7891.9578150000016</c:v>
                </c:pt>
                <c:pt idx="193">
                  <c:v>7880.9066019999991</c:v>
                </c:pt>
                <c:pt idx="194">
                  <c:v>7873.0811099999992</c:v>
                </c:pt>
                <c:pt idx="195">
                  <c:v>7867.0701709999994</c:v>
                </c:pt>
                <c:pt idx="196">
                  <c:v>7866.1490819999999</c:v>
                </c:pt>
                <c:pt idx="197">
                  <c:v>7865.2126119999994</c:v>
                </c:pt>
                <c:pt idx="198">
                  <c:v>7851.6890740000017</c:v>
                </c:pt>
                <c:pt idx="199">
                  <c:v>7844.0837280000014</c:v>
                </c:pt>
                <c:pt idx="200">
                  <c:v>7827.2852250000033</c:v>
                </c:pt>
                <c:pt idx="201">
                  <c:v>7792.7655269999996</c:v>
                </c:pt>
                <c:pt idx="202">
                  <c:v>7740.8296359999986</c:v>
                </c:pt>
                <c:pt idx="203">
                  <c:v>7698.7041260000005</c:v>
                </c:pt>
                <c:pt idx="204">
                  <c:v>7640.308395</c:v>
                </c:pt>
                <c:pt idx="205">
                  <c:v>7563.004363</c:v>
                </c:pt>
                <c:pt idx="206">
                  <c:v>7518.2317119999971</c:v>
                </c:pt>
                <c:pt idx="207">
                  <c:v>7484.6716740000011</c:v>
                </c:pt>
                <c:pt idx="208">
                  <c:v>7457.6649780000007</c:v>
                </c:pt>
                <c:pt idx="209">
                  <c:v>7458.8563610000019</c:v>
                </c:pt>
                <c:pt idx="210">
                  <c:v>7475.610048999999</c:v>
                </c:pt>
                <c:pt idx="211">
                  <c:v>7506.1483460000018</c:v>
                </c:pt>
                <c:pt idx="212">
                  <c:v>7540.1848059999975</c:v>
                </c:pt>
                <c:pt idx="213">
                  <c:v>7573.2745350000005</c:v>
                </c:pt>
                <c:pt idx="214">
                  <c:v>7624.1892650000009</c:v>
                </c:pt>
                <c:pt idx="215">
                  <c:v>7677.5896560000001</c:v>
                </c:pt>
                <c:pt idx="216">
                  <c:v>7714.1853630000005</c:v>
                </c:pt>
                <c:pt idx="217">
                  <c:v>7743.6032049999994</c:v>
                </c:pt>
                <c:pt idx="218">
                  <c:v>7775.4492920000012</c:v>
                </c:pt>
                <c:pt idx="219">
                  <c:v>7808.8964919999999</c:v>
                </c:pt>
                <c:pt idx="220">
                  <c:v>7844.2147149999983</c:v>
                </c:pt>
                <c:pt idx="221">
                  <c:v>7887.6331019999998</c:v>
                </c:pt>
                <c:pt idx="222">
                  <c:v>7928.9066219999986</c:v>
                </c:pt>
                <c:pt idx="223">
                  <c:v>7967.1331229999996</c:v>
                </c:pt>
                <c:pt idx="224">
                  <c:v>7999.4583960000018</c:v>
                </c:pt>
                <c:pt idx="225">
                  <c:v>8030.6579459999994</c:v>
                </c:pt>
                <c:pt idx="226">
                  <c:v>8058.6391949999997</c:v>
                </c:pt>
                <c:pt idx="227">
                  <c:v>8095.1063580000009</c:v>
                </c:pt>
                <c:pt idx="228">
                  <c:v>8127.6100360000019</c:v>
                </c:pt>
                <c:pt idx="229">
                  <c:v>8164.2093449999993</c:v>
                </c:pt>
                <c:pt idx="230">
                  <c:v>8206.2979569999952</c:v>
                </c:pt>
                <c:pt idx="231">
                  <c:v>8250.8151439999965</c:v>
                </c:pt>
                <c:pt idx="232">
                  <c:v>8297.9192380000022</c:v>
                </c:pt>
                <c:pt idx="233">
                  <c:v>8343.3548650000048</c:v>
                </c:pt>
                <c:pt idx="234">
                  <c:v>8393.1641829999971</c:v>
                </c:pt>
                <c:pt idx="235">
                  <c:v>8437.3824319999985</c:v>
                </c:pt>
                <c:pt idx="236">
                  <c:v>8480.8113890000022</c:v>
                </c:pt>
                <c:pt idx="237">
                  <c:v>8527.9560739999979</c:v>
                </c:pt>
                <c:pt idx="238">
                  <c:v>8529.5982080000031</c:v>
                </c:pt>
                <c:pt idx="239">
                  <c:v>0</c:v>
                </c:pt>
                <c:pt idx="240">
                  <c:v>0</c:v>
                </c:pt>
                <c:pt idx="241">
                  <c:v>8589.0240069999963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107F3A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98F-40A8-9F37-8176E1E11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852575"/>
        <c:axId val="890850911"/>
      </c:barChart>
      <c:lineChart>
        <c:grouping val="standard"/>
        <c:varyColors val="0"/>
        <c:ser>
          <c:idx val="2"/>
          <c:order val="0"/>
          <c:tx>
            <c:strRef>
              <c:f>沪深两市成交汇总!$D$1</c:f>
              <c:strCache>
                <c:ptCount val="1"/>
                <c:pt idx="0">
                  <c:v>昨日累计成交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沪深两市成交汇总!$A$2:$A$243</c:f>
              <c:numCache>
                <c:formatCode>h:mm;@</c:formatCode>
                <c:ptCount val="242"/>
                <c:pt idx="0">
                  <c:v>0.39583333333333331</c:v>
                </c:pt>
                <c:pt idx="1">
                  <c:v>0.39652777777777781</c:v>
                </c:pt>
                <c:pt idx="2">
                  <c:v>0.39722222222222198</c:v>
                </c:pt>
                <c:pt idx="3">
                  <c:v>0.39791666666666697</c:v>
                </c:pt>
                <c:pt idx="4">
                  <c:v>0.39861111111111103</c:v>
                </c:pt>
                <c:pt idx="5">
                  <c:v>0.39930555555555602</c:v>
                </c:pt>
                <c:pt idx="6">
                  <c:v>0.4</c:v>
                </c:pt>
                <c:pt idx="7">
                  <c:v>0.40069444444444446</c:v>
                </c:pt>
                <c:pt idx="8">
                  <c:v>0.40138888888888902</c:v>
                </c:pt>
                <c:pt idx="9">
                  <c:v>0.40208333333333401</c:v>
                </c:pt>
                <c:pt idx="10">
                  <c:v>0.40277777777777801</c:v>
                </c:pt>
                <c:pt idx="11">
                  <c:v>0.40347222222222301</c:v>
                </c:pt>
                <c:pt idx="12">
                  <c:v>0.40416666666666701</c:v>
                </c:pt>
                <c:pt idx="13">
                  <c:v>0.404861111111112</c:v>
                </c:pt>
                <c:pt idx="14">
                  <c:v>0.405555555555556</c:v>
                </c:pt>
                <c:pt idx="15">
                  <c:v>0.406250000000001</c:v>
                </c:pt>
                <c:pt idx="16">
                  <c:v>0.406944444444445</c:v>
                </c:pt>
                <c:pt idx="17">
                  <c:v>0.40763888888888999</c:v>
                </c:pt>
                <c:pt idx="18">
                  <c:v>0.40833333333333399</c:v>
                </c:pt>
                <c:pt idx="19">
                  <c:v>0.40902777777777899</c:v>
                </c:pt>
                <c:pt idx="20">
                  <c:v>0.40972222222222299</c:v>
                </c:pt>
                <c:pt idx="21">
                  <c:v>0.41041666666666798</c:v>
                </c:pt>
                <c:pt idx="22">
                  <c:v>0.41111111111111198</c:v>
                </c:pt>
                <c:pt idx="23">
                  <c:v>0.41180555555555698</c:v>
                </c:pt>
                <c:pt idx="24">
                  <c:v>0.41250000000000098</c:v>
                </c:pt>
                <c:pt idx="25">
                  <c:v>0.41319444444444597</c:v>
                </c:pt>
                <c:pt idx="26">
                  <c:v>0.41388888888889003</c:v>
                </c:pt>
                <c:pt idx="27">
                  <c:v>0.41458333333333502</c:v>
                </c:pt>
                <c:pt idx="28">
                  <c:v>0.41527777777777902</c:v>
                </c:pt>
                <c:pt idx="29">
                  <c:v>0.41597222222222402</c:v>
                </c:pt>
                <c:pt idx="30">
                  <c:v>0.41666666666666802</c:v>
                </c:pt>
                <c:pt idx="31">
                  <c:v>0.41736111111111301</c:v>
                </c:pt>
                <c:pt idx="32">
                  <c:v>0.41805555555555701</c:v>
                </c:pt>
                <c:pt idx="33">
                  <c:v>0.41875000000000201</c:v>
                </c:pt>
                <c:pt idx="34">
                  <c:v>0.41944444444444601</c:v>
                </c:pt>
                <c:pt idx="35">
                  <c:v>0.420138888888891</c:v>
                </c:pt>
                <c:pt idx="36">
                  <c:v>0.420833333333335</c:v>
                </c:pt>
                <c:pt idx="37">
                  <c:v>0.42152777777778</c:v>
                </c:pt>
                <c:pt idx="38">
                  <c:v>0.422222222222224</c:v>
                </c:pt>
                <c:pt idx="39">
                  <c:v>0.42291666666666899</c:v>
                </c:pt>
                <c:pt idx="40">
                  <c:v>0.42361111111111299</c:v>
                </c:pt>
                <c:pt idx="41">
                  <c:v>0.42430555555555799</c:v>
                </c:pt>
                <c:pt idx="42">
                  <c:v>0.42500000000000199</c:v>
                </c:pt>
                <c:pt idx="43">
                  <c:v>0.42569444444444698</c:v>
                </c:pt>
                <c:pt idx="44">
                  <c:v>0.42638888888889098</c:v>
                </c:pt>
                <c:pt idx="45">
                  <c:v>0.42708333333333598</c:v>
                </c:pt>
                <c:pt idx="46">
                  <c:v>0.42777777777777998</c:v>
                </c:pt>
                <c:pt idx="47">
                  <c:v>0.42847222222222497</c:v>
                </c:pt>
                <c:pt idx="48">
                  <c:v>0.42916666666666903</c:v>
                </c:pt>
                <c:pt idx="49">
                  <c:v>0.42986111111111402</c:v>
                </c:pt>
                <c:pt idx="50">
                  <c:v>0.43055555555555802</c:v>
                </c:pt>
                <c:pt idx="51">
                  <c:v>0.43125000000000302</c:v>
                </c:pt>
                <c:pt idx="52">
                  <c:v>0.43194444444444702</c:v>
                </c:pt>
                <c:pt idx="53">
                  <c:v>0.43263888888889201</c:v>
                </c:pt>
                <c:pt idx="54">
                  <c:v>0.43333333333333601</c:v>
                </c:pt>
                <c:pt idx="55">
                  <c:v>0.43402777777778101</c:v>
                </c:pt>
                <c:pt idx="56">
                  <c:v>0.43472222222222501</c:v>
                </c:pt>
                <c:pt idx="57">
                  <c:v>0.43541666666667</c:v>
                </c:pt>
                <c:pt idx="58">
                  <c:v>0.436111111111114</c:v>
                </c:pt>
                <c:pt idx="59">
                  <c:v>0.436805555555559</c:v>
                </c:pt>
                <c:pt idx="60">
                  <c:v>0.437500000000003</c:v>
                </c:pt>
                <c:pt idx="61">
                  <c:v>0.43819444444444799</c:v>
                </c:pt>
                <c:pt idx="62">
                  <c:v>0.43888888888889199</c:v>
                </c:pt>
                <c:pt idx="63">
                  <c:v>0.43958333333333699</c:v>
                </c:pt>
                <c:pt idx="64">
                  <c:v>0.44027777777778099</c:v>
                </c:pt>
                <c:pt idx="65">
                  <c:v>0.44097222222222598</c:v>
                </c:pt>
                <c:pt idx="66">
                  <c:v>0.44166666666666998</c:v>
                </c:pt>
                <c:pt idx="67">
                  <c:v>0.44236111111111498</c:v>
                </c:pt>
                <c:pt idx="68">
                  <c:v>0.44305555555555898</c:v>
                </c:pt>
                <c:pt idx="69">
                  <c:v>0.44375000000000397</c:v>
                </c:pt>
                <c:pt idx="70">
                  <c:v>0.44444444444444797</c:v>
                </c:pt>
                <c:pt idx="71">
                  <c:v>0.44513888888889303</c:v>
                </c:pt>
                <c:pt idx="72">
                  <c:v>0.44583333333333702</c:v>
                </c:pt>
                <c:pt idx="73">
                  <c:v>0.44652777777778202</c:v>
                </c:pt>
                <c:pt idx="74">
                  <c:v>0.44722222222222602</c:v>
                </c:pt>
                <c:pt idx="75">
                  <c:v>0.44791666666667102</c:v>
                </c:pt>
                <c:pt idx="76">
                  <c:v>0.44861111111111501</c:v>
                </c:pt>
                <c:pt idx="77">
                  <c:v>0.44930555555556001</c:v>
                </c:pt>
                <c:pt idx="78">
                  <c:v>0.45000000000000401</c:v>
                </c:pt>
                <c:pt idx="79">
                  <c:v>0.450694444444449</c:v>
                </c:pt>
                <c:pt idx="80">
                  <c:v>0.451388888888893</c:v>
                </c:pt>
                <c:pt idx="81">
                  <c:v>0.452083333333338</c:v>
                </c:pt>
                <c:pt idx="82">
                  <c:v>0.452777777777782</c:v>
                </c:pt>
                <c:pt idx="83">
                  <c:v>0.45347222222222699</c:v>
                </c:pt>
                <c:pt idx="84">
                  <c:v>0.45416666666667099</c:v>
                </c:pt>
                <c:pt idx="85">
                  <c:v>0.45486111111111599</c:v>
                </c:pt>
                <c:pt idx="86">
                  <c:v>0.45555555555555999</c:v>
                </c:pt>
                <c:pt idx="87">
                  <c:v>0.45625000000000498</c:v>
                </c:pt>
                <c:pt idx="88">
                  <c:v>0.45694444444444898</c:v>
                </c:pt>
                <c:pt idx="89">
                  <c:v>0.45763888888889398</c:v>
                </c:pt>
                <c:pt idx="90">
                  <c:v>0.45833333333333798</c:v>
                </c:pt>
                <c:pt idx="91">
                  <c:v>0.45902777777778297</c:v>
                </c:pt>
                <c:pt idx="92">
                  <c:v>0.45972222222222697</c:v>
                </c:pt>
                <c:pt idx="93">
                  <c:v>0.46041666666667203</c:v>
                </c:pt>
                <c:pt idx="94">
                  <c:v>0.46111111111111602</c:v>
                </c:pt>
                <c:pt idx="95">
                  <c:v>0.46180555555556102</c:v>
                </c:pt>
                <c:pt idx="96">
                  <c:v>0.46250000000000502</c:v>
                </c:pt>
                <c:pt idx="97">
                  <c:v>0.46319444444445002</c:v>
                </c:pt>
                <c:pt idx="98">
                  <c:v>0.46388888888889401</c:v>
                </c:pt>
                <c:pt idx="99">
                  <c:v>0.46458333333333901</c:v>
                </c:pt>
                <c:pt idx="100">
                  <c:v>0.46527777777778301</c:v>
                </c:pt>
                <c:pt idx="101">
                  <c:v>0.46597222222222801</c:v>
                </c:pt>
                <c:pt idx="102">
                  <c:v>0.466666666666672</c:v>
                </c:pt>
                <c:pt idx="103">
                  <c:v>0.467361111111117</c:v>
                </c:pt>
                <c:pt idx="104">
                  <c:v>0.468055555555561</c:v>
                </c:pt>
                <c:pt idx="105">
                  <c:v>0.468750000000005</c:v>
                </c:pt>
                <c:pt idx="106">
                  <c:v>0.46944444444444999</c:v>
                </c:pt>
                <c:pt idx="107">
                  <c:v>0.47013888888889499</c:v>
                </c:pt>
                <c:pt idx="108">
                  <c:v>0.47083333333333899</c:v>
                </c:pt>
                <c:pt idx="109">
                  <c:v>0.47152777777778399</c:v>
                </c:pt>
                <c:pt idx="110">
                  <c:v>0.47222222222222798</c:v>
                </c:pt>
                <c:pt idx="111">
                  <c:v>0.47291666666667298</c:v>
                </c:pt>
                <c:pt idx="112">
                  <c:v>0.47361111111111698</c:v>
                </c:pt>
                <c:pt idx="113">
                  <c:v>0.47430555555556198</c:v>
                </c:pt>
                <c:pt idx="114">
                  <c:v>0.47500000000000597</c:v>
                </c:pt>
                <c:pt idx="115">
                  <c:v>0.47569444444445103</c:v>
                </c:pt>
                <c:pt idx="116">
                  <c:v>0.47638888888889502</c:v>
                </c:pt>
                <c:pt idx="117">
                  <c:v>0.47708333333334002</c:v>
                </c:pt>
                <c:pt idx="118">
                  <c:v>0.47777777777778402</c:v>
                </c:pt>
                <c:pt idx="119">
                  <c:v>0.47847222222222902</c:v>
                </c:pt>
                <c:pt idx="120">
                  <c:v>0.47916666666667301</c:v>
                </c:pt>
                <c:pt idx="121">
                  <c:v>0.54166666666666663</c:v>
                </c:pt>
                <c:pt idx="122">
                  <c:v>0.54236111111111118</c:v>
                </c:pt>
                <c:pt idx="123">
                  <c:v>0.54305555555555596</c:v>
                </c:pt>
                <c:pt idx="124">
                  <c:v>0.54374999999999996</c:v>
                </c:pt>
                <c:pt idx="125">
                  <c:v>0.54444444444444495</c:v>
                </c:pt>
                <c:pt idx="126">
                  <c:v>0.54513888888888895</c:v>
                </c:pt>
                <c:pt idx="127">
                  <c:v>0.54583333333333395</c:v>
                </c:pt>
                <c:pt idx="128">
                  <c:v>0.54652777777777894</c:v>
                </c:pt>
                <c:pt idx="129">
                  <c:v>0.54722222222222305</c:v>
                </c:pt>
                <c:pt idx="130">
                  <c:v>0.54791666666666805</c:v>
                </c:pt>
                <c:pt idx="131">
                  <c:v>0.54861111111111205</c:v>
                </c:pt>
                <c:pt idx="132">
                  <c:v>0.54930555555555705</c:v>
                </c:pt>
                <c:pt idx="133">
                  <c:v>0.55000000000000104</c:v>
                </c:pt>
                <c:pt idx="134">
                  <c:v>0.55069444444444604</c:v>
                </c:pt>
                <c:pt idx="135">
                  <c:v>0.55138888888889004</c:v>
                </c:pt>
                <c:pt idx="136">
                  <c:v>0.55208333333333504</c:v>
                </c:pt>
                <c:pt idx="137">
                  <c:v>0.55277777777777903</c:v>
                </c:pt>
                <c:pt idx="138">
                  <c:v>0.55347222222222403</c:v>
                </c:pt>
                <c:pt idx="139">
                  <c:v>0.55416666666666903</c:v>
                </c:pt>
                <c:pt idx="140">
                  <c:v>0.55486111111111303</c:v>
                </c:pt>
                <c:pt idx="141">
                  <c:v>0.55555555555555802</c:v>
                </c:pt>
                <c:pt idx="142">
                  <c:v>0.55625000000000202</c:v>
                </c:pt>
                <c:pt idx="143">
                  <c:v>0.55694444444444702</c:v>
                </c:pt>
                <c:pt idx="144">
                  <c:v>0.55763888888889102</c:v>
                </c:pt>
                <c:pt idx="145">
                  <c:v>0.55833333333333601</c:v>
                </c:pt>
                <c:pt idx="146">
                  <c:v>0.55902777777778001</c:v>
                </c:pt>
                <c:pt idx="147">
                  <c:v>0.55972222222222501</c:v>
                </c:pt>
                <c:pt idx="148">
                  <c:v>0.56041666666667</c:v>
                </c:pt>
                <c:pt idx="149">
                  <c:v>0.561111111111114</c:v>
                </c:pt>
                <c:pt idx="150">
                  <c:v>0.561805555555559</c:v>
                </c:pt>
                <c:pt idx="151">
                  <c:v>0.562500000000003</c:v>
                </c:pt>
                <c:pt idx="152">
                  <c:v>0.56319444444444799</c:v>
                </c:pt>
                <c:pt idx="153">
                  <c:v>0.56388888888889199</c:v>
                </c:pt>
                <c:pt idx="154">
                  <c:v>0.56458333333333699</c:v>
                </c:pt>
                <c:pt idx="155">
                  <c:v>0.56527777777778099</c:v>
                </c:pt>
                <c:pt idx="156">
                  <c:v>0.56597222222222598</c:v>
                </c:pt>
                <c:pt idx="157">
                  <c:v>0.56666666666667098</c:v>
                </c:pt>
                <c:pt idx="158">
                  <c:v>0.56736111111111498</c:v>
                </c:pt>
                <c:pt idx="159">
                  <c:v>0.56805555555555998</c:v>
                </c:pt>
                <c:pt idx="160">
                  <c:v>0.56875000000000397</c:v>
                </c:pt>
                <c:pt idx="161">
                  <c:v>0.56944444444444897</c:v>
                </c:pt>
                <c:pt idx="162">
                  <c:v>0.57013888888889297</c:v>
                </c:pt>
                <c:pt idx="163">
                  <c:v>0.57083333333333797</c:v>
                </c:pt>
                <c:pt idx="164">
                  <c:v>0.57152777777778196</c:v>
                </c:pt>
                <c:pt idx="165">
                  <c:v>0.57222222222222696</c:v>
                </c:pt>
                <c:pt idx="166">
                  <c:v>0.57291666666667196</c:v>
                </c:pt>
                <c:pt idx="167">
                  <c:v>0.57361111111111596</c:v>
                </c:pt>
                <c:pt idx="168">
                  <c:v>0.57430555555556095</c:v>
                </c:pt>
                <c:pt idx="169">
                  <c:v>0.57500000000000495</c:v>
                </c:pt>
                <c:pt idx="170">
                  <c:v>0.57569444444444995</c:v>
                </c:pt>
                <c:pt idx="171">
                  <c:v>0.57638888888889395</c:v>
                </c:pt>
                <c:pt idx="172">
                  <c:v>0.57708333333333905</c:v>
                </c:pt>
                <c:pt idx="173">
                  <c:v>0.57777777777778305</c:v>
                </c:pt>
                <c:pt idx="174">
                  <c:v>0.57847222222222805</c:v>
                </c:pt>
                <c:pt idx="175">
                  <c:v>0.57916666666667205</c:v>
                </c:pt>
                <c:pt idx="176">
                  <c:v>0.57986111111111704</c:v>
                </c:pt>
                <c:pt idx="177">
                  <c:v>0.58055555555556204</c:v>
                </c:pt>
                <c:pt idx="178">
                  <c:v>0.58125000000000604</c:v>
                </c:pt>
                <c:pt idx="179">
                  <c:v>0.58194444444445104</c:v>
                </c:pt>
                <c:pt idx="180">
                  <c:v>0.58263888888889503</c:v>
                </c:pt>
                <c:pt idx="181">
                  <c:v>0.58333333333334003</c:v>
                </c:pt>
                <c:pt idx="182">
                  <c:v>0.58402777777778403</c:v>
                </c:pt>
                <c:pt idx="183">
                  <c:v>0.58472222222222903</c:v>
                </c:pt>
                <c:pt idx="184">
                  <c:v>0.58541666666667302</c:v>
                </c:pt>
                <c:pt idx="185">
                  <c:v>0.58611111111111802</c:v>
                </c:pt>
                <c:pt idx="186">
                  <c:v>0.58680555555556302</c:v>
                </c:pt>
                <c:pt idx="187">
                  <c:v>0.58750000000000702</c:v>
                </c:pt>
                <c:pt idx="188">
                  <c:v>0.58819444444445201</c:v>
                </c:pt>
                <c:pt idx="189">
                  <c:v>0.58888888888889601</c:v>
                </c:pt>
                <c:pt idx="190">
                  <c:v>0.58958333333334101</c:v>
                </c:pt>
                <c:pt idx="191">
                  <c:v>0.59027777777778501</c:v>
                </c:pt>
                <c:pt idx="192">
                  <c:v>0.59097222222223</c:v>
                </c:pt>
                <c:pt idx="193">
                  <c:v>0.591666666666674</c:v>
                </c:pt>
                <c:pt idx="194">
                  <c:v>0.592361111111119</c:v>
                </c:pt>
                <c:pt idx="195">
                  <c:v>0.593055555555564</c:v>
                </c:pt>
                <c:pt idx="196">
                  <c:v>0.59375000000000799</c:v>
                </c:pt>
                <c:pt idx="197">
                  <c:v>0.59444444444445299</c:v>
                </c:pt>
                <c:pt idx="198">
                  <c:v>0.59513888888889699</c:v>
                </c:pt>
                <c:pt idx="199">
                  <c:v>0.59583333333334199</c:v>
                </c:pt>
                <c:pt idx="200">
                  <c:v>0.59652777777778598</c:v>
                </c:pt>
                <c:pt idx="201">
                  <c:v>0.59722222222223098</c:v>
                </c:pt>
                <c:pt idx="202">
                  <c:v>0.59791666666667498</c:v>
                </c:pt>
                <c:pt idx="203">
                  <c:v>0.59861111111111998</c:v>
                </c:pt>
                <c:pt idx="204">
                  <c:v>0.59930555555556497</c:v>
                </c:pt>
                <c:pt idx="205">
                  <c:v>0.60000000000000897</c:v>
                </c:pt>
                <c:pt idx="206">
                  <c:v>0.60069444444445397</c:v>
                </c:pt>
                <c:pt idx="207">
                  <c:v>0.60138888888889797</c:v>
                </c:pt>
                <c:pt idx="208">
                  <c:v>0.60208333333334296</c:v>
                </c:pt>
                <c:pt idx="209">
                  <c:v>0.60277777777778696</c:v>
                </c:pt>
                <c:pt idx="210">
                  <c:v>0.60347222222223196</c:v>
                </c:pt>
                <c:pt idx="211">
                  <c:v>0.60416666666667596</c:v>
                </c:pt>
                <c:pt idx="212">
                  <c:v>0.60486111111112095</c:v>
                </c:pt>
                <c:pt idx="213">
                  <c:v>0.60555555555556595</c:v>
                </c:pt>
                <c:pt idx="214">
                  <c:v>0.60625000000000995</c:v>
                </c:pt>
                <c:pt idx="215">
                  <c:v>0.60694444444445494</c:v>
                </c:pt>
                <c:pt idx="216">
                  <c:v>0.60763888888889905</c:v>
                </c:pt>
                <c:pt idx="217">
                  <c:v>0.60833333333334405</c:v>
                </c:pt>
                <c:pt idx="218">
                  <c:v>0.60902777777778805</c:v>
                </c:pt>
                <c:pt idx="219">
                  <c:v>0.60972222222223305</c:v>
                </c:pt>
                <c:pt idx="220">
                  <c:v>0.61041666666667704</c:v>
                </c:pt>
                <c:pt idx="221">
                  <c:v>0.61111111111112204</c:v>
                </c:pt>
                <c:pt idx="222">
                  <c:v>0.61180555555556604</c:v>
                </c:pt>
                <c:pt idx="223">
                  <c:v>0.61250000000001104</c:v>
                </c:pt>
                <c:pt idx="224">
                  <c:v>0.61319444444445603</c:v>
                </c:pt>
                <c:pt idx="225">
                  <c:v>0.61388888888890003</c:v>
                </c:pt>
                <c:pt idx="226">
                  <c:v>0.61458333333334503</c:v>
                </c:pt>
                <c:pt idx="227">
                  <c:v>0.61527777777778903</c:v>
                </c:pt>
                <c:pt idx="228">
                  <c:v>0.61597222222223402</c:v>
                </c:pt>
                <c:pt idx="229">
                  <c:v>0.61666666666667802</c:v>
                </c:pt>
                <c:pt idx="230">
                  <c:v>0.61736111111112302</c:v>
                </c:pt>
                <c:pt idx="231">
                  <c:v>0.61805555555556702</c:v>
                </c:pt>
                <c:pt idx="232">
                  <c:v>0.61875000000001201</c:v>
                </c:pt>
                <c:pt idx="233">
                  <c:v>0.61944444444445701</c:v>
                </c:pt>
                <c:pt idx="234">
                  <c:v>0.62013888888890101</c:v>
                </c:pt>
                <c:pt idx="235">
                  <c:v>0.620833333333346</c:v>
                </c:pt>
                <c:pt idx="236">
                  <c:v>0.62152777777779</c:v>
                </c:pt>
                <c:pt idx="237">
                  <c:v>0.622222222222235</c:v>
                </c:pt>
                <c:pt idx="238">
                  <c:v>0.622916666666679</c:v>
                </c:pt>
                <c:pt idx="239">
                  <c:v>0.62361111111112399</c:v>
                </c:pt>
                <c:pt idx="240">
                  <c:v>0.62430555555556799</c:v>
                </c:pt>
                <c:pt idx="241">
                  <c:v>0.62500000000001299</c:v>
                </c:pt>
              </c:numCache>
            </c:numRef>
          </c:cat>
          <c:val>
            <c:numRef>
              <c:f>沪深两市成交汇总!$D$2:$D$243</c:f>
              <c:numCache>
                <c:formatCode>0.0000_ </c:formatCode>
                <c:ptCount val="242"/>
                <c:pt idx="0">
                  <c:v>1300.463481</c:v>
                </c:pt>
                <c:pt idx="1">
                  <c:v>1895.001906</c:v>
                </c:pt>
                <c:pt idx="2">
                  <c:v>2351.6760089999998</c:v>
                </c:pt>
                <c:pt idx="3">
                  <c:v>2755.7897950000001</c:v>
                </c:pt>
                <c:pt idx="4">
                  <c:v>3145.698594</c:v>
                </c:pt>
                <c:pt idx="5">
                  <c:v>3501.0018329999998</c:v>
                </c:pt>
                <c:pt idx="6">
                  <c:v>3835.3809110000002</c:v>
                </c:pt>
                <c:pt idx="7">
                  <c:v>4137.1774240000004</c:v>
                </c:pt>
                <c:pt idx="8">
                  <c:v>4446.4080160000003</c:v>
                </c:pt>
                <c:pt idx="9">
                  <c:v>4773.102586</c:v>
                </c:pt>
                <c:pt idx="10">
                  <c:v>5130.9011399999999</c:v>
                </c:pt>
                <c:pt idx="11">
                  <c:v>5441.833106</c:v>
                </c:pt>
                <c:pt idx="12">
                  <c:v>5695.8117350000002</c:v>
                </c:pt>
                <c:pt idx="13">
                  <c:v>5914.4387740000002</c:v>
                </c:pt>
                <c:pt idx="14">
                  <c:v>6159.4787649999998</c:v>
                </c:pt>
                <c:pt idx="15">
                  <c:v>6409.5871139999999</c:v>
                </c:pt>
                <c:pt idx="16">
                  <c:v>6628.7311250000002</c:v>
                </c:pt>
                <c:pt idx="17">
                  <c:v>6871.8735889999998</c:v>
                </c:pt>
                <c:pt idx="18">
                  <c:v>7131.6814169999998</c:v>
                </c:pt>
                <c:pt idx="19">
                  <c:v>7336.9379099999996</c:v>
                </c:pt>
                <c:pt idx="20">
                  <c:v>7561.8675190000004</c:v>
                </c:pt>
                <c:pt idx="21">
                  <c:v>7803.9189809999998</c:v>
                </c:pt>
                <c:pt idx="22">
                  <c:v>8060.4032429999997</c:v>
                </c:pt>
                <c:pt idx="23">
                  <c:v>8316.1171790000008</c:v>
                </c:pt>
                <c:pt idx="24">
                  <c:v>8513.1616759999997</c:v>
                </c:pt>
                <c:pt idx="25">
                  <c:v>8695.9687699999995</c:v>
                </c:pt>
                <c:pt idx="26">
                  <c:v>8861.6673740000006</c:v>
                </c:pt>
                <c:pt idx="27">
                  <c:v>9026.7740520000007</c:v>
                </c:pt>
                <c:pt idx="28">
                  <c:v>9161.2798619999994</c:v>
                </c:pt>
                <c:pt idx="29">
                  <c:v>9299.3845889999993</c:v>
                </c:pt>
                <c:pt idx="30">
                  <c:v>9456.197118</c:v>
                </c:pt>
                <c:pt idx="31">
                  <c:v>9584.4353640000008</c:v>
                </c:pt>
                <c:pt idx="32">
                  <c:v>9700.0156129999996</c:v>
                </c:pt>
                <c:pt idx="33">
                  <c:v>9838.9449220000006</c:v>
                </c:pt>
                <c:pt idx="34">
                  <c:v>9973.2829750000001</c:v>
                </c:pt>
                <c:pt idx="35">
                  <c:v>10098.854498999999</c:v>
                </c:pt>
                <c:pt idx="36">
                  <c:v>10214.808778000001</c:v>
                </c:pt>
                <c:pt idx="37">
                  <c:v>10330.033998999999</c:v>
                </c:pt>
                <c:pt idx="38">
                  <c:v>10430.325906</c:v>
                </c:pt>
                <c:pt idx="39">
                  <c:v>10538.014654000001</c:v>
                </c:pt>
                <c:pt idx="40">
                  <c:v>10641.656247999999</c:v>
                </c:pt>
                <c:pt idx="41">
                  <c:v>10737.367056999999</c:v>
                </c:pt>
                <c:pt idx="42">
                  <c:v>10838.556595</c:v>
                </c:pt>
                <c:pt idx="43">
                  <c:v>10927.232386</c:v>
                </c:pt>
                <c:pt idx="44">
                  <c:v>11017.517653000001</c:v>
                </c:pt>
                <c:pt idx="45">
                  <c:v>11099.322921999999</c:v>
                </c:pt>
                <c:pt idx="46">
                  <c:v>11185.756804000001</c:v>
                </c:pt>
                <c:pt idx="47">
                  <c:v>11267.525772999999</c:v>
                </c:pt>
                <c:pt idx="48">
                  <c:v>11367.211307</c:v>
                </c:pt>
                <c:pt idx="49">
                  <c:v>11473.414371000001</c:v>
                </c:pt>
                <c:pt idx="50">
                  <c:v>11601.368668999999</c:v>
                </c:pt>
                <c:pt idx="51">
                  <c:v>11722.501974999999</c:v>
                </c:pt>
                <c:pt idx="52">
                  <c:v>11846.376571999999</c:v>
                </c:pt>
                <c:pt idx="53">
                  <c:v>11953.703335</c:v>
                </c:pt>
                <c:pt idx="54">
                  <c:v>12063.107199</c:v>
                </c:pt>
                <c:pt idx="55">
                  <c:v>12170.912724</c:v>
                </c:pt>
                <c:pt idx="56">
                  <c:v>12277.694821999999</c:v>
                </c:pt>
                <c:pt idx="57">
                  <c:v>12377.441816</c:v>
                </c:pt>
                <c:pt idx="58">
                  <c:v>12469.624449000001</c:v>
                </c:pt>
                <c:pt idx="59">
                  <c:v>12556.199046</c:v>
                </c:pt>
                <c:pt idx="60">
                  <c:v>12646.453516</c:v>
                </c:pt>
                <c:pt idx="61">
                  <c:v>12743.879958</c:v>
                </c:pt>
                <c:pt idx="62">
                  <c:v>12829.979719999999</c:v>
                </c:pt>
                <c:pt idx="63">
                  <c:v>12905.859673999999</c:v>
                </c:pt>
                <c:pt idx="64">
                  <c:v>12973.041714999999</c:v>
                </c:pt>
                <c:pt idx="65">
                  <c:v>13037.094026999999</c:v>
                </c:pt>
                <c:pt idx="66">
                  <c:v>13099.231158000001</c:v>
                </c:pt>
                <c:pt idx="67">
                  <c:v>13163.678846999999</c:v>
                </c:pt>
                <c:pt idx="68">
                  <c:v>13225.683755</c:v>
                </c:pt>
                <c:pt idx="69">
                  <c:v>13280.883089999999</c:v>
                </c:pt>
                <c:pt idx="70">
                  <c:v>13349.203482000001</c:v>
                </c:pt>
                <c:pt idx="71">
                  <c:v>13422.099957</c:v>
                </c:pt>
                <c:pt idx="72">
                  <c:v>13498.664842</c:v>
                </c:pt>
                <c:pt idx="73">
                  <c:v>13571.880628000001</c:v>
                </c:pt>
                <c:pt idx="74">
                  <c:v>13641.025682</c:v>
                </c:pt>
                <c:pt idx="75">
                  <c:v>13712.166788</c:v>
                </c:pt>
                <c:pt idx="76">
                  <c:v>13793.916913999999</c:v>
                </c:pt>
                <c:pt idx="77">
                  <c:v>13882.701615</c:v>
                </c:pt>
                <c:pt idx="78">
                  <c:v>13972.371650999999</c:v>
                </c:pt>
                <c:pt idx="79">
                  <c:v>14053.203561</c:v>
                </c:pt>
                <c:pt idx="80">
                  <c:v>14135.725139</c:v>
                </c:pt>
                <c:pt idx="81">
                  <c:v>14216.613857</c:v>
                </c:pt>
                <c:pt idx="82">
                  <c:v>14303.786663999999</c:v>
                </c:pt>
                <c:pt idx="83">
                  <c:v>14394.367646000001</c:v>
                </c:pt>
                <c:pt idx="84">
                  <c:v>14484.225474000001</c:v>
                </c:pt>
                <c:pt idx="85">
                  <c:v>14571.276544</c:v>
                </c:pt>
                <c:pt idx="86">
                  <c:v>14654.680978</c:v>
                </c:pt>
                <c:pt idx="87">
                  <c:v>14735.971717</c:v>
                </c:pt>
                <c:pt idx="88">
                  <c:v>14814.532918000001</c:v>
                </c:pt>
                <c:pt idx="89">
                  <c:v>14894.162097</c:v>
                </c:pt>
                <c:pt idx="90">
                  <c:v>14979.899217</c:v>
                </c:pt>
                <c:pt idx="91">
                  <c:v>15075.456056000001</c:v>
                </c:pt>
                <c:pt idx="92">
                  <c:v>15150.773969</c:v>
                </c:pt>
                <c:pt idx="93">
                  <c:v>15220.252252</c:v>
                </c:pt>
                <c:pt idx="94">
                  <c:v>15295.746528</c:v>
                </c:pt>
                <c:pt idx="95">
                  <c:v>15370.470101000001</c:v>
                </c:pt>
                <c:pt idx="96">
                  <c:v>15449.188036</c:v>
                </c:pt>
                <c:pt idx="97">
                  <c:v>15511.189079</c:v>
                </c:pt>
                <c:pt idx="98">
                  <c:v>15577.167054</c:v>
                </c:pt>
                <c:pt idx="99">
                  <c:v>15628.813079</c:v>
                </c:pt>
                <c:pt idx="100">
                  <c:v>15674.832258</c:v>
                </c:pt>
                <c:pt idx="101">
                  <c:v>15719.163531</c:v>
                </c:pt>
                <c:pt idx="102">
                  <c:v>15764.322356999999</c:v>
                </c:pt>
                <c:pt idx="103">
                  <c:v>15808.415446999999</c:v>
                </c:pt>
                <c:pt idx="104">
                  <c:v>15851.541767000001</c:v>
                </c:pt>
                <c:pt idx="105">
                  <c:v>15896.838975999999</c:v>
                </c:pt>
                <c:pt idx="106">
                  <c:v>15945.341944</c:v>
                </c:pt>
                <c:pt idx="107">
                  <c:v>15989.942593</c:v>
                </c:pt>
                <c:pt idx="108">
                  <c:v>16038.002105</c:v>
                </c:pt>
                <c:pt idx="109">
                  <c:v>16087.364691000001</c:v>
                </c:pt>
                <c:pt idx="110">
                  <c:v>16138.487249</c:v>
                </c:pt>
                <c:pt idx="111">
                  <c:v>16184.807918</c:v>
                </c:pt>
                <c:pt idx="112">
                  <c:v>16233.76323</c:v>
                </c:pt>
                <c:pt idx="113">
                  <c:v>16280.065420999999</c:v>
                </c:pt>
                <c:pt idx="114">
                  <c:v>16327.455757</c:v>
                </c:pt>
                <c:pt idx="115">
                  <c:v>16374.759717000001</c:v>
                </c:pt>
                <c:pt idx="116">
                  <c:v>16425.361231999999</c:v>
                </c:pt>
                <c:pt idx="117">
                  <c:v>16474.785487000001</c:v>
                </c:pt>
                <c:pt idx="118">
                  <c:v>16531.100317</c:v>
                </c:pt>
                <c:pt idx="119">
                  <c:v>16589.037585999999</c:v>
                </c:pt>
                <c:pt idx="120">
                  <c:v>16590.771369999999</c:v>
                </c:pt>
                <c:pt idx="121">
                  <c:v>16912.067010999999</c:v>
                </c:pt>
                <c:pt idx="122">
                  <c:v>17067.962555999999</c:v>
                </c:pt>
                <c:pt idx="123">
                  <c:v>17206.260699999999</c:v>
                </c:pt>
                <c:pt idx="124">
                  <c:v>17328.80816</c:v>
                </c:pt>
                <c:pt idx="125">
                  <c:v>17445.201976</c:v>
                </c:pt>
                <c:pt idx="126">
                  <c:v>17553.482251000001</c:v>
                </c:pt>
                <c:pt idx="127">
                  <c:v>17657.437547000001</c:v>
                </c:pt>
                <c:pt idx="128">
                  <c:v>17753.494610999998</c:v>
                </c:pt>
                <c:pt idx="129">
                  <c:v>17847.991761000001</c:v>
                </c:pt>
                <c:pt idx="130">
                  <c:v>17942.119535000002</c:v>
                </c:pt>
                <c:pt idx="131">
                  <c:v>18041.758951</c:v>
                </c:pt>
                <c:pt idx="132">
                  <c:v>18153.834443</c:v>
                </c:pt>
                <c:pt idx="133">
                  <c:v>18251.282961000001</c:v>
                </c:pt>
                <c:pt idx="134">
                  <c:v>18343.941146000001</c:v>
                </c:pt>
                <c:pt idx="135">
                  <c:v>18429.994064999999</c:v>
                </c:pt>
                <c:pt idx="136">
                  <c:v>18515.773847</c:v>
                </c:pt>
                <c:pt idx="137">
                  <c:v>18598.067261</c:v>
                </c:pt>
                <c:pt idx="138">
                  <c:v>18658.910051999999</c:v>
                </c:pt>
                <c:pt idx="139">
                  <c:v>18716.167427</c:v>
                </c:pt>
                <c:pt idx="140">
                  <c:v>18770.423811000001</c:v>
                </c:pt>
                <c:pt idx="141">
                  <c:v>18832.309894999999</c:v>
                </c:pt>
                <c:pt idx="142">
                  <c:v>18887.394075</c:v>
                </c:pt>
                <c:pt idx="143">
                  <c:v>18948.436719000001</c:v>
                </c:pt>
                <c:pt idx="144">
                  <c:v>19003.255466999999</c:v>
                </c:pt>
                <c:pt idx="145">
                  <c:v>19059.408103000002</c:v>
                </c:pt>
                <c:pt idx="146">
                  <c:v>19112.929574000002</c:v>
                </c:pt>
                <c:pt idx="147">
                  <c:v>19168.436537000001</c:v>
                </c:pt>
                <c:pt idx="148">
                  <c:v>19224.273042000001</c:v>
                </c:pt>
                <c:pt idx="149">
                  <c:v>19284.330222000001</c:v>
                </c:pt>
                <c:pt idx="150">
                  <c:v>19337.142945</c:v>
                </c:pt>
                <c:pt idx="151">
                  <c:v>19398.904243000001</c:v>
                </c:pt>
                <c:pt idx="152">
                  <c:v>19458.76166</c:v>
                </c:pt>
                <c:pt idx="153">
                  <c:v>19519.564925999999</c:v>
                </c:pt>
                <c:pt idx="154">
                  <c:v>19583.326173000001</c:v>
                </c:pt>
                <c:pt idx="155">
                  <c:v>19644.657940000001</c:v>
                </c:pt>
                <c:pt idx="156">
                  <c:v>19703.947841000001</c:v>
                </c:pt>
                <c:pt idx="157">
                  <c:v>19766.389730999999</c:v>
                </c:pt>
                <c:pt idx="158">
                  <c:v>19830.638332999999</c:v>
                </c:pt>
                <c:pt idx="159">
                  <c:v>19892.753207999998</c:v>
                </c:pt>
                <c:pt idx="160">
                  <c:v>19956.228098</c:v>
                </c:pt>
                <c:pt idx="161">
                  <c:v>20027.336395999999</c:v>
                </c:pt>
                <c:pt idx="162">
                  <c:v>20099.675224999999</c:v>
                </c:pt>
                <c:pt idx="163">
                  <c:v>20163.997662999998</c:v>
                </c:pt>
                <c:pt idx="164">
                  <c:v>20227.762235999999</c:v>
                </c:pt>
                <c:pt idx="165">
                  <c:v>20298.332307000001</c:v>
                </c:pt>
                <c:pt idx="166">
                  <c:v>20375.854508</c:v>
                </c:pt>
                <c:pt idx="167">
                  <c:v>20435.562385000001</c:v>
                </c:pt>
                <c:pt idx="168">
                  <c:v>20498.112131000002</c:v>
                </c:pt>
                <c:pt idx="169">
                  <c:v>20566.468386</c:v>
                </c:pt>
                <c:pt idx="170">
                  <c:v>20637.263430999999</c:v>
                </c:pt>
                <c:pt idx="171">
                  <c:v>20710.106886000001</c:v>
                </c:pt>
                <c:pt idx="172">
                  <c:v>20774.852702</c:v>
                </c:pt>
                <c:pt idx="173">
                  <c:v>20834.902071</c:v>
                </c:pt>
                <c:pt idx="174">
                  <c:v>20895.431564999999</c:v>
                </c:pt>
                <c:pt idx="175">
                  <c:v>20955.720093</c:v>
                </c:pt>
                <c:pt idx="176">
                  <c:v>21016.543885999999</c:v>
                </c:pt>
                <c:pt idx="177">
                  <c:v>21077.382240999999</c:v>
                </c:pt>
                <c:pt idx="178">
                  <c:v>21138.048027000001</c:v>
                </c:pt>
                <c:pt idx="179">
                  <c:v>21202.656397999999</c:v>
                </c:pt>
                <c:pt idx="180">
                  <c:v>21270.084948</c:v>
                </c:pt>
                <c:pt idx="181">
                  <c:v>21336.802514999999</c:v>
                </c:pt>
                <c:pt idx="182">
                  <c:v>21399.918173999999</c:v>
                </c:pt>
                <c:pt idx="183">
                  <c:v>21463.451775000001</c:v>
                </c:pt>
                <c:pt idx="184">
                  <c:v>21523.387789</c:v>
                </c:pt>
                <c:pt idx="185">
                  <c:v>21584.458228</c:v>
                </c:pt>
                <c:pt idx="186">
                  <c:v>21648.653962</c:v>
                </c:pt>
                <c:pt idx="187">
                  <c:v>21714.672802000001</c:v>
                </c:pt>
                <c:pt idx="188">
                  <c:v>21778.906583</c:v>
                </c:pt>
                <c:pt idx="189">
                  <c:v>21839.134944000001</c:v>
                </c:pt>
                <c:pt idx="190">
                  <c:v>21900.793061</c:v>
                </c:pt>
                <c:pt idx="191">
                  <c:v>21963.933259000001</c:v>
                </c:pt>
                <c:pt idx="192">
                  <c:v>22028.767329999999</c:v>
                </c:pt>
                <c:pt idx="193">
                  <c:v>22090.693403000001</c:v>
                </c:pt>
                <c:pt idx="194">
                  <c:v>22153.246157000001</c:v>
                </c:pt>
                <c:pt idx="195">
                  <c:v>22214.509212000001</c:v>
                </c:pt>
                <c:pt idx="196">
                  <c:v>22278.840068000001</c:v>
                </c:pt>
                <c:pt idx="197">
                  <c:v>22341.056312000001</c:v>
                </c:pt>
                <c:pt idx="198">
                  <c:v>22411.483595999998</c:v>
                </c:pt>
                <c:pt idx="199">
                  <c:v>22482.017920999999</c:v>
                </c:pt>
                <c:pt idx="200">
                  <c:v>22561.716917999998</c:v>
                </c:pt>
                <c:pt idx="201">
                  <c:v>22658.464877999999</c:v>
                </c:pt>
                <c:pt idx="202">
                  <c:v>22772.374253000002</c:v>
                </c:pt>
                <c:pt idx="203">
                  <c:v>22889.914341</c:v>
                </c:pt>
                <c:pt idx="204">
                  <c:v>23024.979452</c:v>
                </c:pt>
                <c:pt idx="205">
                  <c:v>23183.258983</c:v>
                </c:pt>
                <c:pt idx="206">
                  <c:v>23321.956890000001</c:v>
                </c:pt>
                <c:pt idx="207">
                  <c:v>23457.700185999998</c:v>
                </c:pt>
                <c:pt idx="208">
                  <c:v>23580.723308000001</c:v>
                </c:pt>
                <c:pt idx="209">
                  <c:v>23680.029836999998</c:v>
                </c:pt>
                <c:pt idx="210">
                  <c:v>23768.416232</c:v>
                </c:pt>
                <c:pt idx="211">
                  <c:v>23848.213104999999</c:v>
                </c:pt>
                <c:pt idx="212">
                  <c:v>23917.389769000001</c:v>
                </c:pt>
                <c:pt idx="213">
                  <c:v>23987.15035</c:v>
                </c:pt>
                <c:pt idx="214">
                  <c:v>24048.170923999998</c:v>
                </c:pt>
                <c:pt idx="215">
                  <c:v>24107.617198</c:v>
                </c:pt>
                <c:pt idx="216">
                  <c:v>24168.235801999999</c:v>
                </c:pt>
                <c:pt idx="217">
                  <c:v>24230.125447999999</c:v>
                </c:pt>
                <c:pt idx="218">
                  <c:v>24292.093191</c:v>
                </c:pt>
                <c:pt idx="219">
                  <c:v>24353.073085</c:v>
                </c:pt>
                <c:pt idx="220">
                  <c:v>24413.692555000001</c:v>
                </c:pt>
                <c:pt idx="221">
                  <c:v>24477.794602999998</c:v>
                </c:pt>
                <c:pt idx="222">
                  <c:v>24537.548974000001</c:v>
                </c:pt>
                <c:pt idx="223">
                  <c:v>24599.000666</c:v>
                </c:pt>
                <c:pt idx="224">
                  <c:v>24664.679727999999</c:v>
                </c:pt>
                <c:pt idx="225">
                  <c:v>24731.836715000001</c:v>
                </c:pt>
                <c:pt idx="226">
                  <c:v>24801.258482000001</c:v>
                </c:pt>
                <c:pt idx="227">
                  <c:v>24870.267206</c:v>
                </c:pt>
                <c:pt idx="228">
                  <c:v>24942.488818000002</c:v>
                </c:pt>
                <c:pt idx="229">
                  <c:v>25016.415443000002</c:v>
                </c:pt>
                <c:pt idx="230">
                  <c:v>25087.842937000001</c:v>
                </c:pt>
                <c:pt idx="231">
                  <c:v>25165.219365000001</c:v>
                </c:pt>
                <c:pt idx="232">
                  <c:v>25247.324280000001</c:v>
                </c:pt>
                <c:pt idx="233">
                  <c:v>25329.325251999999</c:v>
                </c:pt>
                <c:pt idx="234">
                  <c:v>25418.724435</c:v>
                </c:pt>
                <c:pt idx="235">
                  <c:v>25517.428510999998</c:v>
                </c:pt>
                <c:pt idx="236">
                  <c:v>25624.140362999999</c:v>
                </c:pt>
                <c:pt idx="237">
                  <c:v>25740.744676999999</c:v>
                </c:pt>
                <c:pt idx="238">
                  <c:v>25744.450219999999</c:v>
                </c:pt>
                <c:pt idx="239">
                  <c:v>25744.450219999999</c:v>
                </c:pt>
                <c:pt idx="240">
                  <c:v>25744.450219999999</c:v>
                </c:pt>
                <c:pt idx="241">
                  <c:v>25930.366415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F-43FD-8396-81DEA2E0DABD}"/>
            </c:ext>
          </c:extLst>
        </c:ser>
        <c:ser>
          <c:idx val="0"/>
          <c:order val="1"/>
          <c:tx>
            <c:strRef>
              <c:f>沪深两市成交汇总!$E$1</c:f>
              <c:strCache>
                <c:ptCount val="1"/>
                <c:pt idx="0">
                  <c:v>今日累计成交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沪深两市成交汇总!$A$2:$A$243</c:f>
              <c:numCache>
                <c:formatCode>h:mm;@</c:formatCode>
                <c:ptCount val="242"/>
                <c:pt idx="0">
                  <c:v>0.39583333333333331</c:v>
                </c:pt>
                <c:pt idx="1">
                  <c:v>0.39652777777777781</c:v>
                </c:pt>
                <c:pt idx="2">
                  <c:v>0.39722222222222198</c:v>
                </c:pt>
                <c:pt idx="3">
                  <c:v>0.39791666666666697</c:v>
                </c:pt>
                <c:pt idx="4">
                  <c:v>0.39861111111111103</c:v>
                </c:pt>
                <c:pt idx="5">
                  <c:v>0.39930555555555602</c:v>
                </c:pt>
                <c:pt idx="6">
                  <c:v>0.4</c:v>
                </c:pt>
                <c:pt idx="7">
                  <c:v>0.40069444444444446</c:v>
                </c:pt>
                <c:pt idx="8">
                  <c:v>0.40138888888888902</c:v>
                </c:pt>
                <c:pt idx="9">
                  <c:v>0.40208333333333401</c:v>
                </c:pt>
                <c:pt idx="10">
                  <c:v>0.40277777777777801</c:v>
                </c:pt>
                <c:pt idx="11">
                  <c:v>0.40347222222222301</c:v>
                </c:pt>
                <c:pt idx="12">
                  <c:v>0.40416666666666701</c:v>
                </c:pt>
                <c:pt idx="13">
                  <c:v>0.404861111111112</c:v>
                </c:pt>
                <c:pt idx="14">
                  <c:v>0.405555555555556</c:v>
                </c:pt>
                <c:pt idx="15">
                  <c:v>0.406250000000001</c:v>
                </c:pt>
                <c:pt idx="16">
                  <c:v>0.406944444444445</c:v>
                </c:pt>
                <c:pt idx="17">
                  <c:v>0.40763888888888999</c:v>
                </c:pt>
                <c:pt idx="18">
                  <c:v>0.40833333333333399</c:v>
                </c:pt>
                <c:pt idx="19">
                  <c:v>0.40902777777777899</c:v>
                </c:pt>
                <c:pt idx="20">
                  <c:v>0.40972222222222299</c:v>
                </c:pt>
                <c:pt idx="21">
                  <c:v>0.41041666666666798</c:v>
                </c:pt>
                <c:pt idx="22">
                  <c:v>0.41111111111111198</c:v>
                </c:pt>
                <c:pt idx="23">
                  <c:v>0.41180555555555698</c:v>
                </c:pt>
                <c:pt idx="24">
                  <c:v>0.41250000000000098</c:v>
                </c:pt>
                <c:pt idx="25">
                  <c:v>0.41319444444444597</c:v>
                </c:pt>
                <c:pt idx="26">
                  <c:v>0.41388888888889003</c:v>
                </c:pt>
                <c:pt idx="27">
                  <c:v>0.41458333333333502</c:v>
                </c:pt>
                <c:pt idx="28">
                  <c:v>0.41527777777777902</c:v>
                </c:pt>
                <c:pt idx="29">
                  <c:v>0.41597222222222402</c:v>
                </c:pt>
                <c:pt idx="30">
                  <c:v>0.41666666666666802</c:v>
                </c:pt>
                <c:pt idx="31">
                  <c:v>0.41736111111111301</c:v>
                </c:pt>
                <c:pt idx="32">
                  <c:v>0.41805555555555701</c:v>
                </c:pt>
                <c:pt idx="33">
                  <c:v>0.41875000000000201</c:v>
                </c:pt>
                <c:pt idx="34">
                  <c:v>0.41944444444444601</c:v>
                </c:pt>
                <c:pt idx="35">
                  <c:v>0.420138888888891</c:v>
                </c:pt>
                <c:pt idx="36">
                  <c:v>0.420833333333335</c:v>
                </c:pt>
                <c:pt idx="37">
                  <c:v>0.42152777777778</c:v>
                </c:pt>
                <c:pt idx="38">
                  <c:v>0.422222222222224</c:v>
                </c:pt>
                <c:pt idx="39">
                  <c:v>0.42291666666666899</c:v>
                </c:pt>
                <c:pt idx="40">
                  <c:v>0.42361111111111299</c:v>
                </c:pt>
                <c:pt idx="41">
                  <c:v>0.42430555555555799</c:v>
                </c:pt>
                <c:pt idx="42">
                  <c:v>0.42500000000000199</c:v>
                </c:pt>
                <c:pt idx="43">
                  <c:v>0.42569444444444698</c:v>
                </c:pt>
                <c:pt idx="44">
                  <c:v>0.42638888888889098</c:v>
                </c:pt>
                <c:pt idx="45">
                  <c:v>0.42708333333333598</c:v>
                </c:pt>
                <c:pt idx="46">
                  <c:v>0.42777777777777998</c:v>
                </c:pt>
                <c:pt idx="47">
                  <c:v>0.42847222222222497</c:v>
                </c:pt>
                <c:pt idx="48">
                  <c:v>0.42916666666666903</c:v>
                </c:pt>
                <c:pt idx="49">
                  <c:v>0.42986111111111402</c:v>
                </c:pt>
                <c:pt idx="50">
                  <c:v>0.43055555555555802</c:v>
                </c:pt>
                <c:pt idx="51">
                  <c:v>0.43125000000000302</c:v>
                </c:pt>
                <c:pt idx="52">
                  <c:v>0.43194444444444702</c:v>
                </c:pt>
                <c:pt idx="53">
                  <c:v>0.43263888888889201</c:v>
                </c:pt>
                <c:pt idx="54">
                  <c:v>0.43333333333333601</c:v>
                </c:pt>
                <c:pt idx="55">
                  <c:v>0.43402777777778101</c:v>
                </c:pt>
                <c:pt idx="56">
                  <c:v>0.43472222222222501</c:v>
                </c:pt>
                <c:pt idx="57">
                  <c:v>0.43541666666667</c:v>
                </c:pt>
                <c:pt idx="58">
                  <c:v>0.436111111111114</c:v>
                </c:pt>
                <c:pt idx="59">
                  <c:v>0.436805555555559</c:v>
                </c:pt>
                <c:pt idx="60">
                  <c:v>0.437500000000003</c:v>
                </c:pt>
                <c:pt idx="61">
                  <c:v>0.43819444444444799</c:v>
                </c:pt>
                <c:pt idx="62">
                  <c:v>0.43888888888889199</c:v>
                </c:pt>
                <c:pt idx="63">
                  <c:v>0.43958333333333699</c:v>
                </c:pt>
                <c:pt idx="64">
                  <c:v>0.44027777777778099</c:v>
                </c:pt>
                <c:pt idx="65">
                  <c:v>0.44097222222222598</c:v>
                </c:pt>
                <c:pt idx="66">
                  <c:v>0.44166666666666998</c:v>
                </c:pt>
                <c:pt idx="67">
                  <c:v>0.44236111111111498</c:v>
                </c:pt>
                <c:pt idx="68">
                  <c:v>0.44305555555555898</c:v>
                </c:pt>
                <c:pt idx="69">
                  <c:v>0.44375000000000397</c:v>
                </c:pt>
                <c:pt idx="70">
                  <c:v>0.44444444444444797</c:v>
                </c:pt>
                <c:pt idx="71">
                  <c:v>0.44513888888889303</c:v>
                </c:pt>
                <c:pt idx="72">
                  <c:v>0.44583333333333702</c:v>
                </c:pt>
                <c:pt idx="73">
                  <c:v>0.44652777777778202</c:v>
                </c:pt>
                <c:pt idx="74">
                  <c:v>0.44722222222222602</c:v>
                </c:pt>
                <c:pt idx="75">
                  <c:v>0.44791666666667102</c:v>
                </c:pt>
                <c:pt idx="76">
                  <c:v>0.44861111111111501</c:v>
                </c:pt>
                <c:pt idx="77">
                  <c:v>0.44930555555556001</c:v>
                </c:pt>
                <c:pt idx="78">
                  <c:v>0.45000000000000401</c:v>
                </c:pt>
                <c:pt idx="79">
                  <c:v>0.450694444444449</c:v>
                </c:pt>
                <c:pt idx="80">
                  <c:v>0.451388888888893</c:v>
                </c:pt>
                <c:pt idx="81">
                  <c:v>0.452083333333338</c:v>
                </c:pt>
                <c:pt idx="82">
                  <c:v>0.452777777777782</c:v>
                </c:pt>
                <c:pt idx="83">
                  <c:v>0.45347222222222699</c:v>
                </c:pt>
                <c:pt idx="84">
                  <c:v>0.45416666666667099</c:v>
                </c:pt>
                <c:pt idx="85">
                  <c:v>0.45486111111111599</c:v>
                </c:pt>
                <c:pt idx="86">
                  <c:v>0.45555555555555999</c:v>
                </c:pt>
                <c:pt idx="87">
                  <c:v>0.45625000000000498</c:v>
                </c:pt>
                <c:pt idx="88">
                  <c:v>0.45694444444444898</c:v>
                </c:pt>
                <c:pt idx="89">
                  <c:v>0.45763888888889398</c:v>
                </c:pt>
                <c:pt idx="90">
                  <c:v>0.45833333333333798</c:v>
                </c:pt>
                <c:pt idx="91">
                  <c:v>0.45902777777778297</c:v>
                </c:pt>
                <c:pt idx="92">
                  <c:v>0.45972222222222697</c:v>
                </c:pt>
                <c:pt idx="93">
                  <c:v>0.46041666666667203</c:v>
                </c:pt>
                <c:pt idx="94">
                  <c:v>0.46111111111111602</c:v>
                </c:pt>
                <c:pt idx="95">
                  <c:v>0.46180555555556102</c:v>
                </c:pt>
                <c:pt idx="96">
                  <c:v>0.46250000000000502</c:v>
                </c:pt>
                <c:pt idx="97">
                  <c:v>0.46319444444445002</c:v>
                </c:pt>
                <c:pt idx="98">
                  <c:v>0.46388888888889401</c:v>
                </c:pt>
                <c:pt idx="99">
                  <c:v>0.46458333333333901</c:v>
                </c:pt>
                <c:pt idx="100">
                  <c:v>0.46527777777778301</c:v>
                </c:pt>
                <c:pt idx="101">
                  <c:v>0.46597222222222801</c:v>
                </c:pt>
                <c:pt idx="102">
                  <c:v>0.466666666666672</c:v>
                </c:pt>
                <c:pt idx="103">
                  <c:v>0.467361111111117</c:v>
                </c:pt>
                <c:pt idx="104">
                  <c:v>0.468055555555561</c:v>
                </c:pt>
                <c:pt idx="105">
                  <c:v>0.468750000000005</c:v>
                </c:pt>
                <c:pt idx="106">
                  <c:v>0.46944444444444999</c:v>
                </c:pt>
                <c:pt idx="107">
                  <c:v>0.47013888888889499</c:v>
                </c:pt>
                <c:pt idx="108">
                  <c:v>0.47083333333333899</c:v>
                </c:pt>
                <c:pt idx="109">
                  <c:v>0.47152777777778399</c:v>
                </c:pt>
                <c:pt idx="110">
                  <c:v>0.47222222222222798</c:v>
                </c:pt>
                <c:pt idx="111">
                  <c:v>0.47291666666667298</c:v>
                </c:pt>
                <c:pt idx="112">
                  <c:v>0.47361111111111698</c:v>
                </c:pt>
                <c:pt idx="113">
                  <c:v>0.47430555555556198</c:v>
                </c:pt>
                <c:pt idx="114">
                  <c:v>0.47500000000000597</c:v>
                </c:pt>
                <c:pt idx="115">
                  <c:v>0.47569444444445103</c:v>
                </c:pt>
                <c:pt idx="116">
                  <c:v>0.47638888888889502</c:v>
                </c:pt>
                <c:pt idx="117">
                  <c:v>0.47708333333334002</c:v>
                </c:pt>
                <c:pt idx="118">
                  <c:v>0.47777777777778402</c:v>
                </c:pt>
                <c:pt idx="119">
                  <c:v>0.47847222222222902</c:v>
                </c:pt>
                <c:pt idx="120">
                  <c:v>0.47916666666667301</c:v>
                </c:pt>
                <c:pt idx="121">
                  <c:v>0.54166666666666663</c:v>
                </c:pt>
                <c:pt idx="122">
                  <c:v>0.54236111111111118</c:v>
                </c:pt>
                <c:pt idx="123">
                  <c:v>0.54305555555555596</c:v>
                </c:pt>
                <c:pt idx="124">
                  <c:v>0.54374999999999996</c:v>
                </c:pt>
                <c:pt idx="125">
                  <c:v>0.54444444444444495</c:v>
                </c:pt>
                <c:pt idx="126">
                  <c:v>0.54513888888888895</c:v>
                </c:pt>
                <c:pt idx="127">
                  <c:v>0.54583333333333395</c:v>
                </c:pt>
                <c:pt idx="128">
                  <c:v>0.54652777777777894</c:v>
                </c:pt>
                <c:pt idx="129">
                  <c:v>0.54722222222222305</c:v>
                </c:pt>
                <c:pt idx="130">
                  <c:v>0.54791666666666805</c:v>
                </c:pt>
                <c:pt idx="131">
                  <c:v>0.54861111111111205</c:v>
                </c:pt>
                <c:pt idx="132">
                  <c:v>0.54930555555555705</c:v>
                </c:pt>
                <c:pt idx="133">
                  <c:v>0.55000000000000104</c:v>
                </c:pt>
                <c:pt idx="134">
                  <c:v>0.55069444444444604</c:v>
                </c:pt>
                <c:pt idx="135">
                  <c:v>0.55138888888889004</c:v>
                </c:pt>
                <c:pt idx="136">
                  <c:v>0.55208333333333504</c:v>
                </c:pt>
                <c:pt idx="137">
                  <c:v>0.55277777777777903</c:v>
                </c:pt>
                <c:pt idx="138">
                  <c:v>0.55347222222222403</c:v>
                </c:pt>
                <c:pt idx="139">
                  <c:v>0.55416666666666903</c:v>
                </c:pt>
                <c:pt idx="140">
                  <c:v>0.55486111111111303</c:v>
                </c:pt>
                <c:pt idx="141">
                  <c:v>0.55555555555555802</c:v>
                </c:pt>
                <c:pt idx="142">
                  <c:v>0.55625000000000202</c:v>
                </c:pt>
                <c:pt idx="143">
                  <c:v>0.55694444444444702</c:v>
                </c:pt>
                <c:pt idx="144">
                  <c:v>0.55763888888889102</c:v>
                </c:pt>
                <c:pt idx="145">
                  <c:v>0.55833333333333601</c:v>
                </c:pt>
                <c:pt idx="146">
                  <c:v>0.55902777777778001</c:v>
                </c:pt>
                <c:pt idx="147">
                  <c:v>0.55972222222222501</c:v>
                </c:pt>
                <c:pt idx="148">
                  <c:v>0.56041666666667</c:v>
                </c:pt>
                <c:pt idx="149">
                  <c:v>0.561111111111114</c:v>
                </c:pt>
                <c:pt idx="150">
                  <c:v>0.561805555555559</c:v>
                </c:pt>
                <c:pt idx="151">
                  <c:v>0.562500000000003</c:v>
                </c:pt>
                <c:pt idx="152">
                  <c:v>0.56319444444444799</c:v>
                </c:pt>
                <c:pt idx="153">
                  <c:v>0.56388888888889199</c:v>
                </c:pt>
                <c:pt idx="154">
                  <c:v>0.56458333333333699</c:v>
                </c:pt>
                <c:pt idx="155">
                  <c:v>0.56527777777778099</c:v>
                </c:pt>
                <c:pt idx="156">
                  <c:v>0.56597222222222598</c:v>
                </c:pt>
                <c:pt idx="157">
                  <c:v>0.56666666666667098</c:v>
                </c:pt>
                <c:pt idx="158">
                  <c:v>0.56736111111111498</c:v>
                </c:pt>
                <c:pt idx="159">
                  <c:v>0.56805555555555998</c:v>
                </c:pt>
                <c:pt idx="160">
                  <c:v>0.56875000000000397</c:v>
                </c:pt>
                <c:pt idx="161">
                  <c:v>0.56944444444444897</c:v>
                </c:pt>
                <c:pt idx="162">
                  <c:v>0.57013888888889297</c:v>
                </c:pt>
                <c:pt idx="163">
                  <c:v>0.57083333333333797</c:v>
                </c:pt>
                <c:pt idx="164">
                  <c:v>0.57152777777778196</c:v>
                </c:pt>
                <c:pt idx="165">
                  <c:v>0.57222222222222696</c:v>
                </c:pt>
                <c:pt idx="166">
                  <c:v>0.57291666666667196</c:v>
                </c:pt>
                <c:pt idx="167">
                  <c:v>0.57361111111111596</c:v>
                </c:pt>
                <c:pt idx="168">
                  <c:v>0.57430555555556095</c:v>
                </c:pt>
                <c:pt idx="169">
                  <c:v>0.57500000000000495</c:v>
                </c:pt>
                <c:pt idx="170">
                  <c:v>0.57569444444444995</c:v>
                </c:pt>
                <c:pt idx="171">
                  <c:v>0.57638888888889395</c:v>
                </c:pt>
                <c:pt idx="172">
                  <c:v>0.57708333333333905</c:v>
                </c:pt>
                <c:pt idx="173">
                  <c:v>0.57777777777778305</c:v>
                </c:pt>
                <c:pt idx="174">
                  <c:v>0.57847222222222805</c:v>
                </c:pt>
                <c:pt idx="175">
                  <c:v>0.57916666666667205</c:v>
                </c:pt>
                <c:pt idx="176">
                  <c:v>0.57986111111111704</c:v>
                </c:pt>
                <c:pt idx="177">
                  <c:v>0.58055555555556204</c:v>
                </c:pt>
                <c:pt idx="178">
                  <c:v>0.58125000000000604</c:v>
                </c:pt>
                <c:pt idx="179">
                  <c:v>0.58194444444445104</c:v>
                </c:pt>
                <c:pt idx="180">
                  <c:v>0.58263888888889503</c:v>
                </c:pt>
                <c:pt idx="181">
                  <c:v>0.58333333333334003</c:v>
                </c:pt>
                <c:pt idx="182">
                  <c:v>0.58402777777778403</c:v>
                </c:pt>
                <c:pt idx="183">
                  <c:v>0.58472222222222903</c:v>
                </c:pt>
                <c:pt idx="184">
                  <c:v>0.58541666666667302</c:v>
                </c:pt>
                <c:pt idx="185">
                  <c:v>0.58611111111111802</c:v>
                </c:pt>
                <c:pt idx="186">
                  <c:v>0.58680555555556302</c:v>
                </c:pt>
                <c:pt idx="187">
                  <c:v>0.58750000000000702</c:v>
                </c:pt>
                <c:pt idx="188">
                  <c:v>0.58819444444445201</c:v>
                </c:pt>
                <c:pt idx="189">
                  <c:v>0.58888888888889601</c:v>
                </c:pt>
                <c:pt idx="190">
                  <c:v>0.58958333333334101</c:v>
                </c:pt>
                <c:pt idx="191">
                  <c:v>0.59027777777778501</c:v>
                </c:pt>
                <c:pt idx="192">
                  <c:v>0.59097222222223</c:v>
                </c:pt>
                <c:pt idx="193">
                  <c:v>0.591666666666674</c:v>
                </c:pt>
                <c:pt idx="194">
                  <c:v>0.592361111111119</c:v>
                </c:pt>
                <c:pt idx="195">
                  <c:v>0.593055555555564</c:v>
                </c:pt>
                <c:pt idx="196">
                  <c:v>0.59375000000000799</c:v>
                </c:pt>
                <c:pt idx="197">
                  <c:v>0.59444444444445299</c:v>
                </c:pt>
                <c:pt idx="198">
                  <c:v>0.59513888888889699</c:v>
                </c:pt>
                <c:pt idx="199">
                  <c:v>0.59583333333334199</c:v>
                </c:pt>
                <c:pt idx="200">
                  <c:v>0.59652777777778598</c:v>
                </c:pt>
                <c:pt idx="201">
                  <c:v>0.59722222222223098</c:v>
                </c:pt>
                <c:pt idx="202">
                  <c:v>0.59791666666667498</c:v>
                </c:pt>
                <c:pt idx="203">
                  <c:v>0.59861111111111998</c:v>
                </c:pt>
                <c:pt idx="204">
                  <c:v>0.59930555555556497</c:v>
                </c:pt>
                <c:pt idx="205">
                  <c:v>0.60000000000000897</c:v>
                </c:pt>
                <c:pt idx="206">
                  <c:v>0.60069444444445397</c:v>
                </c:pt>
                <c:pt idx="207">
                  <c:v>0.60138888888889797</c:v>
                </c:pt>
                <c:pt idx="208">
                  <c:v>0.60208333333334296</c:v>
                </c:pt>
                <c:pt idx="209">
                  <c:v>0.60277777777778696</c:v>
                </c:pt>
                <c:pt idx="210">
                  <c:v>0.60347222222223196</c:v>
                </c:pt>
                <c:pt idx="211">
                  <c:v>0.60416666666667596</c:v>
                </c:pt>
                <c:pt idx="212">
                  <c:v>0.60486111111112095</c:v>
                </c:pt>
                <c:pt idx="213">
                  <c:v>0.60555555555556595</c:v>
                </c:pt>
                <c:pt idx="214">
                  <c:v>0.60625000000000995</c:v>
                </c:pt>
                <c:pt idx="215">
                  <c:v>0.60694444444445494</c:v>
                </c:pt>
                <c:pt idx="216">
                  <c:v>0.60763888888889905</c:v>
                </c:pt>
                <c:pt idx="217">
                  <c:v>0.60833333333334405</c:v>
                </c:pt>
                <c:pt idx="218">
                  <c:v>0.60902777777778805</c:v>
                </c:pt>
                <c:pt idx="219">
                  <c:v>0.60972222222223305</c:v>
                </c:pt>
                <c:pt idx="220">
                  <c:v>0.61041666666667704</c:v>
                </c:pt>
                <c:pt idx="221">
                  <c:v>0.61111111111112204</c:v>
                </c:pt>
                <c:pt idx="222">
                  <c:v>0.61180555555556604</c:v>
                </c:pt>
                <c:pt idx="223">
                  <c:v>0.61250000000001104</c:v>
                </c:pt>
                <c:pt idx="224">
                  <c:v>0.61319444444445603</c:v>
                </c:pt>
                <c:pt idx="225">
                  <c:v>0.61388888888890003</c:v>
                </c:pt>
                <c:pt idx="226">
                  <c:v>0.61458333333334503</c:v>
                </c:pt>
                <c:pt idx="227">
                  <c:v>0.61527777777778903</c:v>
                </c:pt>
                <c:pt idx="228">
                  <c:v>0.61597222222223402</c:v>
                </c:pt>
                <c:pt idx="229">
                  <c:v>0.61666666666667802</c:v>
                </c:pt>
                <c:pt idx="230">
                  <c:v>0.61736111111112302</c:v>
                </c:pt>
                <c:pt idx="231">
                  <c:v>0.61805555555556702</c:v>
                </c:pt>
                <c:pt idx="232">
                  <c:v>0.61875000000001201</c:v>
                </c:pt>
                <c:pt idx="233">
                  <c:v>0.61944444444445701</c:v>
                </c:pt>
                <c:pt idx="234">
                  <c:v>0.62013888888890101</c:v>
                </c:pt>
                <c:pt idx="235">
                  <c:v>0.620833333333346</c:v>
                </c:pt>
                <c:pt idx="236">
                  <c:v>0.62152777777779</c:v>
                </c:pt>
                <c:pt idx="237">
                  <c:v>0.622222222222235</c:v>
                </c:pt>
                <c:pt idx="238">
                  <c:v>0.622916666666679</c:v>
                </c:pt>
                <c:pt idx="239">
                  <c:v>0.62361111111112399</c:v>
                </c:pt>
                <c:pt idx="240">
                  <c:v>0.62430555555556799</c:v>
                </c:pt>
                <c:pt idx="241">
                  <c:v>0.62500000000001299</c:v>
                </c:pt>
              </c:numCache>
            </c:numRef>
          </c:cat>
          <c:val>
            <c:numRef>
              <c:f>沪深两市成交汇总!$E$2:$E$243</c:f>
              <c:numCache>
                <c:formatCode>0.0000_ </c:formatCode>
                <c:ptCount val="242"/>
                <c:pt idx="0">
                  <c:v>2225.926751</c:v>
                </c:pt>
                <c:pt idx="1">
                  <c:v>2905.0559079999998</c:v>
                </c:pt>
                <c:pt idx="2">
                  <c:v>3447.0989420000001</c:v>
                </c:pt>
                <c:pt idx="3">
                  <c:v>3953.5650070000002</c:v>
                </c:pt>
                <c:pt idx="4">
                  <c:v>4416.205575</c:v>
                </c:pt>
                <c:pt idx="5">
                  <c:v>4860.5010979999997</c:v>
                </c:pt>
                <c:pt idx="6">
                  <c:v>5255.1199939999997</c:v>
                </c:pt>
                <c:pt idx="7">
                  <c:v>5631.3925669999999</c:v>
                </c:pt>
                <c:pt idx="8">
                  <c:v>5997.2501659999998</c:v>
                </c:pt>
                <c:pt idx="9">
                  <c:v>6384.4044290000002</c:v>
                </c:pt>
                <c:pt idx="10">
                  <c:v>6795.73038</c:v>
                </c:pt>
                <c:pt idx="11">
                  <c:v>7157.9306070000002</c:v>
                </c:pt>
                <c:pt idx="12">
                  <c:v>7516.0643769999997</c:v>
                </c:pt>
                <c:pt idx="13">
                  <c:v>7896.0970310000002</c:v>
                </c:pt>
                <c:pt idx="14">
                  <c:v>8276.9396199999992</c:v>
                </c:pt>
                <c:pt idx="15">
                  <c:v>8690.5117009999994</c:v>
                </c:pt>
                <c:pt idx="16">
                  <c:v>9059.7898129999994</c:v>
                </c:pt>
                <c:pt idx="17">
                  <c:v>9372.7918790000003</c:v>
                </c:pt>
                <c:pt idx="18">
                  <c:v>9673.8351930000008</c:v>
                </c:pt>
                <c:pt idx="19">
                  <c:v>9962.7486580000004</c:v>
                </c:pt>
                <c:pt idx="20">
                  <c:v>10244.355126</c:v>
                </c:pt>
                <c:pt idx="21">
                  <c:v>10492.616602</c:v>
                </c:pt>
                <c:pt idx="22">
                  <c:v>10723.115460000001</c:v>
                </c:pt>
                <c:pt idx="23">
                  <c:v>10937.142825000001</c:v>
                </c:pt>
                <c:pt idx="24">
                  <c:v>11122.410003999999</c:v>
                </c:pt>
                <c:pt idx="25">
                  <c:v>11304.405720000001</c:v>
                </c:pt>
                <c:pt idx="26">
                  <c:v>11476.250733999999</c:v>
                </c:pt>
                <c:pt idx="27">
                  <c:v>11637.195768</c:v>
                </c:pt>
                <c:pt idx="28">
                  <c:v>11787.841944</c:v>
                </c:pt>
                <c:pt idx="29">
                  <c:v>11932.395957000001</c:v>
                </c:pt>
                <c:pt idx="30">
                  <c:v>12095.251534999999</c:v>
                </c:pt>
                <c:pt idx="31">
                  <c:v>12238.510624</c:v>
                </c:pt>
                <c:pt idx="32">
                  <c:v>12383.560375999999</c:v>
                </c:pt>
                <c:pt idx="33">
                  <c:v>12528.303429</c:v>
                </c:pt>
                <c:pt idx="34">
                  <c:v>12667.955105999999</c:v>
                </c:pt>
                <c:pt idx="35">
                  <c:v>12810.767786</c:v>
                </c:pt>
                <c:pt idx="36">
                  <c:v>12939.266658</c:v>
                </c:pt>
                <c:pt idx="37">
                  <c:v>13065.267457</c:v>
                </c:pt>
                <c:pt idx="38">
                  <c:v>13221.738635</c:v>
                </c:pt>
                <c:pt idx="39">
                  <c:v>13400.023018</c:v>
                </c:pt>
                <c:pt idx="40">
                  <c:v>13556.463686999999</c:v>
                </c:pt>
                <c:pt idx="41">
                  <c:v>13714.850823000001</c:v>
                </c:pt>
                <c:pt idx="42">
                  <c:v>13890.791628000001</c:v>
                </c:pt>
                <c:pt idx="43">
                  <c:v>14076.943996</c:v>
                </c:pt>
                <c:pt idx="44">
                  <c:v>14279.672304</c:v>
                </c:pt>
                <c:pt idx="45">
                  <c:v>14516.025326999999</c:v>
                </c:pt>
                <c:pt idx="46">
                  <c:v>14696.408411</c:v>
                </c:pt>
                <c:pt idx="47">
                  <c:v>14847.675051</c:v>
                </c:pt>
                <c:pt idx="48">
                  <c:v>14981.796791999999</c:v>
                </c:pt>
                <c:pt idx="49">
                  <c:v>15104.124392</c:v>
                </c:pt>
                <c:pt idx="50">
                  <c:v>15225.600254999999</c:v>
                </c:pt>
                <c:pt idx="51">
                  <c:v>15350.516224000001</c:v>
                </c:pt>
                <c:pt idx="52">
                  <c:v>15452.435466999999</c:v>
                </c:pt>
                <c:pt idx="53">
                  <c:v>15551.865030000001</c:v>
                </c:pt>
                <c:pt idx="54">
                  <c:v>15665.809985</c:v>
                </c:pt>
                <c:pt idx="55">
                  <c:v>15783.540606</c:v>
                </c:pt>
                <c:pt idx="56">
                  <c:v>15904.314098999999</c:v>
                </c:pt>
                <c:pt idx="57">
                  <c:v>16027.427594000001</c:v>
                </c:pt>
                <c:pt idx="58">
                  <c:v>16171.305947000001</c:v>
                </c:pt>
                <c:pt idx="59">
                  <c:v>16328.109434</c:v>
                </c:pt>
                <c:pt idx="60">
                  <c:v>16503.268091000002</c:v>
                </c:pt>
                <c:pt idx="61">
                  <c:v>16674.833933000002</c:v>
                </c:pt>
                <c:pt idx="62">
                  <c:v>16887.604536999999</c:v>
                </c:pt>
                <c:pt idx="63">
                  <c:v>17127.946972000002</c:v>
                </c:pt>
                <c:pt idx="64">
                  <c:v>17443.334096999999</c:v>
                </c:pt>
                <c:pt idx="65">
                  <c:v>17820.328559000001</c:v>
                </c:pt>
                <c:pt idx="66">
                  <c:v>18217.733422000001</c:v>
                </c:pt>
                <c:pt idx="67">
                  <c:v>18660.134419999998</c:v>
                </c:pt>
                <c:pt idx="68">
                  <c:v>19049.233075</c:v>
                </c:pt>
                <c:pt idx="69">
                  <c:v>19402.236058999999</c:v>
                </c:pt>
                <c:pt idx="70">
                  <c:v>19710.652461000001</c:v>
                </c:pt>
                <c:pt idx="71">
                  <c:v>19972.292775999998</c:v>
                </c:pt>
                <c:pt idx="72">
                  <c:v>20213.611422000002</c:v>
                </c:pt>
                <c:pt idx="73">
                  <c:v>20422.827121999999</c:v>
                </c:pt>
                <c:pt idx="74">
                  <c:v>20607.794744999999</c:v>
                </c:pt>
                <c:pt idx="75">
                  <c:v>20775.92136</c:v>
                </c:pt>
                <c:pt idx="76">
                  <c:v>20925.0128</c:v>
                </c:pt>
                <c:pt idx="77">
                  <c:v>21047.638911999999</c:v>
                </c:pt>
                <c:pt idx="78">
                  <c:v>21163.763895</c:v>
                </c:pt>
                <c:pt idx="79">
                  <c:v>21274.194287999999</c:v>
                </c:pt>
                <c:pt idx="80">
                  <c:v>21387.129785000001</c:v>
                </c:pt>
                <c:pt idx="81">
                  <c:v>21510.225461999999</c:v>
                </c:pt>
                <c:pt idx="82">
                  <c:v>21618.670971</c:v>
                </c:pt>
                <c:pt idx="83">
                  <c:v>21715.914761</c:v>
                </c:pt>
                <c:pt idx="84">
                  <c:v>21820.754675</c:v>
                </c:pt>
                <c:pt idx="85">
                  <c:v>21914.411511999999</c:v>
                </c:pt>
                <c:pt idx="86">
                  <c:v>21997.021488999999</c:v>
                </c:pt>
                <c:pt idx="87">
                  <c:v>22078.520877999999</c:v>
                </c:pt>
                <c:pt idx="88">
                  <c:v>22153.643198999998</c:v>
                </c:pt>
                <c:pt idx="89">
                  <c:v>22237.002379000001</c:v>
                </c:pt>
                <c:pt idx="90">
                  <c:v>22328.096028</c:v>
                </c:pt>
                <c:pt idx="91">
                  <c:v>22423.882847000001</c:v>
                </c:pt>
                <c:pt idx="92">
                  <c:v>22512.500857999999</c:v>
                </c:pt>
                <c:pt idx="93">
                  <c:v>22606.883860999998</c:v>
                </c:pt>
                <c:pt idx="94">
                  <c:v>22698.529460999998</c:v>
                </c:pt>
                <c:pt idx="95">
                  <c:v>22800.479732</c:v>
                </c:pt>
                <c:pt idx="96">
                  <c:v>22906.939334999999</c:v>
                </c:pt>
                <c:pt idx="97">
                  <c:v>23011.731814999999</c:v>
                </c:pt>
                <c:pt idx="98">
                  <c:v>23122.759577000001</c:v>
                </c:pt>
                <c:pt idx="99">
                  <c:v>23222.236588</c:v>
                </c:pt>
                <c:pt idx="100">
                  <c:v>23329.811992999999</c:v>
                </c:pt>
                <c:pt idx="101">
                  <c:v>23420.277009000001</c:v>
                </c:pt>
                <c:pt idx="102">
                  <c:v>23504.99194</c:v>
                </c:pt>
                <c:pt idx="103">
                  <c:v>23591.0052</c:v>
                </c:pt>
                <c:pt idx="104">
                  <c:v>23677.124207000001</c:v>
                </c:pt>
                <c:pt idx="105">
                  <c:v>23767.841995999999</c:v>
                </c:pt>
                <c:pt idx="106">
                  <c:v>23865.972246000001</c:v>
                </c:pt>
                <c:pt idx="107">
                  <c:v>23964.81767</c:v>
                </c:pt>
                <c:pt idx="108">
                  <c:v>24065.076637999999</c:v>
                </c:pt>
                <c:pt idx="109">
                  <c:v>24168.813280999999</c:v>
                </c:pt>
                <c:pt idx="110">
                  <c:v>24251.568736000001</c:v>
                </c:pt>
                <c:pt idx="111">
                  <c:v>24335.024711999999</c:v>
                </c:pt>
                <c:pt idx="112">
                  <c:v>24405.397308</c:v>
                </c:pt>
                <c:pt idx="113">
                  <c:v>24461.612711999998</c:v>
                </c:pt>
                <c:pt idx="114">
                  <c:v>24516.955797999999</c:v>
                </c:pt>
                <c:pt idx="115">
                  <c:v>24572.653964000001</c:v>
                </c:pt>
                <c:pt idx="116">
                  <c:v>24633.112716</c:v>
                </c:pt>
                <c:pt idx="117">
                  <c:v>24688.529710999999</c:v>
                </c:pt>
                <c:pt idx="118">
                  <c:v>24743.452840999998</c:v>
                </c:pt>
                <c:pt idx="119">
                  <c:v>24799.477948</c:v>
                </c:pt>
                <c:pt idx="120">
                  <c:v>24800.818067</c:v>
                </c:pt>
                <c:pt idx="121">
                  <c:v>25035.241508999999</c:v>
                </c:pt>
                <c:pt idx="122">
                  <c:v>25132.175920000001</c:v>
                </c:pt>
                <c:pt idx="123">
                  <c:v>25225.369415000001</c:v>
                </c:pt>
                <c:pt idx="124">
                  <c:v>25310.796241</c:v>
                </c:pt>
                <c:pt idx="125">
                  <c:v>25415.047274</c:v>
                </c:pt>
                <c:pt idx="126">
                  <c:v>25518.148996</c:v>
                </c:pt>
                <c:pt idx="127">
                  <c:v>25604.962523999999</c:v>
                </c:pt>
                <c:pt idx="128">
                  <c:v>25676.763457000001</c:v>
                </c:pt>
                <c:pt idx="129">
                  <c:v>25744.143225</c:v>
                </c:pt>
                <c:pt idx="130">
                  <c:v>25816.594434999999</c:v>
                </c:pt>
                <c:pt idx="131">
                  <c:v>25890.339384999999</c:v>
                </c:pt>
                <c:pt idx="132">
                  <c:v>25958.361615999998</c:v>
                </c:pt>
                <c:pt idx="133">
                  <c:v>26025.43908</c:v>
                </c:pt>
                <c:pt idx="134">
                  <c:v>26095.936987000001</c:v>
                </c:pt>
                <c:pt idx="135">
                  <c:v>26159.080516000002</c:v>
                </c:pt>
                <c:pt idx="136">
                  <c:v>26232.050834999998</c:v>
                </c:pt>
                <c:pt idx="137">
                  <c:v>26305.846560999998</c:v>
                </c:pt>
                <c:pt idx="138">
                  <c:v>26374.065407999999</c:v>
                </c:pt>
                <c:pt idx="139">
                  <c:v>26434.681429</c:v>
                </c:pt>
                <c:pt idx="140">
                  <c:v>26498.251446999999</c:v>
                </c:pt>
                <c:pt idx="141">
                  <c:v>26579.492570999999</c:v>
                </c:pt>
                <c:pt idx="142">
                  <c:v>26655.012907</c:v>
                </c:pt>
                <c:pt idx="143">
                  <c:v>26724.226439999999</c:v>
                </c:pt>
                <c:pt idx="144">
                  <c:v>26793.936130999999</c:v>
                </c:pt>
                <c:pt idx="145">
                  <c:v>26863.354950000001</c:v>
                </c:pt>
                <c:pt idx="146">
                  <c:v>26933.616391</c:v>
                </c:pt>
                <c:pt idx="147">
                  <c:v>27014.984335000001</c:v>
                </c:pt>
                <c:pt idx="148">
                  <c:v>27081.502329999999</c:v>
                </c:pt>
                <c:pt idx="149">
                  <c:v>27143.941823000001</c:v>
                </c:pt>
                <c:pt idx="150">
                  <c:v>27206.068969</c:v>
                </c:pt>
                <c:pt idx="151">
                  <c:v>27273.963811000001</c:v>
                </c:pt>
                <c:pt idx="152">
                  <c:v>27345.810861000002</c:v>
                </c:pt>
                <c:pt idx="153">
                  <c:v>27412.063432999999</c:v>
                </c:pt>
                <c:pt idx="154">
                  <c:v>27479.158898000001</c:v>
                </c:pt>
                <c:pt idx="155">
                  <c:v>27542.837287999999</c:v>
                </c:pt>
                <c:pt idx="156">
                  <c:v>27609.098312999999</c:v>
                </c:pt>
                <c:pt idx="157">
                  <c:v>27682.533820000001</c:v>
                </c:pt>
                <c:pt idx="158">
                  <c:v>27743.420201000001</c:v>
                </c:pt>
                <c:pt idx="159">
                  <c:v>27811.505752000001</c:v>
                </c:pt>
                <c:pt idx="160">
                  <c:v>27878.928276999999</c:v>
                </c:pt>
                <c:pt idx="161">
                  <c:v>27954.779109999999</c:v>
                </c:pt>
                <c:pt idx="162">
                  <c:v>28031.200321</c:v>
                </c:pt>
                <c:pt idx="163">
                  <c:v>28099.681799999998</c:v>
                </c:pt>
                <c:pt idx="164">
                  <c:v>28162.316971</c:v>
                </c:pt>
                <c:pt idx="165">
                  <c:v>28213.784201999999</c:v>
                </c:pt>
                <c:pt idx="166">
                  <c:v>28270.405838999999</c:v>
                </c:pt>
                <c:pt idx="167">
                  <c:v>28326.520704999999</c:v>
                </c:pt>
                <c:pt idx="168">
                  <c:v>28390.358235</c:v>
                </c:pt>
                <c:pt idx="169">
                  <c:v>28445.866763000002</c:v>
                </c:pt>
                <c:pt idx="170">
                  <c:v>28507.395632</c:v>
                </c:pt>
                <c:pt idx="171">
                  <c:v>28568.312907</c:v>
                </c:pt>
                <c:pt idx="172">
                  <c:v>28633.065114000001</c:v>
                </c:pt>
                <c:pt idx="173">
                  <c:v>28703.236680000002</c:v>
                </c:pt>
                <c:pt idx="174">
                  <c:v>28770.356821000001</c:v>
                </c:pt>
                <c:pt idx="175">
                  <c:v>28847.973256000001</c:v>
                </c:pt>
                <c:pt idx="176">
                  <c:v>28928.810507999999</c:v>
                </c:pt>
                <c:pt idx="177">
                  <c:v>29008.609378000001</c:v>
                </c:pt>
                <c:pt idx="178">
                  <c:v>29084.644276999999</c:v>
                </c:pt>
                <c:pt idx="179">
                  <c:v>29152.923965000002</c:v>
                </c:pt>
                <c:pt idx="180">
                  <c:v>29220.807992999999</c:v>
                </c:pt>
                <c:pt idx="181">
                  <c:v>29294.751436999999</c:v>
                </c:pt>
                <c:pt idx="182">
                  <c:v>29370.080211</c:v>
                </c:pt>
                <c:pt idx="183">
                  <c:v>29443.404358</c:v>
                </c:pt>
                <c:pt idx="184">
                  <c:v>29503.199412000002</c:v>
                </c:pt>
                <c:pt idx="185">
                  <c:v>29566.631541999999</c:v>
                </c:pt>
                <c:pt idx="186">
                  <c:v>29616.571662999999</c:v>
                </c:pt>
                <c:pt idx="187">
                  <c:v>29668.734262000002</c:v>
                </c:pt>
                <c:pt idx="188">
                  <c:v>29718.518820000001</c:v>
                </c:pt>
                <c:pt idx="189">
                  <c:v>29765.416880000001</c:v>
                </c:pt>
                <c:pt idx="190">
                  <c:v>29816.200167999999</c:v>
                </c:pt>
                <c:pt idx="191">
                  <c:v>29866.120392000001</c:v>
                </c:pt>
                <c:pt idx="192">
                  <c:v>29920.725145</c:v>
                </c:pt>
                <c:pt idx="193">
                  <c:v>29971.600005</c:v>
                </c:pt>
                <c:pt idx="194">
                  <c:v>30026.327267000001</c:v>
                </c:pt>
                <c:pt idx="195">
                  <c:v>30081.579383</c:v>
                </c:pt>
                <c:pt idx="196">
                  <c:v>30144.989150000001</c:v>
                </c:pt>
                <c:pt idx="197">
                  <c:v>30206.268924</c:v>
                </c:pt>
                <c:pt idx="198">
                  <c:v>30263.17267</c:v>
                </c:pt>
                <c:pt idx="199">
                  <c:v>30326.101649</c:v>
                </c:pt>
                <c:pt idx="200">
                  <c:v>30389.002143000002</c:v>
                </c:pt>
                <c:pt idx="201">
                  <c:v>30451.230404999998</c:v>
                </c:pt>
                <c:pt idx="202">
                  <c:v>30513.203889</c:v>
                </c:pt>
                <c:pt idx="203">
                  <c:v>30588.618467</c:v>
                </c:pt>
                <c:pt idx="204">
                  <c:v>30665.287847</c:v>
                </c:pt>
                <c:pt idx="205">
                  <c:v>30746.263346</c:v>
                </c:pt>
                <c:pt idx="206">
                  <c:v>30840.188601999998</c:v>
                </c:pt>
                <c:pt idx="207">
                  <c:v>30942.371859999999</c:v>
                </c:pt>
                <c:pt idx="208">
                  <c:v>31038.388286000001</c:v>
                </c:pt>
                <c:pt idx="209">
                  <c:v>31138.886198</c:v>
                </c:pt>
                <c:pt idx="210">
                  <c:v>31244.026280999999</c:v>
                </c:pt>
                <c:pt idx="211">
                  <c:v>31354.361451000001</c:v>
                </c:pt>
                <c:pt idx="212">
                  <c:v>31457.574574999999</c:v>
                </c:pt>
                <c:pt idx="213">
                  <c:v>31560.424885</c:v>
                </c:pt>
                <c:pt idx="214">
                  <c:v>31672.360188999999</c:v>
                </c:pt>
                <c:pt idx="215">
                  <c:v>31785.206854</c:v>
                </c:pt>
                <c:pt idx="216">
                  <c:v>31882.421165</c:v>
                </c:pt>
                <c:pt idx="217">
                  <c:v>31973.728652999998</c:v>
                </c:pt>
                <c:pt idx="218">
                  <c:v>32067.542483000001</c:v>
                </c:pt>
                <c:pt idx="219">
                  <c:v>32161.969577</c:v>
                </c:pt>
                <c:pt idx="220">
                  <c:v>32257.90727</c:v>
                </c:pt>
                <c:pt idx="221">
                  <c:v>32365.427704999998</c:v>
                </c:pt>
                <c:pt idx="222">
                  <c:v>32466.455596</c:v>
                </c:pt>
                <c:pt idx="223">
                  <c:v>32566.133789</c:v>
                </c:pt>
                <c:pt idx="224">
                  <c:v>32664.138124000001</c:v>
                </c:pt>
                <c:pt idx="225">
                  <c:v>32762.494661000001</c:v>
                </c:pt>
                <c:pt idx="226">
                  <c:v>32859.897677000001</c:v>
                </c:pt>
                <c:pt idx="227">
                  <c:v>32965.373564000001</c:v>
                </c:pt>
                <c:pt idx="228">
                  <c:v>33070.098854000003</c:v>
                </c:pt>
                <c:pt idx="229">
                  <c:v>33180.624788000001</c:v>
                </c:pt>
                <c:pt idx="230">
                  <c:v>33294.140893999996</c:v>
                </c:pt>
                <c:pt idx="231">
                  <c:v>33416.034508999997</c:v>
                </c:pt>
                <c:pt idx="232">
                  <c:v>33545.243518000003</c:v>
                </c:pt>
                <c:pt idx="233">
                  <c:v>33672.680117000004</c:v>
                </c:pt>
                <c:pt idx="234">
                  <c:v>33811.888617999997</c:v>
                </c:pt>
                <c:pt idx="235">
                  <c:v>33954.810942999997</c:v>
                </c:pt>
                <c:pt idx="236">
                  <c:v>34104.951752000001</c:v>
                </c:pt>
                <c:pt idx="237">
                  <c:v>34268.700750999997</c:v>
                </c:pt>
                <c:pt idx="238">
                  <c:v>34274.048428000002</c:v>
                </c:pt>
                <c:pt idx="239">
                  <c:v>#N/A</c:v>
                </c:pt>
                <c:pt idx="240">
                  <c:v>#N/A</c:v>
                </c:pt>
                <c:pt idx="241">
                  <c:v>34519.390421999997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DF-4731-9EF7-04517BD68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705071"/>
        <c:axId val="1017705487"/>
      </c:lineChart>
      <c:valAx>
        <c:axId val="101770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17705071"/>
        <c:crosses val="autoZero"/>
        <c:crossBetween val="midCat"/>
      </c:valAx>
      <c:catAx>
        <c:axId val="1017705071"/>
        <c:scaling>
          <c:orientation val="minMax"/>
        </c:scaling>
        <c:delete val="0"/>
        <c:axPos val="b"/>
        <c:numFmt formatCode="h: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17705487"/>
        <c:crosses val="autoZero"/>
        <c:auto val="0"/>
        <c:lblAlgn val="ctr"/>
        <c:lblOffset val="100"/>
        <c:tickMarkSkip val="5"/>
        <c:noMultiLvlLbl val="0"/>
      </c:catAx>
      <c:valAx>
        <c:axId val="890850911"/>
        <c:scaling>
          <c:orientation val="minMax"/>
        </c:scaling>
        <c:delete val="0"/>
        <c:axPos val="r"/>
        <c:numFmt formatCode="0.0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890852575"/>
        <c:crosses val="max"/>
        <c:crossBetween val="between"/>
      </c:valAx>
      <c:catAx>
        <c:axId val="890852575"/>
        <c:scaling>
          <c:orientation val="minMax"/>
        </c:scaling>
        <c:delete val="1"/>
        <c:axPos val="b"/>
        <c:numFmt formatCode="h:mm;@" sourceLinked="1"/>
        <c:majorTickMark val="out"/>
        <c:minorTickMark val="none"/>
        <c:tickLblPos val="nextTo"/>
        <c:crossAx val="890850911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沪深两市历史成交!$G$4</c:f>
              <c:strCache>
                <c:ptCount val="1"/>
                <c:pt idx="0">
                  <c:v>日均成交额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沪深两市历史成交!Date1</c:f>
              <c:numCache>
                <c:formatCode>m/d/yyyy</c:formatCode>
                <c:ptCount val="99"/>
                <c:pt idx="0">
                  <c:v>45565</c:v>
                </c:pt>
                <c:pt idx="1">
                  <c:v>45562</c:v>
                </c:pt>
                <c:pt idx="2">
                  <c:v>45555</c:v>
                </c:pt>
                <c:pt idx="3">
                  <c:v>45548</c:v>
                </c:pt>
                <c:pt idx="4">
                  <c:v>45541</c:v>
                </c:pt>
                <c:pt idx="5">
                  <c:v>45534</c:v>
                </c:pt>
                <c:pt idx="6">
                  <c:v>45527</c:v>
                </c:pt>
                <c:pt idx="7">
                  <c:v>45520</c:v>
                </c:pt>
                <c:pt idx="8">
                  <c:v>45513</c:v>
                </c:pt>
                <c:pt idx="9">
                  <c:v>45506</c:v>
                </c:pt>
                <c:pt idx="10">
                  <c:v>45499</c:v>
                </c:pt>
                <c:pt idx="11">
                  <c:v>45492</c:v>
                </c:pt>
                <c:pt idx="12">
                  <c:v>45485</c:v>
                </c:pt>
                <c:pt idx="13">
                  <c:v>45478</c:v>
                </c:pt>
                <c:pt idx="14">
                  <c:v>45471</c:v>
                </c:pt>
                <c:pt idx="15">
                  <c:v>45464</c:v>
                </c:pt>
                <c:pt idx="16">
                  <c:v>45457</c:v>
                </c:pt>
                <c:pt idx="17">
                  <c:v>45450</c:v>
                </c:pt>
                <c:pt idx="18">
                  <c:v>45443</c:v>
                </c:pt>
                <c:pt idx="19">
                  <c:v>45436</c:v>
                </c:pt>
                <c:pt idx="20">
                  <c:v>45429</c:v>
                </c:pt>
                <c:pt idx="21">
                  <c:v>45422</c:v>
                </c:pt>
                <c:pt idx="22">
                  <c:v>45412</c:v>
                </c:pt>
                <c:pt idx="23">
                  <c:v>45408</c:v>
                </c:pt>
                <c:pt idx="24">
                  <c:v>45401</c:v>
                </c:pt>
                <c:pt idx="25">
                  <c:v>45394</c:v>
                </c:pt>
                <c:pt idx="26">
                  <c:v>45385</c:v>
                </c:pt>
                <c:pt idx="27">
                  <c:v>45380</c:v>
                </c:pt>
                <c:pt idx="28">
                  <c:v>45373</c:v>
                </c:pt>
                <c:pt idx="29">
                  <c:v>45366</c:v>
                </c:pt>
                <c:pt idx="30">
                  <c:v>45359</c:v>
                </c:pt>
                <c:pt idx="31">
                  <c:v>45352</c:v>
                </c:pt>
                <c:pt idx="32">
                  <c:v>45345</c:v>
                </c:pt>
                <c:pt idx="33">
                  <c:v>45330</c:v>
                </c:pt>
                <c:pt idx="34">
                  <c:v>45324</c:v>
                </c:pt>
                <c:pt idx="35">
                  <c:v>45317</c:v>
                </c:pt>
                <c:pt idx="36">
                  <c:v>45310</c:v>
                </c:pt>
                <c:pt idx="37">
                  <c:v>45303</c:v>
                </c:pt>
                <c:pt idx="38">
                  <c:v>45296</c:v>
                </c:pt>
                <c:pt idx="39">
                  <c:v>45289</c:v>
                </c:pt>
                <c:pt idx="40">
                  <c:v>45282</c:v>
                </c:pt>
                <c:pt idx="41">
                  <c:v>45275</c:v>
                </c:pt>
                <c:pt idx="42">
                  <c:v>45268</c:v>
                </c:pt>
                <c:pt idx="43">
                  <c:v>45261</c:v>
                </c:pt>
                <c:pt idx="44">
                  <c:v>45254</c:v>
                </c:pt>
                <c:pt idx="45">
                  <c:v>45247</c:v>
                </c:pt>
                <c:pt idx="46">
                  <c:v>45240</c:v>
                </c:pt>
                <c:pt idx="47">
                  <c:v>45233</c:v>
                </c:pt>
                <c:pt idx="48">
                  <c:v>45226</c:v>
                </c:pt>
                <c:pt idx="49">
                  <c:v>45219</c:v>
                </c:pt>
                <c:pt idx="50">
                  <c:v>45212</c:v>
                </c:pt>
                <c:pt idx="51">
                  <c:v>45197</c:v>
                </c:pt>
                <c:pt idx="52">
                  <c:v>45191</c:v>
                </c:pt>
                <c:pt idx="53">
                  <c:v>45184</c:v>
                </c:pt>
                <c:pt idx="54">
                  <c:v>45177</c:v>
                </c:pt>
                <c:pt idx="55">
                  <c:v>45170</c:v>
                </c:pt>
                <c:pt idx="56">
                  <c:v>45163</c:v>
                </c:pt>
                <c:pt idx="57">
                  <c:v>45156</c:v>
                </c:pt>
                <c:pt idx="58">
                  <c:v>45149</c:v>
                </c:pt>
                <c:pt idx="59">
                  <c:v>45142</c:v>
                </c:pt>
                <c:pt idx="60">
                  <c:v>45135</c:v>
                </c:pt>
                <c:pt idx="61">
                  <c:v>45128</c:v>
                </c:pt>
                <c:pt idx="62">
                  <c:v>45121</c:v>
                </c:pt>
                <c:pt idx="63">
                  <c:v>45114</c:v>
                </c:pt>
                <c:pt idx="64">
                  <c:v>45107</c:v>
                </c:pt>
                <c:pt idx="65">
                  <c:v>45098</c:v>
                </c:pt>
                <c:pt idx="66">
                  <c:v>45093</c:v>
                </c:pt>
                <c:pt idx="67">
                  <c:v>45086</c:v>
                </c:pt>
                <c:pt idx="68">
                  <c:v>45079</c:v>
                </c:pt>
                <c:pt idx="69">
                  <c:v>45072</c:v>
                </c:pt>
                <c:pt idx="70">
                  <c:v>45065</c:v>
                </c:pt>
                <c:pt idx="71">
                  <c:v>45058</c:v>
                </c:pt>
                <c:pt idx="72">
                  <c:v>45051</c:v>
                </c:pt>
                <c:pt idx="73">
                  <c:v>45044</c:v>
                </c:pt>
                <c:pt idx="74">
                  <c:v>45037</c:v>
                </c:pt>
                <c:pt idx="75">
                  <c:v>45030</c:v>
                </c:pt>
                <c:pt idx="76">
                  <c:v>45023</c:v>
                </c:pt>
                <c:pt idx="77">
                  <c:v>45016</c:v>
                </c:pt>
                <c:pt idx="78">
                  <c:v>45009</c:v>
                </c:pt>
                <c:pt idx="79">
                  <c:v>45002</c:v>
                </c:pt>
                <c:pt idx="80">
                  <c:v>44995</c:v>
                </c:pt>
                <c:pt idx="81">
                  <c:v>44988</c:v>
                </c:pt>
                <c:pt idx="82">
                  <c:v>44981</c:v>
                </c:pt>
                <c:pt idx="83">
                  <c:v>44974</c:v>
                </c:pt>
                <c:pt idx="84">
                  <c:v>44967</c:v>
                </c:pt>
                <c:pt idx="85">
                  <c:v>44960</c:v>
                </c:pt>
                <c:pt idx="86">
                  <c:v>44946</c:v>
                </c:pt>
                <c:pt idx="87">
                  <c:v>44939</c:v>
                </c:pt>
                <c:pt idx="88">
                  <c:v>44932</c:v>
                </c:pt>
                <c:pt idx="89">
                  <c:v>44925</c:v>
                </c:pt>
                <c:pt idx="90">
                  <c:v>44918</c:v>
                </c:pt>
                <c:pt idx="91">
                  <c:v>44911</c:v>
                </c:pt>
                <c:pt idx="92">
                  <c:v>44904</c:v>
                </c:pt>
                <c:pt idx="93">
                  <c:v>44897</c:v>
                </c:pt>
                <c:pt idx="94">
                  <c:v>44890</c:v>
                </c:pt>
                <c:pt idx="95">
                  <c:v>44883</c:v>
                </c:pt>
                <c:pt idx="96">
                  <c:v>44876</c:v>
                </c:pt>
                <c:pt idx="97">
                  <c:v>44869</c:v>
                </c:pt>
                <c:pt idx="98">
                  <c:v>44862</c:v>
                </c:pt>
              </c:numCache>
            </c:numRef>
          </c:cat>
          <c:val>
            <c:numRef>
              <c:f>沪深两市历史成交!Ind1_1</c:f>
              <c:numCache>
                <c:formatCode>0.00</c:formatCode>
                <c:ptCount val="99"/>
                <c:pt idx="0">
                  <c:v>25930.366416000001</c:v>
                </c:pt>
                <c:pt idx="1">
                  <c:v>10576.311967199999</c:v>
                </c:pt>
                <c:pt idx="2">
                  <c:v>5603.5911080000005</c:v>
                </c:pt>
                <c:pt idx="3">
                  <c:v>5172.3351112</c:v>
                </c:pt>
                <c:pt idx="4">
                  <c:v>5846.3684818000002</c:v>
                </c:pt>
                <c:pt idx="5">
                  <c:v>6036.8514197999993</c:v>
                </c:pt>
                <c:pt idx="6">
                  <c:v>5394.6663122</c:v>
                </c:pt>
                <c:pt idx="7">
                  <c:v>5266.6737599999997</c:v>
                </c:pt>
                <c:pt idx="8">
                  <c:v>6439.3190709999999</c:v>
                </c:pt>
                <c:pt idx="9">
                  <c:v>7186.6560651999998</c:v>
                </c:pt>
                <c:pt idx="10">
                  <c:v>6281.2616419999995</c:v>
                </c:pt>
                <c:pt idx="11">
                  <c:v>6520.0068941999998</c:v>
                </c:pt>
                <c:pt idx="12">
                  <c:v>6915.8649173999993</c:v>
                </c:pt>
                <c:pt idx="13">
                  <c:v>6081.9365911999994</c:v>
                </c:pt>
                <c:pt idx="14">
                  <c:v>6633.3136035999996</c:v>
                </c:pt>
                <c:pt idx="15">
                  <c:v>7074.5392460000003</c:v>
                </c:pt>
                <c:pt idx="16">
                  <c:v>7488.3848187499998</c:v>
                </c:pt>
                <c:pt idx="17">
                  <c:v>7655.3906719999995</c:v>
                </c:pt>
                <c:pt idx="18">
                  <c:v>7326.3397480000003</c:v>
                </c:pt>
                <c:pt idx="19">
                  <c:v>8475.2021302000012</c:v>
                </c:pt>
                <c:pt idx="20">
                  <c:v>8461.009562199999</c:v>
                </c:pt>
                <c:pt idx="21">
                  <c:v>9498.3700454000009</c:v>
                </c:pt>
                <c:pt idx="22">
                  <c:v>11208.9015095</c:v>
                </c:pt>
                <c:pt idx="23">
                  <c:v>8506.8739157999989</c:v>
                </c:pt>
                <c:pt idx="24">
                  <c:v>9345.2912861999994</c:v>
                </c:pt>
                <c:pt idx="25">
                  <c:v>8361.1847959999996</c:v>
                </c:pt>
                <c:pt idx="26">
                  <c:v>9616.2918460000001</c:v>
                </c:pt>
                <c:pt idx="27">
                  <c:v>9358.0688317999993</c:v>
                </c:pt>
                <c:pt idx="28">
                  <c:v>10761.805741</c:v>
                </c:pt>
                <c:pt idx="29">
                  <c:v>10315.521562</c:v>
                </c:pt>
                <c:pt idx="30">
                  <c:v>9836.4489142000002</c:v>
                </c:pt>
                <c:pt idx="31">
                  <c:v>10887.3252708</c:v>
                </c:pt>
                <c:pt idx="32">
                  <c:v>8942.6636729999991</c:v>
                </c:pt>
                <c:pt idx="33">
                  <c:v>9607.7518784999993</c:v>
                </c:pt>
                <c:pt idx="34">
                  <c:v>7471.6094756000002</c:v>
                </c:pt>
                <c:pt idx="35">
                  <c:v>7970.7828684000006</c:v>
                </c:pt>
                <c:pt idx="36">
                  <c:v>6929.3769513999996</c:v>
                </c:pt>
                <c:pt idx="37">
                  <c:v>6735.2577715999996</c:v>
                </c:pt>
                <c:pt idx="38">
                  <c:v>7337.4597935000002</c:v>
                </c:pt>
                <c:pt idx="39">
                  <c:v>7123.7069231999994</c:v>
                </c:pt>
                <c:pt idx="40">
                  <c:v>7021.9605723999994</c:v>
                </c:pt>
                <c:pt idx="41">
                  <c:v>7875.4404957999996</c:v>
                </c:pt>
                <c:pt idx="42">
                  <c:v>8545.3152938000003</c:v>
                </c:pt>
                <c:pt idx="43">
                  <c:v>7968.4813961999998</c:v>
                </c:pt>
                <c:pt idx="44">
                  <c:v>8876.6973276000008</c:v>
                </c:pt>
                <c:pt idx="45">
                  <c:v>8858.8528642000001</c:v>
                </c:pt>
                <c:pt idx="46">
                  <c:v>9767.3904899999998</c:v>
                </c:pt>
                <c:pt idx="47">
                  <c:v>8689.3735467999995</c:v>
                </c:pt>
                <c:pt idx="48">
                  <c:v>8411.5886743999981</c:v>
                </c:pt>
                <c:pt idx="49">
                  <c:v>7718.7095384000004</c:v>
                </c:pt>
                <c:pt idx="50">
                  <c:v>8046.2559646000009</c:v>
                </c:pt>
                <c:pt idx="51">
                  <c:v>7043.1404395000009</c:v>
                </c:pt>
                <c:pt idx="52">
                  <c:v>6502.5154493999999</c:v>
                </c:pt>
                <c:pt idx="53">
                  <c:v>7270.5111875999992</c:v>
                </c:pt>
                <c:pt idx="54">
                  <c:v>7817.2834781999991</c:v>
                </c:pt>
                <c:pt idx="55">
                  <c:v>9445.3318674000002</c:v>
                </c:pt>
                <c:pt idx="56">
                  <c:v>7509.161745200001</c:v>
                </c:pt>
                <c:pt idx="57">
                  <c:v>7274.3674991999997</c:v>
                </c:pt>
                <c:pt idx="58">
                  <c:v>7766.3484209999997</c:v>
                </c:pt>
                <c:pt idx="59">
                  <c:v>9559.8461351999995</c:v>
                </c:pt>
                <c:pt idx="60">
                  <c:v>8254.940192</c:v>
                </c:pt>
                <c:pt idx="61">
                  <c:v>7557.3820634000003</c:v>
                </c:pt>
                <c:pt idx="62">
                  <c:v>8579.8346406000001</c:v>
                </c:pt>
                <c:pt idx="63">
                  <c:v>8881.3177337999987</c:v>
                </c:pt>
                <c:pt idx="64">
                  <c:v>8978.8296680000003</c:v>
                </c:pt>
                <c:pt idx="65">
                  <c:v>10726.788840333333</c:v>
                </c:pt>
                <c:pt idx="66">
                  <c:v>10096.280240600001</c:v>
                </c:pt>
                <c:pt idx="67">
                  <c:v>8949.9026252000003</c:v>
                </c:pt>
                <c:pt idx="68">
                  <c:v>9440.0021992000002</c:v>
                </c:pt>
                <c:pt idx="69">
                  <c:v>8082.4836139999998</c:v>
                </c:pt>
                <c:pt idx="70">
                  <c:v>8627.5043466000006</c:v>
                </c:pt>
                <c:pt idx="71">
                  <c:v>10245.067329000001</c:v>
                </c:pt>
                <c:pt idx="72">
                  <c:v>11214.166921</c:v>
                </c:pt>
                <c:pt idx="73">
                  <c:v>11002.3081222</c:v>
                </c:pt>
                <c:pt idx="74">
                  <c:v>11239.9684972</c:v>
                </c:pt>
                <c:pt idx="75">
                  <c:v>11385.524868799999</c:v>
                </c:pt>
                <c:pt idx="76">
                  <c:v>12062.081021999998</c:v>
                </c:pt>
                <c:pt idx="77">
                  <c:v>10046.4281022</c:v>
                </c:pt>
                <c:pt idx="78">
                  <c:v>10007.6466428</c:v>
                </c:pt>
                <c:pt idx="79">
                  <c:v>8816.621007400001</c:v>
                </c:pt>
                <c:pt idx="80">
                  <c:v>8336.5032004000004</c:v>
                </c:pt>
                <c:pt idx="81">
                  <c:v>8464.5799120000011</c:v>
                </c:pt>
                <c:pt idx="82">
                  <c:v>8375.1185403999989</c:v>
                </c:pt>
                <c:pt idx="83">
                  <c:v>9875.123918199999</c:v>
                </c:pt>
                <c:pt idx="84">
                  <c:v>8638.2601190000005</c:v>
                </c:pt>
                <c:pt idx="85">
                  <c:v>9811.6009746</c:v>
                </c:pt>
                <c:pt idx="86">
                  <c:v>7392.1140786000005</c:v>
                </c:pt>
                <c:pt idx="87">
                  <c:v>7359.9709818000001</c:v>
                </c:pt>
                <c:pt idx="88">
                  <c:v>8133.5325305000006</c:v>
                </c:pt>
                <c:pt idx="89">
                  <c:v>6324.9815675999998</c:v>
                </c:pt>
                <c:pt idx="90">
                  <c:v>6428.4286542</c:v>
                </c:pt>
                <c:pt idx="91">
                  <c:v>8129.5295623999991</c:v>
                </c:pt>
                <c:pt idx="92">
                  <c:v>9761.9176948000004</c:v>
                </c:pt>
                <c:pt idx="93">
                  <c:v>9162.0868775999988</c:v>
                </c:pt>
                <c:pt idx="94">
                  <c:v>8104.6576704000008</c:v>
                </c:pt>
                <c:pt idx="95">
                  <c:v>9920.9259312000013</c:v>
                </c:pt>
                <c:pt idx="96">
                  <c:v>9373.1076246000011</c:v>
                </c:pt>
                <c:pt idx="97">
                  <c:v>9760.0334364000009</c:v>
                </c:pt>
                <c:pt idx="98">
                  <c:v>8863.4424063999995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6-41B3-9C98-BF6F73093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64141984"/>
        <c:axId val="1464141568"/>
      </c:barChart>
      <c:lineChart>
        <c:grouping val="standard"/>
        <c:varyColors val="0"/>
        <c:ser>
          <c:idx val="1"/>
          <c:order val="1"/>
          <c:tx>
            <c:strRef>
              <c:f>沪深两市历史成交!$H$4</c:f>
              <c:strCache>
                <c:ptCount val="1"/>
                <c:pt idx="0">
                  <c:v>环比变化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沪深两市历史成交!$F$5:$F$52</c:f>
              <c:numCache>
                <c:formatCode>m/d/yyyy</c:formatCode>
                <c:ptCount val="48"/>
                <c:pt idx="0">
                  <c:v>45565</c:v>
                </c:pt>
                <c:pt idx="1">
                  <c:v>45562</c:v>
                </c:pt>
                <c:pt idx="2">
                  <c:v>45555</c:v>
                </c:pt>
                <c:pt idx="3">
                  <c:v>45548</c:v>
                </c:pt>
                <c:pt idx="4">
                  <c:v>45541</c:v>
                </c:pt>
                <c:pt idx="5">
                  <c:v>45534</c:v>
                </c:pt>
                <c:pt idx="6">
                  <c:v>45527</c:v>
                </c:pt>
                <c:pt idx="7">
                  <c:v>45520</c:v>
                </c:pt>
                <c:pt idx="8">
                  <c:v>45513</c:v>
                </c:pt>
                <c:pt idx="9">
                  <c:v>45506</c:v>
                </c:pt>
                <c:pt idx="10">
                  <c:v>45499</c:v>
                </c:pt>
                <c:pt idx="11">
                  <c:v>45492</c:v>
                </c:pt>
                <c:pt idx="12">
                  <c:v>45485</c:v>
                </c:pt>
                <c:pt idx="13">
                  <c:v>45478</c:v>
                </c:pt>
                <c:pt idx="14">
                  <c:v>45471</c:v>
                </c:pt>
                <c:pt idx="15">
                  <c:v>45464</c:v>
                </c:pt>
                <c:pt idx="16">
                  <c:v>45457</c:v>
                </c:pt>
                <c:pt idx="17">
                  <c:v>45450</c:v>
                </c:pt>
                <c:pt idx="18">
                  <c:v>45443</c:v>
                </c:pt>
                <c:pt idx="19">
                  <c:v>45436</c:v>
                </c:pt>
                <c:pt idx="20">
                  <c:v>45429</c:v>
                </c:pt>
                <c:pt idx="21">
                  <c:v>45422</c:v>
                </c:pt>
                <c:pt idx="22">
                  <c:v>45412</c:v>
                </c:pt>
                <c:pt idx="23">
                  <c:v>45408</c:v>
                </c:pt>
                <c:pt idx="24">
                  <c:v>45401</c:v>
                </c:pt>
                <c:pt idx="25">
                  <c:v>45394</c:v>
                </c:pt>
                <c:pt idx="26">
                  <c:v>45385</c:v>
                </c:pt>
                <c:pt idx="27">
                  <c:v>45380</c:v>
                </c:pt>
                <c:pt idx="28">
                  <c:v>45373</c:v>
                </c:pt>
                <c:pt idx="29">
                  <c:v>45366</c:v>
                </c:pt>
                <c:pt idx="30">
                  <c:v>45359</c:v>
                </c:pt>
                <c:pt idx="31">
                  <c:v>45352</c:v>
                </c:pt>
                <c:pt idx="32">
                  <c:v>45345</c:v>
                </c:pt>
                <c:pt idx="33">
                  <c:v>45330</c:v>
                </c:pt>
                <c:pt idx="34">
                  <c:v>45324</c:v>
                </c:pt>
                <c:pt idx="35">
                  <c:v>45317</c:v>
                </c:pt>
                <c:pt idx="36">
                  <c:v>45310</c:v>
                </c:pt>
                <c:pt idx="37">
                  <c:v>45303</c:v>
                </c:pt>
                <c:pt idx="38">
                  <c:v>45296</c:v>
                </c:pt>
                <c:pt idx="39">
                  <c:v>45289</c:v>
                </c:pt>
                <c:pt idx="40">
                  <c:v>45282</c:v>
                </c:pt>
                <c:pt idx="41">
                  <c:v>45275</c:v>
                </c:pt>
                <c:pt idx="42">
                  <c:v>45268</c:v>
                </c:pt>
                <c:pt idx="43">
                  <c:v>45261</c:v>
                </c:pt>
                <c:pt idx="44">
                  <c:v>45254</c:v>
                </c:pt>
                <c:pt idx="45">
                  <c:v>45247</c:v>
                </c:pt>
                <c:pt idx="46">
                  <c:v>45240</c:v>
                </c:pt>
                <c:pt idx="47">
                  <c:v>45233</c:v>
                </c:pt>
              </c:numCache>
            </c:numRef>
          </c:cat>
          <c:val>
            <c:numRef>
              <c:f>沪深两市历史成交!Ind1_2</c:f>
              <c:numCache>
                <c:formatCode>0.00%</c:formatCode>
                <c:ptCount val="99"/>
                <c:pt idx="0">
                  <c:v>1.4517399350943005</c:v>
                </c:pt>
                <c:pt idx="1">
                  <c:v>0.88741679458029399</c:v>
                </c:pt>
                <c:pt idx="2">
                  <c:v>8.3377427704978579E-2</c:v>
                </c:pt>
                <c:pt idx="3">
                  <c:v>-0.11529094902216575</c:v>
                </c:pt>
                <c:pt idx="4">
                  <c:v>-3.1553358655679764E-2</c:v>
                </c:pt>
                <c:pt idx="5">
                  <c:v>0.11904074699628819</c:v>
                </c:pt>
                <c:pt idx="6">
                  <c:v>2.43023505978468E-2</c:v>
                </c:pt>
                <c:pt idx="7">
                  <c:v>-0.18210703617422908</c:v>
                </c:pt>
                <c:pt idx="8">
                  <c:v>-0.10398953107257147</c:v>
                </c:pt>
                <c:pt idx="9">
                  <c:v>0.14414212857271069</c:v>
                </c:pt>
                <c:pt idx="10">
                  <c:v>-3.6617331250428764E-2</c:v>
                </c:pt>
                <c:pt idx="11">
                  <c:v>-5.7239120186404868E-2</c:v>
                </c:pt>
                <c:pt idx="12">
                  <c:v>0.13711559035433174</c:v>
                </c:pt>
                <c:pt idx="13">
                  <c:v>-8.3122409906982164E-2</c:v>
                </c:pt>
                <c:pt idx="14">
                  <c:v>-6.2368110071546079E-2</c:v>
                </c:pt>
                <c:pt idx="15">
                  <c:v>-5.5264998095955309E-2</c:v>
                </c:pt>
                <c:pt idx="16">
                  <c:v>-2.1815457944012295E-2</c:v>
                </c:pt>
                <c:pt idx="17">
                  <c:v>4.4913413152840143E-2</c:v>
                </c:pt>
                <c:pt idx="18">
                  <c:v>-0.13555575012260968</c:v>
                </c:pt>
                <c:pt idx="19">
                  <c:v>1.6774083394739403E-3</c:v>
                </c:pt>
                <c:pt idx="20">
                  <c:v>-0.10921457873736862</c:v>
                </c:pt>
                <c:pt idx="21">
                  <c:v>-0.15260473674875752</c:v>
                </c:pt>
                <c:pt idx="22">
                  <c:v>0.31762873417948123</c:v>
                </c:pt>
                <c:pt idx="23">
                  <c:v>-8.9715488230749374E-2</c:v>
                </c:pt>
                <c:pt idx="24">
                  <c:v>0.11769940674804813</c:v>
                </c:pt>
                <c:pt idx="25">
                  <c:v>-0.13051881849052616</c:v>
                </c:pt>
                <c:pt idx="26">
                  <c:v>2.7593622021941488E-2</c:v>
                </c:pt>
                <c:pt idx="27">
                  <c:v>-0.13043693065858708</c:v>
                </c:pt>
                <c:pt idx="28">
                  <c:v>4.3263365436024825E-2</c:v>
                </c:pt>
                <c:pt idx="29">
                  <c:v>4.8703821061725439E-2</c:v>
                </c:pt>
                <c:pt idx="30">
                  <c:v>-9.6522913613912964E-2</c:v>
                </c:pt>
                <c:pt idx="31">
                  <c:v>0.21745887678538001</c:v>
                </c:pt>
                <c:pt idx="32">
                  <c:v>-6.9224123802397397E-2</c:v>
                </c:pt>
                <c:pt idx="33">
                  <c:v>0.2859012385318036</c:v>
                </c:pt>
                <c:pt idx="34">
                  <c:v>-6.2625390885876819E-2</c:v>
                </c:pt>
                <c:pt idx="35">
                  <c:v>0.15028853593967018</c:v>
                </c:pt>
                <c:pt idx="36">
                  <c:v>2.8821343797490018E-2</c:v>
                </c:pt>
                <c:pt idx="37">
                  <c:v>-8.2072275535120531E-2</c:v>
                </c:pt>
                <c:pt idx="38">
                  <c:v>3.0005848444419447E-2</c:v>
                </c:pt>
                <c:pt idx="39">
                  <c:v>1.4489735416618021E-2</c:v>
                </c:pt>
                <c:pt idx="40">
                  <c:v>-0.10837234105891147</c:v>
                </c:pt>
                <c:pt idx="41">
                  <c:v>-7.8390881432546355E-2</c:v>
                </c:pt>
                <c:pt idx="42">
                  <c:v>7.2389438955718699E-2</c:v>
                </c:pt>
                <c:pt idx="43">
                  <c:v>-0.10231462196825358</c:v>
                </c:pt>
                <c:pt idx="44">
                  <c:v>2.0143085875274913E-3</c:v>
                </c:pt>
                <c:pt idx="45">
                  <c:v>-9.3017436615252969E-2</c:v>
                </c:pt>
                <c:pt idx="46">
                  <c:v>0.12406152611507837</c:v>
                </c:pt>
                <c:pt idx="47">
                  <c:v>3.302406752786391E-2</c:v>
                </c:pt>
                <c:pt idx="48">
                  <c:v>8.9766188577634187E-2</c:v>
                </c:pt>
                <c:pt idx="49">
                  <c:v>-4.0707930202700582E-2</c:v>
                </c:pt>
                <c:pt idx="50">
                  <c:v>0.14242446728368963</c:v>
                </c:pt>
                <c:pt idx="51">
                  <c:v>8.3140900518719363E-2</c:v>
                </c:pt>
                <c:pt idx="52">
                  <c:v>-0.10563160118779968</c:v>
                </c:pt>
                <c:pt idx="53">
                  <c:v>-6.9944027503259898E-2</c:v>
                </c:pt>
                <c:pt idx="54">
                  <c:v>-0.17236539827881681</c:v>
                </c:pt>
                <c:pt idx="55">
                  <c:v>0.25784104643073325</c:v>
                </c:pt>
                <c:pt idx="56">
                  <c:v>3.2276929372323071E-2</c:v>
                </c:pt>
                <c:pt idx="57">
                  <c:v>-6.3347778792630094E-2</c:v>
                </c:pt>
                <c:pt idx="58">
                  <c:v>-0.18760738288414702</c:v>
                </c:pt>
                <c:pt idx="59">
                  <c:v>0.15807575982980526</c:v>
                </c:pt>
                <c:pt idx="60">
                  <c:v>9.2301556643303417E-2</c:v>
                </c:pt>
                <c:pt idx="61">
                  <c:v>-0.11916926374801295</c:v>
                </c:pt>
                <c:pt idx="62">
                  <c:v>-3.3945761455266066E-2</c:v>
                </c:pt>
                <c:pt idx="63">
                  <c:v>-1.0860205372591913E-2</c:v>
                </c:pt>
                <c:pt idx="64">
                  <c:v>-0.16295269706073701</c:v>
                </c:pt>
                <c:pt idx="65">
                  <c:v>6.2449593781864099E-2</c:v>
                </c:pt>
                <c:pt idx="66">
                  <c:v>0.12808827798552525</c:v>
                </c:pt>
                <c:pt idx="67">
                  <c:v>-5.1917315659262608E-2</c:v>
                </c:pt>
                <c:pt idx="68">
                  <c:v>0.16795809927144023</c:v>
                </c:pt>
                <c:pt idx="69">
                  <c:v>-6.3172466880852651E-2</c:v>
                </c:pt>
                <c:pt idx="70">
                  <c:v>-0.15788700361404917</c:v>
                </c:pt>
                <c:pt idx="71">
                  <c:v>-8.6417439550077746E-2</c:v>
                </c:pt>
                <c:pt idx="72">
                  <c:v>1.9255850358573356E-2</c:v>
                </c:pt>
                <c:pt idx="73">
                  <c:v>-2.1144220738625985E-2</c:v>
                </c:pt>
                <c:pt idx="74">
                  <c:v>-1.2784335661052526E-2</c:v>
                </c:pt>
                <c:pt idx="75">
                  <c:v>-5.6089504950765146E-2</c:v>
                </c:pt>
                <c:pt idx="76">
                  <c:v>0.20063378738146787</c:v>
                </c:pt>
                <c:pt idx="77">
                  <c:v>3.8751827261906957E-3</c:v>
                </c:pt>
                <c:pt idx="78">
                  <c:v>0.13508867335914099</c:v>
                </c:pt>
                <c:pt idx="79">
                  <c:v>5.7592229674543027E-2</c:v>
                </c:pt>
                <c:pt idx="80">
                  <c:v>-1.5130899930241082E-2</c:v>
                </c:pt>
                <c:pt idx="81">
                  <c:v>1.0681803626833242E-2</c:v>
                </c:pt>
                <c:pt idx="82">
                  <c:v>-0.15189737265326542</c:v>
                </c:pt>
                <c:pt idx="83">
                  <c:v>0.14318436608310692</c:v>
                </c:pt>
                <c:pt idx="84">
                  <c:v>-0.11958709477051821</c:v>
                </c:pt>
                <c:pt idx="85">
                  <c:v>0.32730648773459237</c:v>
                </c:pt>
                <c:pt idx="86">
                  <c:v>4.3672858058116937E-3</c:v>
                </c:pt>
                <c:pt idx="87">
                  <c:v>-9.5107697153631099E-2</c:v>
                </c:pt>
                <c:pt idx="88">
                  <c:v>0.28593774441405229</c:v>
                </c:pt>
                <c:pt idx="89">
                  <c:v>-1.6092126422280972E-2</c:v>
                </c:pt>
                <c:pt idx="90">
                  <c:v>-0.20924961218762084</c:v>
                </c:pt>
                <c:pt idx="91">
                  <c:v>-0.16722002617063092</c:v>
                </c:pt>
                <c:pt idx="92">
                  <c:v>6.546879823487628E-2</c:v>
                </c:pt>
                <c:pt idx="93">
                  <c:v>0.13047179167874834</c:v>
                </c:pt>
                <c:pt idx="94">
                  <c:v>-0.18307447040684743</c:v>
                </c:pt>
                <c:pt idx="95">
                  <c:v>5.8445750175985856E-2</c:v>
                </c:pt>
                <c:pt idx="96">
                  <c:v>-3.964390227977721E-2</c:v>
                </c:pt>
                <c:pt idx="97">
                  <c:v>0.10115607332796595</c:v>
                </c:pt>
                <c:pt idx="98">
                  <c:v>0.14572589156063098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6-41B3-9C98-BF6F73093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143232"/>
        <c:axId val="1464142400"/>
      </c:lineChart>
      <c:valAx>
        <c:axId val="146414156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4141984"/>
        <c:crosses val="autoZero"/>
        <c:crossBetween val="between"/>
      </c:valAx>
      <c:dateAx>
        <c:axId val="1464141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4141568"/>
        <c:crosses val="autoZero"/>
        <c:auto val="1"/>
        <c:lblOffset val="100"/>
        <c:baseTimeUnit val="days"/>
        <c:majorUnit val="1"/>
        <c:minorUnit val="1"/>
      </c:dateAx>
      <c:valAx>
        <c:axId val="146414240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4143232"/>
        <c:crosses val="max"/>
        <c:crossBetween val="between"/>
      </c:valAx>
      <c:dateAx>
        <c:axId val="14641432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6414240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33131</xdr:colOff>
      <xdr:row>11</xdr:row>
      <xdr:rowOff>28576</xdr:rowOff>
    </xdr:from>
    <xdr:to>
      <xdr:col>15</xdr:col>
      <xdr:colOff>0</xdr:colOff>
      <xdr:row>21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57150</xdr:colOff>
      <xdr:row>0</xdr:row>
      <xdr:rowOff>85725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85725"/>
          <a:ext cx="607152" cy="219075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31</xdr:row>
      <xdr:rowOff>0</xdr:rowOff>
    </xdr:from>
    <xdr:to>
      <xdr:col>15</xdr:col>
      <xdr:colOff>9525</xdr:colOff>
      <xdr:row>42</xdr:row>
      <xdr:rowOff>180975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i_pq_tradedays"/>
      <definedName name="S_Info_Name"/>
      <definedName name="TDaysOffset"/>
      <definedName name="WSD"/>
      <definedName name="WSI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"/>
  <sheetViews>
    <sheetView workbookViewId="0">
      <selection activeCell="A3" sqref="A3"/>
    </sheetView>
  </sheetViews>
  <sheetFormatPr defaultRowHeight="14.25"/>
  <sheetData>
    <row r="1" spans="1:1">
      <c r="A1" t="s">
        <v>26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63636D"/>
  </sheetPr>
  <dimension ref="B1:T44"/>
  <sheetViews>
    <sheetView showGridLines="0" tabSelected="1" zoomScaleNormal="100" workbookViewId="0">
      <pane ySplit="1" topLeftCell="A2" activePane="bottomLeft" state="frozen"/>
      <selection pane="bottomLeft" activeCell="A47" sqref="A47"/>
    </sheetView>
  </sheetViews>
  <sheetFormatPr defaultRowHeight="16.5"/>
  <cols>
    <col min="1" max="1" width="3.25" style="7" customWidth="1"/>
    <col min="2" max="2" width="1.75" style="7" customWidth="1"/>
    <col min="3" max="3" width="1.625" style="7" customWidth="1"/>
    <col min="4" max="4" width="31" style="7" bestFit="1" customWidth="1"/>
    <col min="5" max="5" width="20.5" style="7" bestFit="1" customWidth="1"/>
    <col min="6" max="6" width="6.625" style="7" customWidth="1"/>
    <col min="7" max="7" width="19.625" style="7" customWidth="1"/>
    <col min="8" max="8" width="6.625" style="7" customWidth="1"/>
    <col min="9" max="9" width="20.5" style="7" bestFit="1" customWidth="1"/>
    <col min="10" max="10" width="6.625" style="7" customWidth="1"/>
    <col min="11" max="11" width="19.625" style="7" customWidth="1"/>
    <col min="12" max="12" width="6.625" style="7" customWidth="1"/>
    <col min="13" max="13" width="20.5" style="7" bestFit="1" customWidth="1"/>
    <col min="14" max="14" width="11.875" style="7" bestFit="1" customWidth="1"/>
    <col min="15" max="15" width="12.875" style="7" customWidth="1"/>
    <col min="16" max="16" width="1.625" style="7" customWidth="1"/>
    <col min="17" max="17" width="1.75" style="7" customWidth="1"/>
    <col min="18" max="18" width="3.25" style="7" customWidth="1"/>
    <col min="19" max="19" width="9" style="7"/>
    <col min="20" max="20" width="17.375" style="7" bestFit="1" customWidth="1"/>
    <col min="21" max="16384" width="9" style="7"/>
  </cols>
  <sheetData>
    <row r="1" spans="2:20" ht="28.5" customHeight="1">
      <c r="B1" s="6"/>
      <c r="C1" s="6"/>
      <c r="D1" s="6"/>
      <c r="E1" s="72" t="s">
        <v>48</v>
      </c>
      <c r="F1" s="72"/>
      <c r="G1" s="72"/>
      <c r="H1" s="72"/>
      <c r="I1" s="72"/>
      <c r="J1" s="72"/>
      <c r="K1" s="72"/>
      <c r="L1" s="72"/>
      <c r="M1" s="72"/>
      <c r="N1" s="44" t="s">
        <v>34</v>
      </c>
      <c r="O1" s="57">
        <f ca="1">[1]!TDaysOffset(TODAY(),"Offset=-1")</f>
        <v>45565</v>
      </c>
      <c r="P1" s="6"/>
      <c r="Q1" s="6"/>
    </row>
    <row r="2" spans="2:20" ht="9.9499999999999993" customHeight="1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2:20" ht="21">
      <c r="B3" s="8"/>
      <c r="C3" s="27"/>
      <c r="D3" s="28" t="s">
        <v>8</v>
      </c>
      <c r="E3" s="29"/>
      <c r="F3" s="29"/>
      <c r="G3" s="30"/>
      <c r="H3" s="30"/>
      <c r="I3" s="30"/>
      <c r="J3" s="29"/>
      <c r="K3" s="29"/>
      <c r="L3" s="29"/>
      <c r="M3" s="29"/>
      <c r="N3" s="29"/>
      <c r="O3" s="29"/>
      <c r="P3" s="31"/>
      <c r="Q3" s="8"/>
    </row>
    <row r="4" spans="2:20" ht="27.75">
      <c r="B4" s="8"/>
      <c r="C4" s="32"/>
      <c r="D4" s="33" t="s">
        <v>7</v>
      </c>
      <c r="E4" s="34">
        <f>沪深两市实时成交明细!B3+沪深两市实时成交明细!E3</f>
        <v>3451939042200</v>
      </c>
      <c r="F4" s="34"/>
      <c r="G4" s="33" t="s">
        <v>10</v>
      </c>
      <c r="H4" s="33"/>
      <c r="I4" s="36">
        <f>沪深两市实时成交明细!B3</f>
        <v>1510513250800</v>
      </c>
      <c r="J4" s="35"/>
      <c r="K4" s="33" t="s">
        <v>11</v>
      </c>
      <c r="L4" s="33"/>
      <c r="M4" s="36">
        <f>沪深两市实时成交明细!E3</f>
        <v>1941425791400</v>
      </c>
      <c r="P4" s="37"/>
      <c r="Q4" s="8"/>
    </row>
    <row r="5" spans="2:20" ht="9.9499999999999993" customHeight="1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2:20" ht="7.5" customHeight="1">
      <c r="B6" s="8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8"/>
    </row>
    <row r="7" spans="2:20" ht="19.5">
      <c r="B7" s="8"/>
      <c r="C7" s="27"/>
      <c r="D7" s="5" t="s">
        <v>31</v>
      </c>
      <c r="E7" s="45">
        <f ca="1">TODAY()</f>
        <v>45573</v>
      </c>
      <c r="N7" s="27"/>
      <c r="O7" s="27"/>
      <c r="P7" s="27"/>
      <c r="Q7" s="8"/>
    </row>
    <row r="8" spans="2:20" ht="6" customHeight="1">
      <c r="B8" s="8"/>
      <c r="C8" s="27"/>
      <c r="N8" s="27"/>
      <c r="O8" s="27"/>
      <c r="P8" s="27"/>
      <c r="Q8" s="8"/>
    </row>
    <row r="9" spans="2:20" ht="20.100000000000001" customHeight="1">
      <c r="B9" s="8"/>
      <c r="C9" s="27"/>
      <c r="D9" s="52" t="s">
        <v>35</v>
      </c>
      <c r="E9" s="59">
        <f ca="1">IF(E7=TODAY(),(沪深两市实时成交明细!B3+沪深两市实时成交明细!E3)/100000000,LOOKUP(2,1/(沪深两市成交汇总!E:E&lt;&gt;0),沪深两市成交汇总!E:E))</f>
        <v>34519.390421999997</v>
      </c>
      <c r="F9" s="54"/>
      <c r="G9" s="52" t="s">
        <v>29</v>
      </c>
      <c r="H9" s="52"/>
      <c r="I9" s="53">
        <f ca="1">LOOKUP(2,1/(沪深两市成交汇总!F:F&lt;&gt;0),沪深两市成交汇总!F:F)</f>
        <v>8589.0240069999963</v>
      </c>
      <c r="J9" s="58">
        <f ca="1">IF(I9&gt;0,1,IF(I9=0,0,-1))</f>
        <v>1</v>
      </c>
      <c r="K9" s="55"/>
      <c r="L9" s="55"/>
      <c r="M9" s="56"/>
      <c r="N9" s="27"/>
      <c r="O9" s="27"/>
      <c r="P9" s="27"/>
      <c r="Q9" s="8"/>
    </row>
    <row r="10" spans="2:20" ht="4.5" customHeight="1">
      <c r="B10" s="8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8"/>
    </row>
    <row r="11" spans="2:20" ht="21">
      <c r="B11" s="8"/>
      <c r="C11" s="27"/>
      <c r="D11" s="38" t="str">
        <f>"实时买入额(亿元）"</f>
        <v>实时买入额(亿元）</v>
      </c>
      <c r="E11" s="39"/>
      <c r="F11" s="39"/>
      <c r="G11" s="39"/>
      <c r="H11" s="39"/>
      <c r="I11" s="40"/>
      <c r="J11" s="40"/>
      <c r="K11" s="39"/>
      <c r="L11" s="39"/>
      <c r="M11" s="39"/>
      <c r="N11" s="39"/>
      <c r="O11" s="39"/>
      <c r="P11" s="31"/>
      <c r="Q11" s="8"/>
    </row>
    <row r="12" spans="2:20">
      <c r="B12" s="8"/>
      <c r="C12" s="41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42"/>
      <c r="Q12" s="8"/>
    </row>
    <row r="13" spans="2:20">
      <c r="B13" s="8"/>
      <c r="C13" s="41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42"/>
      <c r="Q13" s="8"/>
      <c r="T13" s="61"/>
    </row>
    <row r="14" spans="2:20" ht="16.5" customHeight="1">
      <c r="B14" s="8"/>
      <c r="C14" s="41"/>
      <c r="D14" s="26"/>
      <c r="E14" s="26"/>
      <c r="F14" s="26"/>
      <c r="G14" s="26"/>
      <c r="H14" s="26"/>
      <c r="I14" s="43"/>
      <c r="J14" s="26"/>
      <c r="K14" s="26"/>
      <c r="L14" s="26"/>
      <c r="M14" s="26"/>
      <c r="N14" s="26"/>
      <c r="O14" s="26"/>
      <c r="P14" s="42"/>
      <c r="Q14" s="8"/>
      <c r="T14" s="62"/>
    </row>
    <row r="15" spans="2:20">
      <c r="B15" s="8"/>
      <c r="C15" s="41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42"/>
      <c r="Q15" s="8"/>
    </row>
    <row r="16" spans="2:20">
      <c r="B16" s="8"/>
      <c r="C16" s="41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42"/>
      <c r="Q16" s="8"/>
    </row>
    <row r="17" spans="2:17">
      <c r="B17" s="8"/>
      <c r="C17" s="41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42"/>
      <c r="Q17" s="8"/>
    </row>
    <row r="18" spans="2:17">
      <c r="B18" s="8"/>
      <c r="C18" s="41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42"/>
      <c r="Q18" s="8"/>
    </row>
    <row r="19" spans="2:17">
      <c r="B19" s="8"/>
      <c r="C19" s="41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42"/>
      <c r="Q19" s="8"/>
    </row>
    <row r="20" spans="2:17">
      <c r="B20" s="8"/>
      <c r="C20" s="41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42"/>
      <c r="Q20" s="8"/>
    </row>
    <row r="21" spans="2:17">
      <c r="B21" s="8"/>
      <c r="C21" s="41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42"/>
      <c r="Q21" s="8"/>
    </row>
    <row r="22" spans="2:17">
      <c r="B22" s="8"/>
      <c r="C22" s="41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42"/>
      <c r="Q22" s="8"/>
    </row>
    <row r="23" spans="2:17">
      <c r="B23" s="8"/>
      <c r="C23" s="41"/>
      <c r="D23" s="65" t="s">
        <v>36</v>
      </c>
      <c r="E23" s="65" t="s">
        <v>39</v>
      </c>
      <c r="F23" s="65" t="s">
        <v>40</v>
      </c>
      <c r="G23" s="65" t="s">
        <v>41</v>
      </c>
      <c r="H23" s="65" t="s">
        <v>40</v>
      </c>
      <c r="I23" s="65" t="s">
        <v>42</v>
      </c>
      <c r="J23" s="65" t="s">
        <v>40</v>
      </c>
      <c r="K23" s="65" t="s">
        <v>43</v>
      </c>
      <c r="L23" s="65" t="s">
        <v>40</v>
      </c>
      <c r="M23" s="26"/>
      <c r="N23" s="26"/>
      <c r="O23" s="26"/>
      <c r="P23" s="42"/>
      <c r="Q23" s="8"/>
    </row>
    <row r="24" spans="2:17">
      <c r="B24" s="8"/>
      <c r="C24" s="41"/>
      <c r="D24" s="63" t="s">
        <v>37</v>
      </c>
      <c r="E24" s="66">
        <f ca="1">IF(E7=TODAY(),IF(NOW()-TODAY()&gt;TIME(10,30,0),SUM(沪深两市成交汇总!C2:C62),"--"),SUM(沪深两市成交汇总!C2:C62))</f>
        <v>1650326809100</v>
      </c>
      <c r="F24" s="69">
        <f ca="1">IF(E24="--","",E24/E25-1)</f>
        <v>0.30497202793814471</v>
      </c>
      <c r="G24" s="66">
        <f ca="1">IF(E7=TODAY(),IF(NOW()-TODAY()&gt;TIME(11,30,0),SUM(沪深两市成交汇总!C63:C122),"--"),SUM(沪深两市成交汇总!C63:C122))</f>
        <v>829754997600</v>
      </c>
      <c r="H24" s="69">
        <f ca="1">IF(G24="--","",G24/G25-1)</f>
        <v>1.103671733145267</v>
      </c>
      <c r="I24" s="66">
        <f ca="1">IF(E7=TODAY(),IF(NOW()-TODAY()&gt;TIME(11,30,0),SUM(沪深两市成交汇总!C123:'沪深两市成交汇总'!C183),"--"),SUM(沪深两市成交汇总!C123:'沪深两市成交汇总'!C183))</f>
        <v>449393337000</v>
      </c>
      <c r="J24" s="69">
        <f ca="1">IF(I24="--","",I24/I25-1)</f>
        <v>-5.3117598114708509E-2</v>
      </c>
      <c r="K24" s="66">
        <f ca="1">IF(E7=TODAY(),IF(NOW()-TODAY()&gt;TIME(11,30,0),SUM(沪深两市成交汇总!C184:C243),"--"),SUM(沪深两市成交汇总!C184:C243))</f>
        <v>522463898500</v>
      </c>
      <c r="L24" s="69">
        <f ca="1">IF(K24="--","",K24/K25-1)</f>
        <v>0.13738245482989808</v>
      </c>
      <c r="M24" s="26"/>
      <c r="N24" s="26"/>
      <c r="O24" s="26"/>
      <c r="P24" s="42"/>
      <c r="Q24" s="8"/>
    </row>
    <row r="25" spans="2:17" ht="17.25">
      <c r="B25" s="8"/>
      <c r="C25" s="32"/>
      <c r="D25" s="64" t="s">
        <v>38</v>
      </c>
      <c r="E25" s="67">
        <f>SUM(沪深两市成交汇总!B2:B62)</f>
        <v>1264645351600</v>
      </c>
      <c r="F25" s="68"/>
      <c r="G25" s="67">
        <f>SUM(沪深两市成交汇总!B63:B122)</f>
        <v>394431785400</v>
      </c>
      <c r="H25" s="67"/>
      <c r="I25" s="67">
        <f>SUM(沪深两市成交汇总!B123:'沪深两市成交汇总'!B183)</f>
        <v>474603114500</v>
      </c>
      <c r="J25" s="67"/>
      <c r="K25" s="67">
        <f>SUM(沪深两市成交汇总!B184:B243)</f>
        <v>459356390000</v>
      </c>
      <c r="L25" s="67"/>
      <c r="M25" s="35"/>
      <c r="N25" s="35"/>
      <c r="O25" s="35"/>
      <c r="P25" s="37"/>
      <c r="Q25" s="8"/>
    </row>
    <row r="26" spans="2:17" ht="5.0999999999999996" customHeight="1">
      <c r="B26" s="8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8"/>
    </row>
    <row r="27" spans="2:17" ht="12" customHeight="1">
      <c r="B27" s="8"/>
      <c r="C27" s="8"/>
      <c r="D27" s="8"/>
      <c r="E27" s="8"/>
      <c r="F27" s="8"/>
      <c r="G27" s="60"/>
      <c r="H27" s="60"/>
      <c r="I27" s="8"/>
      <c r="J27" s="8"/>
      <c r="K27" s="8"/>
      <c r="L27" s="8"/>
      <c r="M27" s="8"/>
      <c r="N27" s="8"/>
      <c r="O27" s="8"/>
      <c r="P27" s="8"/>
      <c r="Q27" s="8"/>
    </row>
    <row r="28" spans="2:17" ht="9.9499999999999993" customHeight="1">
      <c r="B28" s="8"/>
      <c r="C28" s="27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31"/>
      <c r="Q28" s="8"/>
    </row>
    <row r="29" spans="2:17" ht="19.5">
      <c r="B29" s="8"/>
      <c r="C29" s="41"/>
      <c r="D29" s="5" t="s">
        <v>47</v>
      </c>
      <c r="E29" s="45">
        <f ca="1">O1-720</f>
        <v>44845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42"/>
      <c r="Q29" s="8"/>
    </row>
    <row r="30" spans="2:17" ht="9.9499999999999993" customHeight="1">
      <c r="B30" s="8"/>
      <c r="C30" s="41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42"/>
      <c r="Q30" s="8"/>
    </row>
    <row r="31" spans="2:17" ht="21">
      <c r="B31" s="8"/>
      <c r="C31" s="41"/>
      <c r="D31" s="9" t="str">
        <f>"日均（周度）成交额及同比变化"</f>
        <v>日均（周度）成交额及同比变化</v>
      </c>
      <c r="E31" s="4"/>
      <c r="F31" s="4"/>
      <c r="G31" s="4"/>
      <c r="H31" s="4"/>
      <c r="I31" s="3"/>
      <c r="J31" s="3"/>
      <c r="K31" s="4"/>
      <c r="L31" s="4"/>
      <c r="M31" s="4"/>
      <c r="N31" s="4"/>
      <c r="O31" s="4"/>
      <c r="P31" s="42"/>
      <c r="Q31" s="8"/>
    </row>
    <row r="32" spans="2:17">
      <c r="B32" s="8"/>
      <c r="C32" s="41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42"/>
      <c r="Q32" s="8"/>
    </row>
    <row r="33" spans="2:17">
      <c r="B33" s="8"/>
      <c r="C33" s="41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42"/>
      <c r="Q33" s="8"/>
    </row>
    <row r="34" spans="2:17" ht="16.5" customHeight="1">
      <c r="B34" s="8"/>
      <c r="C34" s="41"/>
      <c r="D34" s="26"/>
      <c r="E34" s="26"/>
      <c r="F34" s="26"/>
      <c r="G34" s="26"/>
      <c r="H34" s="26"/>
      <c r="I34" s="43"/>
      <c r="J34" s="26"/>
      <c r="K34" s="26"/>
      <c r="L34" s="26"/>
      <c r="M34" s="26"/>
      <c r="N34" s="26"/>
      <c r="O34" s="26"/>
      <c r="P34" s="42"/>
      <c r="Q34" s="8"/>
    </row>
    <row r="35" spans="2:17">
      <c r="B35" s="8"/>
      <c r="C35" s="41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42"/>
      <c r="Q35" s="8"/>
    </row>
    <row r="36" spans="2:17">
      <c r="B36" s="8"/>
      <c r="C36" s="41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42"/>
      <c r="Q36" s="8"/>
    </row>
    <row r="37" spans="2:17">
      <c r="B37" s="8"/>
      <c r="C37" s="41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42"/>
      <c r="Q37" s="8"/>
    </row>
    <row r="38" spans="2:17">
      <c r="B38" s="8"/>
      <c r="C38" s="41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42"/>
      <c r="Q38" s="8"/>
    </row>
    <row r="39" spans="2:17">
      <c r="B39" s="8"/>
      <c r="C39" s="41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42"/>
      <c r="Q39" s="8"/>
    </row>
    <row r="40" spans="2:17">
      <c r="B40" s="8"/>
      <c r="C40" s="41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42"/>
      <c r="Q40" s="8"/>
    </row>
    <row r="41" spans="2:17">
      <c r="B41" s="8"/>
      <c r="C41" s="41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42"/>
      <c r="Q41" s="8"/>
    </row>
    <row r="42" spans="2:17">
      <c r="B42" s="8"/>
      <c r="C42" s="41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42"/>
      <c r="Q42" s="8"/>
    </row>
    <row r="43" spans="2:17">
      <c r="B43" s="8"/>
      <c r="C43" s="41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42"/>
      <c r="Q43" s="8"/>
    </row>
    <row r="44" spans="2:17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</sheetData>
  <mergeCells count="1">
    <mergeCell ref="E1:M1"/>
  </mergeCells>
  <phoneticPr fontId="3" type="noConversion"/>
  <conditionalFormatting sqref="E4:F4 M9 I9">
    <cfRule type="cellIs" dxfId="19" priority="30" operator="lessThan">
      <formula>0</formula>
    </cfRule>
    <cfRule type="cellIs" dxfId="18" priority="31" operator="greaterThan">
      <formula>0</formula>
    </cfRule>
  </conditionalFormatting>
  <conditionalFormatting sqref="E9:F9">
    <cfRule type="cellIs" dxfId="17" priority="22" operator="lessThan">
      <formula>0</formula>
    </cfRule>
    <cfRule type="cellIs" dxfId="16" priority="23" operator="greaterThan">
      <formula>0</formula>
    </cfRule>
  </conditionalFormatting>
  <conditionalFormatting sqref="F24">
    <cfRule type="cellIs" dxfId="15" priority="13" operator="lessThan">
      <formula>0</formula>
    </cfRule>
    <cfRule type="cellIs" dxfId="14" priority="14" operator="greaterThan">
      <formula>0</formula>
    </cfRule>
  </conditionalFormatting>
  <conditionalFormatting sqref="F24">
    <cfRule type="cellIs" dxfId="13" priority="15" operator="lessThan">
      <formula>0</formula>
    </cfRule>
    <cfRule type="cellIs" dxfId="12" priority="16" operator="greaterThan">
      <formula>0</formula>
    </cfRule>
  </conditionalFormatting>
  <conditionalFormatting sqref="H24">
    <cfRule type="cellIs" dxfId="11" priority="9" operator="lessThan">
      <formula>0</formula>
    </cfRule>
    <cfRule type="cellIs" dxfId="10" priority="10" operator="greaterThan">
      <formula>0</formula>
    </cfRule>
  </conditionalFormatting>
  <conditionalFormatting sqref="H24">
    <cfRule type="cellIs" dxfId="9" priority="11" operator="lessThan">
      <formula>0</formula>
    </cfRule>
    <cfRule type="cellIs" dxfId="8" priority="12" operator="greaterThan">
      <formula>0</formula>
    </cfRule>
  </conditionalFormatting>
  <conditionalFormatting sqref="J24">
    <cfRule type="cellIs" dxfId="7" priority="5" operator="lessThan">
      <formula>0</formula>
    </cfRule>
    <cfRule type="cellIs" dxfId="6" priority="6" operator="greaterThan">
      <formula>0</formula>
    </cfRule>
  </conditionalFormatting>
  <conditionalFormatting sqref="J24"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L24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L24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G24 I24 K24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942D0D39-6C25-4670-9421-C4FB10F4E5F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J9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5"/>
  <sheetViews>
    <sheetView workbookViewId="0">
      <selection activeCell="B40" sqref="B40"/>
    </sheetView>
  </sheetViews>
  <sheetFormatPr defaultRowHeight="14.25"/>
  <cols>
    <col min="2" max="2" width="32.125" customWidth="1"/>
    <col min="5" max="5" width="22.125" customWidth="1"/>
  </cols>
  <sheetData>
    <row r="1" spans="1:5">
      <c r="A1" s="1" t="s">
        <v>2</v>
      </c>
      <c r="B1" s="1" t="s">
        <v>0</v>
      </c>
      <c r="D1" s="1" t="s">
        <v>2</v>
      </c>
      <c r="E1" s="1" t="s">
        <v>9</v>
      </c>
    </row>
    <row r="2" spans="1:5">
      <c r="A2" s="1" t="s">
        <v>3</v>
      </c>
      <c r="B2" s="1" t="s">
        <v>4</v>
      </c>
      <c r="D2" s="1" t="s">
        <v>3</v>
      </c>
      <c r="E2" s="1" t="s">
        <v>6</v>
      </c>
    </row>
    <row r="3" spans="1:5">
      <c r="A3" s="1" t="s">
        <v>1</v>
      </c>
      <c r="B3" s="14">
        <f>RTD("wdf.rtq", ,"000001.SH", "rt_amt","RT_Price")</f>
        <v>1510513250800</v>
      </c>
      <c r="D3" s="1" t="s">
        <v>1</v>
      </c>
      <c r="E3" s="13">
        <f>RTD("wdf.rtq", ,"399001.SZ", "rt_amt","RT_Price")</f>
        <v>1941425791400</v>
      </c>
    </row>
    <row r="4" spans="1:5">
      <c r="A4" s="1"/>
      <c r="B4" s="1"/>
    </row>
    <row r="5" spans="1:5">
      <c r="A5" s="1"/>
      <c r="B5" s="13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8034"/>
  <sheetViews>
    <sheetView workbookViewId="0"/>
  </sheetViews>
  <sheetFormatPr defaultRowHeight="14.25"/>
  <cols>
    <col min="1" max="1" width="15.625" style="15" bestFit="1" customWidth="1"/>
    <col min="2" max="2" width="20" style="11" bestFit="1" customWidth="1"/>
    <col min="3" max="3" width="18.75" style="11" bestFit="1" customWidth="1"/>
    <col min="4" max="4" width="20.375" style="11" bestFit="1" customWidth="1"/>
    <col min="5" max="5" width="13" bestFit="1" customWidth="1"/>
    <col min="6" max="6" width="11.625" style="24" bestFit="1" customWidth="1"/>
    <col min="7" max="7" width="13.875" bestFit="1" customWidth="1"/>
    <col min="10" max="10" width="10.375" bestFit="1" customWidth="1"/>
  </cols>
  <sheetData>
    <row r="1" spans="1:10" ht="28.5">
      <c r="A1" s="17"/>
      <c r="B1" s="10" t="s">
        <v>17</v>
      </c>
      <c r="C1" s="16"/>
      <c r="F1" s="23"/>
    </row>
    <row r="2" spans="1:10">
      <c r="A2" s="17"/>
      <c r="B2" s="1" t="s">
        <v>16</v>
      </c>
      <c r="C2" s="16"/>
      <c r="F2" s="23"/>
    </row>
    <row r="3" spans="1:10">
      <c r="A3" s="1" t="s">
        <v>19</v>
      </c>
      <c r="B3" s="1" t="s">
        <v>0</v>
      </c>
      <c r="C3" s="1" t="s">
        <v>5</v>
      </c>
      <c r="D3" s="1"/>
      <c r="F3" s="23" t="s">
        <v>19</v>
      </c>
      <c r="J3" s="71">
        <f ca="1">COUNT(F:F)-2</f>
        <v>99</v>
      </c>
    </row>
    <row r="4" spans="1:10">
      <c r="A4" s="1" t="s">
        <v>18</v>
      </c>
      <c r="B4" s="10" t="str">
        <f>[1]!S_Info_Name(B3)</f>
        <v>上证指数</v>
      </c>
      <c r="C4" s="1" t="str">
        <f>[1]!S_Info_Name(C3)</f>
        <v>深证成指</v>
      </c>
      <c r="D4" s="1" t="s">
        <v>20</v>
      </c>
      <c r="E4" s="1" t="s">
        <v>44</v>
      </c>
      <c r="F4" s="1" t="s">
        <v>18</v>
      </c>
      <c r="G4" s="1" t="s">
        <v>45</v>
      </c>
      <c r="H4" s="1" t="s">
        <v>46</v>
      </c>
    </row>
    <row r="5" spans="1:10">
      <c r="A5" s="2">
        <v>45565</v>
      </c>
      <c r="B5" s="12">
        <f ca="1">[1]!WSD(B3:C3,B2,沪深两市成交分析!E29,沪深两市成交分析!O1,"unit=100000000","Per=W","TradingCalendar=SSE","Sort=D","rptType=1","ShowParams=Y","cols=2;rows=101")</f>
        <v>11677.7255</v>
      </c>
      <c r="C5" s="12">
        <v>14252.640916</v>
      </c>
      <c r="D5" s="16">
        <f ca="1">IF(B5+C5=0,"",B5+C5)</f>
        <v>25930.366416000001</v>
      </c>
      <c r="E5">
        <f ca="1">IF(D5="","",[1]!i_pq_tradedays($B$3,A6,A5)-1)</f>
        <v>1</v>
      </c>
      <c r="F5" s="23">
        <f ca="1">IF(D5="","",A5)</f>
        <v>45565</v>
      </c>
      <c r="G5" s="16">
        <f ca="1">IF(D5="","",D5/E5)</f>
        <v>25930.366416000001</v>
      </c>
      <c r="H5" s="70">
        <f ca="1">IF(D5="","",G5/G6-1)</f>
        <v>1.4517399350943005</v>
      </c>
    </row>
    <row r="6" spans="1:10">
      <c r="A6" s="2">
        <v>45562</v>
      </c>
      <c r="B6" s="12">
        <v>21999.895268</v>
      </c>
      <c r="C6" s="12">
        <v>30881.664568</v>
      </c>
      <c r="D6" s="16">
        <f t="shared" ref="D6:D69" si="0">IF(B6+C6=0,"",B6+C6)</f>
        <v>52881.559836</v>
      </c>
      <c r="E6">
        <f>IF(D6="","",[1]!i_pq_tradedays($B$3,A7,A6)-1)</f>
        <v>5</v>
      </c>
      <c r="F6" s="23">
        <f t="shared" ref="F6:F69" si="1">IF(D6="","",A6)</f>
        <v>45562</v>
      </c>
      <c r="G6" s="16">
        <f t="shared" ref="G6:G69" si="2">IF(D6="","",D6/E6)</f>
        <v>10576.311967199999</v>
      </c>
      <c r="H6" s="70">
        <f t="shared" ref="H6:H69" si="3">IF(D6="","",G6/G7-1)</f>
        <v>0.88741679458029399</v>
      </c>
    </row>
    <row r="7" spans="1:10">
      <c r="A7" s="2">
        <v>45555</v>
      </c>
      <c r="B7" s="12">
        <v>7490.599647</v>
      </c>
      <c r="C7" s="12">
        <v>9320.1736770000007</v>
      </c>
      <c r="D7" s="16">
        <f t="shared" si="0"/>
        <v>16810.773324000002</v>
      </c>
      <c r="E7">
        <f>IF(D7="","",[1]!i_pq_tradedays($B$3,A8,A7)-1)</f>
        <v>3</v>
      </c>
      <c r="F7" s="23">
        <f t="shared" si="1"/>
        <v>45555</v>
      </c>
      <c r="G7" s="16">
        <f t="shared" si="2"/>
        <v>5603.5911080000005</v>
      </c>
      <c r="H7" s="70">
        <f t="shared" si="3"/>
        <v>8.3377427704978579E-2</v>
      </c>
    </row>
    <row r="8" spans="1:10">
      <c r="A8" s="2">
        <v>45548</v>
      </c>
      <c r="B8" s="12">
        <v>11291.601897</v>
      </c>
      <c r="C8" s="12">
        <v>14570.073659</v>
      </c>
      <c r="D8" s="16">
        <f t="shared" si="0"/>
        <v>25861.675556000002</v>
      </c>
      <c r="E8">
        <f>IF(D8="","",[1]!i_pq_tradedays($B$3,A9,A8)-1)</f>
        <v>5</v>
      </c>
      <c r="F8" s="23">
        <f t="shared" si="1"/>
        <v>45548</v>
      </c>
      <c r="G8" s="16">
        <f t="shared" si="2"/>
        <v>5172.3351112</v>
      </c>
      <c r="H8" s="70">
        <f t="shared" si="3"/>
        <v>-0.11529094902216575</v>
      </c>
    </row>
    <row r="9" spans="1:10">
      <c r="A9" s="2">
        <v>45541</v>
      </c>
      <c r="B9" s="12">
        <v>12583.918587</v>
      </c>
      <c r="C9" s="12">
        <v>16647.923822000001</v>
      </c>
      <c r="D9" s="16">
        <f t="shared" si="0"/>
        <v>29231.842409000001</v>
      </c>
      <c r="E9">
        <f>IF(D9="","",[1]!i_pq_tradedays($B$3,A10,A9)-1)</f>
        <v>5</v>
      </c>
      <c r="F9" s="23">
        <f t="shared" si="1"/>
        <v>45541</v>
      </c>
      <c r="G9" s="16">
        <f t="shared" si="2"/>
        <v>5846.3684818000002</v>
      </c>
      <c r="H9" s="70">
        <f t="shared" si="3"/>
        <v>-3.1553358655679764E-2</v>
      </c>
    </row>
    <row r="10" spans="1:10">
      <c r="A10" s="2">
        <v>45534</v>
      </c>
      <c r="B10" s="12">
        <v>12880.924648</v>
      </c>
      <c r="C10" s="12">
        <v>17303.332450999998</v>
      </c>
      <c r="D10" s="16">
        <f t="shared" si="0"/>
        <v>30184.257098999999</v>
      </c>
      <c r="E10">
        <f>IF(D10="","",[1]!i_pq_tradedays($B$3,A11,A10)-1)</f>
        <v>5</v>
      </c>
      <c r="F10" s="23">
        <f t="shared" si="1"/>
        <v>45534</v>
      </c>
      <c r="G10" s="16">
        <f t="shared" si="2"/>
        <v>6036.8514197999993</v>
      </c>
      <c r="H10" s="70">
        <f t="shared" si="3"/>
        <v>0.11904074699628819</v>
      </c>
    </row>
    <row r="11" spans="1:10">
      <c r="A11" s="2">
        <v>45527</v>
      </c>
      <c r="B11" s="12">
        <v>11349.178545999999</v>
      </c>
      <c r="C11" s="12">
        <v>15624.153015</v>
      </c>
      <c r="D11" s="16">
        <f t="shared" si="0"/>
        <v>26973.331560999999</v>
      </c>
      <c r="E11">
        <f>IF(D11="","",[1]!i_pq_tradedays($B$3,A12,A11)-1)</f>
        <v>5</v>
      </c>
      <c r="F11" s="23">
        <f t="shared" si="1"/>
        <v>45527</v>
      </c>
      <c r="G11" s="16">
        <f t="shared" si="2"/>
        <v>5394.6663122</v>
      </c>
      <c r="H11" s="70">
        <f t="shared" si="3"/>
        <v>2.43023505978468E-2</v>
      </c>
    </row>
    <row r="12" spans="1:10">
      <c r="A12" s="2">
        <v>45520</v>
      </c>
      <c r="B12" s="12">
        <v>11345.881273000001</v>
      </c>
      <c r="C12" s="12">
        <v>14987.487526999999</v>
      </c>
      <c r="D12" s="16">
        <f t="shared" si="0"/>
        <v>26333.3688</v>
      </c>
      <c r="E12">
        <f>IF(D12="","",[1]!i_pq_tradedays($B$3,A13,A12)-1)</f>
        <v>5</v>
      </c>
      <c r="F12" s="23">
        <f t="shared" si="1"/>
        <v>45520</v>
      </c>
      <c r="G12" s="16">
        <f t="shared" si="2"/>
        <v>5266.6737599999997</v>
      </c>
      <c r="H12" s="70">
        <f t="shared" si="3"/>
        <v>-0.18210703617422908</v>
      </c>
    </row>
    <row r="13" spans="1:10">
      <c r="A13" s="2">
        <v>45513</v>
      </c>
      <c r="B13" s="12">
        <v>14404.841565000001</v>
      </c>
      <c r="C13" s="12">
        <v>17791.753789999999</v>
      </c>
      <c r="D13" s="16">
        <f t="shared" si="0"/>
        <v>32196.595354999998</v>
      </c>
      <c r="E13">
        <f>IF(D13="","",[1]!i_pq_tradedays($B$3,A14,A13)-1)</f>
        <v>5</v>
      </c>
      <c r="F13" s="23">
        <f t="shared" si="1"/>
        <v>45513</v>
      </c>
      <c r="G13" s="16">
        <f t="shared" si="2"/>
        <v>6439.3190709999999</v>
      </c>
      <c r="H13" s="70">
        <f t="shared" si="3"/>
        <v>-0.10398953107257147</v>
      </c>
    </row>
    <row r="14" spans="1:10">
      <c r="A14" s="2">
        <v>45506</v>
      </c>
      <c r="B14" s="12">
        <v>16159.482102</v>
      </c>
      <c r="C14" s="12">
        <v>19773.798223999998</v>
      </c>
      <c r="D14" s="16">
        <f t="shared" si="0"/>
        <v>35933.280326</v>
      </c>
      <c r="E14">
        <f>IF(D14="","",[1]!i_pq_tradedays($B$3,A15,A14)-1)</f>
        <v>5</v>
      </c>
      <c r="F14" s="23">
        <f t="shared" si="1"/>
        <v>45506</v>
      </c>
      <c r="G14" s="16">
        <f t="shared" si="2"/>
        <v>7186.6560651999998</v>
      </c>
      <c r="H14" s="70">
        <f t="shared" si="3"/>
        <v>0.14414212857271069</v>
      </c>
    </row>
    <row r="15" spans="1:10">
      <c r="A15" s="2">
        <v>45499</v>
      </c>
      <c r="B15" s="12">
        <v>14609.949289</v>
      </c>
      <c r="C15" s="12">
        <v>16796.358920999999</v>
      </c>
      <c r="D15" s="16">
        <f t="shared" si="0"/>
        <v>31406.308209999999</v>
      </c>
      <c r="E15">
        <f>IF(D15="","",[1]!i_pq_tradedays($B$3,A16,A15)-1)</f>
        <v>5</v>
      </c>
      <c r="F15" s="23">
        <f t="shared" si="1"/>
        <v>45499</v>
      </c>
      <c r="G15" s="16">
        <f t="shared" si="2"/>
        <v>6281.2616419999995</v>
      </c>
      <c r="H15" s="70">
        <f t="shared" si="3"/>
        <v>-3.6617331250428764E-2</v>
      </c>
    </row>
    <row r="16" spans="1:10">
      <c r="A16" s="2">
        <v>45492</v>
      </c>
      <c r="B16" s="12">
        <v>14737.200271</v>
      </c>
      <c r="C16" s="12">
        <v>17862.834200000001</v>
      </c>
      <c r="D16" s="16">
        <f t="shared" si="0"/>
        <v>32600.034470999999</v>
      </c>
      <c r="E16">
        <f>IF(D16="","",[1]!i_pq_tradedays($B$3,A17,A16)-1)</f>
        <v>5</v>
      </c>
      <c r="F16" s="23">
        <f t="shared" si="1"/>
        <v>45492</v>
      </c>
      <c r="G16" s="16">
        <f t="shared" si="2"/>
        <v>6520.0068941999998</v>
      </c>
      <c r="H16" s="70">
        <f t="shared" si="3"/>
        <v>-5.7239120186404868E-2</v>
      </c>
    </row>
    <row r="17" spans="1:8">
      <c r="A17" s="2">
        <v>45485</v>
      </c>
      <c r="B17" s="12">
        <v>15375.031241999999</v>
      </c>
      <c r="C17" s="12">
        <v>19204.293344999998</v>
      </c>
      <c r="D17" s="16">
        <f t="shared" si="0"/>
        <v>34579.324586999996</v>
      </c>
      <c r="E17">
        <f>IF(D17="","",[1]!i_pq_tradedays($B$3,A18,A17)-1)</f>
        <v>5</v>
      </c>
      <c r="F17" s="23">
        <f t="shared" si="1"/>
        <v>45485</v>
      </c>
      <c r="G17" s="16">
        <f t="shared" si="2"/>
        <v>6915.8649173999993</v>
      </c>
      <c r="H17" s="70">
        <f t="shared" si="3"/>
        <v>0.13711559035433174</v>
      </c>
    </row>
    <row r="18" spans="1:8">
      <c r="A18" s="2">
        <v>45478</v>
      </c>
      <c r="B18" s="12">
        <v>13652.371955000001</v>
      </c>
      <c r="C18" s="12">
        <v>16757.311000999998</v>
      </c>
      <c r="D18" s="16">
        <f t="shared" si="0"/>
        <v>30409.682955999997</v>
      </c>
      <c r="E18">
        <f>IF(D18="","",[1]!i_pq_tradedays($B$3,A19,A18)-1)</f>
        <v>5</v>
      </c>
      <c r="F18" s="23">
        <f t="shared" si="1"/>
        <v>45478</v>
      </c>
      <c r="G18" s="16">
        <f t="shared" si="2"/>
        <v>6081.9365911999994</v>
      </c>
      <c r="H18" s="70">
        <f t="shared" si="3"/>
        <v>-8.3122409906982164E-2</v>
      </c>
    </row>
    <row r="19" spans="1:8">
      <c r="A19" s="2">
        <v>45471</v>
      </c>
      <c r="B19" s="12">
        <v>14713.982741</v>
      </c>
      <c r="C19" s="12">
        <v>18452.585276999998</v>
      </c>
      <c r="D19" s="16">
        <f t="shared" si="0"/>
        <v>33166.568017999998</v>
      </c>
      <c r="E19">
        <f>IF(D19="","",[1]!i_pq_tradedays($B$3,A20,A19)-1)</f>
        <v>5</v>
      </c>
      <c r="F19" s="23">
        <f t="shared" si="1"/>
        <v>45471</v>
      </c>
      <c r="G19" s="16">
        <f t="shared" si="2"/>
        <v>6633.3136035999996</v>
      </c>
      <c r="H19" s="70">
        <f t="shared" si="3"/>
        <v>-6.2368110071546079E-2</v>
      </c>
    </row>
    <row r="20" spans="1:8">
      <c r="A20" s="2">
        <v>45464</v>
      </c>
      <c r="B20" s="12">
        <v>15601.338092</v>
      </c>
      <c r="C20" s="12">
        <v>19771.358138</v>
      </c>
      <c r="D20" s="16">
        <f t="shared" si="0"/>
        <v>35372.696230000001</v>
      </c>
      <c r="E20">
        <f>IF(D20="","",[1]!i_pq_tradedays($B$3,A21,A20)-1)</f>
        <v>5</v>
      </c>
      <c r="F20" s="23">
        <f t="shared" si="1"/>
        <v>45464</v>
      </c>
      <c r="G20" s="16">
        <f t="shared" si="2"/>
        <v>7074.5392460000003</v>
      </c>
      <c r="H20" s="70">
        <f t="shared" si="3"/>
        <v>-5.5264998095955309E-2</v>
      </c>
    </row>
    <row r="21" spans="1:8">
      <c r="A21" s="2">
        <v>45457</v>
      </c>
      <c r="B21" s="12">
        <v>13778.077147</v>
      </c>
      <c r="C21" s="12">
        <v>16175.462127999999</v>
      </c>
      <c r="D21" s="16">
        <f t="shared" si="0"/>
        <v>29953.539274999999</v>
      </c>
      <c r="E21">
        <f>IF(D21="","",[1]!i_pq_tradedays($B$3,A22,A21)-1)</f>
        <v>4</v>
      </c>
      <c r="F21" s="23">
        <f t="shared" si="1"/>
        <v>45457</v>
      </c>
      <c r="G21" s="16">
        <f t="shared" si="2"/>
        <v>7488.3848187499998</v>
      </c>
      <c r="H21" s="70">
        <f t="shared" si="3"/>
        <v>-2.1815457944012295E-2</v>
      </c>
    </row>
    <row r="22" spans="1:8">
      <c r="A22" s="2">
        <v>45450</v>
      </c>
      <c r="B22" s="12">
        <v>16831.489253</v>
      </c>
      <c r="C22" s="12">
        <v>21445.464107</v>
      </c>
      <c r="D22" s="16">
        <f t="shared" si="0"/>
        <v>38276.95336</v>
      </c>
      <c r="E22">
        <f>IF(D22="","",[1]!i_pq_tradedays($B$3,A23,A22)-1)</f>
        <v>5</v>
      </c>
      <c r="F22" s="23">
        <f t="shared" si="1"/>
        <v>45450</v>
      </c>
      <c r="G22" s="16">
        <f t="shared" si="2"/>
        <v>7655.3906719999995</v>
      </c>
      <c r="H22" s="70">
        <f t="shared" si="3"/>
        <v>4.4913413152840143E-2</v>
      </c>
    </row>
    <row r="23" spans="1:8">
      <c r="A23" s="2">
        <v>45443</v>
      </c>
      <c r="B23" s="12">
        <v>15834.784159000001</v>
      </c>
      <c r="C23" s="12">
        <v>20796.914581000001</v>
      </c>
      <c r="D23" s="16">
        <f t="shared" si="0"/>
        <v>36631.69874</v>
      </c>
      <c r="E23">
        <f>IF(D23="","",[1]!i_pq_tradedays($B$3,A24,A23)-1)</f>
        <v>5</v>
      </c>
      <c r="F23" s="23">
        <f t="shared" si="1"/>
        <v>45443</v>
      </c>
      <c r="G23" s="16">
        <f t="shared" si="2"/>
        <v>7326.3397480000003</v>
      </c>
      <c r="H23" s="70">
        <f t="shared" si="3"/>
        <v>-0.13555575012260968</v>
      </c>
    </row>
    <row r="24" spans="1:8">
      <c r="A24" s="2">
        <v>45436</v>
      </c>
      <c r="B24" s="12">
        <v>18389.770157999999</v>
      </c>
      <c r="C24" s="12">
        <v>23986.240493000001</v>
      </c>
      <c r="D24" s="16">
        <f t="shared" si="0"/>
        <v>42376.010651000004</v>
      </c>
      <c r="E24">
        <f>IF(D24="","",[1]!i_pq_tradedays($B$3,A25,A24)-1)</f>
        <v>5</v>
      </c>
      <c r="F24" s="23">
        <f t="shared" si="1"/>
        <v>45436</v>
      </c>
      <c r="G24" s="16">
        <f t="shared" si="2"/>
        <v>8475.2021302000012</v>
      </c>
      <c r="H24" s="70">
        <f t="shared" si="3"/>
        <v>1.6774083394739403E-3</v>
      </c>
    </row>
    <row r="25" spans="1:8">
      <c r="A25" s="2">
        <v>45429</v>
      </c>
      <c r="B25" s="12">
        <v>18961.138561</v>
      </c>
      <c r="C25" s="12">
        <v>23343.909250000001</v>
      </c>
      <c r="D25" s="16">
        <f t="shared" si="0"/>
        <v>42305.047810999997</v>
      </c>
      <c r="E25">
        <f>IF(D25="","",[1]!i_pq_tradedays($B$3,A26,A25)-1)</f>
        <v>5</v>
      </c>
      <c r="F25" s="23">
        <f t="shared" si="1"/>
        <v>45429</v>
      </c>
      <c r="G25" s="16">
        <f t="shared" si="2"/>
        <v>8461.009562199999</v>
      </c>
      <c r="H25" s="70">
        <f t="shared" si="3"/>
        <v>-0.10921457873736862</v>
      </c>
    </row>
    <row r="26" spans="1:8">
      <c r="A26" s="2">
        <v>45422</v>
      </c>
      <c r="B26" s="12">
        <v>21111.148077000002</v>
      </c>
      <c r="C26" s="12">
        <v>26380.702150000001</v>
      </c>
      <c r="D26" s="16">
        <f t="shared" si="0"/>
        <v>47491.850227000003</v>
      </c>
      <c r="E26">
        <f>IF(D26="","",[1]!i_pq_tradedays($B$3,A27,A26)-1)</f>
        <v>5</v>
      </c>
      <c r="F26" s="23">
        <f t="shared" si="1"/>
        <v>45422</v>
      </c>
      <c r="G26" s="16">
        <f t="shared" si="2"/>
        <v>9498.3700454000009</v>
      </c>
      <c r="H26" s="70">
        <f t="shared" si="3"/>
        <v>-0.15260473674875752</v>
      </c>
    </row>
    <row r="27" spans="1:8">
      <c r="A27" s="2">
        <v>45412</v>
      </c>
      <c r="B27" s="12">
        <v>10287.220396999999</v>
      </c>
      <c r="C27" s="12">
        <v>12130.582622</v>
      </c>
      <c r="D27" s="16">
        <f t="shared" si="0"/>
        <v>22417.803018999999</v>
      </c>
      <c r="E27">
        <f>IF(D27="","",[1]!i_pq_tradedays($B$3,A28,A27)-1)</f>
        <v>2</v>
      </c>
      <c r="F27" s="23">
        <f t="shared" si="1"/>
        <v>45412</v>
      </c>
      <c r="G27" s="16">
        <f t="shared" si="2"/>
        <v>11208.9015095</v>
      </c>
      <c r="H27" s="70">
        <f t="shared" si="3"/>
        <v>0.31762873417948123</v>
      </c>
    </row>
    <row r="28" spans="1:8">
      <c r="A28" s="2">
        <v>45408</v>
      </c>
      <c r="B28" s="12">
        <v>18659.591414999999</v>
      </c>
      <c r="C28" s="12">
        <v>23874.778163999999</v>
      </c>
      <c r="D28" s="16">
        <f t="shared" si="0"/>
        <v>42534.369578999998</v>
      </c>
      <c r="E28">
        <f>IF(D28="","",[1]!i_pq_tradedays($B$3,A29,A28)-1)</f>
        <v>5</v>
      </c>
      <c r="F28" s="23">
        <f t="shared" si="1"/>
        <v>45408</v>
      </c>
      <c r="G28" s="16">
        <f t="shared" si="2"/>
        <v>8506.8739157999989</v>
      </c>
      <c r="H28" s="70">
        <f t="shared" si="3"/>
        <v>-8.9715488230749374E-2</v>
      </c>
    </row>
    <row r="29" spans="1:8">
      <c r="A29" s="2">
        <v>45401</v>
      </c>
      <c r="B29" s="12">
        <v>21493.215264999999</v>
      </c>
      <c r="C29" s="12">
        <v>25233.241166</v>
      </c>
      <c r="D29" s="16">
        <f t="shared" si="0"/>
        <v>46726.456430999999</v>
      </c>
      <c r="E29">
        <f>IF(D29="","",[1]!i_pq_tradedays($B$3,A30,A29)-1)</f>
        <v>5</v>
      </c>
      <c r="F29" s="23">
        <f t="shared" si="1"/>
        <v>45401</v>
      </c>
      <c r="G29" s="16">
        <f t="shared" si="2"/>
        <v>9345.2912861999994</v>
      </c>
      <c r="H29" s="70">
        <f t="shared" si="3"/>
        <v>0.11769940674804813</v>
      </c>
    </row>
    <row r="30" spans="1:8">
      <c r="A30" s="2">
        <v>45394</v>
      </c>
      <c r="B30" s="12">
        <v>18616.279262</v>
      </c>
      <c r="C30" s="12">
        <v>23189.644718</v>
      </c>
      <c r="D30" s="16">
        <f t="shared" si="0"/>
        <v>41805.92398</v>
      </c>
      <c r="E30">
        <f>IF(D30="","",[1]!i_pq_tradedays($B$3,A31,A30)-1)</f>
        <v>5</v>
      </c>
      <c r="F30" s="23">
        <f t="shared" si="1"/>
        <v>45394</v>
      </c>
      <c r="G30" s="16">
        <f t="shared" si="2"/>
        <v>8361.1847959999996</v>
      </c>
      <c r="H30" s="70">
        <f t="shared" si="3"/>
        <v>-0.13051881849052616</v>
      </c>
    </row>
    <row r="31" spans="1:8">
      <c r="A31" s="2">
        <v>45385</v>
      </c>
      <c r="B31" s="12">
        <v>12103.122141</v>
      </c>
      <c r="C31" s="12">
        <v>16745.753397</v>
      </c>
      <c r="D31" s="16">
        <f t="shared" si="0"/>
        <v>28848.875538</v>
      </c>
      <c r="E31">
        <f>IF(D31="","",[1]!i_pq_tradedays($B$3,A32,A31)-1)</f>
        <v>3</v>
      </c>
      <c r="F31" s="23">
        <f t="shared" si="1"/>
        <v>45385</v>
      </c>
      <c r="G31" s="16">
        <f t="shared" si="2"/>
        <v>9616.2918460000001</v>
      </c>
      <c r="H31" s="70">
        <f t="shared" si="3"/>
        <v>2.7593622021941488E-2</v>
      </c>
    </row>
    <row r="32" spans="1:8">
      <c r="A32" s="2">
        <v>45380</v>
      </c>
      <c r="B32" s="12">
        <v>19736.262523000001</v>
      </c>
      <c r="C32" s="12">
        <v>27054.081635999999</v>
      </c>
      <c r="D32" s="16">
        <f t="shared" si="0"/>
        <v>46790.344159</v>
      </c>
      <c r="E32">
        <f>IF(D32="","",[1]!i_pq_tradedays($B$3,A33,A32)-1)</f>
        <v>5</v>
      </c>
      <c r="F32" s="23">
        <f t="shared" si="1"/>
        <v>45380</v>
      </c>
      <c r="G32" s="16">
        <f t="shared" si="2"/>
        <v>9358.0688317999993</v>
      </c>
      <c r="H32" s="70">
        <f t="shared" si="3"/>
        <v>-0.13043693065858708</v>
      </c>
    </row>
    <row r="33" spans="1:8">
      <c r="A33" s="2">
        <v>45373</v>
      </c>
      <c r="B33" s="12">
        <v>22342.809469</v>
      </c>
      <c r="C33" s="12">
        <v>31466.219236000001</v>
      </c>
      <c r="D33" s="16">
        <f t="shared" si="0"/>
        <v>53809.028705000004</v>
      </c>
      <c r="E33">
        <f>IF(D33="","",[1]!i_pq_tradedays($B$3,A34,A33)-1)</f>
        <v>5</v>
      </c>
      <c r="F33" s="23">
        <f t="shared" si="1"/>
        <v>45373</v>
      </c>
      <c r="G33" s="16">
        <f t="shared" si="2"/>
        <v>10761.805741</v>
      </c>
      <c r="H33" s="70">
        <f t="shared" si="3"/>
        <v>4.3263365436024825E-2</v>
      </c>
    </row>
    <row r="34" spans="1:8">
      <c r="A34" s="2">
        <v>45366</v>
      </c>
      <c r="B34" s="12">
        <v>22071.203527000001</v>
      </c>
      <c r="C34" s="12">
        <v>29506.404283</v>
      </c>
      <c r="D34" s="16">
        <f t="shared" si="0"/>
        <v>51577.607810000001</v>
      </c>
      <c r="E34">
        <f>IF(D34="","",[1]!i_pq_tradedays($B$3,A35,A34)-1)</f>
        <v>5</v>
      </c>
      <c r="F34" s="23">
        <f t="shared" si="1"/>
        <v>45366</v>
      </c>
      <c r="G34" s="16">
        <f t="shared" si="2"/>
        <v>10315.521562</v>
      </c>
      <c r="H34" s="70">
        <f t="shared" si="3"/>
        <v>4.8703821061725439E-2</v>
      </c>
    </row>
    <row r="35" spans="1:8">
      <c r="A35" s="2">
        <v>45359</v>
      </c>
      <c r="B35" s="12">
        <v>21160.013608000001</v>
      </c>
      <c r="C35" s="12">
        <v>28022.230963000002</v>
      </c>
      <c r="D35" s="16">
        <f t="shared" si="0"/>
        <v>49182.244571000003</v>
      </c>
      <c r="E35">
        <f>IF(D35="","",[1]!i_pq_tradedays($B$3,A36,A35)-1)</f>
        <v>5</v>
      </c>
      <c r="F35" s="23">
        <f t="shared" si="1"/>
        <v>45359</v>
      </c>
      <c r="G35" s="16">
        <f t="shared" si="2"/>
        <v>9836.4489142000002</v>
      </c>
      <c r="H35" s="70">
        <f t="shared" si="3"/>
        <v>-9.6522913613912964E-2</v>
      </c>
    </row>
    <row r="36" spans="1:8">
      <c r="A36" s="2">
        <v>45352</v>
      </c>
      <c r="B36" s="12">
        <v>23125.280902999999</v>
      </c>
      <c r="C36" s="12">
        <v>31311.345451000001</v>
      </c>
      <c r="D36" s="16">
        <f t="shared" si="0"/>
        <v>54436.626354</v>
      </c>
      <c r="E36">
        <f>IF(D36="","",[1]!i_pq_tradedays($B$3,A37,A36)-1)</f>
        <v>5</v>
      </c>
      <c r="F36" s="23">
        <f t="shared" si="1"/>
        <v>45352</v>
      </c>
      <c r="G36" s="16">
        <f t="shared" si="2"/>
        <v>10887.3252708</v>
      </c>
      <c r="H36" s="70">
        <f t="shared" si="3"/>
        <v>0.21745887678538001</v>
      </c>
    </row>
    <row r="37" spans="1:8">
      <c r="A37" s="2">
        <v>45345</v>
      </c>
      <c r="B37" s="12">
        <v>20136.244359</v>
      </c>
      <c r="C37" s="12">
        <v>24577.074005999999</v>
      </c>
      <c r="D37" s="16">
        <f t="shared" si="0"/>
        <v>44713.318364999999</v>
      </c>
      <c r="E37">
        <f>IF(D37="","",[1]!i_pq_tradedays($B$3,A38,A37)-1)</f>
        <v>5</v>
      </c>
      <c r="F37" s="23">
        <f t="shared" si="1"/>
        <v>45345</v>
      </c>
      <c r="G37" s="16">
        <f t="shared" si="2"/>
        <v>8942.6636729999991</v>
      </c>
      <c r="H37" s="70">
        <f t="shared" si="3"/>
        <v>-6.9224123802397397E-2</v>
      </c>
    </row>
    <row r="38" spans="1:8">
      <c r="A38" s="2">
        <v>45330</v>
      </c>
      <c r="B38" s="12">
        <v>18449.520825</v>
      </c>
      <c r="C38" s="12">
        <v>19981.486689000001</v>
      </c>
      <c r="D38" s="16">
        <f t="shared" si="0"/>
        <v>38431.007513999997</v>
      </c>
      <c r="E38">
        <f>IF(D38="","",[1]!i_pq_tradedays($B$3,A39,A38)-1)</f>
        <v>4</v>
      </c>
      <c r="F38" s="23">
        <f t="shared" si="1"/>
        <v>45330</v>
      </c>
      <c r="G38" s="16">
        <f t="shared" si="2"/>
        <v>9607.7518784999993</v>
      </c>
      <c r="H38" s="70">
        <f t="shared" si="3"/>
        <v>0.2859012385318036</v>
      </c>
    </row>
    <row r="39" spans="1:8">
      <c r="A39" s="2">
        <v>45324</v>
      </c>
      <c r="B39" s="12">
        <v>18121.148399000002</v>
      </c>
      <c r="C39" s="12">
        <v>19236.898979000001</v>
      </c>
      <c r="D39" s="16">
        <f t="shared" si="0"/>
        <v>37358.047378000003</v>
      </c>
      <c r="E39">
        <f>IF(D39="","",[1]!i_pq_tradedays($B$3,A40,A39)-1)</f>
        <v>5</v>
      </c>
      <c r="F39" s="23">
        <f t="shared" si="1"/>
        <v>45324</v>
      </c>
      <c r="G39" s="16">
        <f t="shared" si="2"/>
        <v>7471.6094756000002</v>
      </c>
      <c r="H39" s="70">
        <f t="shared" si="3"/>
        <v>-6.2625390885876819E-2</v>
      </c>
    </row>
    <row r="40" spans="1:8">
      <c r="A40" s="2">
        <v>45317</v>
      </c>
      <c r="B40" s="12">
        <v>18695.065439999998</v>
      </c>
      <c r="C40" s="12">
        <v>21158.848902000002</v>
      </c>
      <c r="D40" s="16">
        <f t="shared" si="0"/>
        <v>39853.914342000004</v>
      </c>
      <c r="E40">
        <f>IF(D40="","",[1]!i_pq_tradedays($B$3,A41,A40)-1)</f>
        <v>5</v>
      </c>
      <c r="F40" s="23">
        <f t="shared" si="1"/>
        <v>45317</v>
      </c>
      <c r="G40" s="16">
        <f t="shared" si="2"/>
        <v>7970.7828684000006</v>
      </c>
      <c r="H40" s="70">
        <f t="shared" si="3"/>
        <v>0.15028853593967018</v>
      </c>
    </row>
    <row r="41" spans="1:8">
      <c r="A41" s="2">
        <v>45310</v>
      </c>
      <c r="B41" s="12">
        <v>15505.685446</v>
      </c>
      <c r="C41" s="12">
        <v>19141.199311</v>
      </c>
      <c r="D41" s="16">
        <f t="shared" si="0"/>
        <v>34646.884757</v>
      </c>
      <c r="E41">
        <f>IF(D41="","",[1]!i_pq_tradedays($B$3,A42,A41)-1)</f>
        <v>5</v>
      </c>
      <c r="F41" s="23">
        <f t="shared" si="1"/>
        <v>45310</v>
      </c>
      <c r="G41" s="16">
        <f t="shared" si="2"/>
        <v>6929.3769513999996</v>
      </c>
      <c r="H41" s="70">
        <f t="shared" si="3"/>
        <v>2.8821343797490018E-2</v>
      </c>
    </row>
    <row r="42" spans="1:8">
      <c r="A42" s="2">
        <v>45303</v>
      </c>
      <c r="B42" s="12">
        <v>14477.991549</v>
      </c>
      <c r="C42" s="12">
        <v>19198.297309000001</v>
      </c>
      <c r="D42" s="16">
        <f t="shared" si="0"/>
        <v>33676.288858</v>
      </c>
      <c r="E42">
        <f>IF(D42="","",[1]!i_pq_tradedays($B$3,A43,A42)-1)</f>
        <v>5</v>
      </c>
      <c r="F42" s="23">
        <f t="shared" si="1"/>
        <v>45303</v>
      </c>
      <c r="G42" s="16">
        <f t="shared" si="2"/>
        <v>6735.2577715999996</v>
      </c>
      <c r="H42" s="70">
        <f t="shared" si="3"/>
        <v>-8.2072275535120531E-2</v>
      </c>
    </row>
    <row r="43" spans="1:8">
      <c r="A43" s="2">
        <v>45296</v>
      </c>
      <c r="B43" s="12">
        <v>12891.774686000001</v>
      </c>
      <c r="C43" s="12">
        <v>16458.064488</v>
      </c>
      <c r="D43" s="16">
        <f t="shared" si="0"/>
        <v>29349.839174000001</v>
      </c>
      <c r="E43">
        <f>IF(D43="","",[1]!i_pq_tradedays($B$3,A44,A43)-1)</f>
        <v>4</v>
      </c>
      <c r="F43" s="23">
        <f t="shared" si="1"/>
        <v>45296</v>
      </c>
      <c r="G43" s="16">
        <f t="shared" si="2"/>
        <v>7337.4597935000002</v>
      </c>
      <c r="H43" s="70">
        <f t="shared" si="3"/>
        <v>3.0005848444419447E-2</v>
      </c>
    </row>
    <row r="44" spans="1:8">
      <c r="A44" s="2">
        <v>45289</v>
      </c>
      <c r="B44" s="12">
        <v>15422.084526000001</v>
      </c>
      <c r="C44" s="12">
        <v>20196.450089999998</v>
      </c>
      <c r="D44" s="16">
        <f t="shared" si="0"/>
        <v>35618.534615999997</v>
      </c>
      <c r="E44">
        <f>IF(D44="","",[1]!i_pq_tradedays($B$3,A45,A44)-1)</f>
        <v>5</v>
      </c>
      <c r="F44" s="23">
        <f t="shared" si="1"/>
        <v>45289</v>
      </c>
      <c r="G44" s="16">
        <f t="shared" si="2"/>
        <v>7123.7069231999994</v>
      </c>
      <c r="H44" s="70">
        <f t="shared" si="3"/>
        <v>1.4489735416618021E-2</v>
      </c>
    </row>
    <row r="45" spans="1:8">
      <c r="A45" s="2">
        <v>45282</v>
      </c>
      <c r="B45" s="12">
        <v>15224.302164000001</v>
      </c>
      <c r="C45" s="12">
        <v>19885.500698</v>
      </c>
      <c r="D45" s="16">
        <f t="shared" si="0"/>
        <v>35109.802861999997</v>
      </c>
      <c r="E45">
        <f>IF(D45="","",[1]!i_pq_tradedays($B$3,A46,A45)-1)</f>
        <v>5</v>
      </c>
      <c r="F45" s="23">
        <f t="shared" si="1"/>
        <v>45282</v>
      </c>
      <c r="G45" s="16">
        <f t="shared" si="2"/>
        <v>7021.9605723999994</v>
      </c>
      <c r="H45" s="70">
        <f t="shared" si="3"/>
        <v>-0.10837234105891147</v>
      </c>
    </row>
    <row r="46" spans="1:8">
      <c r="A46" s="2">
        <v>45275</v>
      </c>
      <c r="B46" s="12">
        <v>17047.405897000001</v>
      </c>
      <c r="C46" s="12">
        <v>22329.796581999999</v>
      </c>
      <c r="D46" s="16">
        <f t="shared" si="0"/>
        <v>39377.202479</v>
      </c>
      <c r="E46">
        <f>IF(D46="","",[1]!i_pq_tradedays($B$3,A47,A46)-1)</f>
        <v>5</v>
      </c>
      <c r="F46" s="23">
        <f t="shared" si="1"/>
        <v>45275</v>
      </c>
      <c r="G46" s="16">
        <f t="shared" si="2"/>
        <v>7875.4404957999996</v>
      </c>
      <c r="H46" s="70">
        <f t="shared" si="3"/>
        <v>-7.8390881432546355E-2</v>
      </c>
    </row>
    <row r="47" spans="1:8">
      <c r="A47" s="2">
        <v>45268</v>
      </c>
      <c r="B47" s="12">
        <v>17924.850264000001</v>
      </c>
      <c r="C47" s="12">
        <v>24801.726204999999</v>
      </c>
      <c r="D47" s="16">
        <f t="shared" si="0"/>
        <v>42726.576469</v>
      </c>
      <c r="E47">
        <f>IF(D47="","",[1]!i_pq_tradedays($B$3,A48,A47)-1)</f>
        <v>5</v>
      </c>
      <c r="F47" s="23">
        <f t="shared" si="1"/>
        <v>45268</v>
      </c>
      <c r="G47" s="16">
        <f t="shared" si="2"/>
        <v>8545.3152938000003</v>
      </c>
      <c r="H47" s="70">
        <f t="shared" si="3"/>
        <v>7.2389438955718699E-2</v>
      </c>
    </row>
    <row r="48" spans="1:8">
      <c r="A48" s="2">
        <v>45261</v>
      </c>
      <c r="B48" s="12">
        <v>16524.536118</v>
      </c>
      <c r="C48" s="12">
        <v>23317.870863</v>
      </c>
      <c r="D48" s="16">
        <f t="shared" si="0"/>
        <v>39842.406981</v>
      </c>
      <c r="E48">
        <f>IF(D48="","",[1]!i_pq_tradedays($B$3,A49,A48)-1)</f>
        <v>5</v>
      </c>
      <c r="F48" s="23">
        <f t="shared" si="1"/>
        <v>45261</v>
      </c>
      <c r="G48" s="16">
        <f t="shared" si="2"/>
        <v>7968.4813961999998</v>
      </c>
      <c r="H48" s="70">
        <f t="shared" si="3"/>
        <v>-0.10231462196825358</v>
      </c>
    </row>
    <row r="49" spans="1:8">
      <c r="A49" s="2">
        <v>45254</v>
      </c>
      <c r="B49" s="12">
        <v>17161.746993000001</v>
      </c>
      <c r="C49" s="12">
        <v>27221.739645000001</v>
      </c>
      <c r="D49" s="16">
        <f t="shared" si="0"/>
        <v>44383.486638000002</v>
      </c>
      <c r="E49">
        <f>IF(D49="","",[1]!i_pq_tradedays($B$3,A50,A49)-1)</f>
        <v>5</v>
      </c>
      <c r="F49" s="23">
        <f t="shared" si="1"/>
        <v>45254</v>
      </c>
      <c r="G49" s="16">
        <f t="shared" si="2"/>
        <v>8876.6973276000008</v>
      </c>
      <c r="H49" s="70">
        <f t="shared" si="3"/>
        <v>2.0143085875274913E-3</v>
      </c>
    </row>
    <row r="50" spans="1:8">
      <c r="A50" s="2">
        <v>45247</v>
      </c>
      <c r="B50" s="12">
        <v>17498.188169000001</v>
      </c>
      <c r="C50" s="12">
        <v>26796.076152000001</v>
      </c>
      <c r="D50" s="16">
        <f t="shared" si="0"/>
        <v>44294.264321000002</v>
      </c>
      <c r="E50">
        <f>IF(D50="","",[1]!i_pq_tradedays($B$3,A51,A50)-1)</f>
        <v>5</v>
      </c>
      <c r="F50" s="23">
        <f t="shared" si="1"/>
        <v>45247</v>
      </c>
      <c r="G50" s="16">
        <f t="shared" si="2"/>
        <v>8858.8528642000001</v>
      </c>
      <c r="H50" s="70">
        <f t="shared" si="3"/>
        <v>-9.3017436615252969E-2</v>
      </c>
    </row>
    <row r="51" spans="1:8">
      <c r="A51" s="2">
        <v>45240</v>
      </c>
      <c r="B51" s="12">
        <v>19994.628255</v>
      </c>
      <c r="C51" s="12">
        <v>28842.324195000001</v>
      </c>
      <c r="D51" s="16">
        <f t="shared" si="0"/>
        <v>48836.952449999997</v>
      </c>
      <c r="E51">
        <f>IF(D51="","",[1]!i_pq_tradedays($B$3,A52,A51)-1)</f>
        <v>5</v>
      </c>
      <c r="F51" s="23">
        <f t="shared" si="1"/>
        <v>45240</v>
      </c>
      <c r="G51" s="16">
        <f t="shared" si="2"/>
        <v>9767.3904899999998</v>
      </c>
      <c r="H51" s="70">
        <f t="shared" si="3"/>
        <v>0.12406152611507837</v>
      </c>
    </row>
    <row r="52" spans="1:8">
      <c r="A52" s="2">
        <v>45233</v>
      </c>
      <c r="B52" s="12">
        <v>18142.235359999999</v>
      </c>
      <c r="C52" s="12">
        <v>25304.632374000001</v>
      </c>
      <c r="D52" s="16">
        <f t="shared" si="0"/>
        <v>43446.867733999999</v>
      </c>
      <c r="E52">
        <f>IF(D52="","",[1]!i_pq_tradedays($B$3,A53,A52)-1)</f>
        <v>5</v>
      </c>
      <c r="F52" s="23">
        <f t="shared" si="1"/>
        <v>45233</v>
      </c>
      <c r="G52" s="16">
        <f t="shared" si="2"/>
        <v>8689.3735467999995</v>
      </c>
      <c r="H52" s="70">
        <f t="shared" si="3"/>
        <v>3.302406752786391E-2</v>
      </c>
    </row>
    <row r="53" spans="1:8">
      <c r="A53" s="2">
        <v>45226</v>
      </c>
      <c r="B53" s="12">
        <v>17247.289209999999</v>
      </c>
      <c r="C53" s="12">
        <v>24810.654161999999</v>
      </c>
      <c r="D53" s="16">
        <f t="shared" si="0"/>
        <v>42057.943371999994</v>
      </c>
      <c r="E53">
        <f>IF(D53="","",[1]!i_pq_tradedays($B$3,A54,A53)-1)</f>
        <v>5</v>
      </c>
      <c r="F53" s="23">
        <f t="shared" si="1"/>
        <v>45226</v>
      </c>
      <c r="G53" s="16">
        <f t="shared" si="2"/>
        <v>8411.5886743999981</v>
      </c>
      <c r="H53" s="70">
        <f t="shared" si="3"/>
        <v>8.9766188577634187E-2</v>
      </c>
    </row>
    <row r="54" spans="1:8">
      <c r="A54" s="2">
        <v>45219</v>
      </c>
      <c r="B54" s="12">
        <v>15871.840376</v>
      </c>
      <c r="C54" s="12">
        <v>22721.707316</v>
      </c>
      <c r="D54" s="16">
        <f t="shared" si="0"/>
        <v>38593.547692</v>
      </c>
      <c r="E54">
        <f>IF(D54="","",[1]!i_pq_tradedays($B$3,A55,A54)-1)</f>
        <v>5</v>
      </c>
      <c r="F54" s="23">
        <f t="shared" si="1"/>
        <v>45219</v>
      </c>
      <c r="G54" s="16">
        <f t="shared" si="2"/>
        <v>7718.7095384000004</v>
      </c>
      <c r="H54" s="70">
        <f t="shared" si="3"/>
        <v>-4.0707930202700582E-2</v>
      </c>
    </row>
    <row r="55" spans="1:8">
      <c r="A55" s="2">
        <v>45212</v>
      </c>
      <c r="B55" s="12">
        <v>15582.818197000001</v>
      </c>
      <c r="C55" s="12">
        <v>24648.461626</v>
      </c>
      <c r="D55" s="16">
        <f t="shared" si="0"/>
        <v>40231.279823000004</v>
      </c>
      <c r="E55">
        <f>IF(D55="","",[1]!i_pq_tradedays($B$3,A56,A55)-1)</f>
        <v>5</v>
      </c>
      <c r="F55" s="23">
        <f t="shared" si="1"/>
        <v>45212</v>
      </c>
      <c r="G55" s="16">
        <f t="shared" si="2"/>
        <v>8046.2559646000009</v>
      </c>
      <c r="H55" s="70">
        <f t="shared" si="3"/>
        <v>0.14242446728368963</v>
      </c>
    </row>
    <row r="56" spans="1:8">
      <c r="A56" s="2">
        <v>45197</v>
      </c>
      <c r="B56" s="12">
        <v>11464.592058</v>
      </c>
      <c r="C56" s="12">
        <v>16707.969700000001</v>
      </c>
      <c r="D56" s="16">
        <f t="shared" si="0"/>
        <v>28172.561758000003</v>
      </c>
      <c r="E56">
        <f>IF(D56="","",[1]!i_pq_tradedays($B$3,A57,A56)-1)</f>
        <v>4</v>
      </c>
      <c r="F56" s="23">
        <f t="shared" si="1"/>
        <v>45197</v>
      </c>
      <c r="G56" s="16">
        <f t="shared" si="2"/>
        <v>7043.1404395000009</v>
      </c>
      <c r="H56" s="70">
        <f t="shared" si="3"/>
        <v>8.3140900518719363E-2</v>
      </c>
    </row>
    <row r="57" spans="1:8">
      <c r="A57" s="2">
        <v>45191</v>
      </c>
      <c r="B57" s="12">
        <v>13817.074449</v>
      </c>
      <c r="C57" s="12">
        <v>18695.502798000001</v>
      </c>
      <c r="D57" s="16">
        <f t="shared" si="0"/>
        <v>32512.577247000001</v>
      </c>
      <c r="E57">
        <f>IF(D57="","",[1]!i_pq_tradedays($B$3,A58,A57)-1)</f>
        <v>5</v>
      </c>
      <c r="F57" s="23">
        <f t="shared" si="1"/>
        <v>45191</v>
      </c>
      <c r="G57" s="16">
        <f t="shared" si="2"/>
        <v>6502.5154493999999</v>
      </c>
      <c r="H57" s="70">
        <f t="shared" si="3"/>
        <v>-0.10563160118779968</v>
      </c>
    </row>
    <row r="58" spans="1:8">
      <c r="A58" s="2">
        <v>45184</v>
      </c>
      <c r="B58" s="12">
        <v>15235.301063999999</v>
      </c>
      <c r="C58" s="12">
        <v>21117.254873999998</v>
      </c>
      <c r="D58" s="16">
        <f t="shared" si="0"/>
        <v>36352.555937999998</v>
      </c>
      <c r="E58">
        <f>IF(D58="","",[1]!i_pq_tradedays($B$3,A59,A58)-1)</f>
        <v>5</v>
      </c>
      <c r="F58" s="23">
        <f t="shared" si="1"/>
        <v>45184</v>
      </c>
      <c r="G58" s="16">
        <f t="shared" si="2"/>
        <v>7270.5111875999992</v>
      </c>
      <c r="H58" s="70">
        <f t="shared" si="3"/>
        <v>-6.9944027503259898E-2</v>
      </c>
    </row>
    <row r="59" spans="1:8">
      <c r="A59" s="2">
        <v>45177</v>
      </c>
      <c r="B59" s="12">
        <v>16584.556943</v>
      </c>
      <c r="C59" s="12">
        <v>22501.860447999999</v>
      </c>
      <c r="D59" s="16">
        <f t="shared" si="0"/>
        <v>39086.417390999995</v>
      </c>
      <c r="E59">
        <f>IF(D59="","",[1]!i_pq_tradedays($B$3,A60,A59)-1)</f>
        <v>5</v>
      </c>
      <c r="F59" s="23">
        <f t="shared" si="1"/>
        <v>45177</v>
      </c>
      <c r="G59" s="16">
        <f t="shared" si="2"/>
        <v>7817.2834781999991</v>
      </c>
      <c r="H59" s="70">
        <f t="shared" si="3"/>
        <v>-0.17236539827881681</v>
      </c>
    </row>
    <row r="60" spans="1:8">
      <c r="A60" s="2">
        <v>45170</v>
      </c>
      <c r="B60" s="12">
        <v>20731.897892000001</v>
      </c>
      <c r="C60" s="12">
        <v>26494.761445</v>
      </c>
      <c r="D60" s="16">
        <f t="shared" si="0"/>
        <v>47226.659337000005</v>
      </c>
      <c r="E60">
        <f>IF(D60="","",[1]!i_pq_tradedays($B$3,A61,A60)-1)</f>
        <v>5</v>
      </c>
      <c r="F60" s="23">
        <f t="shared" si="1"/>
        <v>45170</v>
      </c>
      <c r="G60" s="16">
        <f t="shared" si="2"/>
        <v>9445.3318674000002</v>
      </c>
      <c r="H60" s="70">
        <f t="shared" si="3"/>
        <v>0.25784104643073325</v>
      </c>
    </row>
    <row r="61" spans="1:8">
      <c r="A61" s="2">
        <v>45163</v>
      </c>
      <c r="B61" s="12">
        <v>15905.501183</v>
      </c>
      <c r="C61" s="12">
        <v>21640.307542999999</v>
      </c>
      <c r="D61" s="16">
        <f t="shared" si="0"/>
        <v>37545.808726000003</v>
      </c>
      <c r="E61">
        <f>IF(D61="","",[1]!i_pq_tradedays($B$3,A62,A61)-1)</f>
        <v>5</v>
      </c>
      <c r="F61" s="23">
        <f t="shared" si="1"/>
        <v>45163</v>
      </c>
      <c r="G61" s="16">
        <f t="shared" si="2"/>
        <v>7509.161745200001</v>
      </c>
      <c r="H61" s="70">
        <f t="shared" si="3"/>
        <v>3.2276929372323071E-2</v>
      </c>
    </row>
    <row r="62" spans="1:8">
      <c r="A62" s="2">
        <v>45156</v>
      </c>
      <c r="B62" s="12">
        <v>15683.058534</v>
      </c>
      <c r="C62" s="12">
        <v>20688.778962</v>
      </c>
      <c r="D62" s="16">
        <f t="shared" si="0"/>
        <v>36371.837496</v>
      </c>
      <c r="E62">
        <f>IF(D62="","",[1]!i_pq_tradedays($B$3,A63,A62)-1)</f>
        <v>5</v>
      </c>
      <c r="F62" s="23">
        <f t="shared" si="1"/>
        <v>45156</v>
      </c>
      <c r="G62" s="16">
        <f t="shared" si="2"/>
        <v>7274.3674991999997</v>
      </c>
      <c r="H62" s="70">
        <f t="shared" si="3"/>
        <v>-6.3347778792630094E-2</v>
      </c>
    </row>
    <row r="63" spans="1:8">
      <c r="A63" s="2">
        <v>45149</v>
      </c>
      <c r="B63" s="12">
        <v>17050.359806</v>
      </c>
      <c r="C63" s="12">
        <v>21781.382299000001</v>
      </c>
      <c r="D63" s="16">
        <f t="shared" si="0"/>
        <v>38831.742104999998</v>
      </c>
      <c r="E63">
        <f>IF(D63="","",[1]!i_pq_tradedays($B$3,A64,A63)-1)</f>
        <v>5</v>
      </c>
      <c r="F63" s="23">
        <f t="shared" si="1"/>
        <v>45149</v>
      </c>
      <c r="G63" s="16">
        <f t="shared" si="2"/>
        <v>7766.3484209999997</v>
      </c>
      <c r="H63" s="70">
        <f t="shared" si="3"/>
        <v>-0.18760738288414702</v>
      </c>
    </row>
    <row r="64" spans="1:8">
      <c r="A64" s="2">
        <v>45142</v>
      </c>
      <c r="B64" s="12">
        <v>22282.001324000001</v>
      </c>
      <c r="C64" s="12">
        <v>25517.229351999998</v>
      </c>
      <c r="D64" s="16">
        <f t="shared" si="0"/>
        <v>47799.230675999999</v>
      </c>
      <c r="E64">
        <f>IF(D64="","",[1]!i_pq_tradedays($B$3,A65,A64)-1)</f>
        <v>5</v>
      </c>
      <c r="F64" s="23">
        <f t="shared" si="1"/>
        <v>45142</v>
      </c>
      <c r="G64" s="16">
        <f t="shared" si="2"/>
        <v>9559.8461351999995</v>
      </c>
      <c r="H64" s="70">
        <f t="shared" si="3"/>
        <v>0.15807575982980526</v>
      </c>
    </row>
    <row r="65" spans="1:8">
      <c r="A65" s="2">
        <v>45135</v>
      </c>
      <c r="B65" s="12">
        <v>17683.413051</v>
      </c>
      <c r="C65" s="12">
        <v>23591.287908999999</v>
      </c>
      <c r="D65" s="16">
        <f t="shared" si="0"/>
        <v>41274.700960000002</v>
      </c>
      <c r="E65">
        <f>IF(D65="","",[1]!i_pq_tradedays($B$3,A66,A65)-1)</f>
        <v>5</v>
      </c>
      <c r="F65" s="23">
        <f t="shared" si="1"/>
        <v>45135</v>
      </c>
      <c r="G65" s="16">
        <f t="shared" si="2"/>
        <v>8254.940192</v>
      </c>
      <c r="H65" s="70">
        <f t="shared" si="3"/>
        <v>9.2301556643303417E-2</v>
      </c>
    </row>
    <row r="66" spans="1:8">
      <c r="A66" s="2">
        <v>45128</v>
      </c>
      <c r="B66" s="12">
        <v>14936.614521</v>
      </c>
      <c r="C66" s="12">
        <v>22850.295795999999</v>
      </c>
      <c r="D66" s="16">
        <f t="shared" si="0"/>
        <v>37786.910317000002</v>
      </c>
      <c r="E66">
        <f>IF(D66="","",[1]!i_pq_tradedays($B$3,A67,A66)-1)</f>
        <v>5</v>
      </c>
      <c r="F66" s="23">
        <f t="shared" si="1"/>
        <v>45128</v>
      </c>
      <c r="G66" s="16">
        <f t="shared" si="2"/>
        <v>7557.3820634000003</v>
      </c>
      <c r="H66" s="70">
        <f t="shared" si="3"/>
        <v>-0.11916926374801295</v>
      </c>
    </row>
    <row r="67" spans="1:8">
      <c r="A67" s="2">
        <v>45121</v>
      </c>
      <c r="B67" s="12">
        <v>17284.262794999999</v>
      </c>
      <c r="C67" s="12">
        <v>25614.910408</v>
      </c>
      <c r="D67" s="16">
        <f t="shared" si="0"/>
        <v>42899.173202999998</v>
      </c>
      <c r="E67">
        <f>IF(D67="","",[1]!i_pq_tradedays($B$3,A68,A67)-1)</f>
        <v>5</v>
      </c>
      <c r="F67" s="23">
        <f t="shared" si="1"/>
        <v>45121</v>
      </c>
      <c r="G67" s="16">
        <f t="shared" si="2"/>
        <v>8579.8346406000001</v>
      </c>
      <c r="H67" s="70">
        <f t="shared" si="3"/>
        <v>-3.3945761455266066E-2</v>
      </c>
    </row>
    <row r="68" spans="1:8">
      <c r="A68" s="2">
        <v>45114</v>
      </c>
      <c r="B68" s="12">
        <v>17941.201669999999</v>
      </c>
      <c r="C68" s="12">
        <v>26465.386998999998</v>
      </c>
      <c r="D68" s="16">
        <f t="shared" si="0"/>
        <v>44406.588668999997</v>
      </c>
      <c r="E68">
        <f>IF(D68="","",[1]!i_pq_tradedays($B$3,A69,A68)-1)</f>
        <v>5</v>
      </c>
      <c r="F68" s="23">
        <f t="shared" si="1"/>
        <v>45114</v>
      </c>
      <c r="G68" s="16">
        <f t="shared" si="2"/>
        <v>8881.3177337999987</v>
      </c>
      <c r="H68" s="70">
        <f t="shared" si="3"/>
        <v>-1.0860205372591913E-2</v>
      </c>
    </row>
    <row r="69" spans="1:8">
      <c r="A69" s="2">
        <v>45107</v>
      </c>
      <c r="B69" s="12">
        <v>18138.419347999999</v>
      </c>
      <c r="C69" s="12">
        <v>26755.728992</v>
      </c>
      <c r="D69" s="16">
        <f t="shared" si="0"/>
        <v>44894.14834</v>
      </c>
      <c r="E69">
        <f>IF(D69="","",[1]!i_pq_tradedays($B$3,A70,A69)-1)</f>
        <v>5</v>
      </c>
      <c r="F69" s="23">
        <f t="shared" si="1"/>
        <v>45107</v>
      </c>
      <c r="G69" s="16">
        <f t="shared" si="2"/>
        <v>8978.8296680000003</v>
      </c>
      <c r="H69" s="70">
        <f t="shared" si="3"/>
        <v>-0.16295269706073701</v>
      </c>
    </row>
    <row r="70" spans="1:8">
      <c r="A70" s="2">
        <v>45098</v>
      </c>
      <c r="B70" s="12">
        <v>12947.047210999999</v>
      </c>
      <c r="C70" s="12">
        <v>19233.319309999999</v>
      </c>
      <c r="D70" s="16">
        <f t="shared" ref="D70:D133" si="4">IF(B70+C70=0,"",B70+C70)</f>
        <v>32180.366520999996</v>
      </c>
      <c r="E70">
        <f>IF(D70="","",[1]!i_pq_tradedays($B$3,A71,A70)-1)</f>
        <v>3</v>
      </c>
      <c r="F70" s="23">
        <f t="shared" ref="F70:F133" si="5">IF(D70="","",A70)</f>
        <v>45098</v>
      </c>
      <c r="G70" s="16">
        <f t="shared" ref="G70:G133" si="6">IF(D70="","",D70/E70)</f>
        <v>10726.788840333333</v>
      </c>
      <c r="H70" s="70">
        <f t="shared" ref="H70:H133" si="7">IF(D70="","",G70/G71-1)</f>
        <v>6.2449593781864099E-2</v>
      </c>
    </row>
    <row r="71" spans="1:8">
      <c r="A71" s="2">
        <v>45093</v>
      </c>
      <c r="B71" s="12">
        <v>20663.432427</v>
      </c>
      <c r="C71" s="12">
        <v>29817.968776000002</v>
      </c>
      <c r="D71" s="16">
        <f t="shared" si="4"/>
        <v>50481.401203000001</v>
      </c>
      <c r="E71">
        <f>IF(D71="","",[1]!i_pq_tradedays($B$3,A72,A71)-1)</f>
        <v>5</v>
      </c>
      <c r="F71" s="23">
        <f t="shared" si="5"/>
        <v>45093</v>
      </c>
      <c r="G71" s="16">
        <f t="shared" si="6"/>
        <v>10096.280240600001</v>
      </c>
      <c r="H71" s="70">
        <f t="shared" si="7"/>
        <v>0.12808827798552525</v>
      </c>
    </row>
    <row r="72" spans="1:8">
      <c r="A72" s="2">
        <v>45086</v>
      </c>
      <c r="B72" s="12">
        <v>18432.795877</v>
      </c>
      <c r="C72" s="12">
        <v>26316.717249000001</v>
      </c>
      <c r="D72" s="16">
        <f t="shared" si="4"/>
        <v>44749.513126000005</v>
      </c>
      <c r="E72">
        <f>IF(D72="","",[1]!i_pq_tradedays($B$3,A73,A72)-1)</f>
        <v>5</v>
      </c>
      <c r="F72" s="23">
        <f t="shared" si="5"/>
        <v>45086</v>
      </c>
      <c r="G72" s="16">
        <f t="shared" si="6"/>
        <v>8949.9026252000003</v>
      </c>
      <c r="H72" s="70">
        <f t="shared" si="7"/>
        <v>-5.1917315659262608E-2</v>
      </c>
    </row>
    <row r="73" spans="1:8">
      <c r="A73" s="2">
        <v>45079</v>
      </c>
      <c r="B73" s="12">
        <v>19179.871701</v>
      </c>
      <c r="C73" s="12">
        <v>28020.139295000001</v>
      </c>
      <c r="D73" s="16">
        <f t="shared" si="4"/>
        <v>47200.010995999997</v>
      </c>
      <c r="E73">
        <f>IF(D73="","",[1]!i_pq_tradedays($B$3,A74,A73)-1)</f>
        <v>5</v>
      </c>
      <c r="F73" s="23">
        <f t="shared" si="5"/>
        <v>45079</v>
      </c>
      <c r="G73" s="16">
        <f t="shared" si="6"/>
        <v>9440.0021992000002</v>
      </c>
      <c r="H73" s="70">
        <f t="shared" si="7"/>
        <v>0.16795809927144023</v>
      </c>
    </row>
    <row r="74" spans="1:8">
      <c r="A74" s="2">
        <v>45072</v>
      </c>
      <c r="B74" s="12">
        <v>16908.221579000001</v>
      </c>
      <c r="C74" s="12">
        <v>23504.196490999999</v>
      </c>
      <c r="D74" s="16">
        <f t="shared" si="4"/>
        <v>40412.41807</v>
      </c>
      <c r="E74">
        <f>IF(D74="","",[1]!i_pq_tradedays($B$3,A75,A74)-1)</f>
        <v>5</v>
      </c>
      <c r="F74" s="23">
        <f t="shared" si="5"/>
        <v>45072</v>
      </c>
      <c r="G74" s="16">
        <f t="shared" si="6"/>
        <v>8082.4836139999998</v>
      </c>
      <c r="H74" s="70">
        <f t="shared" si="7"/>
        <v>-6.3172466880852651E-2</v>
      </c>
    </row>
    <row r="75" spans="1:8">
      <c r="A75" s="2">
        <v>45065</v>
      </c>
      <c r="B75" s="12">
        <v>18855.185635000002</v>
      </c>
      <c r="C75" s="12">
        <v>24282.336098</v>
      </c>
      <c r="D75" s="16">
        <f t="shared" si="4"/>
        <v>43137.521733000001</v>
      </c>
      <c r="E75">
        <f>IF(D75="","",[1]!i_pq_tradedays($B$3,A76,A75)-1)</f>
        <v>5</v>
      </c>
      <c r="F75" s="23">
        <f t="shared" si="5"/>
        <v>45065</v>
      </c>
      <c r="G75" s="16">
        <f t="shared" si="6"/>
        <v>8627.5043466000006</v>
      </c>
      <c r="H75" s="70">
        <f t="shared" si="7"/>
        <v>-0.15788700361404917</v>
      </c>
    </row>
    <row r="76" spans="1:8">
      <c r="A76" s="2">
        <v>45058</v>
      </c>
      <c r="B76" s="12">
        <v>24617.192910000002</v>
      </c>
      <c r="C76" s="12">
        <v>26608.143735000001</v>
      </c>
      <c r="D76" s="16">
        <f t="shared" si="4"/>
        <v>51225.336645000003</v>
      </c>
      <c r="E76">
        <f>IF(D76="","",[1]!i_pq_tradedays($B$3,A77,A76)-1)</f>
        <v>5</v>
      </c>
      <c r="F76" s="23">
        <f t="shared" si="5"/>
        <v>45058</v>
      </c>
      <c r="G76" s="16">
        <f t="shared" si="6"/>
        <v>10245.067329000001</v>
      </c>
      <c r="H76" s="70">
        <f t="shared" si="7"/>
        <v>-8.6417439550077746E-2</v>
      </c>
    </row>
    <row r="77" spans="1:8">
      <c r="A77" s="2">
        <v>45051</v>
      </c>
      <c r="B77" s="12">
        <v>10497.892808000001</v>
      </c>
      <c r="C77" s="12">
        <v>11930.441033999999</v>
      </c>
      <c r="D77" s="16">
        <f t="shared" si="4"/>
        <v>22428.333842</v>
      </c>
      <c r="E77">
        <f>IF(D77="","",[1]!i_pq_tradedays($B$3,A78,A77)-1)</f>
        <v>2</v>
      </c>
      <c r="F77" s="23">
        <f t="shared" si="5"/>
        <v>45051</v>
      </c>
      <c r="G77" s="16">
        <f t="shared" si="6"/>
        <v>11214.166921</v>
      </c>
      <c r="H77" s="70">
        <f t="shared" si="7"/>
        <v>1.9255850358573356E-2</v>
      </c>
    </row>
    <row r="78" spans="1:8">
      <c r="A78" s="2">
        <v>45044</v>
      </c>
      <c r="B78" s="12">
        <v>24290.042382</v>
      </c>
      <c r="C78" s="12">
        <v>30721.498229000001</v>
      </c>
      <c r="D78" s="16">
        <f t="shared" si="4"/>
        <v>55011.540611000004</v>
      </c>
      <c r="E78">
        <f>IF(D78="","",[1]!i_pq_tradedays($B$3,A79,A78)-1)</f>
        <v>5</v>
      </c>
      <c r="F78" s="23">
        <f t="shared" si="5"/>
        <v>45044</v>
      </c>
      <c r="G78" s="16">
        <f t="shared" si="6"/>
        <v>11002.3081222</v>
      </c>
      <c r="H78" s="70">
        <f t="shared" si="7"/>
        <v>-2.1144220738625985E-2</v>
      </c>
    </row>
    <row r="79" spans="1:8">
      <c r="A79" s="2">
        <v>45037</v>
      </c>
      <c r="B79" s="12">
        <v>25047.648528999998</v>
      </c>
      <c r="C79" s="12">
        <v>31152.193957</v>
      </c>
      <c r="D79" s="16">
        <f t="shared" si="4"/>
        <v>56199.842485999994</v>
      </c>
      <c r="E79">
        <f>IF(D79="","",[1]!i_pq_tradedays($B$3,A80,A79)-1)</f>
        <v>5</v>
      </c>
      <c r="F79" s="23">
        <f t="shared" si="5"/>
        <v>45037</v>
      </c>
      <c r="G79" s="16">
        <f t="shared" si="6"/>
        <v>11239.9684972</v>
      </c>
      <c r="H79" s="70">
        <f t="shared" si="7"/>
        <v>-1.2784335661052526E-2</v>
      </c>
    </row>
    <row r="80" spans="1:8">
      <c r="A80" s="2">
        <v>45030</v>
      </c>
      <c r="B80" s="12">
        <v>24213.297057</v>
      </c>
      <c r="C80" s="12">
        <v>32714.327287</v>
      </c>
      <c r="D80" s="16">
        <f t="shared" si="4"/>
        <v>56927.624343999996</v>
      </c>
      <c r="E80">
        <f>IF(D80="","",[1]!i_pq_tradedays($B$3,A81,A80)-1)</f>
        <v>5</v>
      </c>
      <c r="F80" s="23">
        <f t="shared" si="5"/>
        <v>45030</v>
      </c>
      <c r="G80" s="16">
        <f t="shared" si="6"/>
        <v>11385.524868799999</v>
      </c>
      <c r="H80" s="70">
        <f t="shared" si="7"/>
        <v>-5.6089504950765146E-2</v>
      </c>
    </row>
    <row r="81" spans="1:8">
      <c r="A81" s="2">
        <v>45023</v>
      </c>
      <c r="B81" s="12">
        <v>20120.745955999999</v>
      </c>
      <c r="C81" s="12">
        <v>28127.578131999999</v>
      </c>
      <c r="D81" s="16">
        <f t="shared" si="4"/>
        <v>48248.324087999994</v>
      </c>
      <c r="E81">
        <f>IF(D81="","",[1]!i_pq_tradedays($B$3,A82,A81)-1)</f>
        <v>4</v>
      </c>
      <c r="F81" s="23">
        <f t="shared" si="5"/>
        <v>45023</v>
      </c>
      <c r="G81" s="16">
        <f t="shared" si="6"/>
        <v>12062.081021999998</v>
      </c>
      <c r="H81" s="70">
        <f t="shared" si="7"/>
        <v>0.20063378738146787</v>
      </c>
    </row>
    <row r="82" spans="1:8">
      <c r="A82" s="2">
        <v>45016</v>
      </c>
      <c r="B82" s="12">
        <v>20543.350463999999</v>
      </c>
      <c r="C82" s="12">
        <v>29688.790046999999</v>
      </c>
      <c r="D82" s="16">
        <f t="shared" si="4"/>
        <v>50232.140510999998</v>
      </c>
      <c r="E82">
        <f>IF(D82="","",[1]!i_pq_tradedays($B$3,A83,A82)-1)</f>
        <v>5</v>
      </c>
      <c r="F82" s="23">
        <f t="shared" si="5"/>
        <v>45016</v>
      </c>
      <c r="G82" s="16">
        <f t="shared" si="6"/>
        <v>10046.4281022</v>
      </c>
      <c r="H82" s="70">
        <f t="shared" si="7"/>
        <v>3.8751827261906957E-3</v>
      </c>
    </row>
    <row r="83" spans="1:8">
      <c r="A83" s="2">
        <v>45009</v>
      </c>
      <c r="B83" s="12">
        <v>21081.749336000001</v>
      </c>
      <c r="C83" s="12">
        <v>28956.483877999999</v>
      </c>
      <c r="D83" s="16">
        <f t="shared" si="4"/>
        <v>50038.233214</v>
      </c>
      <c r="E83">
        <f>IF(D83="","",[1]!i_pq_tradedays($B$3,A84,A83)-1)</f>
        <v>5</v>
      </c>
      <c r="F83" s="23">
        <f t="shared" si="5"/>
        <v>45009</v>
      </c>
      <c r="G83" s="16">
        <f t="shared" si="6"/>
        <v>10007.6466428</v>
      </c>
      <c r="H83" s="70">
        <f t="shared" si="7"/>
        <v>0.13508867335914099</v>
      </c>
    </row>
    <row r="84" spans="1:8">
      <c r="A84" s="2">
        <v>45002</v>
      </c>
      <c r="B84" s="12">
        <v>19725.601331000002</v>
      </c>
      <c r="C84" s="12">
        <v>24357.503706</v>
      </c>
      <c r="D84" s="16">
        <f t="shared" si="4"/>
        <v>44083.105037000001</v>
      </c>
      <c r="E84">
        <f>IF(D84="","",[1]!i_pq_tradedays($B$3,A85,A84)-1)</f>
        <v>5</v>
      </c>
      <c r="F84" s="23">
        <f t="shared" si="5"/>
        <v>45002</v>
      </c>
      <c r="G84" s="16">
        <f t="shared" si="6"/>
        <v>8816.621007400001</v>
      </c>
      <c r="H84" s="70">
        <f t="shared" si="7"/>
        <v>5.7592229674543027E-2</v>
      </c>
    </row>
    <row r="85" spans="1:8">
      <c r="A85" s="2">
        <v>44995</v>
      </c>
      <c r="B85" s="12">
        <v>18455.444050999999</v>
      </c>
      <c r="C85" s="12">
        <v>23227.071951000002</v>
      </c>
      <c r="D85" s="16">
        <f t="shared" si="4"/>
        <v>41682.516002000004</v>
      </c>
      <c r="E85">
        <f>IF(D85="","",[1]!i_pq_tradedays($B$3,A86,A85)-1)</f>
        <v>5</v>
      </c>
      <c r="F85" s="23">
        <f t="shared" si="5"/>
        <v>44995</v>
      </c>
      <c r="G85" s="16">
        <f t="shared" si="6"/>
        <v>8336.5032004000004</v>
      </c>
      <c r="H85" s="70">
        <f t="shared" si="7"/>
        <v>-1.5130899930241082E-2</v>
      </c>
    </row>
    <row r="86" spans="1:8">
      <c r="A86" s="2">
        <v>44988</v>
      </c>
      <c r="B86" s="12">
        <v>18052.732756000001</v>
      </c>
      <c r="C86" s="12">
        <v>24270.166804</v>
      </c>
      <c r="D86" s="16">
        <f t="shared" si="4"/>
        <v>42322.899560000005</v>
      </c>
      <c r="E86">
        <f>IF(D86="","",[1]!i_pq_tradedays($B$3,A87,A86)-1)</f>
        <v>5</v>
      </c>
      <c r="F86" s="23">
        <f t="shared" si="5"/>
        <v>44988</v>
      </c>
      <c r="G86" s="16">
        <f t="shared" si="6"/>
        <v>8464.5799120000011</v>
      </c>
      <c r="H86" s="70">
        <f t="shared" si="7"/>
        <v>1.0681803626833242E-2</v>
      </c>
    </row>
    <row r="87" spans="1:8">
      <c r="A87" s="2">
        <v>44981</v>
      </c>
      <c r="B87" s="12">
        <v>17512.960889999998</v>
      </c>
      <c r="C87" s="12">
        <v>24362.631812</v>
      </c>
      <c r="D87" s="16">
        <f t="shared" si="4"/>
        <v>41875.592701999994</v>
      </c>
      <c r="E87">
        <f>IF(D87="","",[1]!i_pq_tradedays($B$3,A88,A87)-1)</f>
        <v>5</v>
      </c>
      <c r="F87" s="23">
        <f t="shared" si="5"/>
        <v>44981</v>
      </c>
      <c r="G87" s="16">
        <f t="shared" si="6"/>
        <v>8375.1185403999989</v>
      </c>
      <c r="H87" s="70">
        <f t="shared" si="7"/>
        <v>-0.15189737265326542</v>
      </c>
    </row>
    <row r="88" spans="1:8">
      <c r="A88" s="2">
        <v>44974</v>
      </c>
      <c r="B88" s="12">
        <v>19341.996365999999</v>
      </c>
      <c r="C88" s="12">
        <v>30033.623224999999</v>
      </c>
      <c r="D88" s="16">
        <f t="shared" si="4"/>
        <v>49375.619590999995</v>
      </c>
      <c r="E88">
        <f>IF(D88="","",[1]!i_pq_tradedays($B$3,A89,A88)-1)</f>
        <v>5</v>
      </c>
      <c r="F88" s="23">
        <f t="shared" si="5"/>
        <v>44974</v>
      </c>
      <c r="G88" s="16">
        <f t="shared" si="6"/>
        <v>9875.123918199999</v>
      </c>
      <c r="H88" s="70">
        <f t="shared" si="7"/>
        <v>0.14318436608310692</v>
      </c>
    </row>
    <row r="89" spans="1:8">
      <c r="A89" s="2">
        <v>44967</v>
      </c>
      <c r="B89" s="12">
        <v>16572.283466000001</v>
      </c>
      <c r="C89" s="12">
        <v>26619.017129</v>
      </c>
      <c r="D89" s="16">
        <f t="shared" si="4"/>
        <v>43191.300595000001</v>
      </c>
      <c r="E89">
        <f>IF(D89="","",[1]!i_pq_tradedays($B$3,A90,A89)-1)</f>
        <v>5</v>
      </c>
      <c r="F89" s="23">
        <f t="shared" si="5"/>
        <v>44967</v>
      </c>
      <c r="G89" s="16">
        <f t="shared" si="6"/>
        <v>8638.2601190000005</v>
      </c>
      <c r="H89" s="70">
        <f t="shared" si="7"/>
        <v>-0.11958709477051821</v>
      </c>
    </row>
    <row r="90" spans="1:8">
      <c r="A90" s="2">
        <v>44960</v>
      </c>
      <c r="B90" s="12">
        <v>20491.442778000001</v>
      </c>
      <c r="C90" s="12">
        <v>28566.562095000001</v>
      </c>
      <c r="D90" s="16">
        <f t="shared" si="4"/>
        <v>49058.004872999998</v>
      </c>
      <c r="E90">
        <f>IF(D90="","",[1]!i_pq_tradedays($B$3,A91,A90)-1)</f>
        <v>5</v>
      </c>
      <c r="F90" s="23">
        <f t="shared" si="5"/>
        <v>44960</v>
      </c>
      <c r="G90" s="16">
        <f t="shared" si="6"/>
        <v>9811.6009746</v>
      </c>
      <c r="H90" s="70">
        <f t="shared" si="7"/>
        <v>0.32730648773459237</v>
      </c>
    </row>
    <row r="91" spans="1:8">
      <c r="A91" s="2">
        <v>44946</v>
      </c>
      <c r="B91" s="12">
        <v>16077.433219</v>
      </c>
      <c r="C91" s="12">
        <v>20883.137174</v>
      </c>
      <c r="D91" s="16">
        <f t="shared" si="4"/>
        <v>36960.570393000002</v>
      </c>
      <c r="E91">
        <f>IF(D91="","",[1]!i_pq_tradedays($B$3,A92,A91)-1)</f>
        <v>5</v>
      </c>
      <c r="F91" s="23">
        <f t="shared" si="5"/>
        <v>44946</v>
      </c>
      <c r="G91" s="16">
        <f t="shared" si="6"/>
        <v>7392.1140786000005</v>
      </c>
      <c r="H91" s="70">
        <f t="shared" si="7"/>
        <v>4.3672858058116937E-3</v>
      </c>
    </row>
    <row r="92" spans="1:8">
      <c r="A92" s="2">
        <v>44939</v>
      </c>
      <c r="B92" s="12">
        <v>15257.347049</v>
      </c>
      <c r="C92" s="12">
        <v>21542.507860000002</v>
      </c>
      <c r="D92" s="16">
        <f t="shared" si="4"/>
        <v>36799.854909000001</v>
      </c>
      <c r="E92">
        <f>IF(D92="","",[1]!i_pq_tradedays($B$3,A93,A92)-1)</f>
        <v>5</v>
      </c>
      <c r="F92" s="23">
        <f t="shared" si="5"/>
        <v>44939</v>
      </c>
      <c r="G92" s="16">
        <f t="shared" si="6"/>
        <v>7359.9709818000001</v>
      </c>
      <c r="H92" s="70">
        <f t="shared" si="7"/>
        <v>-9.5107697153631099E-2</v>
      </c>
    </row>
    <row r="93" spans="1:8">
      <c r="A93" s="2">
        <v>44932</v>
      </c>
      <c r="B93" s="12">
        <v>13219.591458000001</v>
      </c>
      <c r="C93" s="12">
        <v>19314.538664</v>
      </c>
      <c r="D93" s="16">
        <f t="shared" si="4"/>
        <v>32534.130122000002</v>
      </c>
      <c r="E93">
        <f>IF(D93="","",[1]!i_pq_tradedays($B$3,A94,A93)-1)</f>
        <v>4</v>
      </c>
      <c r="F93" s="23">
        <f t="shared" si="5"/>
        <v>44932</v>
      </c>
      <c r="G93" s="16">
        <f t="shared" si="6"/>
        <v>8133.5325305000006</v>
      </c>
      <c r="H93" s="70">
        <f t="shared" si="7"/>
        <v>0.28593774441405229</v>
      </c>
    </row>
    <row r="94" spans="1:8">
      <c r="A94" s="2">
        <v>44925</v>
      </c>
      <c r="B94" s="12">
        <v>12881.985085</v>
      </c>
      <c r="C94" s="12">
        <v>18742.922752999999</v>
      </c>
      <c r="D94" s="16">
        <f t="shared" si="4"/>
        <v>31624.907837999999</v>
      </c>
      <c r="E94">
        <f>IF(D94="","",[1]!i_pq_tradedays($B$3,A95,A94)-1)</f>
        <v>5</v>
      </c>
      <c r="F94" s="23">
        <f t="shared" si="5"/>
        <v>44925</v>
      </c>
      <c r="G94" s="16">
        <f t="shared" si="6"/>
        <v>6324.9815675999998</v>
      </c>
      <c r="H94" s="70">
        <f t="shared" si="7"/>
        <v>-1.6092126422280972E-2</v>
      </c>
    </row>
    <row r="95" spans="1:8">
      <c r="A95" s="2">
        <v>44918</v>
      </c>
      <c r="B95" s="12">
        <v>12961.542111000001</v>
      </c>
      <c r="C95" s="12">
        <v>19180.601159999998</v>
      </c>
      <c r="D95" s="16">
        <f t="shared" si="4"/>
        <v>32142.143271000001</v>
      </c>
      <c r="E95">
        <f>IF(D95="","",[1]!i_pq_tradedays($B$3,A96,A95)-1)</f>
        <v>5</v>
      </c>
      <c r="F95" s="23">
        <f t="shared" si="5"/>
        <v>44918</v>
      </c>
      <c r="G95" s="16">
        <f t="shared" si="6"/>
        <v>6428.4286542</v>
      </c>
      <c r="H95" s="70">
        <f t="shared" si="7"/>
        <v>-0.20924961218762084</v>
      </c>
    </row>
    <row r="96" spans="1:8">
      <c r="A96" s="2">
        <v>44911</v>
      </c>
      <c r="B96" s="12">
        <v>16748.427863000001</v>
      </c>
      <c r="C96" s="12">
        <v>23899.219948999998</v>
      </c>
      <c r="D96" s="16">
        <f t="shared" si="4"/>
        <v>40647.647811999996</v>
      </c>
      <c r="E96">
        <f>IF(D96="","",[1]!i_pq_tradedays($B$3,A97,A96)-1)</f>
        <v>5</v>
      </c>
      <c r="F96" s="23">
        <f t="shared" si="5"/>
        <v>44911</v>
      </c>
      <c r="G96" s="16">
        <f t="shared" si="6"/>
        <v>8129.5295623999991</v>
      </c>
      <c r="H96" s="70">
        <f t="shared" si="7"/>
        <v>-0.16722002617063092</v>
      </c>
    </row>
    <row r="97" spans="1:8">
      <c r="A97" s="2">
        <v>44904</v>
      </c>
      <c r="B97" s="12">
        <v>21292.842954</v>
      </c>
      <c r="C97" s="12">
        <v>27516.74552</v>
      </c>
      <c r="D97" s="16">
        <f t="shared" si="4"/>
        <v>48809.588474000004</v>
      </c>
      <c r="E97">
        <f>IF(D97="","",[1]!i_pq_tradedays($B$3,A98,A97)-1)</f>
        <v>5</v>
      </c>
      <c r="F97" s="23">
        <f t="shared" si="5"/>
        <v>44904</v>
      </c>
      <c r="G97" s="16">
        <f t="shared" si="6"/>
        <v>9761.9176948000004</v>
      </c>
      <c r="H97" s="70">
        <f t="shared" si="7"/>
        <v>6.546879823487628E-2</v>
      </c>
    </row>
    <row r="98" spans="1:8">
      <c r="A98" s="2">
        <v>44897</v>
      </c>
      <c r="B98" s="12">
        <v>20106.600021999999</v>
      </c>
      <c r="C98" s="12">
        <v>25703.834365999999</v>
      </c>
      <c r="D98" s="16">
        <f t="shared" si="4"/>
        <v>45810.434387999994</v>
      </c>
      <c r="E98">
        <f>IF(D98="","",[1]!i_pq_tradedays($B$3,A99,A98)-1)</f>
        <v>5</v>
      </c>
      <c r="F98" s="23">
        <f t="shared" si="5"/>
        <v>44897</v>
      </c>
      <c r="G98" s="16">
        <f t="shared" si="6"/>
        <v>9162.0868775999988</v>
      </c>
      <c r="H98" s="70">
        <f t="shared" si="7"/>
        <v>0.13047179167874834</v>
      </c>
    </row>
    <row r="99" spans="1:8">
      <c r="A99" s="2">
        <v>44890</v>
      </c>
      <c r="B99" s="12">
        <v>17091.856861</v>
      </c>
      <c r="C99" s="12">
        <v>23431.431490999999</v>
      </c>
      <c r="D99" s="16">
        <f t="shared" si="4"/>
        <v>40523.288352000003</v>
      </c>
      <c r="E99">
        <f>IF(D99="","",[1]!i_pq_tradedays($B$3,A100,A99)-1)</f>
        <v>5</v>
      </c>
      <c r="F99" s="23">
        <f t="shared" si="5"/>
        <v>44890</v>
      </c>
      <c r="G99" s="16">
        <f t="shared" si="6"/>
        <v>8104.6576704000008</v>
      </c>
      <c r="H99" s="70">
        <f t="shared" si="7"/>
        <v>-0.18307447040684743</v>
      </c>
    </row>
    <row r="100" spans="1:8">
      <c r="A100" s="2">
        <v>44883</v>
      </c>
      <c r="B100" s="12">
        <v>20551.071402000001</v>
      </c>
      <c r="C100" s="12">
        <v>29053.558254</v>
      </c>
      <c r="D100" s="16">
        <f t="shared" si="4"/>
        <v>49604.629656000005</v>
      </c>
      <c r="E100">
        <f>IF(D100="","",[1]!i_pq_tradedays($B$3,A101,A100)-1)</f>
        <v>5</v>
      </c>
      <c r="F100" s="23">
        <f t="shared" si="5"/>
        <v>44883</v>
      </c>
      <c r="G100" s="16">
        <f t="shared" si="6"/>
        <v>9920.9259312000013</v>
      </c>
      <c r="H100" s="70">
        <f t="shared" si="7"/>
        <v>5.8445750175985856E-2</v>
      </c>
    </row>
    <row r="101" spans="1:8">
      <c r="A101" s="2">
        <v>44876</v>
      </c>
      <c r="B101" s="12">
        <v>19199.674842</v>
      </c>
      <c r="C101" s="12">
        <v>27665.863281000002</v>
      </c>
      <c r="D101" s="16">
        <f t="shared" si="4"/>
        <v>46865.538123000006</v>
      </c>
      <c r="E101">
        <f>IF(D101="","",[1]!i_pq_tradedays($B$3,A102,A101)-1)</f>
        <v>5</v>
      </c>
      <c r="F101" s="23">
        <f t="shared" si="5"/>
        <v>44876</v>
      </c>
      <c r="G101" s="16">
        <f t="shared" si="6"/>
        <v>9373.1076246000011</v>
      </c>
      <c r="H101" s="70">
        <f t="shared" si="7"/>
        <v>-3.964390227977721E-2</v>
      </c>
    </row>
    <row r="102" spans="1:8">
      <c r="A102" s="2">
        <v>44869</v>
      </c>
      <c r="B102" s="12">
        <v>21146.749645</v>
      </c>
      <c r="C102" s="12">
        <v>27653.417537000001</v>
      </c>
      <c r="D102" s="16">
        <f t="shared" si="4"/>
        <v>48800.167182000005</v>
      </c>
      <c r="E102">
        <f>IF(D102="","",[1]!i_pq_tradedays($B$3,A103,A102)-1)</f>
        <v>5</v>
      </c>
      <c r="F102" s="23">
        <f t="shared" si="5"/>
        <v>44869</v>
      </c>
      <c r="G102" s="16">
        <f t="shared" si="6"/>
        <v>9760.0334364000009</v>
      </c>
      <c r="H102" s="70">
        <f t="shared" si="7"/>
        <v>0.10115607332796595</v>
      </c>
    </row>
    <row r="103" spans="1:8">
      <c r="A103" s="2">
        <v>44862</v>
      </c>
      <c r="B103" s="12">
        <v>18716.822308999999</v>
      </c>
      <c r="C103" s="12">
        <v>25600.389723</v>
      </c>
      <c r="D103" s="16">
        <f t="shared" si="4"/>
        <v>44317.212031999996</v>
      </c>
      <c r="E103">
        <f>IF(D103="","",[1]!i_pq_tradedays($B$3,A104,A103)-1)</f>
        <v>5</v>
      </c>
      <c r="F103" s="23">
        <f t="shared" si="5"/>
        <v>44862</v>
      </c>
      <c r="G103" s="16">
        <f t="shared" si="6"/>
        <v>8863.4424063999995</v>
      </c>
      <c r="H103" s="70">
        <f t="shared" si="7"/>
        <v>0.14572589156063098</v>
      </c>
    </row>
    <row r="104" spans="1:8">
      <c r="A104" s="2">
        <v>44855</v>
      </c>
      <c r="B104" s="12">
        <v>16435.280473999999</v>
      </c>
      <c r="C104" s="12">
        <v>22245.186083000001</v>
      </c>
      <c r="D104" s="16">
        <f t="shared" si="4"/>
        <v>38680.466557</v>
      </c>
      <c r="E104">
        <f>IF(D104="","",[1]!i_pq_tradedays($B$3,A105,A104)-1)</f>
        <v>5</v>
      </c>
      <c r="F104" s="23">
        <f t="shared" si="5"/>
        <v>44855</v>
      </c>
      <c r="G104" s="16">
        <f t="shared" si="6"/>
        <v>7736.0933113999999</v>
      </c>
      <c r="H104" s="70">
        <f t="shared" si="7"/>
        <v>-1.2215902385098651</v>
      </c>
    </row>
    <row r="105" spans="1:8">
      <c r="A105" s="2">
        <v>44848</v>
      </c>
      <c r="B105" s="12">
        <v>15335.224713</v>
      </c>
      <c r="C105" s="12">
        <v>19576.481521999998</v>
      </c>
      <c r="D105" s="16">
        <f t="shared" si="4"/>
        <v>34911.706234999998</v>
      </c>
      <c r="E105">
        <f>IF(D105="","",[1]!i_pq_tradedays($B$3,A106,A105)-1)</f>
        <v>-1</v>
      </c>
      <c r="F105" s="23">
        <f t="shared" si="5"/>
        <v>44848</v>
      </c>
      <c r="G105" s="16">
        <f t="shared" si="6"/>
        <v>-34911.706234999998</v>
      </c>
      <c r="H105" s="70" t="e">
        <f t="shared" si="7"/>
        <v>#VALUE!</v>
      </c>
    </row>
    <row r="106" spans="1:8">
      <c r="A106" s="2"/>
      <c r="B106" s="12"/>
      <c r="C106" s="12"/>
      <c r="D106" s="16" t="str">
        <f t="shared" si="4"/>
        <v/>
      </c>
      <c r="E106" t="str">
        <f>IF(D106="","",[1]!i_pq_tradedays($B$3,A107,A106)-1)</f>
        <v/>
      </c>
      <c r="F106" s="23" t="str">
        <f t="shared" si="5"/>
        <v/>
      </c>
      <c r="G106" s="16" t="str">
        <f t="shared" si="6"/>
        <v/>
      </c>
      <c r="H106" s="70" t="str">
        <f t="shared" si="7"/>
        <v/>
      </c>
    </row>
    <row r="107" spans="1:8">
      <c r="A107" s="2"/>
      <c r="B107" s="12"/>
      <c r="C107" s="12"/>
      <c r="D107" s="16" t="str">
        <f t="shared" si="4"/>
        <v/>
      </c>
      <c r="E107" t="str">
        <f>IF(D107="","",[1]!i_pq_tradedays($B$3,A108,A107)-1)</f>
        <v/>
      </c>
      <c r="F107" s="23" t="str">
        <f t="shared" si="5"/>
        <v/>
      </c>
      <c r="G107" s="16" t="str">
        <f t="shared" si="6"/>
        <v/>
      </c>
      <c r="H107" s="70" t="str">
        <f t="shared" si="7"/>
        <v/>
      </c>
    </row>
    <row r="108" spans="1:8">
      <c r="A108" s="2"/>
      <c r="B108" s="12"/>
      <c r="C108" s="12"/>
      <c r="D108" s="16" t="str">
        <f t="shared" si="4"/>
        <v/>
      </c>
      <c r="E108" t="str">
        <f>IF(D108="","",[1]!i_pq_tradedays($B$3,A109,A108)-1)</f>
        <v/>
      </c>
      <c r="F108" s="23" t="str">
        <f t="shared" si="5"/>
        <v/>
      </c>
      <c r="G108" s="16" t="str">
        <f t="shared" si="6"/>
        <v/>
      </c>
      <c r="H108" s="70" t="str">
        <f t="shared" si="7"/>
        <v/>
      </c>
    </row>
    <row r="109" spans="1:8">
      <c r="A109" s="2"/>
      <c r="B109" s="12"/>
      <c r="C109" s="12"/>
      <c r="D109" s="16" t="str">
        <f t="shared" si="4"/>
        <v/>
      </c>
      <c r="E109" t="str">
        <f>IF(D109="","",[1]!i_pq_tradedays($B$3,A110,A109)-1)</f>
        <v/>
      </c>
      <c r="F109" s="23" t="str">
        <f t="shared" si="5"/>
        <v/>
      </c>
      <c r="G109" s="16" t="str">
        <f t="shared" si="6"/>
        <v/>
      </c>
      <c r="H109" s="70" t="str">
        <f t="shared" si="7"/>
        <v/>
      </c>
    </row>
    <row r="110" spans="1:8">
      <c r="A110" s="2"/>
      <c r="B110" s="12"/>
      <c r="C110" s="12"/>
      <c r="D110" s="16" t="str">
        <f t="shared" si="4"/>
        <v/>
      </c>
      <c r="E110" t="str">
        <f>IF(D110="","",[1]!i_pq_tradedays($B$3,A111,A110)-1)</f>
        <v/>
      </c>
      <c r="F110" s="23" t="str">
        <f t="shared" si="5"/>
        <v/>
      </c>
      <c r="G110" s="16" t="str">
        <f t="shared" si="6"/>
        <v/>
      </c>
      <c r="H110" s="70" t="str">
        <f t="shared" si="7"/>
        <v/>
      </c>
    </row>
    <row r="111" spans="1:8">
      <c r="A111" s="2"/>
      <c r="B111" s="12"/>
      <c r="C111" s="12"/>
      <c r="D111" s="16" t="str">
        <f t="shared" si="4"/>
        <v/>
      </c>
      <c r="E111" t="str">
        <f>IF(D111="","",[1]!i_pq_tradedays($B$3,A112,A111)-1)</f>
        <v/>
      </c>
      <c r="F111" s="23" t="str">
        <f t="shared" si="5"/>
        <v/>
      </c>
      <c r="G111" s="16" t="str">
        <f t="shared" si="6"/>
        <v/>
      </c>
      <c r="H111" s="70" t="str">
        <f t="shared" si="7"/>
        <v/>
      </c>
    </row>
    <row r="112" spans="1:8">
      <c r="A112" s="2"/>
      <c r="B112" s="12"/>
      <c r="C112" s="12"/>
      <c r="D112" s="16" t="str">
        <f t="shared" si="4"/>
        <v/>
      </c>
      <c r="E112" t="str">
        <f>IF(D112="","",[1]!i_pq_tradedays($B$3,A113,A112)-1)</f>
        <v/>
      </c>
      <c r="F112" s="23" t="str">
        <f t="shared" si="5"/>
        <v/>
      </c>
      <c r="G112" s="16" t="str">
        <f t="shared" si="6"/>
        <v/>
      </c>
      <c r="H112" s="70" t="str">
        <f t="shared" si="7"/>
        <v/>
      </c>
    </row>
    <row r="113" spans="1:8">
      <c r="A113" s="2"/>
      <c r="B113" s="12"/>
      <c r="C113" s="12"/>
      <c r="D113" s="16" t="str">
        <f t="shared" si="4"/>
        <v/>
      </c>
      <c r="E113" t="str">
        <f>IF(D113="","",[1]!i_pq_tradedays($B$3,A114,A113)-1)</f>
        <v/>
      </c>
      <c r="F113" s="23" t="str">
        <f t="shared" si="5"/>
        <v/>
      </c>
      <c r="G113" s="16" t="str">
        <f t="shared" si="6"/>
        <v/>
      </c>
      <c r="H113" s="70" t="str">
        <f t="shared" si="7"/>
        <v/>
      </c>
    </row>
    <row r="114" spans="1:8">
      <c r="A114" s="2"/>
      <c r="B114" s="12"/>
      <c r="C114" s="12"/>
      <c r="D114" s="16" t="str">
        <f t="shared" si="4"/>
        <v/>
      </c>
      <c r="E114" t="str">
        <f>IF(D114="","",[1]!i_pq_tradedays($B$3,A115,A114)-1)</f>
        <v/>
      </c>
      <c r="F114" s="23" t="str">
        <f t="shared" si="5"/>
        <v/>
      </c>
      <c r="G114" s="16" t="str">
        <f t="shared" si="6"/>
        <v/>
      </c>
      <c r="H114" s="70" t="str">
        <f t="shared" si="7"/>
        <v/>
      </c>
    </row>
    <row r="115" spans="1:8">
      <c r="A115" s="2"/>
      <c r="B115" s="12"/>
      <c r="C115" s="12"/>
      <c r="D115" s="16" t="str">
        <f t="shared" si="4"/>
        <v/>
      </c>
      <c r="E115" t="str">
        <f>IF(D115="","",[1]!i_pq_tradedays($B$3,A116,A115)-1)</f>
        <v/>
      </c>
      <c r="F115" s="23" t="str">
        <f t="shared" si="5"/>
        <v/>
      </c>
      <c r="G115" s="16" t="str">
        <f t="shared" si="6"/>
        <v/>
      </c>
      <c r="H115" s="70" t="str">
        <f t="shared" si="7"/>
        <v/>
      </c>
    </row>
    <row r="116" spans="1:8">
      <c r="A116" s="2"/>
      <c r="B116" s="12"/>
      <c r="C116" s="12"/>
      <c r="D116" s="16" t="str">
        <f t="shared" si="4"/>
        <v/>
      </c>
      <c r="E116" t="str">
        <f>IF(D116="","",[1]!i_pq_tradedays($B$3,A117,A116)-1)</f>
        <v/>
      </c>
      <c r="F116" s="23" t="str">
        <f t="shared" si="5"/>
        <v/>
      </c>
      <c r="G116" s="16" t="str">
        <f t="shared" si="6"/>
        <v/>
      </c>
      <c r="H116" s="70" t="str">
        <f t="shared" si="7"/>
        <v/>
      </c>
    </row>
    <row r="117" spans="1:8">
      <c r="A117" s="2"/>
      <c r="B117" s="12"/>
      <c r="C117" s="12"/>
      <c r="D117" s="16" t="str">
        <f t="shared" si="4"/>
        <v/>
      </c>
      <c r="E117" t="str">
        <f>IF(D117="","",[1]!i_pq_tradedays($B$3,A118,A117)-1)</f>
        <v/>
      </c>
      <c r="F117" s="23" t="str">
        <f t="shared" si="5"/>
        <v/>
      </c>
      <c r="G117" s="16" t="str">
        <f t="shared" si="6"/>
        <v/>
      </c>
      <c r="H117" s="70" t="str">
        <f t="shared" si="7"/>
        <v/>
      </c>
    </row>
    <row r="118" spans="1:8">
      <c r="A118" s="2"/>
      <c r="B118" s="12"/>
      <c r="C118" s="12"/>
      <c r="D118" s="16" t="str">
        <f t="shared" si="4"/>
        <v/>
      </c>
      <c r="E118" t="str">
        <f>IF(D118="","",[1]!i_pq_tradedays($B$3,A119,A118)-1)</f>
        <v/>
      </c>
      <c r="F118" s="23" t="str">
        <f t="shared" si="5"/>
        <v/>
      </c>
      <c r="G118" s="16" t="str">
        <f t="shared" si="6"/>
        <v/>
      </c>
      <c r="H118" s="70" t="str">
        <f t="shared" si="7"/>
        <v/>
      </c>
    </row>
    <row r="119" spans="1:8">
      <c r="A119" s="2"/>
      <c r="B119" s="12"/>
      <c r="C119" s="12"/>
      <c r="D119" s="16" t="str">
        <f t="shared" si="4"/>
        <v/>
      </c>
      <c r="E119" t="str">
        <f>IF(D119="","",[1]!i_pq_tradedays($B$3,A120,A119)-1)</f>
        <v/>
      </c>
      <c r="F119" s="23" t="str">
        <f t="shared" si="5"/>
        <v/>
      </c>
      <c r="G119" s="16" t="str">
        <f t="shared" si="6"/>
        <v/>
      </c>
      <c r="H119" s="70" t="str">
        <f t="shared" si="7"/>
        <v/>
      </c>
    </row>
    <row r="120" spans="1:8">
      <c r="A120" s="2"/>
      <c r="B120" s="12"/>
      <c r="C120" s="12"/>
      <c r="D120" s="16" t="str">
        <f t="shared" si="4"/>
        <v/>
      </c>
      <c r="E120" t="str">
        <f>IF(D120="","",[1]!i_pq_tradedays($B$3,A121,A120)-1)</f>
        <v/>
      </c>
      <c r="F120" s="23" t="str">
        <f t="shared" si="5"/>
        <v/>
      </c>
      <c r="G120" s="16" t="str">
        <f t="shared" si="6"/>
        <v/>
      </c>
      <c r="H120" s="70" t="str">
        <f t="shared" si="7"/>
        <v/>
      </c>
    </row>
    <row r="121" spans="1:8">
      <c r="A121" s="2"/>
      <c r="B121" s="12"/>
      <c r="C121" s="12"/>
      <c r="D121" s="16" t="str">
        <f t="shared" si="4"/>
        <v/>
      </c>
      <c r="E121" t="str">
        <f>IF(D121="","",[1]!i_pq_tradedays($B$3,A122,A121)-1)</f>
        <v/>
      </c>
      <c r="F121" s="23" t="str">
        <f t="shared" si="5"/>
        <v/>
      </c>
      <c r="G121" s="16" t="str">
        <f t="shared" si="6"/>
        <v/>
      </c>
      <c r="H121" s="70" t="str">
        <f t="shared" si="7"/>
        <v/>
      </c>
    </row>
    <row r="122" spans="1:8">
      <c r="A122" s="2"/>
      <c r="B122" s="12"/>
      <c r="C122" s="12"/>
      <c r="D122" s="16" t="str">
        <f t="shared" si="4"/>
        <v/>
      </c>
      <c r="E122" t="str">
        <f>IF(D122="","",[1]!i_pq_tradedays($B$3,A123,A122)-1)</f>
        <v/>
      </c>
      <c r="F122" s="23" t="str">
        <f t="shared" si="5"/>
        <v/>
      </c>
      <c r="G122" s="16" t="str">
        <f t="shared" si="6"/>
        <v/>
      </c>
      <c r="H122" s="70" t="str">
        <f t="shared" si="7"/>
        <v/>
      </c>
    </row>
    <row r="123" spans="1:8">
      <c r="A123" s="2"/>
      <c r="B123" s="12"/>
      <c r="C123" s="12"/>
      <c r="D123" s="16" t="str">
        <f t="shared" si="4"/>
        <v/>
      </c>
      <c r="E123" t="str">
        <f>IF(D123="","",[1]!i_pq_tradedays($B$3,A124,A123)-1)</f>
        <v/>
      </c>
      <c r="F123" s="23" t="str">
        <f t="shared" si="5"/>
        <v/>
      </c>
      <c r="G123" s="16" t="str">
        <f t="shared" si="6"/>
        <v/>
      </c>
      <c r="H123" s="70" t="str">
        <f t="shared" si="7"/>
        <v/>
      </c>
    </row>
    <row r="124" spans="1:8">
      <c r="A124" s="2"/>
      <c r="B124" s="12"/>
      <c r="C124" s="12"/>
      <c r="D124" s="16" t="str">
        <f t="shared" si="4"/>
        <v/>
      </c>
      <c r="E124" t="str">
        <f>IF(D124="","",[1]!i_pq_tradedays($B$3,A125,A124)-1)</f>
        <v/>
      </c>
      <c r="F124" s="23" t="str">
        <f t="shared" si="5"/>
        <v/>
      </c>
      <c r="G124" s="16" t="str">
        <f t="shared" si="6"/>
        <v/>
      </c>
      <c r="H124" s="70" t="str">
        <f t="shared" si="7"/>
        <v/>
      </c>
    </row>
    <row r="125" spans="1:8">
      <c r="A125" s="2"/>
      <c r="B125" s="12"/>
      <c r="C125" s="12"/>
      <c r="D125" s="16" t="str">
        <f t="shared" si="4"/>
        <v/>
      </c>
      <c r="E125" t="str">
        <f>IF(D125="","",[1]!i_pq_tradedays($B$3,A126,A125)-1)</f>
        <v/>
      </c>
      <c r="F125" s="23" t="str">
        <f t="shared" si="5"/>
        <v/>
      </c>
      <c r="G125" s="16" t="str">
        <f t="shared" si="6"/>
        <v/>
      </c>
      <c r="H125" s="70" t="str">
        <f t="shared" si="7"/>
        <v/>
      </c>
    </row>
    <row r="126" spans="1:8">
      <c r="A126" s="2"/>
      <c r="B126" s="12"/>
      <c r="C126" s="12"/>
      <c r="D126" s="16" t="str">
        <f t="shared" si="4"/>
        <v/>
      </c>
      <c r="E126" t="str">
        <f>IF(D126="","",[1]!i_pq_tradedays($B$3,A127,A126)-1)</f>
        <v/>
      </c>
      <c r="F126" s="23" t="str">
        <f t="shared" si="5"/>
        <v/>
      </c>
      <c r="G126" s="16" t="str">
        <f t="shared" si="6"/>
        <v/>
      </c>
      <c r="H126" s="70" t="str">
        <f t="shared" si="7"/>
        <v/>
      </c>
    </row>
    <row r="127" spans="1:8">
      <c r="A127" s="2"/>
      <c r="B127" s="12"/>
      <c r="C127" s="12"/>
      <c r="D127" s="16" t="str">
        <f t="shared" si="4"/>
        <v/>
      </c>
      <c r="E127" t="str">
        <f>IF(D127="","",[1]!i_pq_tradedays($B$3,A128,A127)-1)</f>
        <v/>
      </c>
      <c r="F127" s="23" t="str">
        <f t="shared" si="5"/>
        <v/>
      </c>
      <c r="G127" s="16" t="str">
        <f t="shared" si="6"/>
        <v/>
      </c>
      <c r="H127" s="70" t="str">
        <f t="shared" si="7"/>
        <v/>
      </c>
    </row>
    <row r="128" spans="1:8">
      <c r="A128" s="2"/>
      <c r="B128" s="12"/>
      <c r="C128" s="12"/>
      <c r="D128" s="16" t="str">
        <f t="shared" si="4"/>
        <v/>
      </c>
      <c r="E128" t="str">
        <f>IF(D128="","",[1]!i_pq_tradedays($B$3,A129,A128)-1)</f>
        <v/>
      </c>
      <c r="F128" s="23" t="str">
        <f t="shared" si="5"/>
        <v/>
      </c>
      <c r="G128" s="16" t="str">
        <f t="shared" si="6"/>
        <v/>
      </c>
      <c r="H128" s="70" t="str">
        <f t="shared" si="7"/>
        <v/>
      </c>
    </row>
    <row r="129" spans="1:8">
      <c r="A129" s="2"/>
      <c r="B129" s="12"/>
      <c r="C129" s="12"/>
      <c r="D129" s="16" t="str">
        <f t="shared" si="4"/>
        <v/>
      </c>
      <c r="E129" t="str">
        <f>IF(D129="","",[1]!i_pq_tradedays($B$3,A130,A129)-1)</f>
        <v/>
      </c>
      <c r="F129" s="23" t="str">
        <f t="shared" si="5"/>
        <v/>
      </c>
      <c r="G129" s="16" t="str">
        <f t="shared" si="6"/>
        <v/>
      </c>
      <c r="H129" s="70" t="str">
        <f t="shared" si="7"/>
        <v/>
      </c>
    </row>
    <row r="130" spans="1:8">
      <c r="A130" s="2"/>
      <c r="B130" s="12"/>
      <c r="C130" s="12"/>
      <c r="D130" s="16" t="str">
        <f t="shared" si="4"/>
        <v/>
      </c>
      <c r="E130" t="str">
        <f>IF(D130="","",[1]!i_pq_tradedays($B$3,A131,A130)-1)</f>
        <v/>
      </c>
      <c r="F130" s="23" t="str">
        <f t="shared" si="5"/>
        <v/>
      </c>
      <c r="G130" s="16" t="str">
        <f t="shared" si="6"/>
        <v/>
      </c>
      <c r="H130" s="70" t="str">
        <f t="shared" si="7"/>
        <v/>
      </c>
    </row>
    <row r="131" spans="1:8">
      <c r="A131" s="2"/>
      <c r="B131" s="12"/>
      <c r="C131" s="12"/>
      <c r="D131" s="16" t="str">
        <f t="shared" si="4"/>
        <v/>
      </c>
      <c r="E131" t="str">
        <f>IF(D131="","",[1]!i_pq_tradedays($B$3,A132,A131)-1)</f>
        <v/>
      </c>
      <c r="F131" s="23" t="str">
        <f t="shared" si="5"/>
        <v/>
      </c>
      <c r="G131" s="16" t="str">
        <f t="shared" si="6"/>
        <v/>
      </c>
      <c r="H131" s="70" t="str">
        <f t="shared" si="7"/>
        <v/>
      </c>
    </row>
    <row r="132" spans="1:8">
      <c r="A132" s="2"/>
      <c r="B132" s="12"/>
      <c r="C132" s="12"/>
      <c r="D132" s="16" t="str">
        <f t="shared" si="4"/>
        <v/>
      </c>
      <c r="E132" t="str">
        <f>IF(D132="","",[1]!i_pq_tradedays($B$3,A133,A132)-1)</f>
        <v/>
      </c>
      <c r="F132" s="23" t="str">
        <f t="shared" si="5"/>
        <v/>
      </c>
      <c r="G132" s="16" t="str">
        <f t="shared" si="6"/>
        <v/>
      </c>
      <c r="H132" s="70" t="str">
        <f t="shared" si="7"/>
        <v/>
      </c>
    </row>
    <row r="133" spans="1:8">
      <c r="A133" s="2"/>
      <c r="B133" s="12"/>
      <c r="C133" s="12"/>
      <c r="D133" s="16" t="str">
        <f t="shared" si="4"/>
        <v/>
      </c>
      <c r="E133" t="str">
        <f>IF(D133="","",[1]!i_pq_tradedays($B$3,A134,A133)-1)</f>
        <v/>
      </c>
      <c r="F133" s="23" t="str">
        <f t="shared" si="5"/>
        <v/>
      </c>
      <c r="G133" s="16" t="str">
        <f t="shared" si="6"/>
        <v/>
      </c>
      <c r="H133" s="70" t="str">
        <f t="shared" si="7"/>
        <v/>
      </c>
    </row>
    <row r="134" spans="1:8">
      <c r="A134" s="2"/>
      <c r="B134" s="12"/>
      <c r="C134" s="12"/>
      <c r="D134" s="16" t="str">
        <f t="shared" ref="D134:D197" si="8">IF(B134+C134=0,"",B134+C134)</f>
        <v/>
      </c>
      <c r="E134" t="str">
        <f>IF(D134="","",[1]!i_pq_tradedays($B$3,A135,A134)-1)</f>
        <v/>
      </c>
      <c r="F134" s="23" t="str">
        <f t="shared" ref="F134:F197" si="9">IF(D134="","",A134)</f>
        <v/>
      </c>
      <c r="G134" s="16" t="str">
        <f t="shared" ref="G134:G197" si="10">IF(D134="","",D134/E134)</f>
        <v/>
      </c>
      <c r="H134" s="70" t="str">
        <f t="shared" ref="H134:H197" si="11">IF(D134="","",G134/G135-1)</f>
        <v/>
      </c>
    </row>
    <row r="135" spans="1:8">
      <c r="A135" s="2"/>
      <c r="B135" s="12"/>
      <c r="C135" s="12"/>
      <c r="D135" s="16" t="str">
        <f t="shared" si="8"/>
        <v/>
      </c>
      <c r="E135" t="str">
        <f>IF(D135="","",[1]!i_pq_tradedays($B$3,A136,A135)-1)</f>
        <v/>
      </c>
      <c r="F135" s="23" t="str">
        <f t="shared" si="9"/>
        <v/>
      </c>
      <c r="G135" s="16" t="str">
        <f t="shared" si="10"/>
        <v/>
      </c>
      <c r="H135" s="70" t="str">
        <f t="shared" si="11"/>
        <v/>
      </c>
    </row>
    <row r="136" spans="1:8">
      <c r="A136" s="2"/>
      <c r="B136" s="12"/>
      <c r="C136" s="12"/>
      <c r="D136" s="16" t="str">
        <f t="shared" si="8"/>
        <v/>
      </c>
      <c r="E136" t="str">
        <f>IF(D136="","",[1]!i_pq_tradedays($B$3,A137,A136)-1)</f>
        <v/>
      </c>
      <c r="F136" s="23" t="str">
        <f t="shared" si="9"/>
        <v/>
      </c>
      <c r="G136" s="16" t="str">
        <f t="shared" si="10"/>
        <v/>
      </c>
      <c r="H136" s="70" t="str">
        <f t="shared" si="11"/>
        <v/>
      </c>
    </row>
    <row r="137" spans="1:8">
      <c r="A137" s="2"/>
      <c r="B137" s="12"/>
      <c r="C137" s="12"/>
      <c r="D137" s="16" t="str">
        <f t="shared" si="8"/>
        <v/>
      </c>
      <c r="E137" t="str">
        <f>IF(D137="","",[1]!i_pq_tradedays($B$3,A138,A137)-1)</f>
        <v/>
      </c>
      <c r="F137" s="23" t="str">
        <f t="shared" si="9"/>
        <v/>
      </c>
      <c r="G137" s="16" t="str">
        <f t="shared" si="10"/>
        <v/>
      </c>
      <c r="H137" s="70" t="str">
        <f t="shared" si="11"/>
        <v/>
      </c>
    </row>
    <row r="138" spans="1:8">
      <c r="A138" s="2"/>
      <c r="B138" s="12"/>
      <c r="C138" s="12"/>
      <c r="D138" s="16" t="str">
        <f t="shared" si="8"/>
        <v/>
      </c>
      <c r="E138" t="str">
        <f>IF(D138="","",[1]!i_pq_tradedays($B$3,A139,A138)-1)</f>
        <v/>
      </c>
      <c r="F138" s="23" t="str">
        <f t="shared" si="9"/>
        <v/>
      </c>
      <c r="G138" s="16" t="str">
        <f t="shared" si="10"/>
        <v/>
      </c>
      <c r="H138" s="70" t="str">
        <f t="shared" si="11"/>
        <v/>
      </c>
    </row>
    <row r="139" spans="1:8">
      <c r="A139" s="2"/>
      <c r="B139" s="12"/>
      <c r="C139" s="12"/>
      <c r="D139" s="16" t="str">
        <f t="shared" si="8"/>
        <v/>
      </c>
      <c r="E139" t="str">
        <f>IF(D139="","",[1]!i_pq_tradedays($B$3,A140,A139)-1)</f>
        <v/>
      </c>
      <c r="F139" s="23" t="str">
        <f t="shared" si="9"/>
        <v/>
      </c>
      <c r="G139" s="16" t="str">
        <f t="shared" si="10"/>
        <v/>
      </c>
      <c r="H139" s="70" t="str">
        <f t="shared" si="11"/>
        <v/>
      </c>
    </row>
    <row r="140" spans="1:8">
      <c r="A140" s="2"/>
      <c r="B140" s="12"/>
      <c r="C140" s="12"/>
      <c r="D140" s="16" t="str">
        <f t="shared" si="8"/>
        <v/>
      </c>
      <c r="E140" t="str">
        <f>IF(D140="","",[1]!i_pq_tradedays($B$3,A141,A140)-1)</f>
        <v/>
      </c>
      <c r="F140" s="23" t="str">
        <f t="shared" si="9"/>
        <v/>
      </c>
      <c r="G140" s="16" t="str">
        <f t="shared" si="10"/>
        <v/>
      </c>
      <c r="H140" s="70" t="str">
        <f t="shared" si="11"/>
        <v/>
      </c>
    </row>
    <row r="141" spans="1:8">
      <c r="A141" s="2"/>
      <c r="B141" s="12"/>
      <c r="C141" s="12"/>
      <c r="D141" s="16" t="str">
        <f t="shared" si="8"/>
        <v/>
      </c>
      <c r="E141" t="str">
        <f>IF(D141="","",[1]!i_pq_tradedays($B$3,A142,A141)-1)</f>
        <v/>
      </c>
      <c r="F141" s="23" t="str">
        <f t="shared" si="9"/>
        <v/>
      </c>
      <c r="G141" s="16" t="str">
        <f t="shared" si="10"/>
        <v/>
      </c>
      <c r="H141" s="70" t="str">
        <f t="shared" si="11"/>
        <v/>
      </c>
    </row>
    <row r="142" spans="1:8">
      <c r="A142" s="2"/>
      <c r="B142" s="12"/>
      <c r="C142" s="12"/>
      <c r="D142" s="16" t="str">
        <f t="shared" si="8"/>
        <v/>
      </c>
      <c r="E142" t="str">
        <f>IF(D142="","",[1]!i_pq_tradedays($B$3,A143,A142)-1)</f>
        <v/>
      </c>
      <c r="F142" s="23" t="str">
        <f t="shared" si="9"/>
        <v/>
      </c>
      <c r="G142" s="16" t="str">
        <f t="shared" si="10"/>
        <v/>
      </c>
      <c r="H142" s="70" t="str">
        <f t="shared" si="11"/>
        <v/>
      </c>
    </row>
    <row r="143" spans="1:8">
      <c r="A143" s="2"/>
      <c r="B143" s="12"/>
      <c r="C143" s="12"/>
      <c r="D143" s="16" t="str">
        <f t="shared" si="8"/>
        <v/>
      </c>
      <c r="E143" t="str">
        <f>IF(D143="","",[1]!i_pq_tradedays($B$3,A144,A143)-1)</f>
        <v/>
      </c>
      <c r="F143" s="23" t="str">
        <f t="shared" si="9"/>
        <v/>
      </c>
      <c r="G143" s="16" t="str">
        <f t="shared" si="10"/>
        <v/>
      </c>
      <c r="H143" s="70" t="str">
        <f t="shared" si="11"/>
        <v/>
      </c>
    </row>
    <row r="144" spans="1:8">
      <c r="A144" s="2"/>
      <c r="B144" s="12"/>
      <c r="C144" s="12"/>
      <c r="D144" s="16" t="str">
        <f t="shared" si="8"/>
        <v/>
      </c>
      <c r="E144" t="str">
        <f>IF(D144="","",[1]!i_pq_tradedays($B$3,A145,A144)-1)</f>
        <v/>
      </c>
      <c r="F144" s="23" t="str">
        <f t="shared" si="9"/>
        <v/>
      </c>
      <c r="G144" s="16" t="str">
        <f t="shared" si="10"/>
        <v/>
      </c>
      <c r="H144" s="70" t="str">
        <f t="shared" si="11"/>
        <v/>
      </c>
    </row>
    <row r="145" spans="1:8">
      <c r="A145" s="2"/>
      <c r="B145" s="12"/>
      <c r="C145" s="12"/>
      <c r="D145" s="16" t="str">
        <f t="shared" si="8"/>
        <v/>
      </c>
      <c r="E145" t="str">
        <f>IF(D145="","",[1]!i_pq_tradedays($B$3,A146,A145)-1)</f>
        <v/>
      </c>
      <c r="F145" s="23" t="str">
        <f t="shared" si="9"/>
        <v/>
      </c>
      <c r="G145" s="16" t="str">
        <f t="shared" si="10"/>
        <v/>
      </c>
      <c r="H145" s="70" t="str">
        <f t="shared" si="11"/>
        <v/>
      </c>
    </row>
    <row r="146" spans="1:8">
      <c r="A146" s="2"/>
      <c r="B146" s="12"/>
      <c r="C146" s="12"/>
      <c r="D146" s="16" t="str">
        <f t="shared" si="8"/>
        <v/>
      </c>
      <c r="E146" t="str">
        <f>IF(D146="","",[1]!i_pq_tradedays($B$3,A147,A146)-1)</f>
        <v/>
      </c>
      <c r="F146" s="23" t="str">
        <f t="shared" si="9"/>
        <v/>
      </c>
      <c r="G146" s="16" t="str">
        <f t="shared" si="10"/>
        <v/>
      </c>
      <c r="H146" s="70" t="str">
        <f t="shared" si="11"/>
        <v/>
      </c>
    </row>
    <row r="147" spans="1:8">
      <c r="A147" s="2"/>
      <c r="B147" s="12"/>
      <c r="C147" s="12"/>
      <c r="D147" s="16" t="str">
        <f t="shared" si="8"/>
        <v/>
      </c>
      <c r="E147" t="str">
        <f>IF(D147="","",[1]!i_pq_tradedays($B$3,A148,A147)-1)</f>
        <v/>
      </c>
      <c r="F147" s="23" t="str">
        <f t="shared" si="9"/>
        <v/>
      </c>
      <c r="G147" s="16" t="str">
        <f t="shared" si="10"/>
        <v/>
      </c>
      <c r="H147" s="70" t="str">
        <f t="shared" si="11"/>
        <v/>
      </c>
    </row>
    <row r="148" spans="1:8">
      <c r="A148" s="2"/>
      <c r="B148" s="12"/>
      <c r="C148" s="12"/>
      <c r="D148" s="16" t="str">
        <f t="shared" si="8"/>
        <v/>
      </c>
      <c r="E148" t="str">
        <f>IF(D148="","",[1]!i_pq_tradedays($B$3,A149,A148)-1)</f>
        <v/>
      </c>
      <c r="F148" s="23" t="str">
        <f t="shared" si="9"/>
        <v/>
      </c>
      <c r="G148" s="16" t="str">
        <f t="shared" si="10"/>
        <v/>
      </c>
      <c r="H148" s="70" t="str">
        <f t="shared" si="11"/>
        <v/>
      </c>
    </row>
    <row r="149" spans="1:8">
      <c r="A149" s="2"/>
      <c r="B149" s="12"/>
      <c r="C149" s="12"/>
      <c r="D149" s="16" t="str">
        <f t="shared" si="8"/>
        <v/>
      </c>
      <c r="E149" t="str">
        <f>IF(D149="","",[1]!i_pq_tradedays($B$3,A150,A149)-1)</f>
        <v/>
      </c>
      <c r="F149" s="23" t="str">
        <f t="shared" si="9"/>
        <v/>
      </c>
      <c r="G149" s="16" t="str">
        <f t="shared" si="10"/>
        <v/>
      </c>
      <c r="H149" s="70" t="str">
        <f t="shared" si="11"/>
        <v/>
      </c>
    </row>
    <row r="150" spans="1:8">
      <c r="A150" s="2"/>
      <c r="B150" s="12"/>
      <c r="C150" s="12"/>
      <c r="D150" s="16" t="str">
        <f t="shared" si="8"/>
        <v/>
      </c>
      <c r="E150" t="str">
        <f>IF(D150="","",[1]!i_pq_tradedays($B$3,A151,A150)-1)</f>
        <v/>
      </c>
      <c r="F150" s="23" t="str">
        <f t="shared" si="9"/>
        <v/>
      </c>
      <c r="G150" s="16" t="str">
        <f t="shared" si="10"/>
        <v/>
      </c>
      <c r="H150" s="70" t="str">
        <f t="shared" si="11"/>
        <v/>
      </c>
    </row>
    <row r="151" spans="1:8">
      <c r="A151" s="2"/>
      <c r="B151" s="12"/>
      <c r="C151" s="12"/>
      <c r="D151" s="16" t="str">
        <f t="shared" si="8"/>
        <v/>
      </c>
      <c r="E151" t="str">
        <f>IF(D151="","",[1]!i_pq_tradedays($B$3,A152,A151)-1)</f>
        <v/>
      </c>
      <c r="F151" s="23" t="str">
        <f t="shared" si="9"/>
        <v/>
      </c>
      <c r="G151" s="16" t="str">
        <f t="shared" si="10"/>
        <v/>
      </c>
      <c r="H151" s="70" t="str">
        <f t="shared" si="11"/>
        <v/>
      </c>
    </row>
    <row r="152" spans="1:8">
      <c r="A152" s="2"/>
      <c r="B152" s="12"/>
      <c r="C152" s="12"/>
      <c r="D152" s="16" t="str">
        <f t="shared" si="8"/>
        <v/>
      </c>
      <c r="E152" t="str">
        <f>IF(D152="","",[1]!i_pq_tradedays($B$3,A153,A152)-1)</f>
        <v/>
      </c>
      <c r="F152" s="23" t="str">
        <f t="shared" si="9"/>
        <v/>
      </c>
      <c r="G152" s="16" t="str">
        <f t="shared" si="10"/>
        <v/>
      </c>
      <c r="H152" s="70" t="str">
        <f t="shared" si="11"/>
        <v/>
      </c>
    </row>
    <row r="153" spans="1:8">
      <c r="A153" s="2"/>
      <c r="B153" s="12"/>
      <c r="C153" s="12"/>
      <c r="D153" s="16" t="str">
        <f t="shared" si="8"/>
        <v/>
      </c>
      <c r="E153" t="str">
        <f>IF(D153="","",[1]!i_pq_tradedays($B$3,A154,A153)-1)</f>
        <v/>
      </c>
      <c r="F153" s="23" t="str">
        <f t="shared" si="9"/>
        <v/>
      </c>
      <c r="G153" s="16" t="str">
        <f t="shared" si="10"/>
        <v/>
      </c>
      <c r="H153" s="70" t="str">
        <f t="shared" si="11"/>
        <v/>
      </c>
    </row>
    <row r="154" spans="1:8">
      <c r="A154" s="2"/>
      <c r="B154" s="12"/>
      <c r="C154" s="12"/>
      <c r="D154" s="16" t="str">
        <f t="shared" si="8"/>
        <v/>
      </c>
      <c r="E154" t="str">
        <f>IF(D154="","",[1]!i_pq_tradedays($B$3,A155,A154)-1)</f>
        <v/>
      </c>
      <c r="F154" s="23" t="str">
        <f t="shared" si="9"/>
        <v/>
      </c>
      <c r="G154" s="16" t="str">
        <f t="shared" si="10"/>
        <v/>
      </c>
      <c r="H154" s="70" t="str">
        <f t="shared" si="11"/>
        <v/>
      </c>
    </row>
    <row r="155" spans="1:8">
      <c r="A155" s="2"/>
      <c r="B155" s="12"/>
      <c r="C155" s="12"/>
      <c r="D155" s="16" t="str">
        <f t="shared" si="8"/>
        <v/>
      </c>
      <c r="E155" t="str">
        <f>IF(D155="","",[1]!i_pq_tradedays($B$3,A156,A155)-1)</f>
        <v/>
      </c>
      <c r="F155" s="23" t="str">
        <f t="shared" si="9"/>
        <v/>
      </c>
      <c r="G155" s="16" t="str">
        <f t="shared" si="10"/>
        <v/>
      </c>
      <c r="H155" s="70" t="str">
        <f t="shared" si="11"/>
        <v/>
      </c>
    </row>
    <row r="156" spans="1:8">
      <c r="A156" s="2"/>
      <c r="B156" s="12"/>
      <c r="C156" s="12"/>
      <c r="D156" s="16" t="str">
        <f t="shared" si="8"/>
        <v/>
      </c>
      <c r="E156" t="str">
        <f>IF(D156="","",[1]!i_pq_tradedays($B$3,A157,A156)-1)</f>
        <v/>
      </c>
      <c r="F156" s="23" t="str">
        <f t="shared" si="9"/>
        <v/>
      </c>
      <c r="G156" s="16" t="str">
        <f t="shared" si="10"/>
        <v/>
      </c>
      <c r="H156" s="70" t="str">
        <f t="shared" si="11"/>
        <v/>
      </c>
    </row>
    <row r="157" spans="1:8">
      <c r="A157" s="2"/>
      <c r="B157" s="12"/>
      <c r="C157" s="12"/>
      <c r="D157" s="16" t="str">
        <f t="shared" si="8"/>
        <v/>
      </c>
      <c r="E157" t="str">
        <f>IF(D157="","",[1]!i_pq_tradedays($B$3,A158,A157)-1)</f>
        <v/>
      </c>
      <c r="F157" s="23" t="str">
        <f t="shared" si="9"/>
        <v/>
      </c>
      <c r="G157" s="16" t="str">
        <f t="shared" si="10"/>
        <v/>
      </c>
      <c r="H157" s="70" t="str">
        <f t="shared" si="11"/>
        <v/>
      </c>
    </row>
    <row r="158" spans="1:8">
      <c r="A158" s="2"/>
      <c r="B158" s="12"/>
      <c r="C158" s="12"/>
      <c r="D158" s="16" t="str">
        <f t="shared" si="8"/>
        <v/>
      </c>
      <c r="E158" t="str">
        <f>IF(D158="","",[1]!i_pq_tradedays($B$3,A159,A158)-1)</f>
        <v/>
      </c>
      <c r="F158" s="23" t="str">
        <f t="shared" si="9"/>
        <v/>
      </c>
      <c r="G158" s="16" t="str">
        <f t="shared" si="10"/>
        <v/>
      </c>
      <c r="H158" s="70" t="str">
        <f t="shared" si="11"/>
        <v/>
      </c>
    </row>
    <row r="159" spans="1:8">
      <c r="A159" s="2"/>
      <c r="B159" s="12"/>
      <c r="C159" s="12"/>
      <c r="D159" s="16" t="str">
        <f t="shared" si="8"/>
        <v/>
      </c>
      <c r="E159" t="str">
        <f>IF(D159="","",[1]!i_pq_tradedays($B$3,A160,A159)-1)</f>
        <v/>
      </c>
      <c r="F159" s="23" t="str">
        <f t="shared" si="9"/>
        <v/>
      </c>
      <c r="G159" s="16" t="str">
        <f t="shared" si="10"/>
        <v/>
      </c>
      <c r="H159" s="70" t="str">
        <f t="shared" si="11"/>
        <v/>
      </c>
    </row>
    <row r="160" spans="1:8">
      <c r="A160" s="2"/>
      <c r="B160" s="12"/>
      <c r="C160" s="12"/>
      <c r="D160" s="16" t="str">
        <f t="shared" si="8"/>
        <v/>
      </c>
      <c r="E160" t="str">
        <f>IF(D160="","",[1]!i_pq_tradedays($B$3,A161,A160)-1)</f>
        <v/>
      </c>
      <c r="F160" s="23" t="str">
        <f t="shared" si="9"/>
        <v/>
      </c>
      <c r="G160" s="16" t="str">
        <f t="shared" si="10"/>
        <v/>
      </c>
      <c r="H160" s="70" t="str">
        <f t="shared" si="11"/>
        <v/>
      </c>
    </row>
    <row r="161" spans="1:8">
      <c r="A161" s="2"/>
      <c r="B161" s="12"/>
      <c r="C161" s="12"/>
      <c r="D161" s="16" t="str">
        <f t="shared" si="8"/>
        <v/>
      </c>
      <c r="E161" t="str">
        <f>IF(D161="","",[1]!i_pq_tradedays($B$3,A162,A161)-1)</f>
        <v/>
      </c>
      <c r="F161" s="23" t="str">
        <f t="shared" si="9"/>
        <v/>
      </c>
      <c r="G161" s="16" t="str">
        <f t="shared" si="10"/>
        <v/>
      </c>
      <c r="H161" s="70" t="str">
        <f t="shared" si="11"/>
        <v/>
      </c>
    </row>
    <row r="162" spans="1:8">
      <c r="A162" s="2"/>
      <c r="B162" s="12"/>
      <c r="C162" s="12"/>
      <c r="D162" s="16" t="str">
        <f t="shared" si="8"/>
        <v/>
      </c>
      <c r="E162" t="str">
        <f>IF(D162="","",[1]!i_pq_tradedays($B$3,A163,A162)-1)</f>
        <v/>
      </c>
      <c r="F162" s="23" t="str">
        <f t="shared" si="9"/>
        <v/>
      </c>
      <c r="G162" s="16" t="str">
        <f t="shared" si="10"/>
        <v/>
      </c>
      <c r="H162" s="70" t="str">
        <f t="shared" si="11"/>
        <v/>
      </c>
    </row>
    <row r="163" spans="1:8">
      <c r="A163" s="2"/>
      <c r="B163" s="12"/>
      <c r="C163" s="12"/>
      <c r="D163" s="16" t="str">
        <f t="shared" si="8"/>
        <v/>
      </c>
      <c r="E163" t="str">
        <f>IF(D163="","",[1]!i_pq_tradedays($B$3,A164,A163)-1)</f>
        <v/>
      </c>
      <c r="F163" s="23" t="str">
        <f t="shared" si="9"/>
        <v/>
      </c>
      <c r="G163" s="16" t="str">
        <f t="shared" si="10"/>
        <v/>
      </c>
      <c r="H163" s="70" t="str">
        <f t="shared" si="11"/>
        <v/>
      </c>
    </row>
    <row r="164" spans="1:8">
      <c r="A164" s="2"/>
      <c r="B164" s="12"/>
      <c r="C164" s="12"/>
      <c r="D164" s="16" t="str">
        <f t="shared" si="8"/>
        <v/>
      </c>
      <c r="E164" t="str">
        <f>IF(D164="","",[1]!i_pq_tradedays($B$3,A165,A164)-1)</f>
        <v/>
      </c>
      <c r="F164" s="23" t="str">
        <f t="shared" si="9"/>
        <v/>
      </c>
      <c r="G164" s="16" t="str">
        <f t="shared" si="10"/>
        <v/>
      </c>
      <c r="H164" s="70" t="str">
        <f t="shared" si="11"/>
        <v/>
      </c>
    </row>
    <row r="165" spans="1:8">
      <c r="A165" s="2"/>
      <c r="B165" s="12"/>
      <c r="C165" s="12"/>
      <c r="D165" s="16" t="str">
        <f t="shared" si="8"/>
        <v/>
      </c>
      <c r="E165" t="str">
        <f>IF(D165="","",[1]!i_pq_tradedays($B$3,A166,A165)-1)</f>
        <v/>
      </c>
      <c r="F165" s="23" t="str">
        <f t="shared" si="9"/>
        <v/>
      </c>
      <c r="G165" s="16" t="str">
        <f t="shared" si="10"/>
        <v/>
      </c>
      <c r="H165" s="70" t="str">
        <f t="shared" si="11"/>
        <v/>
      </c>
    </row>
    <row r="166" spans="1:8">
      <c r="A166" s="2"/>
      <c r="B166" s="12"/>
      <c r="C166" s="12"/>
      <c r="D166" s="16" t="str">
        <f t="shared" si="8"/>
        <v/>
      </c>
      <c r="E166" t="str">
        <f>IF(D166="","",[1]!i_pq_tradedays($B$3,A167,A166)-1)</f>
        <v/>
      </c>
      <c r="F166" s="23" t="str">
        <f t="shared" si="9"/>
        <v/>
      </c>
      <c r="G166" s="16" t="str">
        <f t="shared" si="10"/>
        <v/>
      </c>
      <c r="H166" s="70" t="str">
        <f t="shared" si="11"/>
        <v/>
      </c>
    </row>
    <row r="167" spans="1:8">
      <c r="A167" s="2"/>
      <c r="B167" s="12"/>
      <c r="C167" s="12"/>
      <c r="D167" s="16" t="str">
        <f t="shared" si="8"/>
        <v/>
      </c>
      <c r="E167" t="str">
        <f>IF(D167="","",[1]!i_pq_tradedays($B$3,A168,A167)-1)</f>
        <v/>
      </c>
      <c r="F167" s="23" t="str">
        <f t="shared" si="9"/>
        <v/>
      </c>
      <c r="G167" s="16" t="str">
        <f t="shared" si="10"/>
        <v/>
      </c>
      <c r="H167" s="70" t="str">
        <f t="shared" si="11"/>
        <v/>
      </c>
    </row>
    <row r="168" spans="1:8">
      <c r="A168" s="2"/>
      <c r="B168" s="12"/>
      <c r="C168" s="12"/>
      <c r="D168" s="16" t="str">
        <f t="shared" si="8"/>
        <v/>
      </c>
      <c r="E168" t="str">
        <f>IF(D168="","",[1]!i_pq_tradedays($B$3,A169,A168)-1)</f>
        <v/>
      </c>
      <c r="F168" s="23" t="str">
        <f t="shared" si="9"/>
        <v/>
      </c>
      <c r="G168" s="16" t="str">
        <f t="shared" si="10"/>
        <v/>
      </c>
      <c r="H168" s="70" t="str">
        <f t="shared" si="11"/>
        <v/>
      </c>
    </row>
    <row r="169" spans="1:8">
      <c r="A169" s="2"/>
      <c r="B169" s="12"/>
      <c r="C169" s="12"/>
      <c r="D169" s="16" t="str">
        <f t="shared" si="8"/>
        <v/>
      </c>
      <c r="E169" t="str">
        <f>IF(D169="","",[1]!i_pq_tradedays($B$3,A170,A169)-1)</f>
        <v/>
      </c>
      <c r="F169" s="23" t="str">
        <f t="shared" si="9"/>
        <v/>
      </c>
      <c r="G169" s="16" t="str">
        <f t="shared" si="10"/>
        <v/>
      </c>
      <c r="H169" s="70" t="str">
        <f t="shared" si="11"/>
        <v/>
      </c>
    </row>
    <row r="170" spans="1:8">
      <c r="A170" s="2"/>
      <c r="B170" s="12"/>
      <c r="C170" s="12"/>
      <c r="D170" s="16" t="str">
        <f t="shared" si="8"/>
        <v/>
      </c>
      <c r="E170" t="str">
        <f>IF(D170="","",[1]!i_pq_tradedays($B$3,A171,A170)-1)</f>
        <v/>
      </c>
      <c r="F170" s="23" t="str">
        <f t="shared" si="9"/>
        <v/>
      </c>
      <c r="G170" s="16" t="str">
        <f t="shared" si="10"/>
        <v/>
      </c>
      <c r="H170" s="70" t="str">
        <f t="shared" si="11"/>
        <v/>
      </c>
    </row>
    <row r="171" spans="1:8">
      <c r="A171" s="2"/>
      <c r="B171" s="12"/>
      <c r="C171" s="12"/>
      <c r="D171" s="16" t="str">
        <f t="shared" si="8"/>
        <v/>
      </c>
      <c r="E171" t="str">
        <f>IF(D171="","",[1]!i_pq_tradedays($B$3,A172,A171)-1)</f>
        <v/>
      </c>
      <c r="F171" s="23" t="str">
        <f t="shared" si="9"/>
        <v/>
      </c>
      <c r="G171" s="16" t="str">
        <f t="shared" si="10"/>
        <v/>
      </c>
      <c r="H171" s="70" t="str">
        <f t="shared" si="11"/>
        <v/>
      </c>
    </row>
    <row r="172" spans="1:8">
      <c r="A172" s="2"/>
      <c r="B172" s="12"/>
      <c r="C172" s="12"/>
      <c r="D172" s="16" t="str">
        <f t="shared" si="8"/>
        <v/>
      </c>
      <c r="E172" t="str">
        <f>IF(D172="","",[1]!i_pq_tradedays($B$3,A173,A172)-1)</f>
        <v/>
      </c>
      <c r="F172" s="23" t="str">
        <f t="shared" si="9"/>
        <v/>
      </c>
      <c r="G172" s="16" t="str">
        <f t="shared" si="10"/>
        <v/>
      </c>
      <c r="H172" s="70" t="str">
        <f t="shared" si="11"/>
        <v/>
      </c>
    </row>
    <row r="173" spans="1:8">
      <c r="A173" s="2"/>
      <c r="B173" s="12"/>
      <c r="C173" s="12"/>
      <c r="D173" s="16" t="str">
        <f t="shared" si="8"/>
        <v/>
      </c>
      <c r="E173" t="str">
        <f>IF(D173="","",[1]!i_pq_tradedays($B$3,A174,A173)-1)</f>
        <v/>
      </c>
      <c r="F173" s="23" t="str">
        <f t="shared" si="9"/>
        <v/>
      </c>
      <c r="G173" s="16" t="str">
        <f t="shared" si="10"/>
        <v/>
      </c>
      <c r="H173" s="70" t="str">
        <f t="shared" si="11"/>
        <v/>
      </c>
    </row>
    <row r="174" spans="1:8">
      <c r="A174" s="2"/>
      <c r="B174" s="12"/>
      <c r="C174" s="12"/>
      <c r="D174" s="16" t="str">
        <f t="shared" si="8"/>
        <v/>
      </c>
      <c r="E174" t="str">
        <f>IF(D174="","",[1]!i_pq_tradedays($B$3,A175,A174)-1)</f>
        <v/>
      </c>
      <c r="F174" s="23" t="str">
        <f t="shared" si="9"/>
        <v/>
      </c>
      <c r="G174" s="16" t="str">
        <f t="shared" si="10"/>
        <v/>
      </c>
      <c r="H174" s="70" t="str">
        <f t="shared" si="11"/>
        <v/>
      </c>
    </row>
    <row r="175" spans="1:8">
      <c r="A175" s="2"/>
      <c r="B175" s="12"/>
      <c r="C175" s="12"/>
      <c r="D175" s="16" t="str">
        <f t="shared" si="8"/>
        <v/>
      </c>
      <c r="E175" t="str">
        <f>IF(D175="","",[1]!i_pq_tradedays($B$3,A176,A175)-1)</f>
        <v/>
      </c>
      <c r="F175" s="23" t="str">
        <f t="shared" si="9"/>
        <v/>
      </c>
      <c r="G175" s="16" t="str">
        <f t="shared" si="10"/>
        <v/>
      </c>
      <c r="H175" s="70" t="str">
        <f t="shared" si="11"/>
        <v/>
      </c>
    </row>
    <row r="176" spans="1:8">
      <c r="A176" s="2"/>
      <c r="B176" s="12"/>
      <c r="C176" s="12"/>
      <c r="D176" s="16" t="str">
        <f t="shared" si="8"/>
        <v/>
      </c>
      <c r="E176" t="str">
        <f>IF(D176="","",[1]!i_pq_tradedays($B$3,A177,A176)-1)</f>
        <v/>
      </c>
      <c r="F176" s="23" t="str">
        <f t="shared" si="9"/>
        <v/>
      </c>
      <c r="G176" s="16" t="str">
        <f t="shared" si="10"/>
        <v/>
      </c>
      <c r="H176" s="70" t="str">
        <f t="shared" si="11"/>
        <v/>
      </c>
    </row>
    <row r="177" spans="1:8">
      <c r="A177" s="2"/>
      <c r="B177" s="12"/>
      <c r="C177" s="12"/>
      <c r="D177" s="16" t="str">
        <f t="shared" si="8"/>
        <v/>
      </c>
      <c r="E177" t="str">
        <f>IF(D177="","",[1]!i_pq_tradedays($B$3,A178,A177)-1)</f>
        <v/>
      </c>
      <c r="F177" s="23" t="str">
        <f t="shared" si="9"/>
        <v/>
      </c>
      <c r="G177" s="16" t="str">
        <f t="shared" si="10"/>
        <v/>
      </c>
      <c r="H177" s="70" t="str">
        <f t="shared" si="11"/>
        <v/>
      </c>
    </row>
    <row r="178" spans="1:8">
      <c r="A178" s="2"/>
      <c r="B178" s="12"/>
      <c r="C178" s="12"/>
      <c r="D178" s="16" t="str">
        <f t="shared" si="8"/>
        <v/>
      </c>
      <c r="E178" t="str">
        <f>IF(D178="","",[1]!i_pq_tradedays($B$3,A179,A178)-1)</f>
        <v/>
      </c>
      <c r="F178" s="23" t="str">
        <f t="shared" si="9"/>
        <v/>
      </c>
      <c r="G178" s="16" t="str">
        <f t="shared" si="10"/>
        <v/>
      </c>
      <c r="H178" s="70" t="str">
        <f t="shared" si="11"/>
        <v/>
      </c>
    </row>
    <row r="179" spans="1:8">
      <c r="A179" s="2"/>
      <c r="B179" s="12"/>
      <c r="C179" s="12"/>
      <c r="D179" s="16" t="str">
        <f t="shared" si="8"/>
        <v/>
      </c>
      <c r="E179" t="str">
        <f>IF(D179="","",[1]!i_pq_tradedays($B$3,A180,A179)-1)</f>
        <v/>
      </c>
      <c r="F179" s="23" t="str">
        <f t="shared" si="9"/>
        <v/>
      </c>
      <c r="G179" s="16" t="str">
        <f t="shared" si="10"/>
        <v/>
      </c>
      <c r="H179" s="70" t="str">
        <f t="shared" si="11"/>
        <v/>
      </c>
    </row>
    <row r="180" spans="1:8">
      <c r="A180" s="2"/>
      <c r="B180" s="12"/>
      <c r="C180" s="12"/>
      <c r="D180" s="16" t="str">
        <f t="shared" si="8"/>
        <v/>
      </c>
      <c r="E180" t="str">
        <f>IF(D180="","",[1]!i_pq_tradedays($B$3,A181,A180)-1)</f>
        <v/>
      </c>
      <c r="F180" s="23" t="str">
        <f t="shared" si="9"/>
        <v/>
      </c>
      <c r="G180" s="16" t="str">
        <f t="shared" si="10"/>
        <v/>
      </c>
      <c r="H180" s="70" t="str">
        <f t="shared" si="11"/>
        <v/>
      </c>
    </row>
    <row r="181" spans="1:8">
      <c r="A181" s="2"/>
      <c r="B181" s="12"/>
      <c r="C181" s="12"/>
      <c r="D181" s="16" t="str">
        <f t="shared" si="8"/>
        <v/>
      </c>
      <c r="E181" t="str">
        <f>IF(D181="","",[1]!i_pq_tradedays($B$3,A182,A181)-1)</f>
        <v/>
      </c>
      <c r="F181" s="23" t="str">
        <f t="shared" si="9"/>
        <v/>
      </c>
      <c r="G181" s="16" t="str">
        <f t="shared" si="10"/>
        <v/>
      </c>
      <c r="H181" s="70" t="str">
        <f t="shared" si="11"/>
        <v/>
      </c>
    </row>
    <row r="182" spans="1:8">
      <c r="A182" s="2"/>
      <c r="B182" s="12"/>
      <c r="C182" s="12"/>
      <c r="D182" s="16" t="str">
        <f t="shared" si="8"/>
        <v/>
      </c>
      <c r="E182" t="str">
        <f>IF(D182="","",[1]!i_pq_tradedays($B$3,A183,A182)-1)</f>
        <v/>
      </c>
      <c r="F182" s="23" t="str">
        <f t="shared" si="9"/>
        <v/>
      </c>
      <c r="G182" s="16" t="str">
        <f t="shared" si="10"/>
        <v/>
      </c>
      <c r="H182" s="70" t="str">
        <f t="shared" si="11"/>
        <v/>
      </c>
    </row>
    <row r="183" spans="1:8">
      <c r="A183" s="2"/>
      <c r="B183" s="12"/>
      <c r="C183" s="12"/>
      <c r="D183" s="16" t="str">
        <f t="shared" si="8"/>
        <v/>
      </c>
      <c r="E183" t="str">
        <f>IF(D183="","",[1]!i_pq_tradedays($B$3,A184,A183)-1)</f>
        <v/>
      </c>
      <c r="F183" s="23" t="str">
        <f t="shared" si="9"/>
        <v/>
      </c>
      <c r="G183" s="16" t="str">
        <f t="shared" si="10"/>
        <v/>
      </c>
      <c r="H183" s="70" t="str">
        <f t="shared" si="11"/>
        <v/>
      </c>
    </row>
    <row r="184" spans="1:8">
      <c r="A184" s="2"/>
      <c r="B184" s="12"/>
      <c r="C184" s="12"/>
      <c r="D184" s="16" t="str">
        <f t="shared" si="8"/>
        <v/>
      </c>
      <c r="E184" t="str">
        <f>IF(D184="","",[1]!i_pq_tradedays($B$3,A185,A184)-1)</f>
        <v/>
      </c>
      <c r="F184" s="23" t="str">
        <f t="shared" si="9"/>
        <v/>
      </c>
      <c r="G184" s="16" t="str">
        <f t="shared" si="10"/>
        <v/>
      </c>
      <c r="H184" s="70" t="str">
        <f t="shared" si="11"/>
        <v/>
      </c>
    </row>
    <row r="185" spans="1:8">
      <c r="A185" s="2"/>
      <c r="B185" s="12"/>
      <c r="C185" s="12"/>
      <c r="D185" s="16" t="str">
        <f t="shared" si="8"/>
        <v/>
      </c>
      <c r="E185" t="str">
        <f>IF(D185="","",[1]!i_pq_tradedays($B$3,A186,A185)-1)</f>
        <v/>
      </c>
      <c r="F185" s="23" t="str">
        <f t="shared" si="9"/>
        <v/>
      </c>
      <c r="G185" s="16" t="str">
        <f t="shared" si="10"/>
        <v/>
      </c>
      <c r="H185" s="70" t="str">
        <f t="shared" si="11"/>
        <v/>
      </c>
    </row>
    <row r="186" spans="1:8">
      <c r="A186" s="2"/>
      <c r="B186" s="12"/>
      <c r="C186" s="12"/>
      <c r="D186" s="16" t="str">
        <f t="shared" si="8"/>
        <v/>
      </c>
      <c r="E186" t="str">
        <f>IF(D186="","",[1]!i_pq_tradedays($B$3,A187,A186)-1)</f>
        <v/>
      </c>
      <c r="F186" s="23" t="str">
        <f t="shared" si="9"/>
        <v/>
      </c>
      <c r="G186" s="16" t="str">
        <f t="shared" si="10"/>
        <v/>
      </c>
      <c r="H186" s="70" t="str">
        <f t="shared" si="11"/>
        <v/>
      </c>
    </row>
    <row r="187" spans="1:8">
      <c r="A187" s="2"/>
      <c r="B187" s="12"/>
      <c r="C187" s="12"/>
      <c r="D187" s="16" t="str">
        <f t="shared" si="8"/>
        <v/>
      </c>
      <c r="E187" t="str">
        <f>IF(D187="","",[1]!i_pq_tradedays($B$3,A188,A187)-1)</f>
        <v/>
      </c>
      <c r="F187" s="23" t="str">
        <f t="shared" si="9"/>
        <v/>
      </c>
      <c r="G187" s="16" t="str">
        <f t="shared" si="10"/>
        <v/>
      </c>
      <c r="H187" s="70" t="str">
        <f t="shared" si="11"/>
        <v/>
      </c>
    </row>
    <row r="188" spans="1:8">
      <c r="A188" s="2"/>
      <c r="B188" s="12"/>
      <c r="C188" s="12"/>
      <c r="D188" s="16" t="str">
        <f t="shared" si="8"/>
        <v/>
      </c>
      <c r="E188" t="str">
        <f>IF(D188="","",[1]!i_pq_tradedays($B$3,A189,A188)-1)</f>
        <v/>
      </c>
      <c r="F188" s="23" t="str">
        <f t="shared" si="9"/>
        <v/>
      </c>
      <c r="G188" s="16" t="str">
        <f t="shared" si="10"/>
        <v/>
      </c>
      <c r="H188" s="70" t="str">
        <f t="shared" si="11"/>
        <v/>
      </c>
    </row>
    <row r="189" spans="1:8">
      <c r="A189" s="2"/>
      <c r="B189" s="12"/>
      <c r="C189" s="12"/>
      <c r="D189" s="16" t="str">
        <f t="shared" si="8"/>
        <v/>
      </c>
      <c r="E189" t="str">
        <f>IF(D189="","",[1]!i_pq_tradedays($B$3,A190,A189)-1)</f>
        <v/>
      </c>
      <c r="F189" s="23" t="str">
        <f t="shared" si="9"/>
        <v/>
      </c>
      <c r="G189" s="16" t="str">
        <f t="shared" si="10"/>
        <v/>
      </c>
      <c r="H189" s="70" t="str">
        <f t="shared" si="11"/>
        <v/>
      </c>
    </row>
    <row r="190" spans="1:8">
      <c r="A190" s="2"/>
      <c r="B190" s="12"/>
      <c r="C190" s="12"/>
      <c r="D190" s="16" t="str">
        <f t="shared" si="8"/>
        <v/>
      </c>
      <c r="E190" t="str">
        <f>IF(D190="","",[1]!i_pq_tradedays($B$3,A191,A190)-1)</f>
        <v/>
      </c>
      <c r="F190" s="23" t="str">
        <f t="shared" si="9"/>
        <v/>
      </c>
      <c r="G190" s="16" t="str">
        <f t="shared" si="10"/>
        <v/>
      </c>
      <c r="H190" s="70" t="str">
        <f t="shared" si="11"/>
        <v/>
      </c>
    </row>
    <row r="191" spans="1:8">
      <c r="A191" s="2"/>
      <c r="B191" s="12"/>
      <c r="C191" s="12"/>
      <c r="D191" s="16" t="str">
        <f t="shared" si="8"/>
        <v/>
      </c>
      <c r="E191" t="str">
        <f>IF(D191="","",[1]!i_pq_tradedays($B$3,A192,A191)-1)</f>
        <v/>
      </c>
      <c r="F191" s="23" t="str">
        <f t="shared" si="9"/>
        <v/>
      </c>
      <c r="G191" s="16" t="str">
        <f t="shared" si="10"/>
        <v/>
      </c>
      <c r="H191" s="70" t="str">
        <f t="shared" si="11"/>
        <v/>
      </c>
    </row>
    <row r="192" spans="1:8">
      <c r="A192" s="2"/>
      <c r="B192" s="12"/>
      <c r="C192" s="12"/>
      <c r="D192" s="16" t="str">
        <f t="shared" si="8"/>
        <v/>
      </c>
      <c r="E192" t="str">
        <f>IF(D192="","",[1]!i_pq_tradedays($B$3,A193,A192)-1)</f>
        <v/>
      </c>
      <c r="F192" s="23" t="str">
        <f t="shared" si="9"/>
        <v/>
      </c>
      <c r="G192" s="16" t="str">
        <f t="shared" si="10"/>
        <v/>
      </c>
      <c r="H192" s="70" t="str">
        <f t="shared" si="11"/>
        <v/>
      </c>
    </row>
    <row r="193" spans="1:8">
      <c r="A193" s="2"/>
      <c r="B193" s="12"/>
      <c r="C193" s="12"/>
      <c r="D193" s="16" t="str">
        <f t="shared" si="8"/>
        <v/>
      </c>
      <c r="E193" t="str">
        <f>IF(D193="","",[1]!i_pq_tradedays($B$3,A194,A193)-1)</f>
        <v/>
      </c>
      <c r="F193" s="23" t="str">
        <f t="shared" si="9"/>
        <v/>
      </c>
      <c r="G193" s="16" t="str">
        <f t="shared" si="10"/>
        <v/>
      </c>
      <c r="H193" s="70" t="str">
        <f t="shared" si="11"/>
        <v/>
      </c>
    </row>
    <row r="194" spans="1:8">
      <c r="A194" s="2"/>
      <c r="B194" s="12"/>
      <c r="C194" s="12"/>
      <c r="D194" s="16" t="str">
        <f t="shared" si="8"/>
        <v/>
      </c>
      <c r="E194" t="str">
        <f>IF(D194="","",[1]!i_pq_tradedays($B$3,A195,A194)-1)</f>
        <v/>
      </c>
      <c r="F194" s="23" t="str">
        <f t="shared" si="9"/>
        <v/>
      </c>
      <c r="G194" s="16" t="str">
        <f t="shared" si="10"/>
        <v/>
      </c>
      <c r="H194" s="70" t="str">
        <f t="shared" si="11"/>
        <v/>
      </c>
    </row>
    <row r="195" spans="1:8">
      <c r="A195" s="2"/>
      <c r="B195" s="12"/>
      <c r="C195" s="12"/>
      <c r="D195" s="16" t="str">
        <f t="shared" si="8"/>
        <v/>
      </c>
      <c r="E195" t="str">
        <f>IF(D195="","",[1]!i_pq_tradedays($B$3,A196,A195)-1)</f>
        <v/>
      </c>
      <c r="F195" s="23" t="str">
        <f t="shared" si="9"/>
        <v/>
      </c>
      <c r="G195" s="16" t="str">
        <f t="shared" si="10"/>
        <v/>
      </c>
      <c r="H195" s="70" t="str">
        <f t="shared" si="11"/>
        <v/>
      </c>
    </row>
    <row r="196" spans="1:8">
      <c r="A196" s="2"/>
      <c r="B196" s="12"/>
      <c r="C196" s="12"/>
      <c r="D196" s="16" t="str">
        <f t="shared" si="8"/>
        <v/>
      </c>
      <c r="E196" t="str">
        <f>IF(D196="","",[1]!i_pq_tradedays($B$3,A197,A196)-1)</f>
        <v/>
      </c>
      <c r="F196" s="23" t="str">
        <f t="shared" si="9"/>
        <v/>
      </c>
      <c r="G196" s="16" t="str">
        <f t="shared" si="10"/>
        <v/>
      </c>
      <c r="H196" s="70" t="str">
        <f t="shared" si="11"/>
        <v/>
      </c>
    </row>
    <row r="197" spans="1:8">
      <c r="A197" s="2"/>
      <c r="B197" s="12"/>
      <c r="C197" s="12"/>
      <c r="D197" s="16" t="str">
        <f t="shared" si="8"/>
        <v/>
      </c>
      <c r="E197" t="str">
        <f>IF(D197="","",[1]!i_pq_tradedays($B$3,A198,A197)-1)</f>
        <v/>
      </c>
      <c r="F197" s="23" t="str">
        <f t="shared" si="9"/>
        <v/>
      </c>
      <c r="G197" s="16" t="str">
        <f t="shared" si="10"/>
        <v/>
      </c>
      <c r="H197" s="70" t="str">
        <f t="shared" si="11"/>
        <v/>
      </c>
    </row>
    <row r="198" spans="1:8">
      <c r="A198" s="2"/>
      <c r="B198" s="12"/>
      <c r="C198" s="12"/>
      <c r="D198" s="16" t="str">
        <f t="shared" ref="D198:D261" si="12">IF(B198+C198=0,"",B198+C198)</f>
        <v/>
      </c>
      <c r="E198" t="str">
        <f>IF(D198="","",[1]!i_pq_tradedays($B$3,A199,A198)-1)</f>
        <v/>
      </c>
      <c r="F198" s="23" t="str">
        <f t="shared" ref="F198:F261" si="13">IF(D198="","",A198)</f>
        <v/>
      </c>
      <c r="G198" s="16" t="str">
        <f t="shared" ref="G198:G261" si="14">IF(D198="","",D198/E198)</f>
        <v/>
      </c>
      <c r="H198" s="70" t="str">
        <f t="shared" ref="H198:H261" si="15">IF(D198="","",G198/G199-1)</f>
        <v/>
      </c>
    </row>
    <row r="199" spans="1:8">
      <c r="A199" s="2"/>
      <c r="B199" s="12"/>
      <c r="C199" s="12"/>
      <c r="D199" s="16" t="str">
        <f t="shared" si="12"/>
        <v/>
      </c>
      <c r="E199" t="str">
        <f>IF(D199="","",[1]!i_pq_tradedays($B$3,A200,A199)-1)</f>
        <v/>
      </c>
      <c r="F199" s="23" t="str">
        <f t="shared" si="13"/>
        <v/>
      </c>
      <c r="G199" s="16" t="str">
        <f t="shared" si="14"/>
        <v/>
      </c>
      <c r="H199" s="70" t="str">
        <f t="shared" si="15"/>
        <v/>
      </c>
    </row>
    <row r="200" spans="1:8">
      <c r="A200" s="2"/>
      <c r="B200" s="12"/>
      <c r="C200" s="12"/>
      <c r="D200" s="16" t="str">
        <f t="shared" si="12"/>
        <v/>
      </c>
      <c r="E200" t="str">
        <f>IF(D200="","",[1]!i_pq_tradedays($B$3,A201,A200)-1)</f>
        <v/>
      </c>
      <c r="F200" s="23" t="str">
        <f t="shared" si="13"/>
        <v/>
      </c>
      <c r="G200" s="16" t="str">
        <f t="shared" si="14"/>
        <v/>
      </c>
      <c r="H200" s="70" t="str">
        <f t="shared" si="15"/>
        <v/>
      </c>
    </row>
    <row r="201" spans="1:8">
      <c r="A201" s="2"/>
      <c r="B201" s="12"/>
      <c r="C201" s="12"/>
      <c r="D201" s="16" t="str">
        <f t="shared" si="12"/>
        <v/>
      </c>
      <c r="E201" t="str">
        <f>IF(D201="","",[1]!i_pq_tradedays($B$3,A202,A201)-1)</f>
        <v/>
      </c>
      <c r="F201" s="23" t="str">
        <f t="shared" si="13"/>
        <v/>
      </c>
      <c r="G201" s="16" t="str">
        <f t="shared" si="14"/>
        <v/>
      </c>
      <c r="H201" s="70" t="str">
        <f t="shared" si="15"/>
        <v/>
      </c>
    </row>
    <row r="202" spans="1:8">
      <c r="A202" s="2"/>
      <c r="B202" s="12"/>
      <c r="C202" s="12"/>
      <c r="D202" s="16" t="str">
        <f t="shared" si="12"/>
        <v/>
      </c>
      <c r="E202" t="str">
        <f>IF(D202="","",[1]!i_pq_tradedays($B$3,A203,A202)-1)</f>
        <v/>
      </c>
      <c r="F202" s="23" t="str">
        <f t="shared" si="13"/>
        <v/>
      </c>
      <c r="G202" s="16" t="str">
        <f t="shared" si="14"/>
        <v/>
      </c>
      <c r="H202" s="70" t="str">
        <f t="shared" si="15"/>
        <v/>
      </c>
    </row>
    <row r="203" spans="1:8">
      <c r="A203" s="2"/>
      <c r="B203" s="12"/>
      <c r="C203" s="12"/>
      <c r="D203" s="16" t="str">
        <f t="shared" si="12"/>
        <v/>
      </c>
      <c r="E203" t="str">
        <f>IF(D203="","",[1]!i_pq_tradedays($B$3,A204,A203)-1)</f>
        <v/>
      </c>
      <c r="F203" s="23" t="str">
        <f t="shared" si="13"/>
        <v/>
      </c>
      <c r="G203" s="16" t="str">
        <f t="shared" si="14"/>
        <v/>
      </c>
      <c r="H203" s="70" t="str">
        <f t="shared" si="15"/>
        <v/>
      </c>
    </row>
    <row r="204" spans="1:8">
      <c r="A204" s="2"/>
      <c r="B204" s="12"/>
      <c r="C204" s="12"/>
      <c r="D204" s="16" t="str">
        <f t="shared" si="12"/>
        <v/>
      </c>
      <c r="E204" t="str">
        <f>IF(D204="","",[1]!i_pq_tradedays($B$3,A205,A204)-1)</f>
        <v/>
      </c>
      <c r="F204" s="23" t="str">
        <f t="shared" si="13"/>
        <v/>
      </c>
      <c r="G204" s="16" t="str">
        <f t="shared" si="14"/>
        <v/>
      </c>
      <c r="H204" s="70" t="str">
        <f t="shared" si="15"/>
        <v/>
      </c>
    </row>
    <row r="205" spans="1:8">
      <c r="A205" s="2"/>
      <c r="B205" s="12"/>
      <c r="C205" s="12"/>
      <c r="D205" s="16" t="str">
        <f t="shared" si="12"/>
        <v/>
      </c>
      <c r="E205" t="str">
        <f>IF(D205="","",[1]!i_pq_tradedays($B$3,A206,A205)-1)</f>
        <v/>
      </c>
      <c r="F205" s="23" t="str">
        <f t="shared" si="13"/>
        <v/>
      </c>
      <c r="G205" s="16" t="str">
        <f t="shared" si="14"/>
        <v/>
      </c>
      <c r="H205" s="70" t="str">
        <f t="shared" si="15"/>
        <v/>
      </c>
    </row>
    <row r="206" spans="1:8">
      <c r="A206" s="2"/>
      <c r="B206" s="12"/>
      <c r="C206" s="12"/>
      <c r="D206" s="16" t="str">
        <f t="shared" si="12"/>
        <v/>
      </c>
      <c r="E206" t="str">
        <f>IF(D206="","",[1]!i_pq_tradedays($B$3,A207,A206)-1)</f>
        <v/>
      </c>
      <c r="F206" s="23" t="str">
        <f t="shared" si="13"/>
        <v/>
      </c>
      <c r="G206" s="16" t="str">
        <f t="shared" si="14"/>
        <v/>
      </c>
      <c r="H206" s="70" t="str">
        <f t="shared" si="15"/>
        <v/>
      </c>
    </row>
    <row r="207" spans="1:8">
      <c r="A207" s="2"/>
      <c r="B207" s="12"/>
      <c r="C207" s="12"/>
      <c r="D207" s="16" t="str">
        <f t="shared" si="12"/>
        <v/>
      </c>
      <c r="E207" t="str">
        <f>IF(D207="","",[1]!i_pq_tradedays($B$3,A208,A207)-1)</f>
        <v/>
      </c>
      <c r="F207" s="23" t="str">
        <f t="shared" si="13"/>
        <v/>
      </c>
      <c r="G207" s="16" t="str">
        <f t="shared" si="14"/>
        <v/>
      </c>
      <c r="H207" s="70" t="str">
        <f t="shared" si="15"/>
        <v/>
      </c>
    </row>
    <row r="208" spans="1:8">
      <c r="A208" s="2"/>
      <c r="B208" s="12"/>
      <c r="C208" s="12"/>
      <c r="D208" s="16" t="str">
        <f t="shared" si="12"/>
        <v/>
      </c>
      <c r="E208" t="str">
        <f>IF(D208="","",[1]!i_pq_tradedays($B$3,A209,A208)-1)</f>
        <v/>
      </c>
      <c r="F208" s="23" t="str">
        <f t="shared" si="13"/>
        <v/>
      </c>
      <c r="G208" s="16" t="str">
        <f t="shared" si="14"/>
        <v/>
      </c>
      <c r="H208" s="70" t="str">
        <f t="shared" si="15"/>
        <v/>
      </c>
    </row>
    <row r="209" spans="1:8">
      <c r="A209" s="2"/>
      <c r="B209" s="12"/>
      <c r="C209" s="12"/>
      <c r="D209" s="16" t="str">
        <f t="shared" si="12"/>
        <v/>
      </c>
      <c r="E209" t="str">
        <f>IF(D209="","",[1]!i_pq_tradedays($B$3,A210,A209)-1)</f>
        <v/>
      </c>
      <c r="F209" s="23" t="str">
        <f t="shared" si="13"/>
        <v/>
      </c>
      <c r="G209" s="16" t="str">
        <f t="shared" si="14"/>
        <v/>
      </c>
      <c r="H209" s="70" t="str">
        <f t="shared" si="15"/>
        <v/>
      </c>
    </row>
    <row r="210" spans="1:8">
      <c r="A210" s="2"/>
      <c r="B210" s="12"/>
      <c r="C210" s="12"/>
      <c r="D210" s="16" t="str">
        <f t="shared" si="12"/>
        <v/>
      </c>
      <c r="E210" t="str">
        <f>IF(D210="","",[1]!i_pq_tradedays($B$3,A211,A210)-1)</f>
        <v/>
      </c>
      <c r="F210" s="23" t="str">
        <f t="shared" si="13"/>
        <v/>
      </c>
      <c r="G210" s="16" t="str">
        <f t="shared" si="14"/>
        <v/>
      </c>
      <c r="H210" s="70" t="str">
        <f t="shared" si="15"/>
        <v/>
      </c>
    </row>
    <row r="211" spans="1:8">
      <c r="A211" s="2"/>
      <c r="B211" s="12"/>
      <c r="C211" s="12"/>
      <c r="D211" s="16" t="str">
        <f t="shared" si="12"/>
        <v/>
      </c>
      <c r="E211" t="str">
        <f>IF(D211="","",[1]!i_pq_tradedays($B$3,A212,A211)-1)</f>
        <v/>
      </c>
      <c r="F211" s="23" t="str">
        <f t="shared" si="13"/>
        <v/>
      </c>
      <c r="G211" s="16" t="str">
        <f t="shared" si="14"/>
        <v/>
      </c>
      <c r="H211" s="70" t="str">
        <f t="shared" si="15"/>
        <v/>
      </c>
    </row>
    <row r="212" spans="1:8">
      <c r="A212" s="2"/>
      <c r="B212" s="12"/>
      <c r="C212" s="12"/>
      <c r="D212" s="16" t="str">
        <f t="shared" si="12"/>
        <v/>
      </c>
      <c r="E212" t="str">
        <f>IF(D212="","",[1]!i_pq_tradedays($B$3,A213,A212)-1)</f>
        <v/>
      </c>
      <c r="F212" s="23" t="str">
        <f t="shared" si="13"/>
        <v/>
      </c>
      <c r="G212" s="16" t="str">
        <f t="shared" si="14"/>
        <v/>
      </c>
      <c r="H212" s="70" t="str">
        <f t="shared" si="15"/>
        <v/>
      </c>
    </row>
    <row r="213" spans="1:8">
      <c r="A213" s="2"/>
      <c r="B213" s="12"/>
      <c r="C213" s="12"/>
      <c r="D213" s="16" t="str">
        <f t="shared" si="12"/>
        <v/>
      </c>
      <c r="E213" t="str">
        <f>IF(D213="","",[1]!i_pq_tradedays($B$3,A214,A213)-1)</f>
        <v/>
      </c>
      <c r="F213" s="23" t="str">
        <f t="shared" si="13"/>
        <v/>
      </c>
      <c r="G213" s="16" t="str">
        <f t="shared" si="14"/>
        <v/>
      </c>
      <c r="H213" s="70" t="str">
        <f t="shared" si="15"/>
        <v/>
      </c>
    </row>
    <row r="214" spans="1:8">
      <c r="A214" s="2"/>
      <c r="B214" s="12"/>
      <c r="C214" s="12"/>
      <c r="D214" s="16" t="str">
        <f t="shared" si="12"/>
        <v/>
      </c>
      <c r="E214" t="str">
        <f>IF(D214="","",[1]!i_pq_tradedays($B$3,A215,A214)-1)</f>
        <v/>
      </c>
      <c r="F214" s="23" t="str">
        <f t="shared" si="13"/>
        <v/>
      </c>
      <c r="G214" s="16" t="str">
        <f t="shared" si="14"/>
        <v/>
      </c>
      <c r="H214" s="70" t="str">
        <f t="shared" si="15"/>
        <v/>
      </c>
    </row>
    <row r="215" spans="1:8">
      <c r="A215" s="2"/>
      <c r="B215" s="12"/>
      <c r="C215" s="12"/>
      <c r="D215" s="16" t="str">
        <f t="shared" si="12"/>
        <v/>
      </c>
      <c r="E215" t="str">
        <f>IF(D215="","",[1]!i_pq_tradedays($B$3,A216,A215)-1)</f>
        <v/>
      </c>
      <c r="F215" s="23" t="str">
        <f t="shared" si="13"/>
        <v/>
      </c>
      <c r="G215" s="16" t="str">
        <f t="shared" si="14"/>
        <v/>
      </c>
      <c r="H215" s="70" t="str">
        <f t="shared" si="15"/>
        <v/>
      </c>
    </row>
    <row r="216" spans="1:8">
      <c r="A216" s="2"/>
      <c r="B216" s="12"/>
      <c r="C216" s="12"/>
      <c r="D216" s="16" t="str">
        <f t="shared" si="12"/>
        <v/>
      </c>
      <c r="E216" t="str">
        <f>IF(D216="","",[1]!i_pq_tradedays($B$3,A217,A216)-1)</f>
        <v/>
      </c>
      <c r="F216" s="23" t="str">
        <f t="shared" si="13"/>
        <v/>
      </c>
      <c r="G216" s="16" t="str">
        <f t="shared" si="14"/>
        <v/>
      </c>
      <c r="H216" s="70" t="str">
        <f t="shared" si="15"/>
        <v/>
      </c>
    </row>
    <row r="217" spans="1:8">
      <c r="A217" s="2"/>
      <c r="B217" s="12"/>
      <c r="C217" s="12"/>
      <c r="D217" s="16" t="str">
        <f t="shared" si="12"/>
        <v/>
      </c>
      <c r="E217" t="str">
        <f>IF(D217="","",[1]!i_pq_tradedays($B$3,A218,A217)-1)</f>
        <v/>
      </c>
      <c r="F217" s="23" t="str">
        <f t="shared" si="13"/>
        <v/>
      </c>
      <c r="G217" s="16" t="str">
        <f t="shared" si="14"/>
        <v/>
      </c>
      <c r="H217" s="70" t="str">
        <f t="shared" si="15"/>
        <v/>
      </c>
    </row>
    <row r="218" spans="1:8">
      <c r="A218" s="2"/>
      <c r="B218" s="12"/>
      <c r="C218" s="12"/>
      <c r="D218" s="16" t="str">
        <f t="shared" si="12"/>
        <v/>
      </c>
      <c r="E218" t="str">
        <f>IF(D218="","",[1]!i_pq_tradedays($B$3,A219,A218)-1)</f>
        <v/>
      </c>
      <c r="F218" s="23" t="str">
        <f t="shared" si="13"/>
        <v/>
      </c>
      <c r="G218" s="16" t="str">
        <f t="shared" si="14"/>
        <v/>
      </c>
      <c r="H218" s="70" t="str">
        <f t="shared" si="15"/>
        <v/>
      </c>
    </row>
    <row r="219" spans="1:8">
      <c r="A219" s="2"/>
      <c r="B219" s="12"/>
      <c r="C219" s="12"/>
      <c r="D219" s="16" t="str">
        <f t="shared" si="12"/>
        <v/>
      </c>
      <c r="E219" t="str">
        <f>IF(D219="","",[1]!i_pq_tradedays($B$3,A220,A219)-1)</f>
        <v/>
      </c>
      <c r="F219" s="23" t="str">
        <f t="shared" si="13"/>
        <v/>
      </c>
      <c r="G219" s="16" t="str">
        <f t="shared" si="14"/>
        <v/>
      </c>
      <c r="H219" s="70" t="str">
        <f t="shared" si="15"/>
        <v/>
      </c>
    </row>
    <row r="220" spans="1:8">
      <c r="A220" s="2"/>
      <c r="B220" s="12"/>
      <c r="C220" s="12"/>
      <c r="D220" s="16" t="str">
        <f t="shared" si="12"/>
        <v/>
      </c>
      <c r="E220" t="str">
        <f>IF(D220="","",[1]!i_pq_tradedays($B$3,A221,A220)-1)</f>
        <v/>
      </c>
      <c r="F220" s="23" t="str">
        <f t="shared" si="13"/>
        <v/>
      </c>
      <c r="G220" s="16" t="str">
        <f t="shared" si="14"/>
        <v/>
      </c>
      <c r="H220" s="70" t="str">
        <f t="shared" si="15"/>
        <v/>
      </c>
    </row>
    <row r="221" spans="1:8">
      <c r="A221" s="2"/>
      <c r="B221" s="12"/>
      <c r="C221" s="12"/>
      <c r="D221" s="16" t="str">
        <f t="shared" si="12"/>
        <v/>
      </c>
      <c r="E221" t="str">
        <f>IF(D221="","",[1]!i_pq_tradedays($B$3,A222,A221)-1)</f>
        <v/>
      </c>
      <c r="F221" s="23" t="str">
        <f t="shared" si="13"/>
        <v/>
      </c>
      <c r="G221" s="16" t="str">
        <f t="shared" si="14"/>
        <v/>
      </c>
      <c r="H221" s="70" t="str">
        <f t="shared" si="15"/>
        <v/>
      </c>
    </row>
    <row r="222" spans="1:8">
      <c r="A222" s="2"/>
      <c r="B222" s="12"/>
      <c r="C222" s="12"/>
      <c r="D222" s="16" t="str">
        <f t="shared" si="12"/>
        <v/>
      </c>
      <c r="E222" t="str">
        <f>IF(D222="","",[1]!i_pq_tradedays($B$3,A223,A222)-1)</f>
        <v/>
      </c>
      <c r="F222" s="23" t="str">
        <f t="shared" si="13"/>
        <v/>
      </c>
      <c r="G222" s="16" t="str">
        <f t="shared" si="14"/>
        <v/>
      </c>
      <c r="H222" s="70" t="str">
        <f t="shared" si="15"/>
        <v/>
      </c>
    </row>
    <row r="223" spans="1:8">
      <c r="A223" s="2"/>
      <c r="B223" s="12"/>
      <c r="C223" s="12"/>
      <c r="D223" s="16" t="str">
        <f t="shared" si="12"/>
        <v/>
      </c>
      <c r="E223" t="str">
        <f>IF(D223="","",[1]!i_pq_tradedays($B$3,A224,A223)-1)</f>
        <v/>
      </c>
      <c r="F223" s="23" t="str">
        <f t="shared" si="13"/>
        <v/>
      </c>
      <c r="G223" s="16" t="str">
        <f t="shared" si="14"/>
        <v/>
      </c>
      <c r="H223" s="70" t="str">
        <f t="shared" si="15"/>
        <v/>
      </c>
    </row>
    <row r="224" spans="1:8">
      <c r="A224" s="2"/>
      <c r="B224" s="12"/>
      <c r="C224" s="12"/>
      <c r="D224" s="16" t="str">
        <f t="shared" si="12"/>
        <v/>
      </c>
      <c r="E224" t="str">
        <f>IF(D224="","",[1]!i_pq_tradedays($B$3,A225,A224)-1)</f>
        <v/>
      </c>
      <c r="F224" s="23" t="str">
        <f t="shared" si="13"/>
        <v/>
      </c>
      <c r="G224" s="16" t="str">
        <f t="shared" si="14"/>
        <v/>
      </c>
      <c r="H224" s="70" t="str">
        <f t="shared" si="15"/>
        <v/>
      </c>
    </row>
    <row r="225" spans="1:8">
      <c r="A225" s="2"/>
      <c r="B225" s="12"/>
      <c r="C225" s="12"/>
      <c r="D225" s="16" t="str">
        <f t="shared" si="12"/>
        <v/>
      </c>
      <c r="E225" t="str">
        <f>IF(D225="","",[1]!i_pq_tradedays($B$3,A226,A225)-1)</f>
        <v/>
      </c>
      <c r="F225" s="23" t="str">
        <f t="shared" si="13"/>
        <v/>
      </c>
      <c r="G225" s="16" t="str">
        <f t="shared" si="14"/>
        <v/>
      </c>
      <c r="H225" s="70" t="str">
        <f t="shared" si="15"/>
        <v/>
      </c>
    </row>
    <row r="226" spans="1:8">
      <c r="A226" s="2"/>
      <c r="B226" s="12"/>
      <c r="C226" s="12"/>
      <c r="D226" s="16" t="str">
        <f t="shared" si="12"/>
        <v/>
      </c>
      <c r="E226" t="str">
        <f>IF(D226="","",[1]!i_pq_tradedays($B$3,A227,A226)-1)</f>
        <v/>
      </c>
      <c r="F226" s="23" t="str">
        <f t="shared" si="13"/>
        <v/>
      </c>
      <c r="G226" s="16" t="str">
        <f t="shared" si="14"/>
        <v/>
      </c>
      <c r="H226" s="70" t="str">
        <f t="shared" si="15"/>
        <v/>
      </c>
    </row>
    <row r="227" spans="1:8">
      <c r="A227" s="2"/>
      <c r="B227" s="12"/>
      <c r="C227" s="12"/>
      <c r="D227" s="16" t="str">
        <f t="shared" si="12"/>
        <v/>
      </c>
      <c r="E227" t="str">
        <f>IF(D227="","",[1]!i_pq_tradedays($B$3,A228,A227)-1)</f>
        <v/>
      </c>
      <c r="F227" s="23" t="str">
        <f t="shared" si="13"/>
        <v/>
      </c>
      <c r="G227" s="16" t="str">
        <f t="shared" si="14"/>
        <v/>
      </c>
      <c r="H227" s="70" t="str">
        <f t="shared" si="15"/>
        <v/>
      </c>
    </row>
    <row r="228" spans="1:8">
      <c r="A228" s="2"/>
      <c r="B228" s="12"/>
      <c r="C228" s="12"/>
      <c r="D228" s="16" t="str">
        <f t="shared" si="12"/>
        <v/>
      </c>
      <c r="E228" t="str">
        <f>IF(D228="","",[1]!i_pq_tradedays($B$3,A229,A228)-1)</f>
        <v/>
      </c>
      <c r="F228" s="23" t="str">
        <f t="shared" si="13"/>
        <v/>
      </c>
      <c r="G228" s="16" t="str">
        <f t="shared" si="14"/>
        <v/>
      </c>
      <c r="H228" s="70" t="str">
        <f t="shared" si="15"/>
        <v/>
      </c>
    </row>
    <row r="229" spans="1:8">
      <c r="A229" s="2"/>
      <c r="B229" s="12"/>
      <c r="C229" s="12"/>
      <c r="D229" s="16" t="str">
        <f t="shared" si="12"/>
        <v/>
      </c>
      <c r="E229" t="str">
        <f>IF(D229="","",[1]!i_pq_tradedays($B$3,A230,A229)-1)</f>
        <v/>
      </c>
      <c r="F229" s="23" t="str">
        <f t="shared" si="13"/>
        <v/>
      </c>
      <c r="G229" s="16" t="str">
        <f t="shared" si="14"/>
        <v/>
      </c>
      <c r="H229" s="70" t="str">
        <f t="shared" si="15"/>
        <v/>
      </c>
    </row>
    <row r="230" spans="1:8">
      <c r="A230" s="2"/>
      <c r="B230" s="12"/>
      <c r="C230" s="12"/>
      <c r="D230" s="16" t="str">
        <f t="shared" si="12"/>
        <v/>
      </c>
      <c r="E230" t="str">
        <f>IF(D230="","",[1]!i_pq_tradedays($B$3,A231,A230)-1)</f>
        <v/>
      </c>
      <c r="F230" s="23" t="str">
        <f t="shared" si="13"/>
        <v/>
      </c>
      <c r="G230" s="16" t="str">
        <f t="shared" si="14"/>
        <v/>
      </c>
      <c r="H230" s="70" t="str">
        <f t="shared" si="15"/>
        <v/>
      </c>
    </row>
    <row r="231" spans="1:8">
      <c r="A231" s="2"/>
      <c r="B231" s="12"/>
      <c r="C231" s="12"/>
      <c r="D231" s="16" t="str">
        <f t="shared" si="12"/>
        <v/>
      </c>
      <c r="E231" t="str">
        <f>IF(D231="","",[1]!i_pq_tradedays($B$3,A232,A231)-1)</f>
        <v/>
      </c>
      <c r="F231" s="23" t="str">
        <f t="shared" si="13"/>
        <v/>
      </c>
      <c r="G231" s="16" t="str">
        <f t="shared" si="14"/>
        <v/>
      </c>
      <c r="H231" s="70" t="str">
        <f t="shared" si="15"/>
        <v/>
      </c>
    </row>
    <row r="232" spans="1:8">
      <c r="A232" s="2"/>
      <c r="B232" s="12"/>
      <c r="C232" s="12"/>
      <c r="D232" s="16" t="str">
        <f t="shared" si="12"/>
        <v/>
      </c>
      <c r="E232" t="str">
        <f>IF(D232="","",[1]!i_pq_tradedays($B$3,A233,A232)-1)</f>
        <v/>
      </c>
      <c r="F232" s="23" t="str">
        <f t="shared" si="13"/>
        <v/>
      </c>
      <c r="G232" s="16" t="str">
        <f t="shared" si="14"/>
        <v/>
      </c>
      <c r="H232" s="70" t="str">
        <f t="shared" si="15"/>
        <v/>
      </c>
    </row>
    <row r="233" spans="1:8">
      <c r="A233" s="2"/>
      <c r="B233" s="12"/>
      <c r="C233" s="12"/>
      <c r="D233" s="16" t="str">
        <f t="shared" si="12"/>
        <v/>
      </c>
      <c r="E233" t="str">
        <f>IF(D233="","",[1]!i_pq_tradedays($B$3,A234,A233)-1)</f>
        <v/>
      </c>
      <c r="F233" s="23" t="str">
        <f t="shared" si="13"/>
        <v/>
      </c>
      <c r="G233" s="16" t="str">
        <f t="shared" si="14"/>
        <v/>
      </c>
      <c r="H233" s="70" t="str">
        <f t="shared" si="15"/>
        <v/>
      </c>
    </row>
    <row r="234" spans="1:8">
      <c r="A234" s="2"/>
      <c r="B234" s="12"/>
      <c r="C234" s="12"/>
      <c r="D234" s="16" t="str">
        <f t="shared" si="12"/>
        <v/>
      </c>
      <c r="E234" t="str">
        <f>IF(D234="","",[1]!i_pq_tradedays($B$3,A235,A234)-1)</f>
        <v/>
      </c>
      <c r="F234" s="23" t="str">
        <f t="shared" si="13"/>
        <v/>
      </c>
      <c r="G234" s="16" t="str">
        <f t="shared" si="14"/>
        <v/>
      </c>
      <c r="H234" s="70" t="str">
        <f t="shared" si="15"/>
        <v/>
      </c>
    </row>
    <row r="235" spans="1:8">
      <c r="A235" s="2"/>
      <c r="B235" s="12"/>
      <c r="C235" s="12"/>
      <c r="D235" s="16" t="str">
        <f t="shared" si="12"/>
        <v/>
      </c>
      <c r="E235" t="str">
        <f>IF(D235="","",[1]!i_pq_tradedays($B$3,A236,A235)-1)</f>
        <v/>
      </c>
      <c r="F235" s="23" t="str">
        <f t="shared" si="13"/>
        <v/>
      </c>
      <c r="G235" s="16" t="str">
        <f t="shared" si="14"/>
        <v/>
      </c>
      <c r="H235" s="70" t="str">
        <f t="shared" si="15"/>
        <v/>
      </c>
    </row>
    <row r="236" spans="1:8">
      <c r="A236" s="2"/>
      <c r="B236" s="12"/>
      <c r="C236" s="12"/>
      <c r="D236" s="16" t="str">
        <f t="shared" si="12"/>
        <v/>
      </c>
      <c r="E236" t="str">
        <f>IF(D236="","",[1]!i_pq_tradedays($B$3,A237,A236)-1)</f>
        <v/>
      </c>
      <c r="F236" s="23" t="str">
        <f t="shared" si="13"/>
        <v/>
      </c>
      <c r="G236" s="16" t="str">
        <f t="shared" si="14"/>
        <v/>
      </c>
      <c r="H236" s="70" t="str">
        <f t="shared" si="15"/>
        <v/>
      </c>
    </row>
    <row r="237" spans="1:8">
      <c r="A237" s="2"/>
      <c r="B237" s="12"/>
      <c r="C237" s="12"/>
      <c r="D237" s="16" t="str">
        <f t="shared" si="12"/>
        <v/>
      </c>
      <c r="E237" t="str">
        <f>IF(D237="","",[1]!i_pq_tradedays($B$3,A238,A237)-1)</f>
        <v/>
      </c>
      <c r="F237" s="23" t="str">
        <f t="shared" si="13"/>
        <v/>
      </c>
      <c r="G237" s="16" t="str">
        <f t="shared" si="14"/>
        <v/>
      </c>
      <c r="H237" s="70" t="str">
        <f t="shared" si="15"/>
        <v/>
      </c>
    </row>
    <row r="238" spans="1:8">
      <c r="A238" s="2"/>
      <c r="B238" s="12"/>
      <c r="C238" s="12"/>
      <c r="D238" s="16" t="str">
        <f t="shared" si="12"/>
        <v/>
      </c>
      <c r="E238" t="str">
        <f>IF(D238="","",[1]!i_pq_tradedays($B$3,A239,A238)-1)</f>
        <v/>
      </c>
      <c r="F238" s="23" t="str">
        <f t="shared" si="13"/>
        <v/>
      </c>
      <c r="G238" s="16" t="str">
        <f t="shared" si="14"/>
        <v/>
      </c>
      <c r="H238" s="70" t="str">
        <f t="shared" si="15"/>
        <v/>
      </c>
    </row>
    <row r="239" spans="1:8">
      <c r="A239" s="2"/>
      <c r="B239" s="12"/>
      <c r="C239" s="12"/>
      <c r="D239" s="16" t="str">
        <f t="shared" si="12"/>
        <v/>
      </c>
      <c r="E239" t="str">
        <f>IF(D239="","",[1]!i_pq_tradedays($B$3,A240,A239)-1)</f>
        <v/>
      </c>
      <c r="F239" s="23" t="str">
        <f t="shared" si="13"/>
        <v/>
      </c>
      <c r="G239" s="16" t="str">
        <f t="shared" si="14"/>
        <v/>
      </c>
      <c r="H239" s="70" t="str">
        <f t="shared" si="15"/>
        <v/>
      </c>
    </row>
    <row r="240" spans="1:8">
      <c r="A240" s="2"/>
      <c r="B240" s="12"/>
      <c r="C240" s="12"/>
      <c r="D240" s="16" t="str">
        <f t="shared" si="12"/>
        <v/>
      </c>
      <c r="E240" t="str">
        <f>IF(D240="","",[1]!i_pq_tradedays($B$3,A241,A240)-1)</f>
        <v/>
      </c>
      <c r="F240" s="23" t="str">
        <f t="shared" si="13"/>
        <v/>
      </c>
      <c r="G240" s="16" t="str">
        <f t="shared" si="14"/>
        <v/>
      </c>
      <c r="H240" s="70" t="str">
        <f t="shared" si="15"/>
        <v/>
      </c>
    </row>
    <row r="241" spans="1:8">
      <c r="A241" s="2"/>
      <c r="B241" s="12"/>
      <c r="C241" s="12"/>
      <c r="D241" s="16" t="str">
        <f t="shared" si="12"/>
        <v/>
      </c>
      <c r="E241" t="str">
        <f>IF(D241="","",[1]!i_pq_tradedays($B$3,A242,A241)-1)</f>
        <v/>
      </c>
      <c r="F241" s="23" t="str">
        <f t="shared" si="13"/>
        <v/>
      </c>
      <c r="G241" s="16" t="str">
        <f t="shared" si="14"/>
        <v/>
      </c>
      <c r="H241" s="70" t="str">
        <f t="shared" si="15"/>
        <v/>
      </c>
    </row>
    <row r="242" spans="1:8">
      <c r="A242" s="2"/>
      <c r="B242" s="12"/>
      <c r="C242" s="12"/>
      <c r="D242" s="16" t="str">
        <f t="shared" si="12"/>
        <v/>
      </c>
      <c r="E242" t="str">
        <f>IF(D242="","",[1]!i_pq_tradedays($B$3,A243,A242)-1)</f>
        <v/>
      </c>
      <c r="F242" s="23" t="str">
        <f t="shared" si="13"/>
        <v/>
      </c>
      <c r="G242" s="16" t="str">
        <f t="shared" si="14"/>
        <v/>
      </c>
      <c r="H242" s="70" t="str">
        <f t="shared" si="15"/>
        <v/>
      </c>
    </row>
    <row r="243" spans="1:8">
      <c r="A243" s="2"/>
      <c r="B243" s="12"/>
      <c r="C243" s="12"/>
      <c r="D243" s="16" t="str">
        <f t="shared" si="12"/>
        <v/>
      </c>
      <c r="E243" t="str">
        <f>IF(D243="","",[1]!i_pq_tradedays($B$3,A244,A243)-1)</f>
        <v/>
      </c>
      <c r="F243" s="23" t="str">
        <f t="shared" si="13"/>
        <v/>
      </c>
      <c r="G243" s="16" t="str">
        <f t="shared" si="14"/>
        <v/>
      </c>
      <c r="H243" s="70" t="str">
        <f t="shared" si="15"/>
        <v/>
      </c>
    </row>
    <row r="244" spans="1:8">
      <c r="A244" s="2"/>
      <c r="B244" s="12"/>
      <c r="C244" s="12"/>
      <c r="D244" s="16" t="str">
        <f t="shared" si="12"/>
        <v/>
      </c>
      <c r="E244" t="str">
        <f>IF(D244="","",[1]!i_pq_tradedays($B$3,A245,A244)-1)</f>
        <v/>
      </c>
      <c r="F244" s="23" t="str">
        <f t="shared" si="13"/>
        <v/>
      </c>
      <c r="G244" s="16" t="str">
        <f t="shared" si="14"/>
        <v/>
      </c>
      <c r="H244" s="70" t="str">
        <f t="shared" si="15"/>
        <v/>
      </c>
    </row>
    <row r="245" spans="1:8">
      <c r="A245" s="2"/>
      <c r="B245" s="12"/>
      <c r="C245" s="12"/>
      <c r="D245" s="16" t="str">
        <f t="shared" si="12"/>
        <v/>
      </c>
      <c r="E245" t="str">
        <f>IF(D245="","",[1]!i_pq_tradedays($B$3,A246,A245)-1)</f>
        <v/>
      </c>
      <c r="F245" s="23" t="str">
        <f t="shared" si="13"/>
        <v/>
      </c>
      <c r="G245" s="16" t="str">
        <f t="shared" si="14"/>
        <v/>
      </c>
      <c r="H245" s="70" t="str">
        <f t="shared" si="15"/>
        <v/>
      </c>
    </row>
    <row r="246" spans="1:8">
      <c r="A246" s="2"/>
      <c r="B246" s="12"/>
      <c r="C246" s="12"/>
      <c r="D246" s="16" t="str">
        <f t="shared" si="12"/>
        <v/>
      </c>
      <c r="E246" t="str">
        <f>IF(D246="","",[1]!i_pq_tradedays($B$3,A247,A246)-1)</f>
        <v/>
      </c>
      <c r="F246" s="23" t="str">
        <f t="shared" si="13"/>
        <v/>
      </c>
      <c r="G246" s="16" t="str">
        <f t="shared" si="14"/>
        <v/>
      </c>
      <c r="H246" s="70" t="str">
        <f t="shared" si="15"/>
        <v/>
      </c>
    </row>
    <row r="247" spans="1:8">
      <c r="A247" s="2"/>
      <c r="B247" s="12"/>
      <c r="C247" s="12"/>
      <c r="D247" s="16" t="str">
        <f t="shared" si="12"/>
        <v/>
      </c>
      <c r="E247" t="str">
        <f>IF(D247="","",[1]!i_pq_tradedays($B$3,A248,A247)-1)</f>
        <v/>
      </c>
      <c r="F247" s="23" t="str">
        <f t="shared" si="13"/>
        <v/>
      </c>
      <c r="G247" s="16" t="str">
        <f t="shared" si="14"/>
        <v/>
      </c>
      <c r="H247" s="70" t="str">
        <f t="shared" si="15"/>
        <v/>
      </c>
    </row>
    <row r="248" spans="1:8">
      <c r="A248" s="2"/>
      <c r="B248" s="12"/>
      <c r="C248" s="12"/>
      <c r="D248" s="16" t="str">
        <f t="shared" si="12"/>
        <v/>
      </c>
      <c r="E248" t="str">
        <f>IF(D248="","",[1]!i_pq_tradedays($B$3,A249,A248)-1)</f>
        <v/>
      </c>
      <c r="F248" s="23" t="str">
        <f t="shared" si="13"/>
        <v/>
      </c>
      <c r="G248" s="16" t="str">
        <f t="shared" si="14"/>
        <v/>
      </c>
      <c r="H248" s="70" t="str">
        <f t="shared" si="15"/>
        <v/>
      </c>
    </row>
    <row r="249" spans="1:8">
      <c r="A249" s="2"/>
      <c r="B249" s="12"/>
      <c r="C249" s="12"/>
      <c r="D249" s="16" t="str">
        <f t="shared" si="12"/>
        <v/>
      </c>
      <c r="E249" t="str">
        <f>IF(D249="","",[1]!i_pq_tradedays($B$3,A250,A249)-1)</f>
        <v/>
      </c>
      <c r="F249" s="23" t="str">
        <f t="shared" si="13"/>
        <v/>
      </c>
      <c r="G249" s="16" t="str">
        <f t="shared" si="14"/>
        <v/>
      </c>
      <c r="H249" s="70" t="str">
        <f t="shared" si="15"/>
        <v/>
      </c>
    </row>
    <row r="250" spans="1:8">
      <c r="A250" s="2"/>
      <c r="B250" s="12"/>
      <c r="C250" s="12"/>
      <c r="D250" s="16" t="str">
        <f t="shared" si="12"/>
        <v/>
      </c>
      <c r="E250" t="str">
        <f>IF(D250="","",[1]!i_pq_tradedays($B$3,A251,A250)-1)</f>
        <v/>
      </c>
      <c r="F250" s="23" t="str">
        <f t="shared" si="13"/>
        <v/>
      </c>
      <c r="G250" s="16" t="str">
        <f t="shared" si="14"/>
        <v/>
      </c>
      <c r="H250" s="70" t="str">
        <f t="shared" si="15"/>
        <v/>
      </c>
    </row>
    <row r="251" spans="1:8">
      <c r="A251" s="2"/>
      <c r="B251" s="12"/>
      <c r="C251" s="12"/>
      <c r="D251" s="16" t="str">
        <f t="shared" si="12"/>
        <v/>
      </c>
      <c r="E251" t="str">
        <f>IF(D251="","",[1]!i_pq_tradedays($B$3,A252,A251)-1)</f>
        <v/>
      </c>
      <c r="F251" s="23" t="str">
        <f t="shared" si="13"/>
        <v/>
      </c>
      <c r="G251" s="16" t="str">
        <f t="shared" si="14"/>
        <v/>
      </c>
      <c r="H251" s="70" t="str">
        <f t="shared" si="15"/>
        <v/>
      </c>
    </row>
    <row r="252" spans="1:8">
      <c r="A252" s="2"/>
      <c r="B252" s="12"/>
      <c r="C252" s="12"/>
      <c r="D252" s="16" t="str">
        <f t="shared" si="12"/>
        <v/>
      </c>
      <c r="E252" t="str">
        <f>IF(D252="","",[1]!i_pq_tradedays($B$3,A253,A252)-1)</f>
        <v/>
      </c>
      <c r="F252" s="23" t="str">
        <f t="shared" si="13"/>
        <v/>
      </c>
      <c r="G252" s="16" t="str">
        <f t="shared" si="14"/>
        <v/>
      </c>
      <c r="H252" s="70" t="str">
        <f t="shared" si="15"/>
        <v/>
      </c>
    </row>
    <row r="253" spans="1:8">
      <c r="A253" s="2"/>
      <c r="B253" s="12"/>
      <c r="C253" s="12"/>
      <c r="D253" s="16" t="str">
        <f t="shared" si="12"/>
        <v/>
      </c>
      <c r="E253" t="str">
        <f>IF(D253="","",[1]!i_pq_tradedays($B$3,A254,A253)-1)</f>
        <v/>
      </c>
      <c r="F253" s="23" t="str">
        <f t="shared" si="13"/>
        <v/>
      </c>
      <c r="G253" s="16" t="str">
        <f t="shared" si="14"/>
        <v/>
      </c>
      <c r="H253" s="70" t="str">
        <f t="shared" si="15"/>
        <v/>
      </c>
    </row>
    <row r="254" spans="1:8">
      <c r="A254" s="2"/>
      <c r="B254" s="12"/>
      <c r="C254" s="12"/>
      <c r="D254" s="16" t="str">
        <f t="shared" si="12"/>
        <v/>
      </c>
      <c r="E254" t="str">
        <f>IF(D254="","",[1]!i_pq_tradedays($B$3,A255,A254)-1)</f>
        <v/>
      </c>
      <c r="F254" s="23" t="str">
        <f t="shared" si="13"/>
        <v/>
      </c>
      <c r="G254" s="16" t="str">
        <f t="shared" si="14"/>
        <v/>
      </c>
      <c r="H254" s="70" t="str">
        <f t="shared" si="15"/>
        <v/>
      </c>
    </row>
    <row r="255" spans="1:8">
      <c r="A255" s="2"/>
      <c r="B255" s="12"/>
      <c r="C255" s="12"/>
      <c r="D255" s="16" t="str">
        <f t="shared" si="12"/>
        <v/>
      </c>
      <c r="E255" t="str">
        <f>IF(D255="","",[1]!i_pq_tradedays($B$3,A256,A255)-1)</f>
        <v/>
      </c>
      <c r="F255" s="23" t="str">
        <f t="shared" si="13"/>
        <v/>
      </c>
      <c r="G255" s="16" t="str">
        <f t="shared" si="14"/>
        <v/>
      </c>
      <c r="H255" s="70" t="str">
        <f t="shared" si="15"/>
        <v/>
      </c>
    </row>
    <row r="256" spans="1:8">
      <c r="A256" s="2"/>
      <c r="B256" s="12"/>
      <c r="C256" s="12"/>
      <c r="D256" s="16" t="str">
        <f t="shared" si="12"/>
        <v/>
      </c>
      <c r="E256" t="str">
        <f>IF(D256="","",[1]!i_pq_tradedays($B$3,A257,A256)-1)</f>
        <v/>
      </c>
      <c r="F256" s="23" t="str">
        <f t="shared" si="13"/>
        <v/>
      </c>
      <c r="G256" s="16" t="str">
        <f t="shared" si="14"/>
        <v/>
      </c>
      <c r="H256" s="70" t="str">
        <f t="shared" si="15"/>
        <v/>
      </c>
    </row>
    <row r="257" spans="1:8">
      <c r="A257" s="2"/>
      <c r="B257" s="12"/>
      <c r="C257" s="12"/>
      <c r="D257" s="16" t="str">
        <f t="shared" si="12"/>
        <v/>
      </c>
      <c r="E257" t="str">
        <f>IF(D257="","",[1]!i_pq_tradedays($B$3,A258,A257)-1)</f>
        <v/>
      </c>
      <c r="F257" s="23" t="str">
        <f t="shared" si="13"/>
        <v/>
      </c>
      <c r="G257" s="16" t="str">
        <f t="shared" si="14"/>
        <v/>
      </c>
      <c r="H257" s="70" t="str">
        <f t="shared" si="15"/>
        <v/>
      </c>
    </row>
    <row r="258" spans="1:8">
      <c r="A258" s="2"/>
      <c r="B258" s="12"/>
      <c r="C258" s="12"/>
      <c r="D258" s="16" t="str">
        <f t="shared" si="12"/>
        <v/>
      </c>
      <c r="E258" t="str">
        <f>IF(D258="","",[1]!i_pq_tradedays($B$3,A259,A258)-1)</f>
        <v/>
      </c>
      <c r="F258" s="23" t="str">
        <f t="shared" si="13"/>
        <v/>
      </c>
      <c r="G258" s="16" t="str">
        <f t="shared" si="14"/>
        <v/>
      </c>
      <c r="H258" s="70" t="str">
        <f t="shared" si="15"/>
        <v/>
      </c>
    </row>
    <row r="259" spans="1:8">
      <c r="A259" s="2"/>
      <c r="B259" s="12"/>
      <c r="C259" s="12"/>
      <c r="D259" s="16" t="str">
        <f t="shared" si="12"/>
        <v/>
      </c>
      <c r="E259" t="str">
        <f>IF(D259="","",[1]!i_pq_tradedays($B$3,A260,A259)-1)</f>
        <v/>
      </c>
      <c r="F259" s="23" t="str">
        <f t="shared" si="13"/>
        <v/>
      </c>
      <c r="G259" s="16" t="str">
        <f t="shared" si="14"/>
        <v/>
      </c>
      <c r="H259" s="70" t="str">
        <f t="shared" si="15"/>
        <v/>
      </c>
    </row>
    <row r="260" spans="1:8">
      <c r="A260" s="2"/>
      <c r="B260" s="12"/>
      <c r="C260" s="12"/>
      <c r="D260" s="16" t="str">
        <f t="shared" si="12"/>
        <v/>
      </c>
      <c r="E260" t="str">
        <f>IF(D260="","",[1]!i_pq_tradedays($B$3,A261,A260)-1)</f>
        <v/>
      </c>
      <c r="F260" s="23" t="str">
        <f t="shared" si="13"/>
        <v/>
      </c>
      <c r="G260" s="16" t="str">
        <f t="shared" si="14"/>
        <v/>
      </c>
      <c r="H260" s="70" t="str">
        <f t="shared" si="15"/>
        <v/>
      </c>
    </row>
    <row r="261" spans="1:8">
      <c r="A261" s="2"/>
      <c r="B261" s="12"/>
      <c r="C261" s="12"/>
      <c r="D261" s="16" t="str">
        <f t="shared" si="12"/>
        <v/>
      </c>
      <c r="E261" t="str">
        <f>IF(D261="","",[1]!i_pq_tradedays($B$3,A262,A261)-1)</f>
        <v/>
      </c>
      <c r="F261" s="23" t="str">
        <f t="shared" si="13"/>
        <v/>
      </c>
      <c r="G261" s="16" t="str">
        <f t="shared" si="14"/>
        <v/>
      </c>
      <c r="H261" s="70" t="str">
        <f t="shared" si="15"/>
        <v/>
      </c>
    </row>
    <row r="262" spans="1:8">
      <c r="A262" s="2"/>
      <c r="B262" s="12"/>
      <c r="C262" s="12"/>
      <c r="D262" s="16" t="str">
        <f t="shared" ref="D262:D325" si="16">IF(B262+C262=0,"",B262+C262)</f>
        <v/>
      </c>
      <c r="E262" t="str">
        <f>IF(D262="","",[1]!i_pq_tradedays($B$3,A263,A262)-1)</f>
        <v/>
      </c>
      <c r="F262" s="23" t="str">
        <f t="shared" ref="F262:F325" si="17">IF(D262="","",A262)</f>
        <v/>
      </c>
      <c r="G262" s="16" t="str">
        <f t="shared" ref="G262:G325" si="18">IF(D262="","",D262/E262)</f>
        <v/>
      </c>
      <c r="H262" s="70" t="str">
        <f t="shared" ref="H262:H325" si="19">IF(D262="","",G262/G263-1)</f>
        <v/>
      </c>
    </row>
    <row r="263" spans="1:8">
      <c r="A263" s="2"/>
      <c r="B263" s="12"/>
      <c r="C263" s="12"/>
      <c r="D263" s="16" t="str">
        <f t="shared" si="16"/>
        <v/>
      </c>
      <c r="E263" t="str">
        <f>IF(D263="","",[1]!i_pq_tradedays($B$3,A264,A263)-1)</f>
        <v/>
      </c>
      <c r="F263" s="23" t="str">
        <f t="shared" si="17"/>
        <v/>
      </c>
      <c r="G263" s="16" t="str">
        <f t="shared" si="18"/>
        <v/>
      </c>
      <c r="H263" s="70" t="str">
        <f t="shared" si="19"/>
        <v/>
      </c>
    </row>
    <row r="264" spans="1:8">
      <c r="A264" s="2"/>
      <c r="B264" s="12"/>
      <c r="C264" s="12"/>
      <c r="D264" s="16" t="str">
        <f t="shared" si="16"/>
        <v/>
      </c>
      <c r="E264" t="str">
        <f>IF(D264="","",[1]!i_pq_tradedays($B$3,A265,A264)-1)</f>
        <v/>
      </c>
      <c r="F264" s="23" t="str">
        <f t="shared" si="17"/>
        <v/>
      </c>
      <c r="G264" s="16" t="str">
        <f t="shared" si="18"/>
        <v/>
      </c>
      <c r="H264" s="70" t="str">
        <f t="shared" si="19"/>
        <v/>
      </c>
    </row>
    <row r="265" spans="1:8">
      <c r="A265" s="2"/>
      <c r="B265" s="12"/>
      <c r="C265" s="12"/>
      <c r="D265" s="16" t="str">
        <f t="shared" si="16"/>
        <v/>
      </c>
      <c r="E265" t="str">
        <f>IF(D265="","",[1]!i_pq_tradedays($B$3,A266,A265)-1)</f>
        <v/>
      </c>
      <c r="F265" s="23" t="str">
        <f t="shared" si="17"/>
        <v/>
      </c>
      <c r="G265" s="16" t="str">
        <f t="shared" si="18"/>
        <v/>
      </c>
      <c r="H265" s="70" t="str">
        <f t="shared" si="19"/>
        <v/>
      </c>
    </row>
    <row r="266" spans="1:8">
      <c r="A266" s="2"/>
      <c r="B266" s="12"/>
      <c r="C266" s="12"/>
      <c r="D266" s="16" t="str">
        <f t="shared" si="16"/>
        <v/>
      </c>
      <c r="E266" t="str">
        <f>IF(D266="","",[1]!i_pq_tradedays($B$3,A267,A266)-1)</f>
        <v/>
      </c>
      <c r="F266" s="23" t="str">
        <f t="shared" si="17"/>
        <v/>
      </c>
      <c r="G266" s="16" t="str">
        <f t="shared" si="18"/>
        <v/>
      </c>
      <c r="H266" s="70" t="str">
        <f t="shared" si="19"/>
        <v/>
      </c>
    </row>
    <row r="267" spans="1:8">
      <c r="A267" s="2"/>
      <c r="B267" s="12"/>
      <c r="C267" s="12"/>
      <c r="D267" s="16" t="str">
        <f t="shared" si="16"/>
        <v/>
      </c>
      <c r="E267" t="str">
        <f>IF(D267="","",[1]!i_pq_tradedays($B$3,A268,A267)-1)</f>
        <v/>
      </c>
      <c r="F267" s="23" t="str">
        <f t="shared" si="17"/>
        <v/>
      </c>
      <c r="G267" s="16" t="str">
        <f t="shared" si="18"/>
        <v/>
      </c>
      <c r="H267" s="70" t="str">
        <f t="shared" si="19"/>
        <v/>
      </c>
    </row>
    <row r="268" spans="1:8">
      <c r="A268" s="2"/>
      <c r="B268" s="12"/>
      <c r="C268" s="12"/>
      <c r="D268" s="16" t="str">
        <f t="shared" si="16"/>
        <v/>
      </c>
      <c r="E268" t="str">
        <f>IF(D268="","",[1]!i_pq_tradedays($B$3,A269,A268)-1)</f>
        <v/>
      </c>
      <c r="F268" s="23" t="str">
        <f t="shared" si="17"/>
        <v/>
      </c>
      <c r="G268" s="16" t="str">
        <f t="shared" si="18"/>
        <v/>
      </c>
      <c r="H268" s="70" t="str">
        <f t="shared" si="19"/>
        <v/>
      </c>
    </row>
    <row r="269" spans="1:8">
      <c r="A269" s="2"/>
      <c r="B269" s="12"/>
      <c r="C269" s="12"/>
      <c r="D269" s="16" t="str">
        <f t="shared" si="16"/>
        <v/>
      </c>
      <c r="E269" t="str">
        <f>IF(D269="","",[1]!i_pq_tradedays($B$3,A270,A269)-1)</f>
        <v/>
      </c>
      <c r="F269" s="23" t="str">
        <f t="shared" si="17"/>
        <v/>
      </c>
      <c r="G269" s="16" t="str">
        <f t="shared" si="18"/>
        <v/>
      </c>
      <c r="H269" s="70" t="str">
        <f t="shared" si="19"/>
        <v/>
      </c>
    </row>
    <row r="270" spans="1:8">
      <c r="A270" s="2"/>
      <c r="B270" s="12"/>
      <c r="C270" s="12"/>
      <c r="D270" s="16" t="str">
        <f t="shared" si="16"/>
        <v/>
      </c>
      <c r="E270" t="str">
        <f>IF(D270="","",[1]!i_pq_tradedays($B$3,A271,A270)-1)</f>
        <v/>
      </c>
      <c r="F270" s="23" t="str">
        <f t="shared" si="17"/>
        <v/>
      </c>
      <c r="G270" s="16" t="str">
        <f t="shared" si="18"/>
        <v/>
      </c>
      <c r="H270" s="70" t="str">
        <f t="shared" si="19"/>
        <v/>
      </c>
    </row>
    <row r="271" spans="1:8">
      <c r="A271" s="2"/>
      <c r="B271" s="12"/>
      <c r="C271" s="12"/>
      <c r="D271" s="16" t="str">
        <f t="shared" si="16"/>
        <v/>
      </c>
      <c r="E271" t="str">
        <f>IF(D271="","",[1]!i_pq_tradedays($B$3,A272,A271)-1)</f>
        <v/>
      </c>
      <c r="F271" s="23" t="str">
        <f t="shared" si="17"/>
        <v/>
      </c>
      <c r="G271" s="16" t="str">
        <f t="shared" si="18"/>
        <v/>
      </c>
      <c r="H271" s="70" t="str">
        <f t="shared" si="19"/>
        <v/>
      </c>
    </row>
    <row r="272" spans="1:8">
      <c r="A272" s="2"/>
      <c r="B272" s="12"/>
      <c r="C272" s="12"/>
      <c r="D272" s="16" t="str">
        <f t="shared" si="16"/>
        <v/>
      </c>
      <c r="E272" t="str">
        <f>IF(D272="","",[1]!i_pq_tradedays($B$3,A273,A272)-1)</f>
        <v/>
      </c>
      <c r="F272" s="23" t="str">
        <f t="shared" si="17"/>
        <v/>
      </c>
      <c r="G272" s="16" t="str">
        <f t="shared" si="18"/>
        <v/>
      </c>
      <c r="H272" s="70" t="str">
        <f t="shared" si="19"/>
        <v/>
      </c>
    </row>
    <row r="273" spans="1:8">
      <c r="A273" s="2"/>
      <c r="B273" s="12"/>
      <c r="C273" s="12"/>
      <c r="D273" s="16" t="str">
        <f t="shared" si="16"/>
        <v/>
      </c>
      <c r="E273" t="str">
        <f>IF(D273="","",[1]!i_pq_tradedays($B$3,A274,A273)-1)</f>
        <v/>
      </c>
      <c r="F273" s="23" t="str">
        <f t="shared" si="17"/>
        <v/>
      </c>
      <c r="G273" s="16" t="str">
        <f t="shared" si="18"/>
        <v/>
      </c>
      <c r="H273" s="70" t="str">
        <f t="shared" si="19"/>
        <v/>
      </c>
    </row>
    <row r="274" spans="1:8">
      <c r="A274" s="2"/>
      <c r="B274" s="12"/>
      <c r="C274" s="12"/>
      <c r="D274" s="16" t="str">
        <f t="shared" si="16"/>
        <v/>
      </c>
      <c r="E274" t="str">
        <f>IF(D274="","",[1]!i_pq_tradedays($B$3,A275,A274)-1)</f>
        <v/>
      </c>
      <c r="F274" s="23" t="str">
        <f t="shared" si="17"/>
        <v/>
      </c>
      <c r="G274" s="16" t="str">
        <f t="shared" si="18"/>
        <v/>
      </c>
      <c r="H274" s="70" t="str">
        <f t="shared" si="19"/>
        <v/>
      </c>
    </row>
    <row r="275" spans="1:8">
      <c r="A275" s="2"/>
      <c r="B275" s="12"/>
      <c r="C275" s="12"/>
      <c r="D275" s="16" t="str">
        <f t="shared" si="16"/>
        <v/>
      </c>
      <c r="E275" t="str">
        <f>IF(D275="","",[1]!i_pq_tradedays($B$3,A276,A275)-1)</f>
        <v/>
      </c>
      <c r="F275" s="23" t="str">
        <f t="shared" si="17"/>
        <v/>
      </c>
      <c r="G275" s="16" t="str">
        <f t="shared" si="18"/>
        <v/>
      </c>
      <c r="H275" s="70" t="str">
        <f t="shared" si="19"/>
        <v/>
      </c>
    </row>
    <row r="276" spans="1:8">
      <c r="A276" s="2"/>
      <c r="B276" s="12"/>
      <c r="C276" s="12"/>
      <c r="D276" s="16" t="str">
        <f t="shared" si="16"/>
        <v/>
      </c>
      <c r="E276" t="str">
        <f>IF(D276="","",[1]!i_pq_tradedays($B$3,A277,A276)-1)</f>
        <v/>
      </c>
      <c r="F276" s="23" t="str">
        <f t="shared" si="17"/>
        <v/>
      </c>
      <c r="G276" s="16" t="str">
        <f t="shared" si="18"/>
        <v/>
      </c>
      <c r="H276" s="70" t="str">
        <f t="shared" si="19"/>
        <v/>
      </c>
    </row>
    <row r="277" spans="1:8">
      <c r="A277" s="2"/>
      <c r="B277" s="12"/>
      <c r="C277" s="12"/>
      <c r="D277" s="16" t="str">
        <f t="shared" si="16"/>
        <v/>
      </c>
      <c r="E277" t="str">
        <f>IF(D277="","",[1]!i_pq_tradedays($B$3,A278,A277)-1)</f>
        <v/>
      </c>
      <c r="F277" s="23" t="str">
        <f t="shared" si="17"/>
        <v/>
      </c>
      <c r="G277" s="16" t="str">
        <f t="shared" si="18"/>
        <v/>
      </c>
      <c r="H277" s="70" t="str">
        <f t="shared" si="19"/>
        <v/>
      </c>
    </row>
    <row r="278" spans="1:8">
      <c r="A278" s="2"/>
      <c r="B278" s="12"/>
      <c r="C278" s="12"/>
      <c r="D278" s="16" t="str">
        <f t="shared" si="16"/>
        <v/>
      </c>
      <c r="E278" t="str">
        <f>IF(D278="","",[1]!i_pq_tradedays($B$3,A279,A278)-1)</f>
        <v/>
      </c>
      <c r="F278" s="23" t="str">
        <f t="shared" si="17"/>
        <v/>
      </c>
      <c r="G278" s="16" t="str">
        <f t="shared" si="18"/>
        <v/>
      </c>
      <c r="H278" s="70" t="str">
        <f t="shared" si="19"/>
        <v/>
      </c>
    </row>
    <row r="279" spans="1:8">
      <c r="A279" s="2"/>
      <c r="B279" s="12"/>
      <c r="C279" s="12"/>
      <c r="D279" s="16" t="str">
        <f t="shared" si="16"/>
        <v/>
      </c>
      <c r="E279" t="str">
        <f>IF(D279="","",[1]!i_pq_tradedays($B$3,A280,A279)-1)</f>
        <v/>
      </c>
      <c r="F279" s="23" t="str">
        <f t="shared" si="17"/>
        <v/>
      </c>
      <c r="G279" s="16" t="str">
        <f t="shared" si="18"/>
        <v/>
      </c>
      <c r="H279" s="70" t="str">
        <f t="shared" si="19"/>
        <v/>
      </c>
    </row>
    <row r="280" spans="1:8">
      <c r="A280" s="2"/>
      <c r="B280" s="12"/>
      <c r="C280" s="12"/>
      <c r="D280" s="16" t="str">
        <f t="shared" si="16"/>
        <v/>
      </c>
      <c r="E280" t="str">
        <f>IF(D280="","",[1]!i_pq_tradedays($B$3,A281,A280)-1)</f>
        <v/>
      </c>
      <c r="F280" s="23" t="str">
        <f t="shared" si="17"/>
        <v/>
      </c>
      <c r="G280" s="16" t="str">
        <f t="shared" si="18"/>
        <v/>
      </c>
      <c r="H280" s="70" t="str">
        <f t="shared" si="19"/>
        <v/>
      </c>
    </row>
    <row r="281" spans="1:8">
      <c r="A281" s="2"/>
      <c r="B281" s="12"/>
      <c r="C281" s="12"/>
      <c r="D281" s="16" t="str">
        <f t="shared" si="16"/>
        <v/>
      </c>
      <c r="E281" t="str">
        <f>IF(D281="","",[1]!i_pq_tradedays($B$3,A282,A281)-1)</f>
        <v/>
      </c>
      <c r="F281" s="23" t="str">
        <f t="shared" si="17"/>
        <v/>
      </c>
      <c r="G281" s="16" t="str">
        <f t="shared" si="18"/>
        <v/>
      </c>
      <c r="H281" s="70" t="str">
        <f t="shared" si="19"/>
        <v/>
      </c>
    </row>
    <row r="282" spans="1:8">
      <c r="A282" s="2"/>
      <c r="B282" s="12"/>
      <c r="C282" s="12"/>
      <c r="D282" s="16" t="str">
        <f t="shared" si="16"/>
        <v/>
      </c>
      <c r="E282" t="str">
        <f>IF(D282="","",[1]!i_pq_tradedays($B$3,A283,A282)-1)</f>
        <v/>
      </c>
      <c r="F282" s="23" t="str">
        <f t="shared" si="17"/>
        <v/>
      </c>
      <c r="G282" s="16" t="str">
        <f t="shared" si="18"/>
        <v/>
      </c>
      <c r="H282" s="70" t="str">
        <f t="shared" si="19"/>
        <v/>
      </c>
    </row>
    <row r="283" spans="1:8">
      <c r="A283" s="2"/>
      <c r="B283" s="12"/>
      <c r="C283" s="12"/>
      <c r="D283" s="16" t="str">
        <f t="shared" si="16"/>
        <v/>
      </c>
      <c r="E283" t="str">
        <f>IF(D283="","",[1]!i_pq_tradedays($B$3,A284,A283)-1)</f>
        <v/>
      </c>
      <c r="F283" s="23" t="str">
        <f t="shared" si="17"/>
        <v/>
      </c>
      <c r="G283" s="16" t="str">
        <f t="shared" si="18"/>
        <v/>
      </c>
      <c r="H283" s="70" t="str">
        <f t="shared" si="19"/>
        <v/>
      </c>
    </row>
    <row r="284" spans="1:8">
      <c r="A284" s="2"/>
      <c r="B284" s="12"/>
      <c r="C284" s="12"/>
      <c r="D284" s="16" t="str">
        <f t="shared" si="16"/>
        <v/>
      </c>
      <c r="E284" t="str">
        <f>IF(D284="","",[1]!i_pq_tradedays($B$3,A285,A284)-1)</f>
        <v/>
      </c>
      <c r="F284" s="23" t="str">
        <f t="shared" si="17"/>
        <v/>
      </c>
      <c r="G284" s="16" t="str">
        <f t="shared" si="18"/>
        <v/>
      </c>
      <c r="H284" s="70" t="str">
        <f t="shared" si="19"/>
        <v/>
      </c>
    </row>
    <row r="285" spans="1:8">
      <c r="A285" s="2"/>
      <c r="B285" s="12"/>
      <c r="C285" s="12"/>
      <c r="D285" s="16" t="str">
        <f t="shared" si="16"/>
        <v/>
      </c>
      <c r="E285" t="str">
        <f>IF(D285="","",[1]!i_pq_tradedays($B$3,A286,A285)-1)</f>
        <v/>
      </c>
      <c r="F285" s="23" t="str">
        <f t="shared" si="17"/>
        <v/>
      </c>
      <c r="G285" s="16" t="str">
        <f t="shared" si="18"/>
        <v/>
      </c>
      <c r="H285" s="70" t="str">
        <f t="shared" si="19"/>
        <v/>
      </c>
    </row>
    <row r="286" spans="1:8">
      <c r="A286" s="2"/>
      <c r="B286" s="12"/>
      <c r="C286" s="12"/>
      <c r="D286" s="16" t="str">
        <f t="shared" si="16"/>
        <v/>
      </c>
      <c r="E286" t="str">
        <f>IF(D286="","",[1]!i_pq_tradedays($B$3,A287,A286)-1)</f>
        <v/>
      </c>
      <c r="F286" s="23" t="str">
        <f t="shared" si="17"/>
        <v/>
      </c>
      <c r="G286" s="16" t="str">
        <f t="shared" si="18"/>
        <v/>
      </c>
      <c r="H286" s="70" t="str">
        <f t="shared" si="19"/>
        <v/>
      </c>
    </row>
    <row r="287" spans="1:8">
      <c r="A287" s="2"/>
      <c r="B287" s="12"/>
      <c r="C287" s="12"/>
      <c r="D287" s="16" t="str">
        <f t="shared" si="16"/>
        <v/>
      </c>
      <c r="E287" t="str">
        <f>IF(D287="","",[1]!i_pq_tradedays($B$3,A288,A287)-1)</f>
        <v/>
      </c>
      <c r="F287" s="23" t="str">
        <f t="shared" si="17"/>
        <v/>
      </c>
      <c r="G287" s="16" t="str">
        <f t="shared" si="18"/>
        <v/>
      </c>
      <c r="H287" s="70" t="str">
        <f t="shared" si="19"/>
        <v/>
      </c>
    </row>
    <row r="288" spans="1:8">
      <c r="A288" s="2"/>
      <c r="B288" s="12"/>
      <c r="C288" s="12"/>
      <c r="D288" s="16" t="str">
        <f t="shared" si="16"/>
        <v/>
      </c>
      <c r="E288" t="str">
        <f>IF(D288="","",[1]!i_pq_tradedays($B$3,A289,A288)-1)</f>
        <v/>
      </c>
      <c r="F288" s="23" t="str">
        <f t="shared" si="17"/>
        <v/>
      </c>
      <c r="G288" s="16" t="str">
        <f t="shared" si="18"/>
        <v/>
      </c>
      <c r="H288" s="70" t="str">
        <f t="shared" si="19"/>
        <v/>
      </c>
    </row>
    <row r="289" spans="1:8">
      <c r="A289" s="2"/>
      <c r="B289" s="12"/>
      <c r="C289" s="12"/>
      <c r="D289" s="16" t="str">
        <f t="shared" si="16"/>
        <v/>
      </c>
      <c r="E289" t="str">
        <f>IF(D289="","",[1]!i_pq_tradedays($B$3,A290,A289)-1)</f>
        <v/>
      </c>
      <c r="F289" s="23" t="str">
        <f t="shared" si="17"/>
        <v/>
      </c>
      <c r="G289" s="16" t="str">
        <f t="shared" si="18"/>
        <v/>
      </c>
      <c r="H289" s="70" t="str">
        <f t="shared" si="19"/>
        <v/>
      </c>
    </row>
    <row r="290" spans="1:8">
      <c r="A290" s="2"/>
      <c r="B290" s="12"/>
      <c r="C290" s="12"/>
      <c r="D290" s="16" t="str">
        <f t="shared" si="16"/>
        <v/>
      </c>
      <c r="E290" t="str">
        <f>IF(D290="","",[1]!i_pq_tradedays($B$3,A291,A290)-1)</f>
        <v/>
      </c>
      <c r="F290" s="23" t="str">
        <f t="shared" si="17"/>
        <v/>
      </c>
      <c r="G290" s="16" t="str">
        <f t="shared" si="18"/>
        <v/>
      </c>
      <c r="H290" s="70" t="str">
        <f t="shared" si="19"/>
        <v/>
      </c>
    </row>
    <row r="291" spans="1:8">
      <c r="A291" s="2"/>
      <c r="B291" s="12"/>
      <c r="C291" s="12"/>
      <c r="D291" s="16" t="str">
        <f t="shared" si="16"/>
        <v/>
      </c>
      <c r="E291" t="str">
        <f>IF(D291="","",[1]!i_pq_tradedays($B$3,A292,A291)-1)</f>
        <v/>
      </c>
      <c r="F291" s="23" t="str">
        <f t="shared" si="17"/>
        <v/>
      </c>
      <c r="G291" s="16" t="str">
        <f t="shared" si="18"/>
        <v/>
      </c>
      <c r="H291" s="70" t="str">
        <f t="shared" si="19"/>
        <v/>
      </c>
    </row>
    <row r="292" spans="1:8">
      <c r="A292" s="2"/>
      <c r="B292" s="12"/>
      <c r="C292" s="12"/>
      <c r="D292" s="16" t="str">
        <f t="shared" si="16"/>
        <v/>
      </c>
      <c r="E292" t="str">
        <f>IF(D292="","",[1]!i_pq_tradedays($B$3,A293,A292)-1)</f>
        <v/>
      </c>
      <c r="F292" s="23" t="str">
        <f t="shared" si="17"/>
        <v/>
      </c>
      <c r="G292" s="16" t="str">
        <f t="shared" si="18"/>
        <v/>
      </c>
      <c r="H292" s="70" t="str">
        <f t="shared" si="19"/>
        <v/>
      </c>
    </row>
    <row r="293" spans="1:8">
      <c r="A293" s="2"/>
      <c r="B293" s="12"/>
      <c r="C293" s="12"/>
      <c r="D293" s="16" t="str">
        <f t="shared" si="16"/>
        <v/>
      </c>
      <c r="E293" t="str">
        <f>IF(D293="","",[1]!i_pq_tradedays($B$3,A294,A293)-1)</f>
        <v/>
      </c>
      <c r="F293" s="23" t="str">
        <f t="shared" si="17"/>
        <v/>
      </c>
      <c r="G293" s="16" t="str">
        <f t="shared" si="18"/>
        <v/>
      </c>
      <c r="H293" s="70" t="str">
        <f t="shared" si="19"/>
        <v/>
      </c>
    </row>
    <row r="294" spans="1:8">
      <c r="A294" s="2"/>
      <c r="B294" s="12"/>
      <c r="C294" s="12"/>
      <c r="D294" s="16" t="str">
        <f t="shared" si="16"/>
        <v/>
      </c>
      <c r="E294" t="str">
        <f>IF(D294="","",[1]!i_pq_tradedays($B$3,A295,A294)-1)</f>
        <v/>
      </c>
      <c r="F294" s="23" t="str">
        <f t="shared" si="17"/>
        <v/>
      </c>
      <c r="G294" s="16" t="str">
        <f t="shared" si="18"/>
        <v/>
      </c>
      <c r="H294" s="70" t="str">
        <f t="shared" si="19"/>
        <v/>
      </c>
    </row>
    <row r="295" spans="1:8">
      <c r="A295" s="2"/>
      <c r="B295" s="12"/>
      <c r="C295" s="12"/>
      <c r="D295" s="16" t="str">
        <f t="shared" si="16"/>
        <v/>
      </c>
      <c r="E295" t="str">
        <f>IF(D295="","",[1]!i_pq_tradedays($B$3,A296,A295)-1)</f>
        <v/>
      </c>
      <c r="F295" s="23" t="str">
        <f t="shared" si="17"/>
        <v/>
      </c>
      <c r="G295" s="16" t="str">
        <f t="shared" si="18"/>
        <v/>
      </c>
      <c r="H295" s="70" t="str">
        <f t="shared" si="19"/>
        <v/>
      </c>
    </row>
    <row r="296" spans="1:8">
      <c r="A296" s="2"/>
      <c r="B296" s="12"/>
      <c r="C296" s="12"/>
      <c r="D296" s="16" t="str">
        <f t="shared" si="16"/>
        <v/>
      </c>
      <c r="E296" t="str">
        <f>IF(D296="","",[1]!i_pq_tradedays($B$3,A297,A296)-1)</f>
        <v/>
      </c>
      <c r="F296" s="23" t="str">
        <f t="shared" si="17"/>
        <v/>
      </c>
      <c r="G296" s="16" t="str">
        <f t="shared" si="18"/>
        <v/>
      </c>
      <c r="H296" s="70" t="str">
        <f t="shared" si="19"/>
        <v/>
      </c>
    </row>
    <row r="297" spans="1:8">
      <c r="A297" s="2"/>
      <c r="B297" s="12"/>
      <c r="C297" s="12"/>
      <c r="D297" s="16" t="str">
        <f t="shared" si="16"/>
        <v/>
      </c>
      <c r="E297" t="str">
        <f>IF(D297="","",[1]!i_pq_tradedays($B$3,A298,A297)-1)</f>
        <v/>
      </c>
      <c r="F297" s="23" t="str">
        <f t="shared" si="17"/>
        <v/>
      </c>
      <c r="G297" s="16" t="str">
        <f t="shared" si="18"/>
        <v/>
      </c>
      <c r="H297" s="70" t="str">
        <f t="shared" si="19"/>
        <v/>
      </c>
    </row>
    <row r="298" spans="1:8">
      <c r="A298" s="2"/>
      <c r="B298" s="12"/>
      <c r="C298" s="12"/>
      <c r="D298" s="16" t="str">
        <f t="shared" si="16"/>
        <v/>
      </c>
      <c r="E298" t="str">
        <f>IF(D298="","",[1]!i_pq_tradedays($B$3,A299,A298)-1)</f>
        <v/>
      </c>
      <c r="F298" s="23" t="str">
        <f t="shared" si="17"/>
        <v/>
      </c>
      <c r="G298" s="16" t="str">
        <f t="shared" si="18"/>
        <v/>
      </c>
      <c r="H298" s="70" t="str">
        <f t="shared" si="19"/>
        <v/>
      </c>
    </row>
    <row r="299" spans="1:8">
      <c r="A299" s="2"/>
      <c r="B299" s="12"/>
      <c r="C299" s="12"/>
      <c r="D299" s="16" t="str">
        <f t="shared" si="16"/>
        <v/>
      </c>
      <c r="E299" t="str">
        <f>IF(D299="","",[1]!i_pq_tradedays($B$3,A300,A299)-1)</f>
        <v/>
      </c>
      <c r="F299" s="23" t="str">
        <f t="shared" si="17"/>
        <v/>
      </c>
      <c r="G299" s="16" t="str">
        <f t="shared" si="18"/>
        <v/>
      </c>
      <c r="H299" s="70" t="str">
        <f t="shared" si="19"/>
        <v/>
      </c>
    </row>
    <row r="300" spans="1:8">
      <c r="A300" s="2"/>
      <c r="B300" s="12"/>
      <c r="C300" s="12"/>
      <c r="D300" s="16" t="str">
        <f t="shared" si="16"/>
        <v/>
      </c>
      <c r="E300" t="str">
        <f>IF(D300="","",[1]!i_pq_tradedays($B$3,A301,A300)-1)</f>
        <v/>
      </c>
      <c r="F300" s="23" t="str">
        <f t="shared" si="17"/>
        <v/>
      </c>
      <c r="G300" s="16" t="str">
        <f t="shared" si="18"/>
        <v/>
      </c>
      <c r="H300" s="70" t="str">
        <f t="shared" si="19"/>
        <v/>
      </c>
    </row>
    <row r="301" spans="1:8">
      <c r="A301" s="2"/>
      <c r="B301" s="12"/>
      <c r="C301" s="12"/>
      <c r="D301" s="16" t="str">
        <f t="shared" si="16"/>
        <v/>
      </c>
      <c r="E301" t="str">
        <f>IF(D301="","",[1]!i_pq_tradedays($B$3,A302,A301)-1)</f>
        <v/>
      </c>
      <c r="F301" s="23" t="str">
        <f t="shared" si="17"/>
        <v/>
      </c>
      <c r="G301" s="16" t="str">
        <f t="shared" si="18"/>
        <v/>
      </c>
      <c r="H301" s="70" t="str">
        <f t="shared" si="19"/>
        <v/>
      </c>
    </row>
    <row r="302" spans="1:8">
      <c r="A302" s="2"/>
      <c r="B302" s="12"/>
      <c r="C302" s="12"/>
      <c r="D302" s="16" t="str">
        <f t="shared" si="16"/>
        <v/>
      </c>
      <c r="E302" t="str">
        <f>IF(D302="","",[1]!i_pq_tradedays($B$3,A303,A302)-1)</f>
        <v/>
      </c>
      <c r="F302" s="23" t="str">
        <f t="shared" si="17"/>
        <v/>
      </c>
      <c r="G302" s="16" t="str">
        <f t="shared" si="18"/>
        <v/>
      </c>
      <c r="H302" s="70" t="str">
        <f t="shared" si="19"/>
        <v/>
      </c>
    </row>
    <row r="303" spans="1:8">
      <c r="A303" s="2"/>
      <c r="B303" s="12"/>
      <c r="C303" s="12"/>
      <c r="D303" s="16" t="str">
        <f t="shared" si="16"/>
        <v/>
      </c>
      <c r="E303" t="str">
        <f>IF(D303="","",[1]!i_pq_tradedays($B$3,A304,A303)-1)</f>
        <v/>
      </c>
      <c r="F303" s="23" t="str">
        <f t="shared" si="17"/>
        <v/>
      </c>
      <c r="G303" s="16" t="str">
        <f t="shared" si="18"/>
        <v/>
      </c>
      <c r="H303" s="70" t="str">
        <f t="shared" si="19"/>
        <v/>
      </c>
    </row>
    <row r="304" spans="1:8">
      <c r="A304" s="2"/>
      <c r="B304" s="12"/>
      <c r="C304" s="12"/>
      <c r="D304" s="16" t="str">
        <f t="shared" si="16"/>
        <v/>
      </c>
      <c r="E304" t="str">
        <f>IF(D304="","",[1]!i_pq_tradedays($B$3,A305,A304)-1)</f>
        <v/>
      </c>
      <c r="F304" s="23" t="str">
        <f t="shared" si="17"/>
        <v/>
      </c>
      <c r="G304" s="16" t="str">
        <f t="shared" si="18"/>
        <v/>
      </c>
      <c r="H304" s="70" t="str">
        <f t="shared" si="19"/>
        <v/>
      </c>
    </row>
    <row r="305" spans="1:8">
      <c r="A305" s="2"/>
      <c r="B305" s="12"/>
      <c r="C305" s="12"/>
      <c r="D305" s="16" t="str">
        <f t="shared" si="16"/>
        <v/>
      </c>
      <c r="E305" t="str">
        <f>IF(D305="","",[1]!i_pq_tradedays($B$3,A306,A305)-1)</f>
        <v/>
      </c>
      <c r="F305" s="23" t="str">
        <f t="shared" si="17"/>
        <v/>
      </c>
      <c r="G305" s="16" t="str">
        <f t="shared" si="18"/>
        <v/>
      </c>
      <c r="H305" s="70" t="str">
        <f t="shared" si="19"/>
        <v/>
      </c>
    </row>
    <row r="306" spans="1:8">
      <c r="A306" s="2"/>
      <c r="B306" s="12"/>
      <c r="C306" s="12"/>
      <c r="D306" s="16" t="str">
        <f t="shared" si="16"/>
        <v/>
      </c>
      <c r="E306" t="str">
        <f>IF(D306="","",[1]!i_pq_tradedays($B$3,A307,A306)-1)</f>
        <v/>
      </c>
      <c r="F306" s="23" t="str">
        <f t="shared" si="17"/>
        <v/>
      </c>
      <c r="G306" s="16" t="str">
        <f t="shared" si="18"/>
        <v/>
      </c>
      <c r="H306" s="70" t="str">
        <f t="shared" si="19"/>
        <v/>
      </c>
    </row>
    <row r="307" spans="1:8">
      <c r="A307" s="2"/>
      <c r="B307" s="12"/>
      <c r="C307" s="12"/>
      <c r="D307" s="16" t="str">
        <f t="shared" si="16"/>
        <v/>
      </c>
      <c r="E307" t="str">
        <f>IF(D307="","",[1]!i_pq_tradedays($B$3,A308,A307)-1)</f>
        <v/>
      </c>
      <c r="F307" s="23" t="str">
        <f t="shared" si="17"/>
        <v/>
      </c>
      <c r="G307" s="16" t="str">
        <f t="shared" si="18"/>
        <v/>
      </c>
      <c r="H307" s="70" t="str">
        <f t="shared" si="19"/>
        <v/>
      </c>
    </row>
    <row r="308" spans="1:8">
      <c r="A308" s="2"/>
      <c r="B308" s="12"/>
      <c r="C308" s="12"/>
      <c r="D308" s="16" t="str">
        <f t="shared" si="16"/>
        <v/>
      </c>
      <c r="E308" t="str">
        <f>IF(D308="","",[1]!i_pq_tradedays($B$3,A309,A308)-1)</f>
        <v/>
      </c>
      <c r="F308" s="23" t="str">
        <f t="shared" si="17"/>
        <v/>
      </c>
      <c r="G308" s="16" t="str">
        <f t="shared" si="18"/>
        <v/>
      </c>
      <c r="H308" s="70" t="str">
        <f t="shared" si="19"/>
        <v/>
      </c>
    </row>
    <row r="309" spans="1:8">
      <c r="A309" s="2"/>
      <c r="B309" s="12"/>
      <c r="C309" s="12"/>
      <c r="D309" s="16" t="str">
        <f t="shared" si="16"/>
        <v/>
      </c>
      <c r="E309" t="str">
        <f>IF(D309="","",[1]!i_pq_tradedays($B$3,A310,A309)-1)</f>
        <v/>
      </c>
      <c r="F309" s="23" t="str">
        <f t="shared" si="17"/>
        <v/>
      </c>
      <c r="G309" s="16" t="str">
        <f t="shared" si="18"/>
        <v/>
      </c>
      <c r="H309" s="70" t="str">
        <f t="shared" si="19"/>
        <v/>
      </c>
    </row>
    <row r="310" spans="1:8">
      <c r="A310" s="2"/>
      <c r="B310" s="12"/>
      <c r="C310" s="12"/>
      <c r="D310" s="16" t="str">
        <f t="shared" si="16"/>
        <v/>
      </c>
      <c r="E310" t="str">
        <f>IF(D310="","",[1]!i_pq_tradedays($B$3,A311,A310)-1)</f>
        <v/>
      </c>
      <c r="F310" s="23" t="str">
        <f t="shared" si="17"/>
        <v/>
      </c>
      <c r="G310" s="16" t="str">
        <f t="shared" si="18"/>
        <v/>
      </c>
      <c r="H310" s="70" t="str">
        <f t="shared" si="19"/>
        <v/>
      </c>
    </row>
    <row r="311" spans="1:8">
      <c r="A311" s="2"/>
      <c r="B311" s="12"/>
      <c r="C311" s="12"/>
      <c r="D311" s="16" t="str">
        <f t="shared" si="16"/>
        <v/>
      </c>
      <c r="E311" t="str">
        <f>IF(D311="","",[1]!i_pq_tradedays($B$3,A312,A311)-1)</f>
        <v/>
      </c>
      <c r="F311" s="23" t="str">
        <f t="shared" si="17"/>
        <v/>
      </c>
      <c r="G311" s="16" t="str">
        <f t="shared" si="18"/>
        <v/>
      </c>
      <c r="H311" s="70" t="str">
        <f t="shared" si="19"/>
        <v/>
      </c>
    </row>
    <row r="312" spans="1:8">
      <c r="A312" s="2"/>
      <c r="B312" s="12"/>
      <c r="C312" s="12"/>
      <c r="D312" s="16" t="str">
        <f t="shared" si="16"/>
        <v/>
      </c>
      <c r="E312" t="str">
        <f>IF(D312="","",[1]!i_pq_tradedays($B$3,A313,A312)-1)</f>
        <v/>
      </c>
      <c r="F312" s="23" t="str">
        <f t="shared" si="17"/>
        <v/>
      </c>
      <c r="G312" s="16" t="str">
        <f t="shared" si="18"/>
        <v/>
      </c>
      <c r="H312" s="70" t="str">
        <f t="shared" si="19"/>
        <v/>
      </c>
    </row>
    <row r="313" spans="1:8">
      <c r="A313" s="2"/>
      <c r="B313" s="12"/>
      <c r="C313" s="12"/>
      <c r="D313" s="16" t="str">
        <f t="shared" si="16"/>
        <v/>
      </c>
      <c r="E313" t="str">
        <f>IF(D313="","",[1]!i_pq_tradedays($B$3,A314,A313)-1)</f>
        <v/>
      </c>
      <c r="F313" s="23" t="str">
        <f t="shared" si="17"/>
        <v/>
      </c>
      <c r="G313" s="16" t="str">
        <f t="shared" si="18"/>
        <v/>
      </c>
      <c r="H313" s="70" t="str">
        <f t="shared" si="19"/>
        <v/>
      </c>
    </row>
    <row r="314" spans="1:8">
      <c r="A314" s="2"/>
      <c r="B314" s="12"/>
      <c r="C314" s="12"/>
      <c r="D314" s="16" t="str">
        <f t="shared" si="16"/>
        <v/>
      </c>
      <c r="E314" t="str">
        <f>IF(D314="","",[1]!i_pq_tradedays($B$3,A315,A314)-1)</f>
        <v/>
      </c>
      <c r="F314" s="23" t="str">
        <f t="shared" si="17"/>
        <v/>
      </c>
      <c r="G314" s="16" t="str">
        <f t="shared" si="18"/>
        <v/>
      </c>
      <c r="H314" s="70" t="str">
        <f t="shared" si="19"/>
        <v/>
      </c>
    </row>
    <row r="315" spans="1:8">
      <c r="A315" s="2"/>
      <c r="B315" s="12"/>
      <c r="C315" s="12"/>
      <c r="D315" s="16" t="str">
        <f t="shared" si="16"/>
        <v/>
      </c>
      <c r="E315" t="str">
        <f>IF(D315="","",[1]!i_pq_tradedays($B$3,A316,A315)-1)</f>
        <v/>
      </c>
      <c r="F315" s="23" t="str">
        <f t="shared" si="17"/>
        <v/>
      </c>
      <c r="G315" s="16" t="str">
        <f t="shared" si="18"/>
        <v/>
      </c>
      <c r="H315" s="70" t="str">
        <f t="shared" si="19"/>
        <v/>
      </c>
    </row>
    <row r="316" spans="1:8">
      <c r="A316" s="2"/>
      <c r="B316" s="12"/>
      <c r="C316" s="12"/>
      <c r="D316" s="16" t="str">
        <f t="shared" si="16"/>
        <v/>
      </c>
      <c r="E316" t="str">
        <f>IF(D316="","",[1]!i_pq_tradedays($B$3,A317,A316)-1)</f>
        <v/>
      </c>
      <c r="F316" s="23" t="str">
        <f t="shared" si="17"/>
        <v/>
      </c>
      <c r="G316" s="16" t="str">
        <f t="shared" si="18"/>
        <v/>
      </c>
      <c r="H316" s="70" t="str">
        <f t="shared" si="19"/>
        <v/>
      </c>
    </row>
    <row r="317" spans="1:8">
      <c r="A317" s="2"/>
      <c r="B317" s="12"/>
      <c r="C317" s="12"/>
      <c r="D317" s="16" t="str">
        <f t="shared" si="16"/>
        <v/>
      </c>
      <c r="E317" t="str">
        <f>IF(D317="","",[1]!i_pq_tradedays($B$3,A318,A317)-1)</f>
        <v/>
      </c>
      <c r="F317" s="23" t="str">
        <f t="shared" si="17"/>
        <v/>
      </c>
      <c r="G317" s="16" t="str">
        <f t="shared" si="18"/>
        <v/>
      </c>
      <c r="H317" s="70" t="str">
        <f t="shared" si="19"/>
        <v/>
      </c>
    </row>
    <row r="318" spans="1:8">
      <c r="A318" s="2"/>
      <c r="B318" s="12"/>
      <c r="C318" s="12"/>
      <c r="D318" s="16" t="str">
        <f t="shared" si="16"/>
        <v/>
      </c>
      <c r="E318" t="str">
        <f>IF(D318="","",[1]!i_pq_tradedays($B$3,A319,A318)-1)</f>
        <v/>
      </c>
      <c r="F318" s="23" t="str">
        <f t="shared" si="17"/>
        <v/>
      </c>
      <c r="G318" s="16" t="str">
        <f t="shared" si="18"/>
        <v/>
      </c>
      <c r="H318" s="70" t="str">
        <f t="shared" si="19"/>
        <v/>
      </c>
    </row>
    <row r="319" spans="1:8">
      <c r="A319" s="2"/>
      <c r="B319" s="12"/>
      <c r="C319" s="12"/>
      <c r="D319" s="16" t="str">
        <f t="shared" si="16"/>
        <v/>
      </c>
      <c r="E319" t="str">
        <f>IF(D319="","",[1]!i_pq_tradedays($B$3,A320,A319)-1)</f>
        <v/>
      </c>
      <c r="F319" s="23" t="str">
        <f t="shared" si="17"/>
        <v/>
      </c>
      <c r="G319" s="16" t="str">
        <f t="shared" si="18"/>
        <v/>
      </c>
      <c r="H319" s="70" t="str">
        <f t="shared" si="19"/>
        <v/>
      </c>
    </row>
    <row r="320" spans="1:8">
      <c r="A320" s="2"/>
      <c r="B320" s="12"/>
      <c r="C320" s="12"/>
      <c r="D320" s="16" t="str">
        <f t="shared" si="16"/>
        <v/>
      </c>
      <c r="E320" t="str">
        <f>IF(D320="","",[1]!i_pq_tradedays($B$3,A321,A320)-1)</f>
        <v/>
      </c>
      <c r="F320" s="23" t="str">
        <f t="shared" si="17"/>
        <v/>
      </c>
      <c r="G320" s="16" t="str">
        <f t="shared" si="18"/>
        <v/>
      </c>
      <c r="H320" s="70" t="str">
        <f t="shared" si="19"/>
        <v/>
      </c>
    </row>
    <row r="321" spans="1:8">
      <c r="A321" s="2"/>
      <c r="B321" s="12"/>
      <c r="C321" s="12"/>
      <c r="D321" s="16" t="str">
        <f t="shared" si="16"/>
        <v/>
      </c>
      <c r="E321" t="str">
        <f>IF(D321="","",[1]!i_pq_tradedays($B$3,A322,A321)-1)</f>
        <v/>
      </c>
      <c r="F321" s="23" t="str">
        <f t="shared" si="17"/>
        <v/>
      </c>
      <c r="G321" s="16" t="str">
        <f t="shared" si="18"/>
        <v/>
      </c>
      <c r="H321" s="70" t="str">
        <f t="shared" si="19"/>
        <v/>
      </c>
    </row>
    <row r="322" spans="1:8">
      <c r="A322" s="2"/>
      <c r="B322" s="12"/>
      <c r="C322" s="12"/>
      <c r="D322" s="16" t="str">
        <f t="shared" si="16"/>
        <v/>
      </c>
      <c r="E322" t="str">
        <f>IF(D322="","",[1]!i_pq_tradedays($B$3,A323,A322)-1)</f>
        <v/>
      </c>
      <c r="F322" s="23" t="str">
        <f t="shared" si="17"/>
        <v/>
      </c>
      <c r="G322" s="16" t="str">
        <f t="shared" si="18"/>
        <v/>
      </c>
      <c r="H322" s="70" t="str">
        <f t="shared" si="19"/>
        <v/>
      </c>
    </row>
    <row r="323" spans="1:8">
      <c r="A323" s="2"/>
      <c r="B323" s="12"/>
      <c r="C323" s="12"/>
      <c r="D323" s="16" t="str">
        <f t="shared" si="16"/>
        <v/>
      </c>
      <c r="E323" t="str">
        <f>IF(D323="","",[1]!i_pq_tradedays($B$3,A324,A323)-1)</f>
        <v/>
      </c>
      <c r="F323" s="23" t="str">
        <f t="shared" si="17"/>
        <v/>
      </c>
      <c r="G323" s="16" t="str">
        <f t="shared" si="18"/>
        <v/>
      </c>
      <c r="H323" s="70" t="str">
        <f t="shared" si="19"/>
        <v/>
      </c>
    </row>
    <row r="324" spans="1:8">
      <c r="A324" s="2"/>
      <c r="B324" s="12"/>
      <c r="C324" s="12"/>
      <c r="D324" s="16" t="str">
        <f t="shared" si="16"/>
        <v/>
      </c>
      <c r="E324" t="str">
        <f>IF(D324="","",[1]!i_pq_tradedays($B$3,A325,A324)-1)</f>
        <v/>
      </c>
      <c r="F324" s="23" t="str">
        <f t="shared" si="17"/>
        <v/>
      </c>
      <c r="G324" s="16" t="str">
        <f t="shared" si="18"/>
        <v/>
      </c>
      <c r="H324" s="70" t="str">
        <f t="shared" si="19"/>
        <v/>
      </c>
    </row>
    <row r="325" spans="1:8">
      <c r="A325" s="2"/>
      <c r="B325" s="12"/>
      <c r="C325" s="12"/>
      <c r="D325" s="16" t="str">
        <f t="shared" si="16"/>
        <v/>
      </c>
      <c r="E325" t="str">
        <f>IF(D325="","",[1]!i_pq_tradedays($B$3,A326,A325)-1)</f>
        <v/>
      </c>
      <c r="F325" s="23" t="str">
        <f t="shared" si="17"/>
        <v/>
      </c>
      <c r="G325" s="16" t="str">
        <f t="shared" si="18"/>
        <v/>
      </c>
      <c r="H325" s="70" t="str">
        <f t="shared" si="19"/>
        <v/>
      </c>
    </row>
    <row r="326" spans="1:8">
      <c r="A326" s="2"/>
      <c r="B326" s="12"/>
      <c r="C326" s="12"/>
      <c r="D326" s="16" t="str">
        <f t="shared" ref="D326:D389" si="20">IF(B326+C326=0,"",B326+C326)</f>
        <v/>
      </c>
      <c r="E326" t="str">
        <f>IF(D326="","",[1]!i_pq_tradedays($B$3,A327,A326)-1)</f>
        <v/>
      </c>
      <c r="F326" s="23" t="str">
        <f t="shared" ref="F326:F389" si="21">IF(D326="","",A326)</f>
        <v/>
      </c>
      <c r="G326" s="16" t="str">
        <f t="shared" ref="G326:G389" si="22">IF(D326="","",D326/E326)</f>
        <v/>
      </c>
      <c r="H326" s="70" t="str">
        <f t="shared" ref="H326:H389" si="23">IF(D326="","",G326/G327-1)</f>
        <v/>
      </c>
    </row>
    <row r="327" spans="1:8">
      <c r="A327" s="2"/>
      <c r="B327" s="12"/>
      <c r="C327" s="12"/>
      <c r="D327" s="16" t="str">
        <f t="shared" si="20"/>
        <v/>
      </c>
      <c r="E327" t="str">
        <f>IF(D327="","",[1]!i_pq_tradedays($B$3,A328,A327)-1)</f>
        <v/>
      </c>
      <c r="F327" s="23" t="str">
        <f t="shared" si="21"/>
        <v/>
      </c>
      <c r="G327" s="16" t="str">
        <f t="shared" si="22"/>
        <v/>
      </c>
      <c r="H327" s="70" t="str">
        <f t="shared" si="23"/>
        <v/>
      </c>
    </row>
    <row r="328" spans="1:8">
      <c r="A328" s="2"/>
      <c r="B328" s="12"/>
      <c r="C328" s="12"/>
      <c r="D328" s="16" t="str">
        <f t="shared" si="20"/>
        <v/>
      </c>
      <c r="E328" t="str">
        <f>IF(D328="","",[1]!i_pq_tradedays($B$3,A329,A328)-1)</f>
        <v/>
      </c>
      <c r="F328" s="23" t="str">
        <f t="shared" si="21"/>
        <v/>
      </c>
      <c r="G328" s="16" t="str">
        <f t="shared" si="22"/>
        <v/>
      </c>
      <c r="H328" s="70" t="str">
        <f t="shared" si="23"/>
        <v/>
      </c>
    </row>
    <row r="329" spans="1:8">
      <c r="A329" s="2"/>
      <c r="B329" s="12"/>
      <c r="C329" s="12"/>
      <c r="D329" s="16" t="str">
        <f t="shared" si="20"/>
        <v/>
      </c>
      <c r="E329" t="str">
        <f>IF(D329="","",[1]!i_pq_tradedays($B$3,A330,A329)-1)</f>
        <v/>
      </c>
      <c r="F329" s="23" t="str">
        <f t="shared" si="21"/>
        <v/>
      </c>
      <c r="G329" s="16" t="str">
        <f t="shared" si="22"/>
        <v/>
      </c>
      <c r="H329" s="70" t="str">
        <f t="shared" si="23"/>
        <v/>
      </c>
    </row>
    <row r="330" spans="1:8">
      <c r="A330" s="2"/>
      <c r="B330" s="12"/>
      <c r="C330" s="12"/>
      <c r="D330" s="16" t="str">
        <f t="shared" si="20"/>
        <v/>
      </c>
      <c r="E330" t="str">
        <f>IF(D330="","",[1]!i_pq_tradedays($B$3,A331,A330)-1)</f>
        <v/>
      </c>
      <c r="F330" s="23" t="str">
        <f t="shared" si="21"/>
        <v/>
      </c>
      <c r="G330" s="16" t="str">
        <f t="shared" si="22"/>
        <v/>
      </c>
      <c r="H330" s="70" t="str">
        <f t="shared" si="23"/>
        <v/>
      </c>
    </row>
    <row r="331" spans="1:8">
      <c r="A331" s="2"/>
      <c r="B331" s="12"/>
      <c r="C331" s="12"/>
      <c r="D331" s="16" t="str">
        <f t="shared" si="20"/>
        <v/>
      </c>
      <c r="E331" t="str">
        <f>IF(D331="","",[1]!i_pq_tradedays($B$3,A332,A331)-1)</f>
        <v/>
      </c>
      <c r="F331" s="23" t="str">
        <f t="shared" si="21"/>
        <v/>
      </c>
      <c r="G331" s="16" t="str">
        <f t="shared" si="22"/>
        <v/>
      </c>
      <c r="H331" s="70" t="str">
        <f t="shared" si="23"/>
        <v/>
      </c>
    </row>
    <row r="332" spans="1:8">
      <c r="A332" s="2"/>
      <c r="B332" s="12"/>
      <c r="C332" s="12"/>
      <c r="D332" s="16" t="str">
        <f t="shared" si="20"/>
        <v/>
      </c>
      <c r="E332" t="str">
        <f>IF(D332="","",[1]!i_pq_tradedays($B$3,A333,A332)-1)</f>
        <v/>
      </c>
      <c r="F332" s="23" t="str">
        <f t="shared" si="21"/>
        <v/>
      </c>
      <c r="G332" s="16" t="str">
        <f t="shared" si="22"/>
        <v/>
      </c>
      <c r="H332" s="70" t="str">
        <f t="shared" si="23"/>
        <v/>
      </c>
    </row>
    <row r="333" spans="1:8">
      <c r="A333" s="2"/>
      <c r="B333" s="12"/>
      <c r="C333" s="12"/>
      <c r="D333" s="16" t="str">
        <f t="shared" si="20"/>
        <v/>
      </c>
      <c r="E333" t="str">
        <f>IF(D333="","",[1]!i_pq_tradedays($B$3,A334,A333)-1)</f>
        <v/>
      </c>
      <c r="F333" s="23" t="str">
        <f t="shared" si="21"/>
        <v/>
      </c>
      <c r="G333" s="16" t="str">
        <f t="shared" si="22"/>
        <v/>
      </c>
      <c r="H333" s="70" t="str">
        <f t="shared" si="23"/>
        <v/>
      </c>
    </row>
    <row r="334" spans="1:8">
      <c r="A334" s="2"/>
      <c r="B334" s="12"/>
      <c r="C334" s="12"/>
      <c r="D334" s="16" t="str">
        <f t="shared" si="20"/>
        <v/>
      </c>
      <c r="E334" t="str">
        <f>IF(D334="","",[1]!i_pq_tradedays($B$3,A335,A334)-1)</f>
        <v/>
      </c>
      <c r="F334" s="23" t="str">
        <f t="shared" si="21"/>
        <v/>
      </c>
      <c r="G334" s="16" t="str">
        <f t="shared" si="22"/>
        <v/>
      </c>
      <c r="H334" s="70" t="str">
        <f t="shared" si="23"/>
        <v/>
      </c>
    </row>
    <row r="335" spans="1:8">
      <c r="A335" s="2"/>
      <c r="B335" s="12"/>
      <c r="C335" s="12"/>
      <c r="D335" s="16" t="str">
        <f t="shared" si="20"/>
        <v/>
      </c>
      <c r="E335" t="str">
        <f>IF(D335="","",[1]!i_pq_tradedays($B$3,A336,A335)-1)</f>
        <v/>
      </c>
      <c r="F335" s="23" t="str">
        <f t="shared" si="21"/>
        <v/>
      </c>
      <c r="G335" s="16" t="str">
        <f t="shared" si="22"/>
        <v/>
      </c>
      <c r="H335" s="70" t="str">
        <f t="shared" si="23"/>
        <v/>
      </c>
    </row>
    <row r="336" spans="1:8">
      <c r="A336" s="2"/>
      <c r="B336" s="12"/>
      <c r="C336" s="12"/>
      <c r="D336" s="16" t="str">
        <f t="shared" si="20"/>
        <v/>
      </c>
      <c r="E336" t="str">
        <f>IF(D336="","",[1]!i_pq_tradedays($B$3,A337,A336)-1)</f>
        <v/>
      </c>
      <c r="F336" s="23" t="str">
        <f t="shared" si="21"/>
        <v/>
      </c>
      <c r="G336" s="16" t="str">
        <f t="shared" si="22"/>
        <v/>
      </c>
      <c r="H336" s="70" t="str">
        <f t="shared" si="23"/>
        <v/>
      </c>
    </row>
    <row r="337" spans="1:8">
      <c r="A337" s="2"/>
      <c r="B337" s="12"/>
      <c r="C337" s="12"/>
      <c r="D337" s="16" t="str">
        <f t="shared" si="20"/>
        <v/>
      </c>
      <c r="E337" t="str">
        <f>IF(D337="","",[1]!i_pq_tradedays($B$3,A338,A337)-1)</f>
        <v/>
      </c>
      <c r="F337" s="23" t="str">
        <f t="shared" si="21"/>
        <v/>
      </c>
      <c r="G337" s="16" t="str">
        <f t="shared" si="22"/>
        <v/>
      </c>
      <c r="H337" s="70" t="str">
        <f t="shared" si="23"/>
        <v/>
      </c>
    </row>
    <row r="338" spans="1:8">
      <c r="A338" s="2"/>
      <c r="B338" s="12"/>
      <c r="C338" s="12"/>
      <c r="D338" s="16" t="str">
        <f t="shared" si="20"/>
        <v/>
      </c>
      <c r="E338" t="str">
        <f>IF(D338="","",[1]!i_pq_tradedays($B$3,A339,A338)-1)</f>
        <v/>
      </c>
      <c r="F338" s="23" t="str">
        <f t="shared" si="21"/>
        <v/>
      </c>
      <c r="G338" s="16" t="str">
        <f t="shared" si="22"/>
        <v/>
      </c>
      <c r="H338" s="70" t="str">
        <f t="shared" si="23"/>
        <v/>
      </c>
    </row>
    <row r="339" spans="1:8">
      <c r="A339" s="2"/>
      <c r="B339" s="12"/>
      <c r="C339" s="12"/>
      <c r="D339" s="16" t="str">
        <f t="shared" si="20"/>
        <v/>
      </c>
      <c r="E339" t="str">
        <f>IF(D339="","",[1]!i_pq_tradedays($B$3,A340,A339)-1)</f>
        <v/>
      </c>
      <c r="F339" s="23" t="str">
        <f t="shared" si="21"/>
        <v/>
      </c>
      <c r="G339" s="16" t="str">
        <f t="shared" si="22"/>
        <v/>
      </c>
      <c r="H339" s="70" t="str">
        <f t="shared" si="23"/>
        <v/>
      </c>
    </row>
    <row r="340" spans="1:8">
      <c r="A340" s="2"/>
      <c r="B340" s="12"/>
      <c r="C340" s="12"/>
      <c r="D340" s="16" t="str">
        <f t="shared" si="20"/>
        <v/>
      </c>
      <c r="E340" t="str">
        <f>IF(D340="","",[1]!i_pq_tradedays($B$3,A341,A340)-1)</f>
        <v/>
      </c>
      <c r="F340" s="23" t="str">
        <f t="shared" si="21"/>
        <v/>
      </c>
      <c r="G340" s="16" t="str">
        <f t="shared" si="22"/>
        <v/>
      </c>
      <c r="H340" s="70" t="str">
        <f t="shared" si="23"/>
        <v/>
      </c>
    </row>
    <row r="341" spans="1:8">
      <c r="A341" s="2"/>
      <c r="B341" s="12"/>
      <c r="C341" s="12"/>
      <c r="D341" s="16" t="str">
        <f t="shared" si="20"/>
        <v/>
      </c>
      <c r="E341" t="str">
        <f>IF(D341="","",[1]!i_pq_tradedays($B$3,A342,A341)-1)</f>
        <v/>
      </c>
      <c r="F341" s="23" t="str">
        <f t="shared" si="21"/>
        <v/>
      </c>
      <c r="G341" s="16" t="str">
        <f t="shared" si="22"/>
        <v/>
      </c>
      <c r="H341" s="70" t="str">
        <f t="shared" si="23"/>
        <v/>
      </c>
    </row>
    <row r="342" spans="1:8">
      <c r="A342" s="2"/>
      <c r="B342" s="12"/>
      <c r="C342" s="12"/>
      <c r="D342" s="16" t="str">
        <f t="shared" si="20"/>
        <v/>
      </c>
      <c r="E342" t="str">
        <f>IF(D342="","",[1]!i_pq_tradedays($B$3,A343,A342)-1)</f>
        <v/>
      </c>
      <c r="F342" s="23" t="str">
        <f t="shared" si="21"/>
        <v/>
      </c>
      <c r="G342" s="16" t="str">
        <f t="shared" si="22"/>
        <v/>
      </c>
      <c r="H342" s="70" t="str">
        <f t="shared" si="23"/>
        <v/>
      </c>
    </row>
    <row r="343" spans="1:8">
      <c r="A343" s="2"/>
      <c r="B343" s="12"/>
      <c r="C343" s="12"/>
      <c r="D343" s="16" t="str">
        <f t="shared" si="20"/>
        <v/>
      </c>
      <c r="E343" t="str">
        <f>IF(D343="","",[1]!i_pq_tradedays($B$3,A344,A343)-1)</f>
        <v/>
      </c>
      <c r="F343" s="23" t="str">
        <f t="shared" si="21"/>
        <v/>
      </c>
      <c r="G343" s="16" t="str">
        <f t="shared" si="22"/>
        <v/>
      </c>
      <c r="H343" s="70" t="str">
        <f t="shared" si="23"/>
        <v/>
      </c>
    </row>
    <row r="344" spans="1:8">
      <c r="A344" s="2"/>
      <c r="B344" s="12"/>
      <c r="C344" s="12"/>
      <c r="D344" s="16" t="str">
        <f t="shared" si="20"/>
        <v/>
      </c>
      <c r="E344" t="str">
        <f>IF(D344="","",[1]!i_pq_tradedays($B$3,A345,A344)-1)</f>
        <v/>
      </c>
      <c r="F344" s="23" t="str">
        <f t="shared" si="21"/>
        <v/>
      </c>
      <c r="G344" s="16" t="str">
        <f t="shared" si="22"/>
        <v/>
      </c>
      <c r="H344" s="70" t="str">
        <f t="shared" si="23"/>
        <v/>
      </c>
    </row>
    <row r="345" spans="1:8">
      <c r="A345" s="2"/>
      <c r="B345" s="12"/>
      <c r="C345" s="12"/>
      <c r="D345" s="16" t="str">
        <f t="shared" si="20"/>
        <v/>
      </c>
      <c r="E345" t="str">
        <f>IF(D345="","",[1]!i_pq_tradedays($B$3,A346,A345)-1)</f>
        <v/>
      </c>
      <c r="F345" s="23" t="str">
        <f t="shared" si="21"/>
        <v/>
      </c>
      <c r="G345" s="16" t="str">
        <f t="shared" si="22"/>
        <v/>
      </c>
      <c r="H345" s="70" t="str">
        <f t="shared" si="23"/>
        <v/>
      </c>
    </row>
    <row r="346" spans="1:8">
      <c r="A346" s="2"/>
      <c r="B346" s="12"/>
      <c r="C346" s="12"/>
      <c r="D346" s="16" t="str">
        <f t="shared" si="20"/>
        <v/>
      </c>
      <c r="E346" t="str">
        <f>IF(D346="","",[1]!i_pq_tradedays($B$3,A347,A346)-1)</f>
        <v/>
      </c>
      <c r="F346" s="23" t="str">
        <f t="shared" si="21"/>
        <v/>
      </c>
      <c r="G346" s="16" t="str">
        <f t="shared" si="22"/>
        <v/>
      </c>
      <c r="H346" s="70" t="str">
        <f t="shared" si="23"/>
        <v/>
      </c>
    </row>
    <row r="347" spans="1:8">
      <c r="A347" s="2"/>
      <c r="B347" s="12"/>
      <c r="C347" s="12"/>
      <c r="D347" s="16" t="str">
        <f t="shared" si="20"/>
        <v/>
      </c>
      <c r="E347" t="str">
        <f>IF(D347="","",[1]!i_pq_tradedays($B$3,A348,A347)-1)</f>
        <v/>
      </c>
      <c r="F347" s="23" t="str">
        <f t="shared" si="21"/>
        <v/>
      </c>
      <c r="G347" s="16" t="str">
        <f t="shared" si="22"/>
        <v/>
      </c>
      <c r="H347" s="70" t="str">
        <f t="shared" si="23"/>
        <v/>
      </c>
    </row>
    <row r="348" spans="1:8">
      <c r="A348" s="2"/>
      <c r="B348" s="12"/>
      <c r="C348" s="12"/>
      <c r="D348" s="16" t="str">
        <f t="shared" si="20"/>
        <v/>
      </c>
      <c r="E348" t="str">
        <f>IF(D348="","",[1]!i_pq_tradedays($B$3,A349,A348)-1)</f>
        <v/>
      </c>
      <c r="F348" s="23" t="str">
        <f t="shared" si="21"/>
        <v/>
      </c>
      <c r="G348" s="16" t="str">
        <f t="shared" si="22"/>
        <v/>
      </c>
      <c r="H348" s="70" t="str">
        <f t="shared" si="23"/>
        <v/>
      </c>
    </row>
    <row r="349" spans="1:8">
      <c r="A349" s="2"/>
      <c r="B349" s="12"/>
      <c r="C349" s="12"/>
      <c r="D349" s="16" t="str">
        <f t="shared" si="20"/>
        <v/>
      </c>
      <c r="E349" t="str">
        <f>IF(D349="","",[1]!i_pq_tradedays($B$3,A350,A349)-1)</f>
        <v/>
      </c>
      <c r="F349" s="23" t="str">
        <f t="shared" si="21"/>
        <v/>
      </c>
      <c r="G349" s="16" t="str">
        <f t="shared" si="22"/>
        <v/>
      </c>
      <c r="H349" s="70" t="str">
        <f t="shared" si="23"/>
        <v/>
      </c>
    </row>
    <row r="350" spans="1:8">
      <c r="A350" s="2"/>
      <c r="B350" s="12"/>
      <c r="C350" s="12"/>
      <c r="D350" s="16" t="str">
        <f t="shared" si="20"/>
        <v/>
      </c>
      <c r="E350" t="str">
        <f>IF(D350="","",[1]!i_pq_tradedays($B$3,A351,A350)-1)</f>
        <v/>
      </c>
      <c r="F350" s="23" t="str">
        <f t="shared" si="21"/>
        <v/>
      </c>
      <c r="G350" s="16" t="str">
        <f t="shared" si="22"/>
        <v/>
      </c>
      <c r="H350" s="70" t="str">
        <f t="shared" si="23"/>
        <v/>
      </c>
    </row>
    <row r="351" spans="1:8">
      <c r="A351" s="2"/>
      <c r="B351" s="12"/>
      <c r="C351" s="12"/>
      <c r="D351" s="16" t="str">
        <f t="shared" si="20"/>
        <v/>
      </c>
      <c r="E351" t="str">
        <f>IF(D351="","",[1]!i_pq_tradedays($B$3,A352,A351)-1)</f>
        <v/>
      </c>
      <c r="F351" s="23" t="str">
        <f t="shared" si="21"/>
        <v/>
      </c>
      <c r="G351" s="16" t="str">
        <f t="shared" si="22"/>
        <v/>
      </c>
      <c r="H351" s="70" t="str">
        <f t="shared" si="23"/>
        <v/>
      </c>
    </row>
    <row r="352" spans="1:8">
      <c r="A352" s="2"/>
      <c r="B352" s="12"/>
      <c r="C352" s="12"/>
      <c r="D352" s="16" t="str">
        <f t="shared" si="20"/>
        <v/>
      </c>
      <c r="E352" t="str">
        <f>IF(D352="","",[1]!i_pq_tradedays($B$3,A353,A352)-1)</f>
        <v/>
      </c>
      <c r="F352" s="23" t="str">
        <f t="shared" si="21"/>
        <v/>
      </c>
      <c r="G352" s="16" t="str">
        <f t="shared" si="22"/>
        <v/>
      </c>
      <c r="H352" s="70" t="str">
        <f t="shared" si="23"/>
        <v/>
      </c>
    </row>
    <row r="353" spans="1:8">
      <c r="A353" s="2"/>
      <c r="B353" s="12"/>
      <c r="C353" s="12"/>
      <c r="D353" s="16" t="str">
        <f t="shared" si="20"/>
        <v/>
      </c>
      <c r="E353" t="str">
        <f>IF(D353="","",[1]!i_pq_tradedays($B$3,A354,A353)-1)</f>
        <v/>
      </c>
      <c r="F353" s="23" t="str">
        <f t="shared" si="21"/>
        <v/>
      </c>
      <c r="G353" s="16" t="str">
        <f t="shared" si="22"/>
        <v/>
      </c>
      <c r="H353" s="70" t="str">
        <f t="shared" si="23"/>
        <v/>
      </c>
    </row>
    <row r="354" spans="1:8">
      <c r="A354" s="2"/>
      <c r="B354" s="12"/>
      <c r="C354" s="12"/>
      <c r="D354" s="16" t="str">
        <f t="shared" si="20"/>
        <v/>
      </c>
      <c r="E354" t="str">
        <f>IF(D354="","",[1]!i_pq_tradedays($B$3,A355,A354)-1)</f>
        <v/>
      </c>
      <c r="F354" s="23" t="str">
        <f t="shared" si="21"/>
        <v/>
      </c>
      <c r="G354" s="16" t="str">
        <f t="shared" si="22"/>
        <v/>
      </c>
      <c r="H354" s="70" t="str">
        <f t="shared" si="23"/>
        <v/>
      </c>
    </row>
    <row r="355" spans="1:8">
      <c r="A355" s="2"/>
      <c r="B355" s="12"/>
      <c r="C355" s="12"/>
      <c r="D355" s="16" t="str">
        <f t="shared" si="20"/>
        <v/>
      </c>
      <c r="E355" t="str">
        <f>IF(D355="","",[1]!i_pq_tradedays($B$3,A356,A355)-1)</f>
        <v/>
      </c>
      <c r="F355" s="23" t="str">
        <f t="shared" si="21"/>
        <v/>
      </c>
      <c r="G355" s="16" t="str">
        <f t="shared" si="22"/>
        <v/>
      </c>
      <c r="H355" s="70" t="str">
        <f t="shared" si="23"/>
        <v/>
      </c>
    </row>
    <row r="356" spans="1:8">
      <c r="A356" s="2"/>
      <c r="B356" s="12"/>
      <c r="C356" s="12"/>
      <c r="D356" s="16" t="str">
        <f t="shared" si="20"/>
        <v/>
      </c>
      <c r="E356" t="str">
        <f>IF(D356="","",[1]!i_pq_tradedays($B$3,A357,A356)-1)</f>
        <v/>
      </c>
      <c r="F356" s="23" t="str">
        <f t="shared" si="21"/>
        <v/>
      </c>
      <c r="G356" s="16" t="str">
        <f t="shared" si="22"/>
        <v/>
      </c>
      <c r="H356" s="70" t="str">
        <f t="shared" si="23"/>
        <v/>
      </c>
    </row>
    <row r="357" spans="1:8">
      <c r="A357" s="2"/>
      <c r="B357" s="12"/>
      <c r="C357" s="12"/>
      <c r="D357" s="16" t="str">
        <f t="shared" si="20"/>
        <v/>
      </c>
      <c r="E357" t="str">
        <f>IF(D357="","",[1]!i_pq_tradedays($B$3,A358,A357)-1)</f>
        <v/>
      </c>
      <c r="F357" s="23" t="str">
        <f t="shared" si="21"/>
        <v/>
      </c>
      <c r="G357" s="16" t="str">
        <f t="shared" si="22"/>
        <v/>
      </c>
      <c r="H357" s="70" t="str">
        <f t="shared" si="23"/>
        <v/>
      </c>
    </row>
    <row r="358" spans="1:8">
      <c r="A358" s="2"/>
      <c r="B358" s="12"/>
      <c r="C358" s="12"/>
      <c r="D358" s="16" t="str">
        <f t="shared" si="20"/>
        <v/>
      </c>
      <c r="E358" t="str">
        <f>IF(D358="","",[1]!i_pq_tradedays($B$3,A359,A358)-1)</f>
        <v/>
      </c>
      <c r="F358" s="23" t="str">
        <f t="shared" si="21"/>
        <v/>
      </c>
      <c r="G358" s="16" t="str">
        <f t="shared" si="22"/>
        <v/>
      </c>
      <c r="H358" s="70" t="str">
        <f t="shared" si="23"/>
        <v/>
      </c>
    </row>
    <row r="359" spans="1:8">
      <c r="A359" s="2"/>
      <c r="B359" s="12"/>
      <c r="C359" s="12"/>
      <c r="D359" s="16" t="str">
        <f t="shared" si="20"/>
        <v/>
      </c>
      <c r="E359" t="str">
        <f>IF(D359="","",[1]!i_pq_tradedays($B$3,A360,A359)-1)</f>
        <v/>
      </c>
      <c r="F359" s="23" t="str">
        <f t="shared" si="21"/>
        <v/>
      </c>
      <c r="G359" s="16" t="str">
        <f t="shared" si="22"/>
        <v/>
      </c>
      <c r="H359" s="70" t="str">
        <f t="shared" si="23"/>
        <v/>
      </c>
    </row>
    <row r="360" spans="1:8">
      <c r="A360" s="2"/>
      <c r="B360" s="12"/>
      <c r="C360" s="12"/>
      <c r="D360" s="16" t="str">
        <f t="shared" si="20"/>
        <v/>
      </c>
      <c r="E360" t="str">
        <f>IF(D360="","",[1]!i_pq_tradedays($B$3,A361,A360)-1)</f>
        <v/>
      </c>
      <c r="F360" s="23" t="str">
        <f t="shared" si="21"/>
        <v/>
      </c>
      <c r="G360" s="16" t="str">
        <f t="shared" si="22"/>
        <v/>
      </c>
      <c r="H360" s="70" t="str">
        <f t="shared" si="23"/>
        <v/>
      </c>
    </row>
    <row r="361" spans="1:8">
      <c r="A361" s="2"/>
      <c r="B361" s="12"/>
      <c r="C361" s="12"/>
      <c r="D361" s="16" t="str">
        <f t="shared" si="20"/>
        <v/>
      </c>
      <c r="E361" t="str">
        <f>IF(D361="","",[1]!i_pq_tradedays($B$3,A362,A361)-1)</f>
        <v/>
      </c>
      <c r="F361" s="23" t="str">
        <f t="shared" si="21"/>
        <v/>
      </c>
      <c r="G361" s="16" t="str">
        <f t="shared" si="22"/>
        <v/>
      </c>
      <c r="H361" s="70" t="str">
        <f t="shared" si="23"/>
        <v/>
      </c>
    </row>
    <row r="362" spans="1:8">
      <c r="A362" s="2"/>
      <c r="B362" s="12"/>
      <c r="C362" s="12"/>
      <c r="D362" s="16" t="str">
        <f t="shared" si="20"/>
        <v/>
      </c>
      <c r="E362" t="str">
        <f>IF(D362="","",[1]!i_pq_tradedays($B$3,A363,A362)-1)</f>
        <v/>
      </c>
      <c r="F362" s="23" t="str">
        <f t="shared" si="21"/>
        <v/>
      </c>
      <c r="G362" s="16" t="str">
        <f t="shared" si="22"/>
        <v/>
      </c>
      <c r="H362" s="70" t="str">
        <f t="shared" si="23"/>
        <v/>
      </c>
    </row>
    <row r="363" spans="1:8">
      <c r="A363" s="2"/>
      <c r="B363" s="12"/>
      <c r="C363" s="12"/>
      <c r="D363" s="16" t="str">
        <f t="shared" si="20"/>
        <v/>
      </c>
      <c r="E363" t="str">
        <f>IF(D363="","",[1]!i_pq_tradedays($B$3,A364,A363)-1)</f>
        <v/>
      </c>
      <c r="F363" s="23" t="str">
        <f t="shared" si="21"/>
        <v/>
      </c>
      <c r="G363" s="16" t="str">
        <f t="shared" si="22"/>
        <v/>
      </c>
      <c r="H363" s="70" t="str">
        <f t="shared" si="23"/>
        <v/>
      </c>
    </row>
    <row r="364" spans="1:8">
      <c r="A364" s="2"/>
      <c r="B364" s="12"/>
      <c r="C364" s="12"/>
      <c r="D364" s="16" t="str">
        <f t="shared" si="20"/>
        <v/>
      </c>
      <c r="E364" t="str">
        <f>IF(D364="","",[1]!i_pq_tradedays($B$3,A365,A364)-1)</f>
        <v/>
      </c>
      <c r="F364" s="23" t="str">
        <f t="shared" si="21"/>
        <v/>
      </c>
      <c r="G364" s="16" t="str">
        <f t="shared" si="22"/>
        <v/>
      </c>
      <c r="H364" s="70" t="str">
        <f t="shared" si="23"/>
        <v/>
      </c>
    </row>
    <row r="365" spans="1:8">
      <c r="A365" s="2"/>
      <c r="B365" s="12"/>
      <c r="C365" s="12"/>
      <c r="D365" s="16" t="str">
        <f t="shared" si="20"/>
        <v/>
      </c>
      <c r="E365" t="str">
        <f>IF(D365="","",[1]!i_pq_tradedays($B$3,A366,A365)-1)</f>
        <v/>
      </c>
      <c r="F365" s="23" t="str">
        <f t="shared" si="21"/>
        <v/>
      </c>
      <c r="G365" s="16" t="str">
        <f t="shared" si="22"/>
        <v/>
      </c>
      <c r="H365" s="70" t="str">
        <f t="shared" si="23"/>
        <v/>
      </c>
    </row>
    <row r="366" spans="1:8">
      <c r="A366" s="2"/>
      <c r="B366" s="12"/>
      <c r="C366" s="12"/>
      <c r="D366" s="16" t="str">
        <f t="shared" si="20"/>
        <v/>
      </c>
      <c r="E366" t="str">
        <f>IF(D366="","",[1]!i_pq_tradedays($B$3,A367,A366)-1)</f>
        <v/>
      </c>
      <c r="F366" s="23" t="str">
        <f t="shared" si="21"/>
        <v/>
      </c>
      <c r="G366" s="16" t="str">
        <f t="shared" si="22"/>
        <v/>
      </c>
      <c r="H366" s="70" t="str">
        <f t="shared" si="23"/>
        <v/>
      </c>
    </row>
    <row r="367" spans="1:8">
      <c r="A367" s="2"/>
      <c r="B367" s="12"/>
      <c r="C367" s="12"/>
      <c r="D367" s="16" t="str">
        <f t="shared" si="20"/>
        <v/>
      </c>
      <c r="E367" t="str">
        <f>IF(D367="","",[1]!i_pq_tradedays($B$3,A368,A367)-1)</f>
        <v/>
      </c>
      <c r="F367" s="23" t="str">
        <f t="shared" si="21"/>
        <v/>
      </c>
      <c r="G367" s="16" t="str">
        <f t="shared" si="22"/>
        <v/>
      </c>
      <c r="H367" s="70" t="str">
        <f t="shared" si="23"/>
        <v/>
      </c>
    </row>
    <row r="368" spans="1:8">
      <c r="A368" s="2"/>
      <c r="B368" s="12"/>
      <c r="C368" s="12"/>
      <c r="D368" s="16" t="str">
        <f t="shared" si="20"/>
        <v/>
      </c>
      <c r="E368" t="str">
        <f>IF(D368="","",[1]!i_pq_tradedays($B$3,A369,A368)-1)</f>
        <v/>
      </c>
      <c r="F368" s="23" t="str">
        <f t="shared" si="21"/>
        <v/>
      </c>
      <c r="G368" s="16" t="str">
        <f t="shared" si="22"/>
        <v/>
      </c>
      <c r="H368" s="70" t="str">
        <f t="shared" si="23"/>
        <v/>
      </c>
    </row>
    <row r="369" spans="1:8">
      <c r="A369" s="2"/>
      <c r="B369" s="12"/>
      <c r="C369" s="12"/>
      <c r="D369" s="16" t="str">
        <f t="shared" si="20"/>
        <v/>
      </c>
      <c r="E369" t="str">
        <f>IF(D369="","",[1]!i_pq_tradedays($B$3,A370,A369)-1)</f>
        <v/>
      </c>
      <c r="F369" s="23" t="str">
        <f t="shared" si="21"/>
        <v/>
      </c>
      <c r="G369" s="16" t="str">
        <f t="shared" si="22"/>
        <v/>
      </c>
      <c r="H369" s="70" t="str">
        <f t="shared" si="23"/>
        <v/>
      </c>
    </row>
    <row r="370" spans="1:8">
      <c r="A370" s="2"/>
      <c r="B370" s="12"/>
      <c r="C370" s="12"/>
      <c r="D370" s="16" t="str">
        <f t="shared" si="20"/>
        <v/>
      </c>
      <c r="E370" t="str">
        <f>IF(D370="","",[1]!i_pq_tradedays($B$3,A371,A370)-1)</f>
        <v/>
      </c>
      <c r="F370" s="23" t="str">
        <f t="shared" si="21"/>
        <v/>
      </c>
      <c r="G370" s="16" t="str">
        <f t="shared" si="22"/>
        <v/>
      </c>
      <c r="H370" s="70" t="str">
        <f t="shared" si="23"/>
        <v/>
      </c>
    </row>
    <row r="371" spans="1:8">
      <c r="A371" s="2"/>
      <c r="B371" s="12"/>
      <c r="C371" s="12"/>
      <c r="D371" s="16" t="str">
        <f t="shared" si="20"/>
        <v/>
      </c>
      <c r="E371" t="str">
        <f>IF(D371="","",[1]!i_pq_tradedays($B$3,A372,A371)-1)</f>
        <v/>
      </c>
      <c r="F371" s="23" t="str">
        <f t="shared" si="21"/>
        <v/>
      </c>
      <c r="G371" s="16" t="str">
        <f t="shared" si="22"/>
        <v/>
      </c>
      <c r="H371" s="70" t="str">
        <f t="shared" si="23"/>
        <v/>
      </c>
    </row>
    <row r="372" spans="1:8">
      <c r="A372" s="2"/>
      <c r="B372" s="12"/>
      <c r="C372" s="12"/>
      <c r="D372" s="16" t="str">
        <f t="shared" si="20"/>
        <v/>
      </c>
      <c r="E372" t="str">
        <f>IF(D372="","",[1]!i_pq_tradedays($B$3,A373,A372)-1)</f>
        <v/>
      </c>
      <c r="F372" s="23" t="str">
        <f t="shared" si="21"/>
        <v/>
      </c>
      <c r="G372" s="16" t="str">
        <f t="shared" si="22"/>
        <v/>
      </c>
      <c r="H372" s="70" t="str">
        <f t="shared" si="23"/>
        <v/>
      </c>
    </row>
    <row r="373" spans="1:8">
      <c r="A373" s="2"/>
      <c r="B373" s="12"/>
      <c r="C373" s="12"/>
      <c r="D373" s="16" t="str">
        <f t="shared" si="20"/>
        <v/>
      </c>
      <c r="E373" t="str">
        <f>IF(D373="","",[1]!i_pq_tradedays($B$3,A374,A373)-1)</f>
        <v/>
      </c>
      <c r="F373" s="23" t="str">
        <f t="shared" si="21"/>
        <v/>
      </c>
      <c r="G373" s="16" t="str">
        <f t="shared" si="22"/>
        <v/>
      </c>
      <c r="H373" s="70" t="str">
        <f t="shared" si="23"/>
        <v/>
      </c>
    </row>
    <row r="374" spans="1:8">
      <c r="A374" s="2"/>
      <c r="B374" s="12"/>
      <c r="C374" s="12"/>
      <c r="D374" s="16" t="str">
        <f t="shared" si="20"/>
        <v/>
      </c>
      <c r="E374" t="str">
        <f>IF(D374="","",[1]!i_pq_tradedays($B$3,A375,A374)-1)</f>
        <v/>
      </c>
      <c r="F374" s="23" t="str">
        <f t="shared" si="21"/>
        <v/>
      </c>
      <c r="G374" s="16" t="str">
        <f t="shared" si="22"/>
        <v/>
      </c>
      <c r="H374" s="70" t="str">
        <f t="shared" si="23"/>
        <v/>
      </c>
    </row>
    <row r="375" spans="1:8">
      <c r="A375" s="2"/>
      <c r="B375" s="12"/>
      <c r="C375" s="12"/>
      <c r="D375" s="16" t="str">
        <f t="shared" si="20"/>
        <v/>
      </c>
      <c r="E375" t="str">
        <f>IF(D375="","",[1]!i_pq_tradedays($B$3,A376,A375)-1)</f>
        <v/>
      </c>
      <c r="F375" s="23" t="str">
        <f t="shared" si="21"/>
        <v/>
      </c>
      <c r="G375" s="16" t="str">
        <f t="shared" si="22"/>
        <v/>
      </c>
      <c r="H375" s="70" t="str">
        <f t="shared" si="23"/>
        <v/>
      </c>
    </row>
    <row r="376" spans="1:8">
      <c r="A376" s="2"/>
      <c r="B376" s="12"/>
      <c r="C376" s="12"/>
      <c r="D376" s="16" t="str">
        <f t="shared" si="20"/>
        <v/>
      </c>
      <c r="E376" t="str">
        <f>IF(D376="","",[1]!i_pq_tradedays($B$3,A377,A376)-1)</f>
        <v/>
      </c>
      <c r="F376" s="23" t="str">
        <f t="shared" si="21"/>
        <v/>
      </c>
      <c r="G376" s="16" t="str">
        <f t="shared" si="22"/>
        <v/>
      </c>
      <c r="H376" s="70" t="str">
        <f t="shared" si="23"/>
        <v/>
      </c>
    </row>
    <row r="377" spans="1:8">
      <c r="A377" s="2"/>
      <c r="B377" s="12"/>
      <c r="C377" s="12"/>
      <c r="D377" s="16" t="str">
        <f t="shared" si="20"/>
        <v/>
      </c>
      <c r="E377" t="str">
        <f>IF(D377="","",[1]!i_pq_tradedays($B$3,A378,A377)-1)</f>
        <v/>
      </c>
      <c r="F377" s="23" t="str">
        <f t="shared" si="21"/>
        <v/>
      </c>
      <c r="G377" s="16" t="str">
        <f t="shared" si="22"/>
        <v/>
      </c>
      <c r="H377" s="70" t="str">
        <f t="shared" si="23"/>
        <v/>
      </c>
    </row>
    <row r="378" spans="1:8">
      <c r="A378" s="2"/>
      <c r="B378" s="12"/>
      <c r="C378" s="12"/>
      <c r="D378" s="16" t="str">
        <f t="shared" si="20"/>
        <v/>
      </c>
      <c r="E378" t="str">
        <f>IF(D378="","",[1]!i_pq_tradedays($B$3,A379,A378)-1)</f>
        <v/>
      </c>
      <c r="F378" s="23" t="str">
        <f t="shared" si="21"/>
        <v/>
      </c>
      <c r="G378" s="16" t="str">
        <f t="shared" si="22"/>
        <v/>
      </c>
      <c r="H378" s="70" t="str">
        <f t="shared" si="23"/>
        <v/>
      </c>
    </row>
    <row r="379" spans="1:8">
      <c r="A379" s="2"/>
      <c r="B379" s="12"/>
      <c r="C379" s="12"/>
      <c r="D379" s="16" t="str">
        <f t="shared" si="20"/>
        <v/>
      </c>
      <c r="E379" t="str">
        <f>IF(D379="","",[1]!i_pq_tradedays($B$3,A380,A379)-1)</f>
        <v/>
      </c>
      <c r="F379" s="23" t="str">
        <f t="shared" si="21"/>
        <v/>
      </c>
      <c r="G379" s="16" t="str">
        <f t="shared" si="22"/>
        <v/>
      </c>
      <c r="H379" s="70" t="str">
        <f t="shared" si="23"/>
        <v/>
      </c>
    </row>
    <row r="380" spans="1:8">
      <c r="A380" s="2"/>
      <c r="B380" s="12"/>
      <c r="C380" s="12"/>
      <c r="D380" s="16" t="str">
        <f t="shared" si="20"/>
        <v/>
      </c>
      <c r="E380" t="str">
        <f>IF(D380="","",[1]!i_pq_tradedays($B$3,A381,A380)-1)</f>
        <v/>
      </c>
      <c r="F380" s="23" t="str">
        <f t="shared" si="21"/>
        <v/>
      </c>
      <c r="G380" s="16" t="str">
        <f t="shared" si="22"/>
        <v/>
      </c>
      <c r="H380" s="70" t="str">
        <f t="shared" si="23"/>
        <v/>
      </c>
    </row>
    <row r="381" spans="1:8">
      <c r="A381" s="2"/>
      <c r="B381" s="12"/>
      <c r="C381" s="12"/>
      <c r="D381" s="16" t="str">
        <f t="shared" si="20"/>
        <v/>
      </c>
      <c r="E381" t="str">
        <f>IF(D381="","",[1]!i_pq_tradedays($B$3,A382,A381)-1)</f>
        <v/>
      </c>
      <c r="F381" s="23" t="str">
        <f t="shared" si="21"/>
        <v/>
      </c>
      <c r="G381" s="16" t="str">
        <f t="shared" si="22"/>
        <v/>
      </c>
      <c r="H381" s="70" t="str">
        <f t="shared" si="23"/>
        <v/>
      </c>
    </row>
    <row r="382" spans="1:8">
      <c r="A382" s="2"/>
      <c r="B382" s="12"/>
      <c r="C382" s="12"/>
      <c r="D382" s="16" t="str">
        <f t="shared" si="20"/>
        <v/>
      </c>
      <c r="E382" t="str">
        <f>IF(D382="","",[1]!i_pq_tradedays($B$3,A383,A382)-1)</f>
        <v/>
      </c>
      <c r="F382" s="23" t="str">
        <f t="shared" si="21"/>
        <v/>
      </c>
      <c r="G382" s="16" t="str">
        <f t="shared" si="22"/>
        <v/>
      </c>
      <c r="H382" s="70" t="str">
        <f t="shared" si="23"/>
        <v/>
      </c>
    </row>
    <row r="383" spans="1:8">
      <c r="A383" s="2"/>
      <c r="B383" s="12"/>
      <c r="C383" s="12"/>
      <c r="D383" s="16" t="str">
        <f t="shared" si="20"/>
        <v/>
      </c>
      <c r="E383" t="str">
        <f>IF(D383="","",[1]!i_pq_tradedays($B$3,A384,A383)-1)</f>
        <v/>
      </c>
      <c r="F383" s="23" t="str">
        <f t="shared" si="21"/>
        <v/>
      </c>
      <c r="G383" s="16" t="str">
        <f t="shared" si="22"/>
        <v/>
      </c>
      <c r="H383" s="70" t="str">
        <f t="shared" si="23"/>
        <v/>
      </c>
    </row>
    <row r="384" spans="1:8">
      <c r="A384" s="2"/>
      <c r="B384" s="12"/>
      <c r="C384" s="12"/>
      <c r="D384" s="16" t="str">
        <f t="shared" si="20"/>
        <v/>
      </c>
      <c r="E384" t="str">
        <f>IF(D384="","",[1]!i_pq_tradedays($B$3,A385,A384)-1)</f>
        <v/>
      </c>
      <c r="F384" s="23" t="str">
        <f t="shared" si="21"/>
        <v/>
      </c>
      <c r="G384" s="16" t="str">
        <f t="shared" si="22"/>
        <v/>
      </c>
      <c r="H384" s="70" t="str">
        <f t="shared" si="23"/>
        <v/>
      </c>
    </row>
    <row r="385" spans="1:8">
      <c r="A385" s="2"/>
      <c r="B385" s="12"/>
      <c r="C385" s="12"/>
      <c r="D385" s="16" t="str">
        <f t="shared" si="20"/>
        <v/>
      </c>
      <c r="E385" t="str">
        <f>IF(D385="","",[1]!i_pq_tradedays($B$3,A386,A385)-1)</f>
        <v/>
      </c>
      <c r="F385" s="23" t="str">
        <f t="shared" si="21"/>
        <v/>
      </c>
      <c r="G385" s="16" t="str">
        <f t="shared" si="22"/>
        <v/>
      </c>
      <c r="H385" s="70" t="str">
        <f t="shared" si="23"/>
        <v/>
      </c>
    </row>
    <row r="386" spans="1:8">
      <c r="A386" s="2"/>
      <c r="B386" s="12"/>
      <c r="C386" s="12"/>
      <c r="D386" s="16" t="str">
        <f t="shared" si="20"/>
        <v/>
      </c>
      <c r="E386" t="str">
        <f>IF(D386="","",[1]!i_pq_tradedays($B$3,A387,A386)-1)</f>
        <v/>
      </c>
      <c r="F386" s="23" t="str">
        <f t="shared" si="21"/>
        <v/>
      </c>
      <c r="G386" s="16" t="str">
        <f t="shared" si="22"/>
        <v/>
      </c>
      <c r="H386" s="70" t="str">
        <f t="shared" si="23"/>
        <v/>
      </c>
    </row>
    <row r="387" spans="1:8">
      <c r="A387" s="2"/>
      <c r="B387" s="12"/>
      <c r="C387" s="12"/>
      <c r="D387" s="16" t="str">
        <f t="shared" si="20"/>
        <v/>
      </c>
      <c r="E387" t="str">
        <f>IF(D387="","",[1]!i_pq_tradedays($B$3,A388,A387)-1)</f>
        <v/>
      </c>
      <c r="F387" s="23" t="str">
        <f t="shared" si="21"/>
        <v/>
      </c>
      <c r="G387" s="16" t="str">
        <f t="shared" si="22"/>
        <v/>
      </c>
      <c r="H387" s="70" t="str">
        <f t="shared" si="23"/>
        <v/>
      </c>
    </row>
    <row r="388" spans="1:8">
      <c r="A388" s="2"/>
      <c r="B388" s="12"/>
      <c r="C388" s="12"/>
      <c r="D388" s="16" t="str">
        <f t="shared" si="20"/>
        <v/>
      </c>
      <c r="E388" t="str">
        <f>IF(D388="","",[1]!i_pq_tradedays($B$3,A389,A388)-1)</f>
        <v/>
      </c>
      <c r="F388" s="23" t="str">
        <f t="shared" si="21"/>
        <v/>
      </c>
      <c r="G388" s="16" t="str">
        <f t="shared" si="22"/>
        <v/>
      </c>
      <c r="H388" s="70" t="str">
        <f t="shared" si="23"/>
        <v/>
      </c>
    </row>
    <row r="389" spans="1:8">
      <c r="A389" s="2"/>
      <c r="B389" s="12"/>
      <c r="C389" s="12"/>
      <c r="D389" s="16" t="str">
        <f t="shared" si="20"/>
        <v/>
      </c>
      <c r="E389" t="str">
        <f>IF(D389="","",[1]!i_pq_tradedays($B$3,A390,A389)-1)</f>
        <v/>
      </c>
      <c r="F389" s="23" t="str">
        <f t="shared" si="21"/>
        <v/>
      </c>
      <c r="G389" s="16" t="str">
        <f t="shared" si="22"/>
        <v/>
      </c>
      <c r="H389" s="70" t="str">
        <f t="shared" si="23"/>
        <v/>
      </c>
    </row>
    <row r="390" spans="1:8">
      <c r="A390" s="2"/>
      <c r="B390" s="12"/>
      <c r="C390" s="12"/>
      <c r="D390" s="16" t="str">
        <f t="shared" ref="D390:D453" si="24">IF(B390+C390=0,"",B390+C390)</f>
        <v/>
      </c>
      <c r="E390" t="str">
        <f>IF(D390="","",[1]!i_pq_tradedays($B$3,A391,A390)-1)</f>
        <v/>
      </c>
      <c r="F390" s="23" t="str">
        <f t="shared" ref="F390:F453" si="25">IF(D390="","",A390)</f>
        <v/>
      </c>
      <c r="G390" s="16" t="str">
        <f t="shared" ref="G390:G453" si="26">IF(D390="","",D390/E390)</f>
        <v/>
      </c>
      <c r="H390" s="70" t="str">
        <f t="shared" ref="H390:H453" si="27">IF(D390="","",G390/G391-1)</f>
        <v/>
      </c>
    </row>
    <row r="391" spans="1:8">
      <c r="A391" s="2"/>
      <c r="B391" s="12"/>
      <c r="C391" s="12"/>
      <c r="D391" s="16" t="str">
        <f t="shared" si="24"/>
        <v/>
      </c>
      <c r="E391" t="str">
        <f>IF(D391="","",[1]!i_pq_tradedays($B$3,A392,A391)-1)</f>
        <v/>
      </c>
      <c r="F391" s="23" t="str">
        <f t="shared" si="25"/>
        <v/>
      </c>
      <c r="G391" s="16" t="str">
        <f t="shared" si="26"/>
        <v/>
      </c>
      <c r="H391" s="70" t="str">
        <f t="shared" si="27"/>
        <v/>
      </c>
    </row>
    <row r="392" spans="1:8">
      <c r="A392" s="2"/>
      <c r="B392" s="12"/>
      <c r="C392" s="12"/>
      <c r="D392" s="16" t="str">
        <f t="shared" si="24"/>
        <v/>
      </c>
      <c r="E392" t="str">
        <f>IF(D392="","",[1]!i_pq_tradedays($B$3,A393,A392)-1)</f>
        <v/>
      </c>
      <c r="F392" s="23" t="str">
        <f t="shared" si="25"/>
        <v/>
      </c>
      <c r="G392" s="16" t="str">
        <f t="shared" si="26"/>
        <v/>
      </c>
      <c r="H392" s="70" t="str">
        <f t="shared" si="27"/>
        <v/>
      </c>
    </row>
    <row r="393" spans="1:8">
      <c r="A393" s="2"/>
      <c r="B393" s="12"/>
      <c r="C393" s="12"/>
      <c r="D393" s="16" t="str">
        <f t="shared" si="24"/>
        <v/>
      </c>
      <c r="E393" t="str">
        <f>IF(D393="","",[1]!i_pq_tradedays($B$3,A394,A393)-1)</f>
        <v/>
      </c>
      <c r="F393" s="23" t="str">
        <f t="shared" si="25"/>
        <v/>
      </c>
      <c r="G393" s="16" t="str">
        <f t="shared" si="26"/>
        <v/>
      </c>
      <c r="H393" s="70" t="str">
        <f t="shared" si="27"/>
        <v/>
      </c>
    </row>
    <row r="394" spans="1:8">
      <c r="A394" s="2"/>
      <c r="B394" s="12"/>
      <c r="C394" s="12"/>
      <c r="D394" s="16" t="str">
        <f t="shared" si="24"/>
        <v/>
      </c>
      <c r="E394" t="str">
        <f>IF(D394="","",[1]!i_pq_tradedays($B$3,A395,A394)-1)</f>
        <v/>
      </c>
      <c r="F394" s="23" t="str">
        <f t="shared" si="25"/>
        <v/>
      </c>
      <c r="G394" s="16" t="str">
        <f t="shared" si="26"/>
        <v/>
      </c>
      <c r="H394" s="70" t="str">
        <f t="shared" si="27"/>
        <v/>
      </c>
    </row>
    <row r="395" spans="1:8">
      <c r="A395" s="2"/>
      <c r="B395" s="12"/>
      <c r="C395" s="12"/>
      <c r="D395" s="16" t="str">
        <f t="shared" si="24"/>
        <v/>
      </c>
      <c r="E395" t="str">
        <f>IF(D395="","",[1]!i_pq_tradedays($B$3,A396,A395)-1)</f>
        <v/>
      </c>
      <c r="F395" s="23" t="str">
        <f t="shared" si="25"/>
        <v/>
      </c>
      <c r="G395" s="16" t="str">
        <f t="shared" si="26"/>
        <v/>
      </c>
      <c r="H395" s="70" t="str">
        <f t="shared" si="27"/>
        <v/>
      </c>
    </row>
    <row r="396" spans="1:8">
      <c r="A396" s="2"/>
      <c r="B396" s="12"/>
      <c r="C396" s="12"/>
      <c r="D396" s="16" t="str">
        <f t="shared" si="24"/>
        <v/>
      </c>
      <c r="E396" t="str">
        <f>IF(D396="","",[1]!i_pq_tradedays($B$3,A397,A396)-1)</f>
        <v/>
      </c>
      <c r="F396" s="23" t="str">
        <f t="shared" si="25"/>
        <v/>
      </c>
      <c r="G396" s="16" t="str">
        <f t="shared" si="26"/>
        <v/>
      </c>
      <c r="H396" s="70" t="str">
        <f t="shared" si="27"/>
        <v/>
      </c>
    </row>
    <row r="397" spans="1:8">
      <c r="A397" s="2"/>
      <c r="B397" s="12"/>
      <c r="C397" s="12"/>
      <c r="D397" s="16" t="str">
        <f t="shared" si="24"/>
        <v/>
      </c>
      <c r="E397" t="str">
        <f>IF(D397="","",[1]!i_pq_tradedays($B$3,A398,A397)-1)</f>
        <v/>
      </c>
      <c r="F397" s="23" t="str">
        <f t="shared" si="25"/>
        <v/>
      </c>
      <c r="G397" s="16" t="str">
        <f t="shared" si="26"/>
        <v/>
      </c>
      <c r="H397" s="70" t="str">
        <f t="shared" si="27"/>
        <v/>
      </c>
    </row>
    <row r="398" spans="1:8">
      <c r="A398" s="2"/>
      <c r="B398" s="12"/>
      <c r="C398" s="12"/>
      <c r="D398" s="16" t="str">
        <f t="shared" si="24"/>
        <v/>
      </c>
      <c r="E398" t="str">
        <f>IF(D398="","",[1]!i_pq_tradedays($B$3,A399,A398)-1)</f>
        <v/>
      </c>
      <c r="F398" s="23" t="str">
        <f t="shared" si="25"/>
        <v/>
      </c>
      <c r="G398" s="16" t="str">
        <f t="shared" si="26"/>
        <v/>
      </c>
      <c r="H398" s="70" t="str">
        <f t="shared" si="27"/>
        <v/>
      </c>
    </row>
    <row r="399" spans="1:8">
      <c r="A399" s="2"/>
      <c r="B399" s="12"/>
      <c r="C399" s="12"/>
      <c r="D399" s="16" t="str">
        <f t="shared" si="24"/>
        <v/>
      </c>
      <c r="E399" t="str">
        <f>IF(D399="","",[1]!i_pq_tradedays($B$3,A400,A399)-1)</f>
        <v/>
      </c>
      <c r="F399" s="23" t="str">
        <f t="shared" si="25"/>
        <v/>
      </c>
      <c r="G399" s="16" t="str">
        <f t="shared" si="26"/>
        <v/>
      </c>
      <c r="H399" s="70" t="str">
        <f t="shared" si="27"/>
        <v/>
      </c>
    </row>
    <row r="400" spans="1:8">
      <c r="A400" s="2"/>
      <c r="B400" s="12"/>
      <c r="C400" s="12"/>
      <c r="D400" s="16" t="str">
        <f t="shared" si="24"/>
        <v/>
      </c>
      <c r="E400" t="str">
        <f>IF(D400="","",[1]!i_pq_tradedays($B$3,A401,A400)-1)</f>
        <v/>
      </c>
      <c r="F400" s="23" t="str">
        <f t="shared" si="25"/>
        <v/>
      </c>
      <c r="G400" s="16" t="str">
        <f t="shared" si="26"/>
        <v/>
      </c>
      <c r="H400" s="70" t="str">
        <f t="shared" si="27"/>
        <v/>
      </c>
    </row>
    <row r="401" spans="1:8">
      <c r="A401" s="2"/>
      <c r="B401" s="12"/>
      <c r="C401" s="12"/>
      <c r="D401" s="16" t="str">
        <f t="shared" si="24"/>
        <v/>
      </c>
      <c r="E401" t="str">
        <f>IF(D401="","",[1]!i_pq_tradedays($B$3,A402,A401)-1)</f>
        <v/>
      </c>
      <c r="F401" s="23" t="str">
        <f t="shared" si="25"/>
        <v/>
      </c>
      <c r="G401" s="16" t="str">
        <f t="shared" si="26"/>
        <v/>
      </c>
      <c r="H401" s="70" t="str">
        <f t="shared" si="27"/>
        <v/>
      </c>
    </row>
    <row r="402" spans="1:8">
      <c r="A402" s="2"/>
      <c r="B402" s="12"/>
      <c r="C402" s="12"/>
      <c r="D402" s="16" t="str">
        <f t="shared" si="24"/>
        <v/>
      </c>
      <c r="E402" t="str">
        <f>IF(D402="","",[1]!i_pq_tradedays($B$3,A403,A402)-1)</f>
        <v/>
      </c>
      <c r="F402" s="23" t="str">
        <f t="shared" si="25"/>
        <v/>
      </c>
      <c r="G402" s="16" t="str">
        <f t="shared" si="26"/>
        <v/>
      </c>
      <c r="H402" s="70" t="str">
        <f t="shared" si="27"/>
        <v/>
      </c>
    </row>
    <row r="403" spans="1:8">
      <c r="A403" s="2"/>
      <c r="B403" s="12"/>
      <c r="C403" s="12"/>
      <c r="D403" s="16" t="str">
        <f t="shared" si="24"/>
        <v/>
      </c>
      <c r="E403" t="str">
        <f>IF(D403="","",[1]!i_pq_tradedays($B$3,A404,A403)-1)</f>
        <v/>
      </c>
      <c r="F403" s="23" t="str">
        <f t="shared" si="25"/>
        <v/>
      </c>
      <c r="G403" s="16" t="str">
        <f t="shared" si="26"/>
        <v/>
      </c>
      <c r="H403" s="70" t="str">
        <f t="shared" si="27"/>
        <v/>
      </c>
    </row>
    <row r="404" spans="1:8">
      <c r="A404" s="2"/>
      <c r="B404" s="12"/>
      <c r="C404" s="12"/>
      <c r="D404" s="16" t="str">
        <f t="shared" si="24"/>
        <v/>
      </c>
      <c r="E404" t="str">
        <f>IF(D404="","",[1]!i_pq_tradedays($B$3,A405,A404)-1)</f>
        <v/>
      </c>
      <c r="F404" s="23" t="str">
        <f t="shared" si="25"/>
        <v/>
      </c>
      <c r="G404" s="16" t="str">
        <f t="shared" si="26"/>
        <v/>
      </c>
      <c r="H404" s="70" t="str">
        <f t="shared" si="27"/>
        <v/>
      </c>
    </row>
    <row r="405" spans="1:8">
      <c r="A405" s="2"/>
      <c r="B405" s="12"/>
      <c r="C405" s="12"/>
      <c r="D405" s="16" t="str">
        <f t="shared" si="24"/>
        <v/>
      </c>
      <c r="E405" t="str">
        <f>IF(D405="","",[1]!i_pq_tradedays($B$3,A406,A405)-1)</f>
        <v/>
      </c>
      <c r="F405" s="23" t="str">
        <f t="shared" si="25"/>
        <v/>
      </c>
      <c r="G405" s="16" t="str">
        <f t="shared" si="26"/>
        <v/>
      </c>
      <c r="H405" s="70" t="str">
        <f t="shared" si="27"/>
        <v/>
      </c>
    </row>
    <row r="406" spans="1:8">
      <c r="A406" s="2"/>
      <c r="B406" s="12"/>
      <c r="C406" s="12"/>
      <c r="D406" s="16" t="str">
        <f t="shared" si="24"/>
        <v/>
      </c>
      <c r="E406" t="str">
        <f>IF(D406="","",[1]!i_pq_tradedays($B$3,A407,A406)-1)</f>
        <v/>
      </c>
      <c r="F406" s="23" t="str">
        <f t="shared" si="25"/>
        <v/>
      </c>
      <c r="G406" s="16" t="str">
        <f t="shared" si="26"/>
        <v/>
      </c>
      <c r="H406" s="70" t="str">
        <f t="shared" si="27"/>
        <v/>
      </c>
    </row>
    <row r="407" spans="1:8">
      <c r="A407" s="2"/>
      <c r="B407" s="12"/>
      <c r="C407" s="12"/>
      <c r="D407" s="16" t="str">
        <f t="shared" si="24"/>
        <v/>
      </c>
      <c r="E407" t="str">
        <f>IF(D407="","",[1]!i_pq_tradedays($B$3,A408,A407)-1)</f>
        <v/>
      </c>
      <c r="F407" s="23" t="str">
        <f t="shared" si="25"/>
        <v/>
      </c>
      <c r="G407" s="16" t="str">
        <f t="shared" si="26"/>
        <v/>
      </c>
      <c r="H407" s="70" t="str">
        <f t="shared" si="27"/>
        <v/>
      </c>
    </row>
    <row r="408" spans="1:8">
      <c r="A408" s="2"/>
      <c r="B408" s="12"/>
      <c r="C408" s="12"/>
      <c r="D408" s="16" t="str">
        <f t="shared" si="24"/>
        <v/>
      </c>
      <c r="E408" t="str">
        <f>IF(D408="","",[1]!i_pq_tradedays($B$3,A409,A408)-1)</f>
        <v/>
      </c>
      <c r="F408" s="23" t="str">
        <f t="shared" si="25"/>
        <v/>
      </c>
      <c r="G408" s="16" t="str">
        <f t="shared" si="26"/>
        <v/>
      </c>
      <c r="H408" s="70" t="str">
        <f t="shared" si="27"/>
        <v/>
      </c>
    </row>
    <row r="409" spans="1:8">
      <c r="A409" s="2"/>
      <c r="B409" s="12"/>
      <c r="C409" s="12"/>
      <c r="D409" s="16" t="str">
        <f t="shared" si="24"/>
        <v/>
      </c>
      <c r="E409" t="str">
        <f>IF(D409="","",[1]!i_pq_tradedays($B$3,A410,A409)-1)</f>
        <v/>
      </c>
      <c r="F409" s="23" t="str">
        <f t="shared" si="25"/>
        <v/>
      </c>
      <c r="G409" s="16" t="str">
        <f t="shared" si="26"/>
        <v/>
      </c>
      <c r="H409" s="70" t="str">
        <f t="shared" si="27"/>
        <v/>
      </c>
    </row>
    <row r="410" spans="1:8">
      <c r="A410" s="2"/>
      <c r="B410" s="12"/>
      <c r="C410" s="12"/>
      <c r="D410" s="16" t="str">
        <f t="shared" si="24"/>
        <v/>
      </c>
      <c r="E410" t="str">
        <f>IF(D410="","",[1]!i_pq_tradedays($B$3,A411,A410)-1)</f>
        <v/>
      </c>
      <c r="F410" s="23" t="str">
        <f t="shared" si="25"/>
        <v/>
      </c>
      <c r="G410" s="16" t="str">
        <f t="shared" si="26"/>
        <v/>
      </c>
      <c r="H410" s="70" t="str">
        <f t="shared" si="27"/>
        <v/>
      </c>
    </row>
    <row r="411" spans="1:8">
      <c r="A411" s="2"/>
      <c r="B411" s="12"/>
      <c r="C411" s="12"/>
      <c r="D411" s="16" t="str">
        <f t="shared" si="24"/>
        <v/>
      </c>
      <c r="E411" t="str">
        <f>IF(D411="","",[1]!i_pq_tradedays($B$3,A412,A411)-1)</f>
        <v/>
      </c>
      <c r="F411" s="23" t="str">
        <f t="shared" si="25"/>
        <v/>
      </c>
      <c r="G411" s="16" t="str">
        <f t="shared" si="26"/>
        <v/>
      </c>
      <c r="H411" s="70" t="str">
        <f t="shared" si="27"/>
        <v/>
      </c>
    </row>
    <row r="412" spans="1:8">
      <c r="A412" s="2"/>
      <c r="B412" s="12"/>
      <c r="C412" s="12"/>
      <c r="D412" s="16" t="str">
        <f t="shared" si="24"/>
        <v/>
      </c>
      <c r="E412" t="str">
        <f>IF(D412="","",[1]!i_pq_tradedays($B$3,A413,A412)-1)</f>
        <v/>
      </c>
      <c r="F412" s="23" t="str">
        <f t="shared" si="25"/>
        <v/>
      </c>
      <c r="G412" s="16" t="str">
        <f t="shared" si="26"/>
        <v/>
      </c>
      <c r="H412" s="70" t="str">
        <f t="shared" si="27"/>
        <v/>
      </c>
    </row>
    <row r="413" spans="1:8">
      <c r="A413" s="2"/>
      <c r="B413" s="12"/>
      <c r="C413" s="12"/>
      <c r="D413" s="16" t="str">
        <f t="shared" si="24"/>
        <v/>
      </c>
      <c r="E413" t="str">
        <f>IF(D413="","",[1]!i_pq_tradedays($B$3,A414,A413)-1)</f>
        <v/>
      </c>
      <c r="F413" s="23" t="str">
        <f t="shared" si="25"/>
        <v/>
      </c>
      <c r="G413" s="16" t="str">
        <f t="shared" si="26"/>
        <v/>
      </c>
      <c r="H413" s="70" t="str">
        <f t="shared" si="27"/>
        <v/>
      </c>
    </row>
    <row r="414" spans="1:8">
      <c r="A414" s="2"/>
      <c r="B414" s="12"/>
      <c r="C414" s="12"/>
      <c r="D414" s="16" t="str">
        <f t="shared" si="24"/>
        <v/>
      </c>
      <c r="E414" t="str">
        <f>IF(D414="","",[1]!i_pq_tradedays($B$3,A415,A414)-1)</f>
        <v/>
      </c>
      <c r="F414" s="23" t="str">
        <f t="shared" si="25"/>
        <v/>
      </c>
      <c r="G414" s="16" t="str">
        <f t="shared" si="26"/>
        <v/>
      </c>
      <c r="H414" s="70" t="str">
        <f t="shared" si="27"/>
        <v/>
      </c>
    </row>
    <row r="415" spans="1:8">
      <c r="A415" s="2"/>
      <c r="B415" s="12"/>
      <c r="C415" s="12"/>
      <c r="D415" s="16" t="str">
        <f t="shared" si="24"/>
        <v/>
      </c>
      <c r="E415" t="str">
        <f>IF(D415="","",[1]!i_pq_tradedays($B$3,A416,A415)-1)</f>
        <v/>
      </c>
      <c r="F415" s="23" t="str">
        <f t="shared" si="25"/>
        <v/>
      </c>
      <c r="G415" s="16" t="str">
        <f t="shared" si="26"/>
        <v/>
      </c>
      <c r="H415" s="70" t="str">
        <f t="shared" si="27"/>
        <v/>
      </c>
    </row>
    <row r="416" spans="1:8">
      <c r="A416" s="2"/>
      <c r="B416" s="12"/>
      <c r="C416" s="12"/>
      <c r="D416" s="16" t="str">
        <f t="shared" si="24"/>
        <v/>
      </c>
      <c r="E416" t="str">
        <f>IF(D416="","",[1]!i_pq_tradedays($B$3,A417,A416)-1)</f>
        <v/>
      </c>
      <c r="F416" s="23" t="str">
        <f t="shared" si="25"/>
        <v/>
      </c>
      <c r="G416" s="16" t="str">
        <f t="shared" si="26"/>
        <v/>
      </c>
      <c r="H416" s="70" t="str">
        <f t="shared" si="27"/>
        <v/>
      </c>
    </row>
    <row r="417" spans="1:8">
      <c r="A417" s="2"/>
      <c r="B417" s="12"/>
      <c r="C417" s="12"/>
      <c r="D417" s="16" t="str">
        <f t="shared" si="24"/>
        <v/>
      </c>
      <c r="E417" t="str">
        <f>IF(D417="","",[1]!i_pq_tradedays($B$3,A418,A417)-1)</f>
        <v/>
      </c>
      <c r="F417" s="23" t="str">
        <f t="shared" si="25"/>
        <v/>
      </c>
      <c r="G417" s="16" t="str">
        <f t="shared" si="26"/>
        <v/>
      </c>
      <c r="H417" s="70" t="str">
        <f t="shared" si="27"/>
        <v/>
      </c>
    </row>
    <row r="418" spans="1:8">
      <c r="A418" s="2"/>
      <c r="B418" s="12"/>
      <c r="C418" s="12"/>
      <c r="D418" s="16" t="str">
        <f t="shared" si="24"/>
        <v/>
      </c>
      <c r="E418" t="str">
        <f>IF(D418="","",[1]!i_pq_tradedays($B$3,A419,A418)-1)</f>
        <v/>
      </c>
      <c r="F418" s="23" t="str">
        <f t="shared" si="25"/>
        <v/>
      </c>
      <c r="G418" s="16" t="str">
        <f t="shared" si="26"/>
        <v/>
      </c>
      <c r="H418" s="70" t="str">
        <f t="shared" si="27"/>
        <v/>
      </c>
    </row>
    <row r="419" spans="1:8">
      <c r="A419" s="2"/>
      <c r="B419" s="12"/>
      <c r="C419" s="12"/>
      <c r="D419" s="16" t="str">
        <f t="shared" si="24"/>
        <v/>
      </c>
      <c r="E419" t="str">
        <f>IF(D419="","",[1]!i_pq_tradedays($B$3,A420,A419)-1)</f>
        <v/>
      </c>
      <c r="F419" s="23" t="str">
        <f t="shared" si="25"/>
        <v/>
      </c>
      <c r="G419" s="16" t="str">
        <f t="shared" si="26"/>
        <v/>
      </c>
      <c r="H419" s="70" t="str">
        <f t="shared" si="27"/>
        <v/>
      </c>
    </row>
    <row r="420" spans="1:8">
      <c r="A420" s="2"/>
      <c r="B420" s="12"/>
      <c r="C420" s="12"/>
      <c r="D420" s="16" t="str">
        <f t="shared" si="24"/>
        <v/>
      </c>
      <c r="E420" t="str">
        <f>IF(D420="","",[1]!i_pq_tradedays($B$3,A421,A420)-1)</f>
        <v/>
      </c>
      <c r="F420" s="23" t="str">
        <f t="shared" si="25"/>
        <v/>
      </c>
      <c r="G420" s="16" t="str">
        <f t="shared" si="26"/>
        <v/>
      </c>
      <c r="H420" s="70" t="str">
        <f t="shared" si="27"/>
        <v/>
      </c>
    </row>
    <row r="421" spans="1:8">
      <c r="A421" s="2"/>
      <c r="B421" s="12"/>
      <c r="C421" s="12"/>
      <c r="D421" s="16" t="str">
        <f t="shared" si="24"/>
        <v/>
      </c>
      <c r="E421" t="str">
        <f>IF(D421="","",[1]!i_pq_tradedays($B$3,A422,A421)-1)</f>
        <v/>
      </c>
      <c r="F421" s="23" t="str">
        <f t="shared" si="25"/>
        <v/>
      </c>
      <c r="G421" s="16" t="str">
        <f t="shared" si="26"/>
        <v/>
      </c>
      <c r="H421" s="70" t="str">
        <f t="shared" si="27"/>
        <v/>
      </c>
    </row>
    <row r="422" spans="1:8">
      <c r="A422" s="2"/>
      <c r="B422" s="12"/>
      <c r="C422" s="12"/>
      <c r="D422" s="16" t="str">
        <f t="shared" si="24"/>
        <v/>
      </c>
      <c r="E422" t="str">
        <f>IF(D422="","",[1]!i_pq_tradedays($B$3,A423,A422)-1)</f>
        <v/>
      </c>
      <c r="F422" s="23" t="str">
        <f t="shared" si="25"/>
        <v/>
      </c>
      <c r="G422" s="16" t="str">
        <f t="shared" si="26"/>
        <v/>
      </c>
      <c r="H422" s="70" t="str">
        <f t="shared" si="27"/>
        <v/>
      </c>
    </row>
    <row r="423" spans="1:8">
      <c r="A423" s="2"/>
      <c r="B423" s="12"/>
      <c r="C423" s="12"/>
      <c r="D423" s="16" t="str">
        <f t="shared" si="24"/>
        <v/>
      </c>
      <c r="E423" t="str">
        <f>IF(D423="","",[1]!i_pq_tradedays($B$3,A424,A423)-1)</f>
        <v/>
      </c>
      <c r="F423" s="23" t="str">
        <f t="shared" si="25"/>
        <v/>
      </c>
      <c r="G423" s="16" t="str">
        <f t="shared" si="26"/>
        <v/>
      </c>
      <c r="H423" s="70" t="str">
        <f t="shared" si="27"/>
        <v/>
      </c>
    </row>
    <row r="424" spans="1:8">
      <c r="A424" s="2"/>
      <c r="B424" s="12"/>
      <c r="C424" s="12"/>
      <c r="D424" s="16" t="str">
        <f t="shared" si="24"/>
        <v/>
      </c>
      <c r="E424" t="str">
        <f>IF(D424="","",[1]!i_pq_tradedays($B$3,A425,A424)-1)</f>
        <v/>
      </c>
      <c r="F424" s="23" t="str">
        <f t="shared" si="25"/>
        <v/>
      </c>
      <c r="G424" s="16" t="str">
        <f t="shared" si="26"/>
        <v/>
      </c>
      <c r="H424" s="70" t="str">
        <f t="shared" si="27"/>
        <v/>
      </c>
    </row>
    <row r="425" spans="1:8">
      <c r="A425" s="2"/>
      <c r="B425" s="12"/>
      <c r="C425" s="12"/>
      <c r="D425" s="16" t="str">
        <f t="shared" si="24"/>
        <v/>
      </c>
      <c r="E425" t="str">
        <f>IF(D425="","",[1]!i_pq_tradedays($B$3,A426,A425)-1)</f>
        <v/>
      </c>
      <c r="F425" s="23" t="str">
        <f t="shared" si="25"/>
        <v/>
      </c>
      <c r="G425" s="16" t="str">
        <f t="shared" si="26"/>
        <v/>
      </c>
      <c r="H425" s="70" t="str">
        <f t="shared" si="27"/>
        <v/>
      </c>
    </row>
    <row r="426" spans="1:8">
      <c r="A426" s="2"/>
      <c r="B426" s="12"/>
      <c r="C426" s="12"/>
      <c r="D426" s="16" t="str">
        <f t="shared" si="24"/>
        <v/>
      </c>
      <c r="E426" t="str">
        <f>IF(D426="","",[1]!i_pq_tradedays($B$3,A427,A426)-1)</f>
        <v/>
      </c>
      <c r="F426" s="23" t="str">
        <f t="shared" si="25"/>
        <v/>
      </c>
      <c r="G426" s="16" t="str">
        <f t="shared" si="26"/>
        <v/>
      </c>
      <c r="H426" s="70" t="str">
        <f t="shared" si="27"/>
        <v/>
      </c>
    </row>
    <row r="427" spans="1:8">
      <c r="A427" s="2"/>
      <c r="B427" s="12"/>
      <c r="C427" s="12"/>
      <c r="D427" s="16" t="str">
        <f t="shared" si="24"/>
        <v/>
      </c>
      <c r="E427" t="str">
        <f>IF(D427="","",[1]!i_pq_tradedays($B$3,A428,A427)-1)</f>
        <v/>
      </c>
      <c r="F427" s="23" t="str">
        <f t="shared" si="25"/>
        <v/>
      </c>
      <c r="G427" s="16" t="str">
        <f t="shared" si="26"/>
        <v/>
      </c>
      <c r="H427" s="70" t="str">
        <f t="shared" si="27"/>
        <v/>
      </c>
    </row>
    <row r="428" spans="1:8">
      <c r="A428" s="2"/>
      <c r="B428" s="12"/>
      <c r="C428" s="12"/>
      <c r="D428" s="16" t="str">
        <f t="shared" si="24"/>
        <v/>
      </c>
      <c r="E428" t="str">
        <f>IF(D428="","",[1]!i_pq_tradedays($B$3,A429,A428)-1)</f>
        <v/>
      </c>
      <c r="F428" s="23" t="str">
        <f t="shared" si="25"/>
        <v/>
      </c>
      <c r="G428" s="16" t="str">
        <f t="shared" si="26"/>
        <v/>
      </c>
      <c r="H428" s="70" t="str">
        <f t="shared" si="27"/>
        <v/>
      </c>
    </row>
    <row r="429" spans="1:8">
      <c r="A429" s="2"/>
      <c r="B429" s="12"/>
      <c r="C429" s="12"/>
      <c r="D429" s="16" t="str">
        <f t="shared" si="24"/>
        <v/>
      </c>
      <c r="E429" t="str">
        <f>IF(D429="","",[1]!i_pq_tradedays($B$3,A430,A429)-1)</f>
        <v/>
      </c>
      <c r="F429" s="23" t="str">
        <f t="shared" si="25"/>
        <v/>
      </c>
      <c r="G429" s="16" t="str">
        <f t="shared" si="26"/>
        <v/>
      </c>
      <c r="H429" s="70" t="str">
        <f t="shared" si="27"/>
        <v/>
      </c>
    </row>
    <row r="430" spans="1:8">
      <c r="A430" s="2"/>
      <c r="B430" s="12"/>
      <c r="C430" s="12"/>
      <c r="D430" s="16" t="str">
        <f t="shared" si="24"/>
        <v/>
      </c>
      <c r="E430" t="str">
        <f>IF(D430="","",[1]!i_pq_tradedays($B$3,A431,A430)-1)</f>
        <v/>
      </c>
      <c r="F430" s="23" t="str">
        <f t="shared" si="25"/>
        <v/>
      </c>
      <c r="G430" s="16" t="str">
        <f t="shared" si="26"/>
        <v/>
      </c>
      <c r="H430" s="70" t="str">
        <f t="shared" si="27"/>
        <v/>
      </c>
    </row>
    <row r="431" spans="1:8">
      <c r="A431" s="2"/>
      <c r="B431" s="12"/>
      <c r="C431" s="12"/>
      <c r="D431" s="16" t="str">
        <f t="shared" si="24"/>
        <v/>
      </c>
      <c r="E431" t="str">
        <f>IF(D431="","",[1]!i_pq_tradedays($B$3,A432,A431)-1)</f>
        <v/>
      </c>
      <c r="F431" s="23" t="str">
        <f t="shared" si="25"/>
        <v/>
      </c>
      <c r="G431" s="16" t="str">
        <f t="shared" si="26"/>
        <v/>
      </c>
      <c r="H431" s="70" t="str">
        <f t="shared" si="27"/>
        <v/>
      </c>
    </row>
    <row r="432" spans="1:8">
      <c r="A432" s="2"/>
      <c r="B432" s="12"/>
      <c r="C432" s="12"/>
      <c r="D432" s="16" t="str">
        <f t="shared" si="24"/>
        <v/>
      </c>
      <c r="E432" t="str">
        <f>IF(D432="","",[1]!i_pq_tradedays($B$3,A433,A432)-1)</f>
        <v/>
      </c>
      <c r="F432" s="23" t="str">
        <f t="shared" si="25"/>
        <v/>
      </c>
      <c r="G432" s="16" t="str">
        <f t="shared" si="26"/>
        <v/>
      </c>
      <c r="H432" s="70" t="str">
        <f t="shared" si="27"/>
        <v/>
      </c>
    </row>
    <row r="433" spans="1:8">
      <c r="A433" s="2"/>
      <c r="B433" s="12"/>
      <c r="C433" s="12"/>
      <c r="D433" s="16" t="str">
        <f t="shared" si="24"/>
        <v/>
      </c>
      <c r="E433" t="str">
        <f>IF(D433="","",[1]!i_pq_tradedays($B$3,A434,A433)-1)</f>
        <v/>
      </c>
      <c r="F433" s="23" t="str">
        <f t="shared" si="25"/>
        <v/>
      </c>
      <c r="G433" s="16" t="str">
        <f t="shared" si="26"/>
        <v/>
      </c>
      <c r="H433" s="70" t="str">
        <f t="shared" si="27"/>
        <v/>
      </c>
    </row>
    <row r="434" spans="1:8">
      <c r="A434" s="2"/>
      <c r="B434" s="12"/>
      <c r="C434" s="12"/>
      <c r="D434" s="16" t="str">
        <f t="shared" si="24"/>
        <v/>
      </c>
      <c r="E434" t="str">
        <f>IF(D434="","",[1]!i_pq_tradedays($B$3,A435,A434)-1)</f>
        <v/>
      </c>
      <c r="F434" s="23" t="str">
        <f t="shared" si="25"/>
        <v/>
      </c>
      <c r="G434" s="16" t="str">
        <f t="shared" si="26"/>
        <v/>
      </c>
      <c r="H434" s="70" t="str">
        <f t="shared" si="27"/>
        <v/>
      </c>
    </row>
    <row r="435" spans="1:8">
      <c r="A435" s="2"/>
      <c r="B435" s="12"/>
      <c r="C435" s="12"/>
      <c r="D435" s="16" t="str">
        <f t="shared" si="24"/>
        <v/>
      </c>
      <c r="E435" t="str">
        <f>IF(D435="","",[1]!i_pq_tradedays($B$3,A436,A435)-1)</f>
        <v/>
      </c>
      <c r="F435" s="23" t="str">
        <f t="shared" si="25"/>
        <v/>
      </c>
      <c r="G435" s="16" t="str">
        <f t="shared" si="26"/>
        <v/>
      </c>
      <c r="H435" s="70" t="str">
        <f t="shared" si="27"/>
        <v/>
      </c>
    </row>
    <row r="436" spans="1:8">
      <c r="A436" s="2"/>
      <c r="B436" s="12"/>
      <c r="C436" s="12"/>
      <c r="D436" s="16" t="str">
        <f t="shared" si="24"/>
        <v/>
      </c>
      <c r="E436" t="str">
        <f>IF(D436="","",[1]!i_pq_tradedays($B$3,A437,A436)-1)</f>
        <v/>
      </c>
      <c r="F436" s="23" t="str">
        <f t="shared" si="25"/>
        <v/>
      </c>
      <c r="G436" s="16" t="str">
        <f t="shared" si="26"/>
        <v/>
      </c>
      <c r="H436" s="70" t="str">
        <f t="shared" si="27"/>
        <v/>
      </c>
    </row>
    <row r="437" spans="1:8">
      <c r="A437" s="2"/>
      <c r="B437" s="12"/>
      <c r="C437" s="12"/>
      <c r="D437" s="16" t="str">
        <f t="shared" si="24"/>
        <v/>
      </c>
      <c r="E437" t="str">
        <f>IF(D437="","",[1]!i_pq_tradedays($B$3,A438,A437)-1)</f>
        <v/>
      </c>
      <c r="F437" s="23" t="str">
        <f t="shared" si="25"/>
        <v/>
      </c>
      <c r="G437" s="16" t="str">
        <f t="shared" si="26"/>
        <v/>
      </c>
      <c r="H437" s="70" t="str">
        <f t="shared" si="27"/>
        <v/>
      </c>
    </row>
    <row r="438" spans="1:8">
      <c r="A438" s="2"/>
      <c r="B438" s="12"/>
      <c r="C438" s="12"/>
      <c r="D438" s="16" t="str">
        <f t="shared" si="24"/>
        <v/>
      </c>
      <c r="E438" t="str">
        <f>IF(D438="","",[1]!i_pq_tradedays($B$3,A439,A438)-1)</f>
        <v/>
      </c>
      <c r="F438" s="23" t="str">
        <f t="shared" si="25"/>
        <v/>
      </c>
      <c r="G438" s="16" t="str">
        <f t="shared" si="26"/>
        <v/>
      </c>
      <c r="H438" s="70" t="str">
        <f t="shared" si="27"/>
        <v/>
      </c>
    </row>
    <row r="439" spans="1:8">
      <c r="A439" s="2"/>
      <c r="B439" s="12"/>
      <c r="C439" s="12"/>
      <c r="D439" s="16" t="str">
        <f t="shared" si="24"/>
        <v/>
      </c>
      <c r="E439" t="str">
        <f>IF(D439="","",[1]!i_pq_tradedays($B$3,A440,A439)-1)</f>
        <v/>
      </c>
      <c r="F439" s="23" t="str">
        <f t="shared" si="25"/>
        <v/>
      </c>
      <c r="G439" s="16" t="str">
        <f t="shared" si="26"/>
        <v/>
      </c>
      <c r="H439" s="70" t="str">
        <f t="shared" si="27"/>
        <v/>
      </c>
    </row>
    <row r="440" spans="1:8">
      <c r="A440" s="2"/>
      <c r="B440" s="12"/>
      <c r="C440" s="12"/>
      <c r="D440" s="16" t="str">
        <f t="shared" si="24"/>
        <v/>
      </c>
      <c r="E440" t="str">
        <f>IF(D440="","",[1]!i_pq_tradedays($B$3,A441,A440)-1)</f>
        <v/>
      </c>
      <c r="F440" s="23" t="str">
        <f t="shared" si="25"/>
        <v/>
      </c>
      <c r="G440" s="16" t="str">
        <f t="shared" si="26"/>
        <v/>
      </c>
      <c r="H440" s="70" t="str">
        <f t="shared" si="27"/>
        <v/>
      </c>
    </row>
    <row r="441" spans="1:8">
      <c r="A441" s="2"/>
      <c r="B441" s="12"/>
      <c r="C441" s="12"/>
      <c r="D441" s="16" t="str">
        <f t="shared" si="24"/>
        <v/>
      </c>
      <c r="E441" t="str">
        <f>IF(D441="","",[1]!i_pq_tradedays($B$3,A442,A441)-1)</f>
        <v/>
      </c>
      <c r="F441" s="23" t="str">
        <f t="shared" si="25"/>
        <v/>
      </c>
      <c r="G441" s="16" t="str">
        <f t="shared" si="26"/>
        <v/>
      </c>
      <c r="H441" s="70" t="str">
        <f t="shared" si="27"/>
        <v/>
      </c>
    </row>
    <row r="442" spans="1:8">
      <c r="A442" s="2"/>
      <c r="B442" s="12"/>
      <c r="C442" s="12"/>
      <c r="D442" s="16" t="str">
        <f t="shared" si="24"/>
        <v/>
      </c>
      <c r="E442" t="str">
        <f>IF(D442="","",[1]!i_pq_tradedays($B$3,A443,A442)-1)</f>
        <v/>
      </c>
      <c r="F442" s="23" t="str">
        <f t="shared" si="25"/>
        <v/>
      </c>
      <c r="G442" s="16" t="str">
        <f t="shared" si="26"/>
        <v/>
      </c>
      <c r="H442" s="70" t="str">
        <f t="shared" si="27"/>
        <v/>
      </c>
    </row>
    <row r="443" spans="1:8">
      <c r="A443" s="2"/>
      <c r="B443" s="12"/>
      <c r="C443" s="12"/>
      <c r="D443" s="16" t="str">
        <f t="shared" si="24"/>
        <v/>
      </c>
      <c r="E443" t="str">
        <f>IF(D443="","",[1]!i_pq_tradedays($B$3,A444,A443)-1)</f>
        <v/>
      </c>
      <c r="F443" s="23" t="str">
        <f t="shared" si="25"/>
        <v/>
      </c>
      <c r="G443" s="16" t="str">
        <f t="shared" si="26"/>
        <v/>
      </c>
      <c r="H443" s="70" t="str">
        <f t="shared" si="27"/>
        <v/>
      </c>
    </row>
    <row r="444" spans="1:8">
      <c r="A444" s="2"/>
      <c r="B444" s="12"/>
      <c r="C444" s="12"/>
      <c r="D444" s="16" t="str">
        <f t="shared" si="24"/>
        <v/>
      </c>
      <c r="E444" t="str">
        <f>IF(D444="","",[1]!i_pq_tradedays($B$3,A445,A444)-1)</f>
        <v/>
      </c>
      <c r="F444" s="23" t="str">
        <f t="shared" si="25"/>
        <v/>
      </c>
      <c r="G444" s="16" t="str">
        <f t="shared" si="26"/>
        <v/>
      </c>
      <c r="H444" s="70" t="str">
        <f t="shared" si="27"/>
        <v/>
      </c>
    </row>
    <row r="445" spans="1:8">
      <c r="A445" s="2"/>
      <c r="B445" s="12"/>
      <c r="C445" s="12"/>
      <c r="D445" s="16" t="str">
        <f t="shared" si="24"/>
        <v/>
      </c>
      <c r="E445" t="str">
        <f>IF(D445="","",[1]!i_pq_tradedays($B$3,A446,A445)-1)</f>
        <v/>
      </c>
      <c r="F445" s="23" t="str">
        <f t="shared" si="25"/>
        <v/>
      </c>
      <c r="G445" s="16" t="str">
        <f t="shared" si="26"/>
        <v/>
      </c>
      <c r="H445" s="70" t="str">
        <f t="shared" si="27"/>
        <v/>
      </c>
    </row>
    <row r="446" spans="1:8">
      <c r="A446" s="2"/>
      <c r="B446" s="12"/>
      <c r="C446" s="12"/>
      <c r="D446" s="16" t="str">
        <f t="shared" si="24"/>
        <v/>
      </c>
      <c r="E446" t="str">
        <f>IF(D446="","",[1]!i_pq_tradedays($B$3,A447,A446)-1)</f>
        <v/>
      </c>
      <c r="F446" s="23" t="str">
        <f t="shared" si="25"/>
        <v/>
      </c>
      <c r="G446" s="16" t="str">
        <f t="shared" si="26"/>
        <v/>
      </c>
      <c r="H446" s="70" t="str">
        <f t="shared" si="27"/>
        <v/>
      </c>
    </row>
    <row r="447" spans="1:8">
      <c r="A447" s="2"/>
      <c r="B447" s="12"/>
      <c r="C447" s="12"/>
      <c r="D447" s="16" t="str">
        <f t="shared" si="24"/>
        <v/>
      </c>
      <c r="E447" t="str">
        <f>IF(D447="","",[1]!i_pq_tradedays($B$3,A448,A447)-1)</f>
        <v/>
      </c>
      <c r="F447" s="23" t="str">
        <f t="shared" si="25"/>
        <v/>
      </c>
      <c r="G447" s="16" t="str">
        <f t="shared" si="26"/>
        <v/>
      </c>
      <c r="H447" s="70" t="str">
        <f t="shared" si="27"/>
        <v/>
      </c>
    </row>
    <row r="448" spans="1:8">
      <c r="A448" s="2"/>
      <c r="B448" s="12"/>
      <c r="C448" s="12"/>
      <c r="D448" s="16" t="str">
        <f t="shared" si="24"/>
        <v/>
      </c>
      <c r="E448" t="str">
        <f>IF(D448="","",[1]!i_pq_tradedays($B$3,A449,A448)-1)</f>
        <v/>
      </c>
      <c r="F448" s="23" t="str">
        <f t="shared" si="25"/>
        <v/>
      </c>
      <c r="G448" s="16" t="str">
        <f t="shared" si="26"/>
        <v/>
      </c>
      <c r="H448" s="70" t="str">
        <f t="shared" si="27"/>
        <v/>
      </c>
    </row>
    <row r="449" spans="1:8">
      <c r="A449" s="2"/>
      <c r="B449" s="12"/>
      <c r="C449" s="12"/>
      <c r="D449" s="16" t="str">
        <f t="shared" si="24"/>
        <v/>
      </c>
      <c r="E449" t="str">
        <f>IF(D449="","",[1]!i_pq_tradedays($B$3,A450,A449)-1)</f>
        <v/>
      </c>
      <c r="F449" s="23" t="str">
        <f t="shared" si="25"/>
        <v/>
      </c>
      <c r="G449" s="16" t="str">
        <f t="shared" si="26"/>
        <v/>
      </c>
      <c r="H449" s="70" t="str">
        <f t="shared" si="27"/>
        <v/>
      </c>
    </row>
    <row r="450" spans="1:8">
      <c r="A450" s="2"/>
      <c r="B450" s="12"/>
      <c r="C450" s="12"/>
      <c r="D450" s="16" t="str">
        <f t="shared" si="24"/>
        <v/>
      </c>
      <c r="E450" t="str">
        <f>IF(D450="","",[1]!i_pq_tradedays($B$3,A451,A450)-1)</f>
        <v/>
      </c>
      <c r="F450" s="23" t="str">
        <f t="shared" si="25"/>
        <v/>
      </c>
      <c r="G450" s="16" t="str">
        <f t="shared" si="26"/>
        <v/>
      </c>
      <c r="H450" s="70" t="str">
        <f t="shared" si="27"/>
        <v/>
      </c>
    </row>
    <row r="451" spans="1:8">
      <c r="A451" s="2"/>
      <c r="B451" s="12"/>
      <c r="C451" s="12"/>
      <c r="D451" s="16" t="str">
        <f t="shared" si="24"/>
        <v/>
      </c>
      <c r="E451" t="str">
        <f>IF(D451="","",[1]!i_pq_tradedays($B$3,A452,A451)-1)</f>
        <v/>
      </c>
      <c r="F451" s="23" t="str">
        <f t="shared" si="25"/>
        <v/>
      </c>
      <c r="G451" s="16" t="str">
        <f t="shared" si="26"/>
        <v/>
      </c>
      <c r="H451" s="70" t="str">
        <f t="shared" si="27"/>
        <v/>
      </c>
    </row>
    <row r="452" spans="1:8">
      <c r="A452" s="2"/>
      <c r="B452" s="12"/>
      <c r="C452" s="12"/>
      <c r="D452" s="16" t="str">
        <f t="shared" si="24"/>
        <v/>
      </c>
      <c r="E452" t="str">
        <f>IF(D452="","",[1]!i_pq_tradedays($B$3,A453,A452)-1)</f>
        <v/>
      </c>
      <c r="F452" s="23" t="str">
        <f t="shared" si="25"/>
        <v/>
      </c>
      <c r="G452" s="16" t="str">
        <f t="shared" si="26"/>
        <v/>
      </c>
      <c r="H452" s="70" t="str">
        <f t="shared" si="27"/>
        <v/>
      </c>
    </row>
    <row r="453" spans="1:8">
      <c r="A453" s="2"/>
      <c r="B453" s="12"/>
      <c r="C453" s="12"/>
      <c r="D453" s="16" t="str">
        <f t="shared" si="24"/>
        <v/>
      </c>
      <c r="E453" t="str">
        <f>IF(D453="","",[1]!i_pq_tradedays($B$3,A454,A453)-1)</f>
        <v/>
      </c>
      <c r="F453" s="23" t="str">
        <f t="shared" si="25"/>
        <v/>
      </c>
      <c r="G453" s="16" t="str">
        <f t="shared" si="26"/>
        <v/>
      </c>
      <c r="H453" s="70" t="str">
        <f t="shared" si="27"/>
        <v/>
      </c>
    </row>
    <row r="454" spans="1:8">
      <c r="A454" s="2"/>
      <c r="B454" s="12"/>
      <c r="C454" s="12"/>
      <c r="D454" s="16" t="str">
        <f t="shared" ref="D454:D500" si="28">IF(B454+C454=0,"",B454+C454)</f>
        <v/>
      </c>
      <c r="E454" t="str">
        <f>IF(D454="","",[1]!i_pq_tradedays($B$3,A455,A454)-1)</f>
        <v/>
      </c>
      <c r="F454" s="23" t="str">
        <f t="shared" ref="F454:F500" si="29">IF(D454="","",A454)</f>
        <v/>
      </c>
      <c r="G454" s="16" t="str">
        <f t="shared" ref="G454:G500" si="30">IF(D454="","",D454/E454)</f>
        <v/>
      </c>
      <c r="H454" s="70" t="str">
        <f t="shared" ref="H454:H500" si="31">IF(D454="","",G454/G455-1)</f>
        <v/>
      </c>
    </row>
    <row r="455" spans="1:8">
      <c r="A455" s="2"/>
      <c r="B455" s="12"/>
      <c r="C455" s="12"/>
      <c r="D455" s="16" t="str">
        <f t="shared" si="28"/>
        <v/>
      </c>
      <c r="E455" t="str">
        <f>IF(D455="","",[1]!i_pq_tradedays($B$3,A456,A455)-1)</f>
        <v/>
      </c>
      <c r="F455" s="23" t="str">
        <f t="shared" si="29"/>
        <v/>
      </c>
      <c r="G455" s="16" t="str">
        <f t="shared" si="30"/>
        <v/>
      </c>
      <c r="H455" s="70" t="str">
        <f t="shared" si="31"/>
        <v/>
      </c>
    </row>
    <row r="456" spans="1:8">
      <c r="A456" s="2"/>
      <c r="B456" s="12"/>
      <c r="C456" s="12"/>
      <c r="D456" s="16" t="str">
        <f t="shared" si="28"/>
        <v/>
      </c>
      <c r="E456" t="str">
        <f>IF(D456="","",[1]!i_pq_tradedays($B$3,A457,A456)-1)</f>
        <v/>
      </c>
      <c r="F456" s="23" t="str">
        <f t="shared" si="29"/>
        <v/>
      </c>
      <c r="G456" s="16" t="str">
        <f t="shared" si="30"/>
        <v/>
      </c>
      <c r="H456" s="70" t="str">
        <f t="shared" si="31"/>
        <v/>
      </c>
    </row>
    <row r="457" spans="1:8">
      <c r="A457" s="2"/>
      <c r="B457" s="12"/>
      <c r="C457" s="12"/>
      <c r="D457" s="16" t="str">
        <f t="shared" si="28"/>
        <v/>
      </c>
      <c r="E457" t="str">
        <f>IF(D457="","",[1]!i_pq_tradedays($B$3,A458,A457)-1)</f>
        <v/>
      </c>
      <c r="F457" s="23" t="str">
        <f t="shared" si="29"/>
        <v/>
      </c>
      <c r="G457" s="16" t="str">
        <f t="shared" si="30"/>
        <v/>
      </c>
      <c r="H457" s="70" t="str">
        <f t="shared" si="31"/>
        <v/>
      </c>
    </row>
    <row r="458" spans="1:8">
      <c r="A458" s="2"/>
      <c r="B458" s="12"/>
      <c r="C458" s="12"/>
      <c r="D458" s="16" t="str">
        <f t="shared" si="28"/>
        <v/>
      </c>
      <c r="E458" t="str">
        <f>IF(D458="","",[1]!i_pq_tradedays($B$3,A459,A458)-1)</f>
        <v/>
      </c>
      <c r="F458" s="23" t="str">
        <f t="shared" si="29"/>
        <v/>
      </c>
      <c r="G458" s="16" t="str">
        <f t="shared" si="30"/>
        <v/>
      </c>
      <c r="H458" s="70" t="str">
        <f t="shared" si="31"/>
        <v/>
      </c>
    </row>
    <row r="459" spans="1:8">
      <c r="A459" s="2"/>
      <c r="B459" s="12"/>
      <c r="C459" s="12"/>
      <c r="D459" s="16" t="str">
        <f t="shared" si="28"/>
        <v/>
      </c>
      <c r="E459" t="str">
        <f>IF(D459="","",[1]!i_pq_tradedays($B$3,A460,A459)-1)</f>
        <v/>
      </c>
      <c r="F459" s="23" t="str">
        <f t="shared" si="29"/>
        <v/>
      </c>
      <c r="G459" s="16" t="str">
        <f t="shared" si="30"/>
        <v/>
      </c>
      <c r="H459" s="70" t="str">
        <f t="shared" si="31"/>
        <v/>
      </c>
    </row>
    <row r="460" spans="1:8">
      <c r="A460" s="2"/>
      <c r="B460" s="12"/>
      <c r="C460" s="12"/>
      <c r="D460" s="16" t="str">
        <f t="shared" si="28"/>
        <v/>
      </c>
      <c r="E460" t="str">
        <f>IF(D460="","",[1]!i_pq_tradedays($B$3,A461,A460)-1)</f>
        <v/>
      </c>
      <c r="F460" s="23" t="str">
        <f t="shared" si="29"/>
        <v/>
      </c>
      <c r="G460" s="16" t="str">
        <f t="shared" si="30"/>
        <v/>
      </c>
      <c r="H460" s="70" t="str">
        <f t="shared" si="31"/>
        <v/>
      </c>
    </row>
    <row r="461" spans="1:8">
      <c r="A461" s="2"/>
      <c r="B461" s="12"/>
      <c r="C461" s="12"/>
      <c r="D461" s="16" t="str">
        <f t="shared" si="28"/>
        <v/>
      </c>
      <c r="E461" t="str">
        <f>IF(D461="","",[1]!i_pq_tradedays($B$3,A462,A461)-1)</f>
        <v/>
      </c>
      <c r="F461" s="23" t="str">
        <f t="shared" si="29"/>
        <v/>
      </c>
      <c r="G461" s="16" t="str">
        <f t="shared" si="30"/>
        <v/>
      </c>
      <c r="H461" s="70" t="str">
        <f t="shared" si="31"/>
        <v/>
      </c>
    </row>
    <row r="462" spans="1:8">
      <c r="A462" s="2"/>
      <c r="B462" s="12"/>
      <c r="C462" s="12"/>
      <c r="D462" s="16" t="str">
        <f t="shared" si="28"/>
        <v/>
      </c>
      <c r="E462" t="str">
        <f>IF(D462="","",[1]!i_pq_tradedays($B$3,A463,A462)-1)</f>
        <v/>
      </c>
      <c r="F462" s="23" t="str">
        <f t="shared" si="29"/>
        <v/>
      </c>
      <c r="G462" s="16" t="str">
        <f t="shared" si="30"/>
        <v/>
      </c>
      <c r="H462" s="70" t="str">
        <f t="shared" si="31"/>
        <v/>
      </c>
    </row>
    <row r="463" spans="1:8">
      <c r="A463" s="2"/>
      <c r="B463" s="12"/>
      <c r="C463" s="12"/>
      <c r="D463" s="16" t="str">
        <f t="shared" si="28"/>
        <v/>
      </c>
      <c r="E463" t="str">
        <f>IF(D463="","",[1]!i_pq_tradedays($B$3,A464,A463)-1)</f>
        <v/>
      </c>
      <c r="F463" s="23" t="str">
        <f t="shared" si="29"/>
        <v/>
      </c>
      <c r="G463" s="16" t="str">
        <f t="shared" si="30"/>
        <v/>
      </c>
      <c r="H463" s="70" t="str">
        <f t="shared" si="31"/>
        <v/>
      </c>
    </row>
    <row r="464" spans="1:8">
      <c r="A464" s="2"/>
      <c r="B464" s="12"/>
      <c r="C464" s="12"/>
      <c r="D464" s="16" t="str">
        <f t="shared" si="28"/>
        <v/>
      </c>
      <c r="E464" t="str">
        <f>IF(D464="","",[1]!i_pq_tradedays($B$3,A465,A464)-1)</f>
        <v/>
      </c>
      <c r="F464" s="23" t="str">
        <f t="shared" si="29"/>
        <v/>
      </c>
      <c r="G464" s="16" t="str">
        <f t="shared" si="30"/>
        <v/>
      </c>
      <c r="H464" s="70" t="str">
        <f t="shared" si="31"/>
        <v/>
      </c>
    </row>
    <row r="465" spans="1:8">
      <c r="A465" s="2"/>
      <c r="B465" s="12"/>
      <c r="C465" s="12"/>
      <c r="D465" s="16" t="str">
        <f t="shared" si="28"/>
        <v/>
      </c>
      <c r="E465" t="str">
        <f>IF(D465="","",[1]!i_pq_tradedays($B$3,A466,A465)-1)</f>
        <v/>
      </c>
      <c r="F465" s="23" t="str">
        <f t="shared" si="29"/>
        <v/>
      </c>
      <c r="G465" s="16" t="str">
        <f t="shared" si="30"/>
        <v/>
      </c>
      <c r="H465" s="70" t="str">
        <f t="shared" si="31"/>
        <v/>
      </c>
    </row>
    <row r="466" spans="1:8">
      <c r="A466" s="2"/>
      <c r="B466" s="12"/>
      <c r="C466" s="12"/>
      <c r="D466" s="16" t="str">
        <f t="shared" si="28"/>
        <v/>
      </c>
      <c r="E466" t="str">
        <f>IF(D466="","",[1]!i_pq_tradedays($B$3,A467,A466)-1)</f>
        <v/>
      </c>
      <c r="F466" s="23" t="str">
        <f t="shared" si="29"/>
        <v/>
      </c>
      <c r="G466" s="16" t="str">
        <f t="shared" si="30"/>
        <v/>
      </c>
      <c r="H466" s="70" t="str">
        <f t="shared" si="31"/>
        <v/>
      </c>
    </row>
    <row r="467" spans="1:8">
      <c r="A467" s="2"/>
      <c r="B467" s="12"/>
      <c r="C467" s="12"/>
      <c r="D467" s="16" t="str">
        <f t="shared" si="28"/>
        <v/>
      </c>
      <c r="E467" t="str">
        <f>IF(D467="","",[1]!i_pq_tradedays($B$3,A468,A467)-1)</f>
        <v/>
      </c>
      <c r="F467" s="23" t="str">
        <f t="shared" si="29"/>
        <v/>
      </c>
      <c r="G467" s="16" t="str">
        <f t="shared" si="30"/>
        <v/>
      </c>
      <c r="H467" s="70" t="str">
        <f t="shared" si="31"/>
        <v/>
      </c>
    </row>
    <row r="468" spans="1:8">
      <c r="A468" s="2"/>
      <c r="B468" s="12"/>
      <c r="C468" s="12"/>
      <c r="D468" s="16" t="str">
        <f t="shared" si="28"/>
        <v/>
      </c>
      <c r="E468" t="str">
        <f>IF(D468="","",[1]!i_pq_tradedays($B$3,A469,A468)-1)</f>
        <v/>
      </c>
      <c r="F468" s="23" t="str">
        <f t="shared" si="29"/>
        <v/>
      </c>
      <c r="G468" s="16" t="str">
        <f t="shared" si="30"/>
        <v/>
      </c>
      <c r="H468" s="70" t="str">
        <f t="shared" si="31"/>
        <v/>
      </c>
    </row>
    <row r="469" spans="1:8">
      <c r="A469" s="2"/>
      <c r="B469" s="12"/>
      <c r="C469" s="12"/>
      <c r="D469" s="16" t="str">
        <f t="shared" si="28"/>
        <v/>
      </c>
      <c r="E469" t="str">
        <f>IF(D469="","",[1]!i_pq_tradedays($B$3,A470,A469)-1)</f>
        <v/>
      </c>
      <c r="F469" s="23" t="str">
        <f t="shared" si="29"/>
        <v/>
      </c>
      <c r="G469" s="16" t="str">
        <f t="shared" si="30"/>
        <v/>
      </c>
      <c r="H469" s="70" t="str">
        <f t="shared" si="31"/>
        <v/>
      </c>
    </row>
    <row r="470" spans="1:8">
      <c r="A470" s="2"/>
      <c r="B470" s="12"/>
      <c r="C470" s="12"/>
      <c r="D470" s="16" t="str">
        <f t="shared" si="28"/>
        <v/>
      </c>
      <c r="E470" t="str">
        <f>IF(D470="","",[1]!i_pq_tradedays($B$3,A471,A470)-1)</f>
        <v/>
      </c>
      <c r="F470" s="23" t="str">
        <f t="shared" si="29"/>
        <v/>
      </c>
      <c r="G470" s="16" t="str">
        <f t="shared" si="30"/>
        <v/>
      </c>
      <c r="H470" s="70" t="str">
        <f t="shared" si="31"/>
        <v/>
      </c>
    </row>
    <row r="471" spans="1:8">
      <c r="A471" s="2"/>
      <c r="B471" s="12"/>
      <c r="C471" s="12"/>
      <c r="D471" s="16" t="str">
        <f t="shared" si="28"/>
        <v/>
      </c>
      <c r="E471" t="str">
        <f>IF(D471="","",[1]!i_pq_tradedays($B$3,A472,A471)-1)</f>
        <v/>
      </c>
      <c r="F471" s="23" t="str">
        <f t="shared" si="29"/>
        <v/>
      </c>
      <c r="G471" s="16" t="str">
        <f t="shared" si="30"/>
        <v/>
      </c>
      <c r="H471" s="70" t="str">
        <f t="shared" si="31"/>
        <v/>
      </c>
    </row>
    <row r="472" spans="1:8">
      <c r="A472" s="2"/>
      <c r="B472" s="12"/>
      <c r="C472" s="12"/>
      <c r="D472" s="16" t="str">
        <f t="shared" si="28"/>
        <v/>
      </c>
      <c r="E472" t="str">
        <f>IF(D472="","",[1]!i_pq_tradedays($B$3,A473,A472)-1)</f>
        <v/>
      </c>
      <c r="F472" s="23" t="str">
        <f t="shared" si="29"/>
        <v/>
      </c>
      <c r="G472" s="16" t="str">
        <f t="shared" si="30"/>
        <v/>
      </c>
      <c r="H472" s="70" t="str">
        <f t="shared" si="31"/>
        <v/>
      </c>
    </row>
    <row r="473" spans="1:8">
      <c r="A473" s="2"/>
      <c r="B473" s="12"/>
      <c r="C473" s="12"/>
      <c r="D473" s="16" t="str">
        <f t="shared" si="28"/>
        <v/>
      </c>
      <c r="E473" t="str">
        <f>IF(D473="","",[1]!i_pq_tradedays($B$3,A474,A473)-1)</f>
        <v/>
      </c>
      <c r="F473" s="23" t="str">
        <f t="shared" si="29"/>
        <v/>
      </c>
      <c r="G473" s="16" t="str">
        <f t="shared" si="30"/>
        <v/>
      </c>
      <c r="H473" s="70" t="str">
        <f t="shared" si="31"/>
        <v/>
      </c>
    </row>
    <row r="474" spans="1:8">
      <c r="A474" s="2"/>
      <c r="B474" s="12"/>
      <c r="C474" s="12"/>
      <c r="D474" s="16" t="str">
        <f t="shared" si="28"/>
        <v/>
      </c>
      <c r="E474" t="str">
        <f>IF(D474="","",[1]!i_pq_tradedays($B$3,A475,A474)-1)</f>
        <v/>
      </c>
      <c r="F474" s="23" t="str">
        <f t="shared" si="29"/>
        <v/>
      </c>
      <c r="G474" s="16" t="str">
        <f t="shared" si="30"/>
        <v/>
      </c>
      <c r="H474" s="70" t="str">
        <f t="shared" si="31"/>
        <v/>
      </c>
    </row>
    <row r="475" spans="1:8">
      <c r="A475" s="2"/>
      <c r="B475" s="12"/>
      <c r="C475" s="12"/>
      <c r="D475" s="16" t="str">
        <f t="shared" si="28"/>
        <v/>
      </c>
      <c r="E475" t="str">
        <f>IF(D475="","",[1]!i_pq_tradedays($B$3,A476,A475)-1)</f>
        <v/>
      </c>
      <c r="F475" s="23" t="str">
        <f t="shared" si="29"/>
        <v/>
      </c>
      <c r="G475" s="16" t="str">
        <f t="shared" si="30"/>
        <v/>
      </c>
      <c r="H475" s="70" t="str">
        <f t="shared" si="31"/>
        <v/>
      </c>
    </row>
    <row r="476" spans="1:8">
      <c r="A476" s="2"/>
      <c r="B476" s="12"/>
      <c r="C476" s="12"/>
      <c r="D476" s="16" t="str">
        <f t="shared" si="28"/>
        <v/>
      </c>
      <c r="E476" t="str">
        <f>IF(D476="","",[1]!i_pq_tradedays($B$3,A477,A476)-1)</f>
        <v/>
      </c>
      <c r="F476" s="23" t="str">
        <f t="shared" si="29"/>
        <v/>
      </c>
      <c r="G476" s="16" t="str">
        <f t="shared" si="30"/>
        <v/>
      </c>
      <c r="H476" s="70" t="str">
        <f t="shared" si="31"/>
        <v/>
      </c>
    </row>
    <row r="477" spans="1:8">
      <c r="A477" s="2"/>
      <c r="B477" s="12"/>
      <c r="C477" s="12"/>
      <c r="D477" s="16" t="str">
        <f t="shared" si="28"/>
        <v/>
      </c>
      <c r="E477" t="str">
        <f>IF(D477="","",[1]!i_pq_tradedays($B$3,A478,A477)-1)</f>
        <v/>
      </c>
      <c r="F477" s="23" t="str">
        <f t="shared" si="29"/>
        <v/>
      </c>
      <c r="G477" s="16" t="str">
        <f t="shared" si="30"/>
        <v/>
      </c>
      <c r="H477" s="70" t="str">
        <f t="shared" si="31"/>
        <v/>
      </c>
    </row>
    <row r="478" spans="1:8">
      <c r="A478" s="2"/>
      <c r="B478" s="12"/>
      <c r="C478" s="12"/>
      <c r="D478" s="16" t="str">
        <f t="shared" si="28"/>
        <v/>
      </c>
      <c r="E478" t="str">
        <f>IF(D478="","",[1]!i_pq_tradedays($B$3,A479,A478)-1)</f>
        <v/>
      </c>
      <c r="F478" s="23" t="str">
        <f t="shared" si="29"/>
        <v/>
      </c>
      <c r="G478" s="16" t="str">
        <f t="shared" si="30"/>
        <v/>
      </c>
      <c r="H478" s="70" t="str">
        <f t="shared" si="31"/>
        <v/>
      </c>
    </row>
    <row r="479" spans="1:8">
      <c r="A479" s="2"/>
      <c r="B479" s="12"/>
      <c r="C479" s="12"/>
      <c r="D479" s="16" t="str">
        <f t="shared" si="28"/>
        <v/>
      </c>
      <c r="E479" t="str">
        <f>IF(D479="","",[1]!i_pq_tradedays($B$3,A480,A479)-1)</f>
        <v/>
      </c>
      <c r="F479" s="23" t="str">
        <f t="shared" si="29"/>
        <v/>
      </c>
      <c r="G479" s="16" t="str">
        <f t="shared" si="30"/>
        <v/>
      </c>
      <c r="H479" s="70" t="str">
        <f t="shared" si="31"/>
        <v/>
      </c>
    </row>
    <row r="480" spans="1:8">
      <c r="A480" s="2"/>
      <c r="B480" s="12"/>
      <c r="C480" s="12"/>
      <c r="D480" s="16" t="str">
        <f t="shared" si="28"/>
        <v/>
      </c>
      <c r="E480" t="str">
        <f>IF(D480="","",[1]!i_pq_tradedays($B$3,A481,A480)-1)</f>
        <v/>
      </c>
      <c r="F480" s="23" t="str">
        <f t="shared" si="29"/>
        <v/>
      </c>
      <c r="G480" s="16" t="str">
        <f t="shared" si="30"/>
        <v/>
      </c>
      <c r="H480" s="70" t="str">
        <f t="shared" si="31"/>
        <v/>
      </c>
    </row>
    <row r="481" spans="1:8">
      <c r="A481" s="2"/>
      <c r="B481" s="12"/>
      <c r="C481" s="12"/>
      <c r="D481" s="16" t="str">
        <f t="shared" si="28"/>
        <v/>
      </c>
      <c r="E481" t="str">
        <f>IF(D481="","",[1]!i_pq_tradedays($B$3,A482,A481)-1)</f>
        <v/>
      </c>
      <c r="F481" s="23" t="str">
        <f t="shared" si="29"/>
        <v/>
      </c>
      <c r="G481" s="16" t="str">
        <f t="shared" si="30"/>
        <v/>
      </c>
      <c r="H481" s="70" t="str">
        <f t="shared" si="31"/>
        <v/>
      </c>
    </row>
    <row r="482" spans="1:8">
      <c r="A482" s="2"/>
      <c r="B482" s="12"/>
      <c r="C482" s="12"/>
      <c r="D482" s="16" t="str">
        <f t="shared" si="28"/>
        <v/>
      </c>
      <c r="E482" t="str">
        <f>IF(D482="","",[1]!i_pq_tradedays($B$3,A483,A482)-1)</f>
        <v/>
      </c>
      <c r="F482" s="23" t="str">
        <f t="shared" si="29"/>
        <v/>
      </c>
      <c r="G482" s="16" t="str">
        <f t="shared" si="30"/>
        <v/>
      </c>
      <c r="H482" s="70" t="str">
        <f t="shared" si="31"/>
        <v/>
      </c>
    </row>
    <row r="483" spans="1:8">
      <c r="A483" s="2"/>
      <c r="B483" s="12"/>
      <c r="C483" s="12"/>
      <c r="D483" s="16" t="str">
        <f t="shared" si="28"/>
        <v/>
      </c>
      <c r="E483" t="str">
        <f>IF(D483="","",[1]!i_pq_tradedays($B$3,A484,A483)-1)</f>
        <v/>
      </c>
      <c r="F483" s="23" t="str">
        <f t="shared" si="29"/>
        <v/>
      </c>
      <c r="G483" s="16" t="str">
        <f t="shared" si="30"/>
        <v/>
      </c>
      <c r="H483" s="70" t="str">
        <f t="shared" si="31"/>
        <v/>
      </c>
    </row>
    <row r="484" spans="1:8">
      <c r="A484" s="2"/>
      <c r="B484" s="12"/>
      <c r="C484" s="12"/>
      <c r="D484" s="16" t="str">
        <f t="shared" si="28"/>
        <v/>
      </c>
      <c r="E484" t="str">
        <f>IF(D484="","",[1]!i_pq_tradedays($B$3,A485,A484)-1)</f>
        <v/>
      </c>
      <c r="F484" s="23" t="str">
        <f t="shared" si="29"/>
        <v/>
      </c>
      <c r="G484" s="16" t="str">
        <f t="shared" si="30"/>
        <v/>
      </c>
      <c r="H484" s="70" t="str">
        <f t="shared" si="31"/>
        <v/>
      </c>
    </row>
    <row r="485" spans="1:8">
      <c r="A485" s="2"/>
      <c r="B485" s="12"/>
      <c r="C485" s="12"/>
      <c r="D485" s="16" t="str">
        <f t="shared" si="28"/>
        <v/>
      </c>
      <c r="E485" t="str">
        <f>IF(D485="","",[1]!i_pq_tradedays($B$3,A486,A485)-1)</f>
        <v/>
      </c>
      <c r="F485" s="23" t="str">
        <f t="shared" si="29"/>
        <v/>
      </c>
      <c r="G485" s="16" t="str">
        <f t="shared" si="30"/>
        <v/>
      </c>
      <c r="H485" s="70" t="str">
        <f t="shared" si="31"/>
        <v/>
      </c>
    </row>
    <row r="486" spans="1:8">
      <c r="A486" s="2"/>
      <c r="B486" s="12"/>
      <c r="C486" s="12"/>
      <c r="D486" s="16" t="str">
        <f t="shared" si="28"/>
        <v/>
      </c>
      <c r="E486" t="str">
        <f>IF(D486="","",[1]!i_pq_tradedays($B$3,A487,A486)-1)</f>
        <v/>
      </c>
      <c r="F486" s="23" t="str">
        <f t="shared" si="29"/>
        <v/>
      </c>
      <c r="G486" s="16" t="str">
        <f t="shared" si="30"/>
        <v/>
      </c>
      <c r="H486" s="70" t="str">
        <f t="shared" si="31"/>
        <v/>
      </c>
    </row>
    <row r="487" spans="1:8">
      <c r="A487" s="2"/>
      <c r="B487" s="12"/>
      <c r="C487" s="12"/>
      <c r="D487" s="16" t="str">
        <f t="shared" si="28"/>
        <v/>
      </c>
      <c r="E487" t="str">
        <f>IF(D487="","",[1]!i_pq_tradedays($B$3,A488,A487)-1)</f>
        <v/>
      </c>
      <c r="F487" s="23" t="str">
        <f t="shared" si="29"/>
        <v/>
      </c>
      <c r="G487" s="16" t="str">
        <f t="shared" si="30"/>
        <v/>
      </c>
      <c r="H487" s="70" t="str">
        <f t="shared" si="31"/>
        <v/>
      </c>
    </row>
    <row r="488" spans="1:8">
      <c r="A488" s="2"/>
      <c r="B488" s="12"/>
      <c r="C488" s="12"/>
      <c r="D488" s="16" t="str">
        <f t="shared" si="28"/>
        <v/>
      </c>
      <c r="E488" t="str">
        <f>IF(D488="","",[1]!i_pq_tradedays($B$3,A489,A488)-1)</f>
        <v/>
      </c>
      <c r="F488" s="23" t="str">
        <f t="shared" si="29"/>
        <v/>
      </c>
      <c r="G488" s="16" t="str">
        <f t="shared" si="30"/>
        <v/>
      </c>
      <c r="H488" s="70" t="str">
        <f t="shared" si="31"/>
        <v/>
      </c>
    </row>
    <row r="489" spans="1:8">
      <c r="A489" s="2"/>
      <c r="B489" s="12"/>
      <c r="C489" s="12"/>
      <c r="D489" s="16" t="str">
        <f t="shared" si="28"/>
        <v/>
      </c>
      <c r="E489" t="str">
        <f>IF(D489="","",[1]!i_pq_tradedays($B$3,A490,A489)-1)</f>
        <v/>
      </c>
      <c r="F489" s="23" t="str">
        <f t="shared" si="29"/>
        <v/>
      </c>
      <c r="G489" s="16" t="str">
        <f t="shared" si="30"/>
        <v/>
      </c>
      <c r="H489" s="70" t="str">
        <f t="shared" si="31"/>
        <v/>
      </c>
    </row>
    <row r="490" spans="1:8">
      <c r="A490" s="2"/>
      <c r="B490" s="12"/>
      <c r="C490" s="12"/>
      <c r="D490" s="16" t="str">
        <f t="shared" si="28"/>
        <v/>
      </c>
      <c r="E490" t="str">
        <f>IF(D490="","",[1]!i_pq_tradedays($B$3,A491,A490)-1)</f>
        <v/>
      </c>
      <c r="F490" s="23" t="str">
        <f t="shared" si="29"/>
        <v/>
      </c>
      <c r="G490" s="16" t="str">
        <f t="shared" si="30"/>
        <v/>
      </c>
      <c r="H490" s="70" t="str">
        <f t="shared" si="31"/>
        <v/>
      </c>
    </row>
    <row r="491" spans="1:8">
      <c r="A491" s="2"/>
      <c r="B491" s="12"/>
      <c r="C491" s="12"/>
      <c r="D491" s="16" t="str">
        <f t="shared" si="28"/>
        <v/>
      </c>
      <c r="E491" t="str">
        <f>IF(D491="","",[1]!i_pq_tradedays($B$3,A492,A491)-1)</f>
        <v/>
      </c>
      <c r="F491" s="23" t="str">
        <f t="shared" si="29"/>
        <v/>
      </c>
      <c r="G491" s="16" t="str">
        <f t="shared" si="30"/>
        <v/>
      </c>
      <c r="H491" s="70" t="str">
        <f t="shared" si="31"/>
        <v/>
      </c>
    </row>
    <row r="492" spans="1:8">
      <c r="A492" s="2"/>
      <c r="B492" s="12"/>
      <c r="C492" s="12"/>
      <c r="D492" s="16" t="str">
        <f t="shared" si="28"/>
        <v/>
      </c>
      <c r="E492" t="str">
        <f>IF(D492="","",[1]!i_pq_tradedays($B$3,A493,A492)-1)</f>
        <v/>
      </c>
      <c r="F492" s="23" t="str">
        <f t="shared" si="29"/>
        <v/>
      </c>
      <c r="G492" s="16" t="str">
        <f t="shared" si="30"/>
        <v/>
      </c>
      <c r="H492" s="70" t="str">
        <f t="shared" si="31"/>
        <v/>
      </c>
    </row>
    <row r="493" spans="1:8">
      <c r="A493" s="2"/>
      <c r="B493" s="12"/>
      <c r="C493" s="12"/>
      <c r="D493" s="16" t="str">
        <f t="shared" si="28"/>
        <v/>
      </c>
      <c r="E493" t="str">
        <f>IF(D493="","",[1]!i_pq_tradedays($B$3,A494,A493)-1)</f>
        <v/>
      </c>
      <c r="F493" s="23" t="str">
        <f t="shared" si="29"/>
        <v/>
      </c>
      <c r="G493" s="16" t="str">
        <f t="shared" si="30"/>
        <v/>
      </c>
      <c r="H493" s="70" t="str">
        <f t="shared" si="31"/>
        <v/>
      </c>
    </row>
    <row r="494" spans="1:8">
      <c r="A494" s="2"/>
      <c r="B494" s="12"/>
      <c r="C494" s="12"/>
      <c r="D494" s="16" t="str">
        <f t="shared" si="28"/>
        <v/>
      </c>
      <c r="E494" t="str">
        <f>IF(D494="","",[1]!i_pq_tradedays($B$3,A495,A494)-1)</f>
        <v/>
      </c>
      <c r="F494" s="23" t="str">
        <f t="shared" si="29"/>
        <v/>
      </c>
      <c r="G494" s="16" t="str">
        <f t="shared" si="30"/>
        <v/>
      </c>
      <c r="H494" s="70" t="str">
        <f t="shared" si="31"/>
        <v/>
      </c>
    </row>
    <row r="495" spans="1:8">
      <c r="A495" s="2"/>
      <c r="B495" s="12"/>
      <c r="C495" s="12"/>
      <c r="D495" s="16" t="str">
        <f t="shared" si="28"/>
        <v/>
      </c>
      <c r="E495" t="str">
        <f>IF(D495="","",[1]!i_pq_tradedays($B$3,A496,A495)-1)</f>
        <v/>
      </c>
      <c r="F495" s="23" t="str">
        <f t="shared" si="29"/>
        <v/>
      </c>
      <c r="G495" s="16" t="str">
        <f t="shared" si="30"/>
        <v/>
      </c>
      <c r="H495" s="70" t="str">
        <f t="shared" si="31"/>
        <v/>
      </c>
    </row>
    <row r="496" spans="1:8">
      <c r="A496" s="2"/>
      <c r="B496" s="12"/>
      <c r="C496" s="12"/>
      <c r="D496" s="16" t="str">
        <f t="shared" si="28"/>
        <v/>
      </c>
      <c r="E496" t="str">
        <f>IF(D496="","",[1]!i_pq_tradedays($B$3,A497,A496)-1)</f>
        <v/>
      </c>
      <c r="F496" s="23" t="str">
        <f t="shared" si="29"/>
        <v/>
      </c>
      <c r="G496" s="16" t="str">
        <f t="shared" si="30"/>
        <v/>
      </c>
      <c r="H496" s="70" t="str">
        <f t="shared" si="31"/>
        <v/>
      </c>
    </row>
    <row r="497" spans="1:8">
      <c r="A497" s="2"/>
      <c r="B497" s="12"/>
      <c r="C497" s="12"/>
      <c r="D497" s="16" t="str">
        <f t="shared" si="28"/>
        <v/>
      </c>
      <c r="E497" t="str">
        <f>IF(D497="","",[1]!i_pq_tradedays($B$3,A498,A497)-1)</f>
        <v/>
      </c>
      <c r="F497" s="23" t="str">
        <f t="shared" si="29"/>
        <v/>
      </c>
      <c r="G497" s="16" t="str">
        <f t="shared" si="30"/>
        <v/>
      </c>
      <c r="H497" s="70" t="str">
        <f t="shared" si="31"/>
        <v/>
      </c>
    </row>
    <row r="498" spans="1:8">
      <c r="A498" s="2"/>
      <c r="B498" s="12"/>
      <c r="C498" s="12"/>
      <c r="D498" s="16" t="str">
        <f t="shared" si="28"/>
        <v/>
      </c>
      <c r="E498" t="str">
        <f>IF(D498="","",[1]!i_pq_tradedays($B$3,A499,A498)-1)</f>
        <v/>
      </c>
      <c r="F498" s="23" t="str">
        <f t="shared" si="29"/>
        <v/>
      </c>
      <c r="G498" s="16" t="str">
        <f t="shared" si="30"/>
        <v/>
      </c>
      <c r="H498" s="70" t="str">
        <f t="shared" si="31"/>
        <v/>
      </c>
    </row>
    <row r="499" spans="1:8">
      <c r="A499" s="2"/>
      <c r="B499" s="12"/>
      <c r="C499" s="12"/>
      <c r="D499" s="16" t="str">
        <f t="shared" si="28"/>
        <v/>
      </c>
      <c r="E499" t="str">
        <f>IF(D499="","",[1]!i_pq_tradedays($B$3,A500,A499)-1)</f>
        <v/>
      </c>
      <c r="F499" s="23" t="str">
        <f t="shared" si="29"/>
        <v/>
      </c>
      <c r="G499" s="16" t="str">
        <f t="shared" si="30"/>
        <v/>
      </c>
      <c r="H499" s="70" t="str">
        <f t="shared" si="31"/>
        <v/>
      </c>
    </row>
    <row r="500" spans="1:8">
      <c r="A500" s="2"/>
      <c r="B500" s="12"/>
      <c r="C500" s="12"/>
      <c r="D500" s="16" t="str">
        <f t="shared" si="28"/>
        <v/>
      </c>
      <c r="E500" t="str">
        <f>IF(D500="","",[1]!i_pq_tradedays($B$3,A501,A500)-1)</f>
        <v/>
      </c>
      <c r="F500" s="23" t="str">
        <f t="shared" si="29"/>
        <v/>
      </c>
      <c r="G500" s="16" t="str">
        <f t="shared" si="30"/>
        <v/>
      </c>
      <c r="H500" s="70" t="str">
        <f t="shared" si="31"/>
        <v/>
      </c>
    </row>
    <row r="501" spans="1:8">
      <c r="A501" s="2"/>
      <c r="B501" s="12"/>
      <c r="C501" s="12"/>
      <c r="E501" t="str">
        <f>IF(LEN(D501)=0,"",[1]!i_pq_tradedays($B$3,A502,A501)-1)</f>
        <v/>
      </c>
      <c r="G501" s="16" t="str">
        <f t="shared" ref="G501:G564" si="32">IF(LEN(D501)=0,"",D501/E501)</f>
        <v/>
      </c>
      <c r="H501" s="70" t="str">
        <f t="shared" ref="H501:H564" si="33">IF(LEN(D501)=0,"",G501/G502-1)</f>
        <v/>
      </c>
    </row>
    <row r="502" spans="1:8">
      <c r="A502" s="2"/>
      <c r="B502" s="12"/>
      <c r="C502" s="12"/>
      <c r="E502" t="str">
        <f>IF(LEN(D502)=0,"",[1]!i_pq_tradedays($B$3,A503,A502)-1)</f>
        <v/>
      </c>
      <c r="G502" s="16" t="str">
        <f t="shared" si="32"/>
        <v/>
      </c>
      <c r="H502" s="70" t="str">
        <f t="shared" si="33"/>
        <v/>
      </c>
    </row>
    <row r="503" spans="1:8">
      <c r="A503" s="2"/>
      <c r="B503" s="12"/>
      <c r="C503" s="12"/>
      <c r="E503" t="str">
        <f>IF(LEN(D503)=0,"",[1]!i_pq_tradedays($B$3,A504,A503)-1)</f>
        <v/>
      </c>
      <c r="G503" s="16" t="str">
        <f t="shared" si="32"/>
        <v/>
      </c>
      <c r="H503" s="70" t="str">
        <f t="shared" si="33"/>
        <v/>
      </c>
    </row>
    <row r="504" spans="1:8">
      <c r="A504" s="2"/>
      <c r="B504" s="12"/>
      <c r="C504" s="12"/>
      <c r="E504" t="str">
        <f>IF(LEN(D504)=0,"",[1]!i_pq_tradedays($B$3,A505,A504)-1)</f>
        <v/>
      </c>
      <c r="G504" s="16" t="str">
        <f t="shared" si="32"/>
        <v/>
      </c>
      <c r="H504" s="70" t="str">
        <f t="shared" si="33"/>
        <v/>
      </c>
    </row>
    <row r="505" spans="1:8">
      <c r="A505" s="2"/>
      <c r="B505" s="12"/>
      <c r="C505" s="12"/>
      <c r="E505" t="str">
        <f>IF(LEN(D505)=0,"",[1]!i_pq_tradedays($B$3,A506,A505)-1)</f>
        <v/>
      </c>
      <c r="G505" s="16" t="str">
        <f t="shared" si="32"/>
        <v/>
      </c>
      <c r="H505" s="70" t="str">
        <f t="shared" si="33"/>
        <v/>
      </c>
    </row>
    <row r="506" spans="1:8">
      <c r="A506" s="2"/>
      <c r="B506" s="12"/>
      <c r="C506" s="12"/>
      <c r="E506" t="str">
        <f>IF(LEN(D506)=0,"",[1]!i_pq_tradedays($B$3,A507,A506)-1)</f>
        <v/>
      </c>
      <c r="G506" s="16" t="str">
        <f t="shared" si="32"/>
        <v/>
      </c>
      <c r="H506" s="70" t="str">
        <f t="shared" si="33"/>
        <v/>
      </c>
    </row>
    <row r="507" spans="1:8">
      <c r="A507" s="2"/>
      <c r="B507" s="12"/>
      <c r="C507" s="12"/>
      <c r="E507" t="str">
        <f>IF(LEN(D507)=0,"",[1]!i_pq_tradedays($B$3,A508,A507)-1)</f>
        <v/>
      </c>
      <c r="G507" s="16" t="str">
        <f t="shared" si="32"/>
        <v/>
      </c>
      <c r="H507" s="70" t="str">
        <f t="shared" si="33"/>
        <v/>
      </c>
    </row>
    <row r="508" spans="1:8">
      <c r="A508" s="2"/>
      <c r="B508" s="12"/>
      <c r="C508" s="12"/>
      <c r="E508" t="str">
        <f>IF(LEN(D508)=0,"",[1]!i_pq_tradedays($B$3,A509,A508)-1)</f>
        <v/>
      </c>
      <c r="G508" s="16" t="str">
        <f t="shared" si="32"/>
        <v/>
      </c>
      <c r="H508" s="70" t="str">
        <f t="shared" si="33"/>
        <v/>
      </c>
    </row>
    <row r="509" spans="1:8">
      <c r="A509" s="2"/>
      <c r="B509" s="12"/>
      <c r="C509" s="12"/>
      <c r="E509" t="str">
        <f>IF(LEN(D509)=0,"",[1]!i_pq_tradedays($B$3,A510,A509)-1)</f>
        <v/>
      </c>
      <c r="G509" s="16" t="str">
        <f t="shared" si="32"/>
        <v/>
      </c>
      <c r="H509" s="70" t="str">
        <f t="shared" si="33"/>
        <v/>
      </c>
    </row>
    <row r="510" spans="1:8">
      <c r="A510" s="2"/>
      <c r="B510" s="12"/>
      <c r="C510" s="12"/>
      <c r="E510" t="str">
        <f>IF(LEN(D510)=0,"",[1]!i_pq_tradedays($B$3,A511,A510)-1)</f>
        <v/>
      </c>
      <c r="G510" s="16" t="str">
        <f t="shared" si="32"/>
        <v/>
      </c>
      <c r="H510" s="70" t="str">
        <f t="shared" si="33"/>
        <v/>
      </c>
    </row>
    <row r="511" spans="1:8">
      <c r="A511" s="2"/>
      <c r="B511" s="12"/>
      <c r="C511" s="12"/>
      <c r="E511" t="str">
        <f>IF(LEN(D511)=0,"",[1]!i_pq_tradedays($B$3,A512,A511)-1)</f>
        <v/>
      </c>
      <c r="G511" s="16" t="str">
        <f t="shared" si="32"/>
        <v/>
      </c>
      <c r="H511" s="70" t="str">
        <f t="shared" si="33"/>
        <v/>
      </c>
    </row>
    <row r="512" spans="1:8">
      <c r="A512" s="2"/>
      <c r="B512" s="12"/>
      <c r="C512" s="12"/>
      <c r="E512" t="str">
        <f>IF(LEN(D512)=0,"",[1]!i_pq_tradedays($B$3,A513,A512)-1)</f>
        <v/>
      </c>
      <c r="G512" s="16" t="str">
        <f t="shared" si="32"/>
        <v/>
      </c>
      <c r="H512" s="70" t="str">
        <f t="shared" si="33"/>
        <v/>
      </c>
    </row>
    <row r="513" spans="1:8">
      <c r="A513" s="2"/>
      <c r="B513" s="12"/>
      <c r="C513" s="12"/>
      <c r="E513" t="str">
        <f>IF(LEN(D513)=0,"",[1]!i_pq_tradedays($B$3,A514,A513)-1)</f>
        <v/>
      </c>
      <c r="G513" s="16" t="str">
        <f t="shared" si="32"/>
        <v/>
      </c>
      <c r="H513" s="70" t="str">
        <f t="shared" si="33"/>
        <v/>
      </c>
    </row>
    <row r="514" spans="1:8">
      <c r="A514" s="2"/>
      <c r="B514" s="12"/>
      <c r="C514" s="12"/>
      <c r="E514" t="str">
        <f>IF(LEN(D514)=0,"",[1]!i_pq_tradedays($B$3,A515,A514)-1)</f>
        <v/>
      </c>
      <c r="G514" s="16" t="str">
        <f t="shared" si="32"/>
        <v/>
      </c>
      <c r="H514" s="70" t="str">
        <f t="shared" si="33"/>
        <v/>
      </c>
    </row>
    <row r="515" spans="1:8">
      <c r="A515" s="2"/>
      <c r="B515" s="12"/>
      <c r="C515" s="12"/>
      <c r="E515" t="str">
        <f>IF(LEN(D515)=0,"",[1]!i_pq_tradedays($B$3,A516,A515)-1)</f>
        <v/>
      </c>
      <c r="G515" s="16" t="str">
        <f t="shared" si="32"/>
        <v/>
      </c>
      <c r="H515" s="70" t="str">
        <f t="shared" si="33"/>
        <v/>
      </c>
    </row>
    <row r="516" spans="1:8">
      <c r="A516" s="2"/>
      <c r="B516" s="12"/>
      <c r="C516" s="12"/>
      <c r="E516" t="str">
        <f>IF(LEN(D516)=0,"",[1]!i_pq_tradedays($B$3,A517,A516)-1)</f>
        <v/>
      </c>
      <c r="G516" s="16" t="str">
        <f t="shared" si="32"/>
        <v/>
      </c>
      <c r="H516" s="70" t="str">
        <f t="shared" si="33"/>
        <v/>
      </c>
    </row>
    <row r="517" spans="1:8">
      <c r="A517" s="2"/>
      <c r="B517" s="12"/>
      <c r="C517" s="12"/>
      <c r="E517" t="str">
        <f>IF(LEN(D517)=0,"",[1]!i_pq_tradedays($B$3,A518,A517)-1)</f>
        <v/>
      </c>
      <c r="G517" s="16" t="str">
        <f t="shared" si="32"/>
        <v/>
      </c>
      <c r="H517" s="70" t="str">
        <f t="shared" si="33"/>
        <v/>
      </c>
    </row>
    <row r="518" spans="1:8">
      <c r="A518" s="2"/>
      <c r="B518" s="12"/>
      <c r="C518" s="12"/>
      <c r="E518" t="str">
        <f>IF(LEN(D518)=0,"",[1]!i_pq_tradedays($B$3,A519,A518)-1)</f>
        <v/>
      </c>
      <c r="G518" s="16" t="str">
        <f t="shared" si="32"/>
        <v/>
      </c>
      <c r="H518" s="70" t="str">
        <f t="shared" si="33"/>
        <v/>
      </c>
    </row>
    <row r="519" spans="1:8">
      <c r="A519" s="2"/>
      <c r="B519" s="12"/>
      <c r="C519" s="12"/>
      <c r="E519" t="str">
        <f>IF(LEN(D519)=0,"",[1]!i_pq_tradedays($B$3,A520,A519)-1)</f>
        <v/>
      </c>
      <c r="G519" s="16" t="str">
        <f t="shared" si="32"/>
        <v/>
      </c>
      <c r="H519" s="70" t="str">
        <f t="shared" si="33"/>
        <v/>
      </c>
    </row>
    <row r="520" spans="1:8">
      <c r="A520" s="2"/>
      <c r="B520" s="12"/>
      <c r="C520" s="12"/>
      <c r="E520" t="str">
        <f>IF(LEN(D520)=0,"",[1]!i_pq_tradedays($B$3,A521,A520)-1)</f>
        <v/>
      </c>
      <c r="G520" s="16" t="str">
        <f t="shared" si="32"/>
        <v/>
      </c>
      <c r="H520" s="70" t="str">
        <f t="shared" si="33"/>
        <v/>
      </c>
    </row>
    <row r="521" spans="1:8">
      <c r="A521" s="2"/>
      <c r="B521" s="12"/>
      <c r="C521" s="12"/>
      <c r="E521" t="str">
        <f>IF(LEN(D521)=0,"",[1]!i_pq_tradedays($B$3,A522,A521)-1)</f>
        <v/>
      </c>
      <c r="G521" s="16" t="str">
        <f t="shared" si="32"/>
        <v/>
      </c>
      <c r="H521" s="70" t="str">
        <f t="shared" si="33"/>
        <v/>
      </c>
    </row>
    <row r="522" spans="1:8">
      <c r="A522" s="2"/>
      <c r="B522" s="12"/>
      <c r="C522" s="12"/>
      <c r="E522" t="str">
        <f>IF(LEN(D522)=0,"",[1]!i_pq_tradedays($B$3,A523,A522)-1)</f>
        <v/>
      </c>
      <c r="G522" s="16" t="str">
        <f t="shared" si="32"/>
        <v/>
      </c>
      <c r="H522" s="70" t="str">
        <f t="shared" si="33"/>
        <v/>
      </c>
    </row>
    <row r="523" spans="1:8">
      <c r="A523" s="2"/>
      <c r="B523" s="12"/>
      <c r="C523" s="12"/>
      <c r="E523" t="str">
        <f>IF(LEN(D523)=0,"",[1]!i_pq_tradedays($B$3,A524,A523)-1)</f>
        <v/>
      </c>
      <c r="G523" s="16" t="str">
        <f t="shared" si="32"/>
        <v/>
      </c>
      <c r="H523" s="70" t="str">
        <f t="shared" si="33"/>
        <v/>
      </c>
    </row>
    <row r="524" spans="1:8">
      <c r="A524" s="2"/>
      <c r="B524" s="12"/>
      <c r="C524" s="12"/>
      <c r="E524" t="str">
        <f>IF(LEN(D524)=0,"",[1]!i_pq_tradedays($B$3,A525,A524)-1)</f>
        <v/>
      </c>
      <c r="G524" s="16" t="str">
        <f t="shared" si="32"/>
        <v/>
      </c>
      <c r="H524" s="70" t="str">
        <f t="shared" si="33"/>
        <v/>
      </c>
    </row>
    <row r="525" spans="1:8">
      <c r="A525" s="2"/>
      <c r="B525" s="12"/>
      <c r="C525" s="12"/>
      <c r="E525" t="str">
        <f>IF(LEN(D525)=0,"",[1]!i_pq_tradedays($B$3,A526,A525)-1)</f>
        <v/>
      </c>
      <c r="G525" s="16" t="str">
        <f t="shared" si="32"/>
        <v/>
      </c>
      <c r="H525" s="70" t="str">
        <f t="shared" si="33"/>
        <v/>
      </c>
    </row>
    <row r="526" spans="1:8">
      <c r="A526" s="2"/>
      <c r="B526" s="12"/>
      <c r="C526" s="12"/>
      <c r="E526" t="str">
        <f>IF(LEN(D526)=0,"",[1]!i_pq_tradedays($B$3,A527,A526)-1)</f>
        <v/>
      </c>
      <c r="G526" s="16" t="str">
        <f t="shared" si="32"/>
        <v/>
      </c>
      <c r="H526" s="70" t="str">
        <f t="shared" si="33"/>
        <v/>
      </c>
    </row>
    <row r="527" spans="1:8">
      <c r="A527" s="2"/>
      <c r="B527" s="12"/>
      <c r="C527" s="12"/>
      <c r="E527" t="str">
        <f>IF(LEN(D527)=0,"",[1]!i_pq_tradedays($B$3,A528,A527)-1)</f>
        <v/>
      </c>
      <c r="G527" s="16" t="str">
        <f t="shared" si="32"/>
        <v/>
      </c>
      <c r="H527" s="70" t="str">
        <f t="shared" si="33"/>
        <v/>
      </c>
    </row>
    <row r="528" spans="1:8">
      <c r="A528" s="2"/>
      <c r="B528" s="12"/>
      <c r="C528" s="12"/>
      <c r="E528" t="str">
        <f>IF(LEN(D528)=0,"",[1]!i_pq_tradedays($B$3,A529,A528)-1)</f>
        <v/>
      </c>
      <c r="G528" s="16" t="str">
        <f t="shared" si="32"/>
        <v/>
      </c>
      <c r="H528" s="70" t="str">
        <f t="shared" si="33"/>
        <v/>
      </c>
    </row>
    <row r="529" spans="1:8">
      <c r="A529" s="2"/>
      <c r="B529" s="12"/>
      <c r="C529" s="12"/>
      <c r="E529" t="str">
        <f>IF(LEN(D529)=0,"",[1]!i_pq_tradedays($B$3,A530,A529)-1)</f>
        <v/>
      </c>
      <c r="G529" s="16" t="str">
        <f t="shared" si="32"/>
        <v/>
      </c>
      <c r="H529" s="70" t="str">
        <f t="shared" si="33"/>
        <v/>
      </c>
    </row>
    <row r="530" spans="1:8">
      <c r="A530" s="2"/>
      <c r="B530" s="12"/>
      <c r="C530" s="12"/>
      <c r="E530" t="str">
        <f>IF(LEN(D530)=0,"",[1]!i_pq_tradedays($B$3,A531,A530)-1)</f>
        <v/>
      </c>
      <c r="G530" s="16" t="str">
        <f t="shared" si="32"/>
        <v/>
      </c>
      <c r="H530" s="70" t="str">
        <f t="shared" si="33"/>
        <v/>
      </c>
    </row>
    <row r="531" spans="1:8">
      <c r="A531" s="2"/>
      <c r="B531" s="12"/>
      <c r="C531" s="12"/>
      <c r="E531" t="str">
        <f>IF(LEN(D531)=0,"",[1]!i_pq_tradedays($B$3,A532,A531)-1)</f>
        <v/>
      </c>
      <c r="G531" s="16" t="str">
        <f t="shared" si="32"/>
        <v/>
      </c>
      <c r="H531" s="70" t="str">
        <f t="shared" si="33"/>
        <v/>
      </c>
    </row>
    <row r="532" spans="1:8">
      <c r="A532" s="2"/>
      <c r="B532" s="12"/>
      <c r="C532" s="12"/>
      <c r="E532" t="str">
        <f>IF(LEN(D532)=0,"",[1]!i_pq_tradedays($B$3,A533,A532)-1)</f>
        <v/>
      </c>
      <c r="G532" s="16" t="str">
        <f t="shared" si="32"/>
        <v/>
      </c>
      <c r="H532" s="70" t="str">
        <f t="shared" si="33"/>
        <v/>
      </c>
    </row>
    <row r="533" spans="1:8">
      <c r="A533" s="2"/>
      <c r="B533" s="12"/>
      <c r="C533" s="12"/>
      <c r="E533" t="str">
        <f>IF(LEN(D533)=0,"",[1]!i_pq_tradedays($B$3,A534,A533)-1)</f>
        <v/>
      </c>
      <c r="G533" s="16" t="str">
        <f t="shared" si="32"/>
        <v/>
      </c>
      <c r="H533" s="70" t="str">
        <f t="shared" si="33"/>
        <v/>
      </c>
    </row>
    <row r="534" spans="1:8">
      <c r="A534" s="2"/>
      <c r="B534" s="12"/>
      <c r="C534" s="12"/>
      <c r="E534" t="str">
        <f>IF(LEN(D534)=0,"",[1]!i_pq_tradedays($B$3,A535,A534)-1)</f>
        <v/>
      </c>
      <c r="G534" s="16" t="str">
        <f t="shared" si="32"/>
        <v/>
      </c>
      <c r="H534" s="70" t="str">
        <f t="shared" si="33"/>
        <v/>
      </c>
    </row>
    <row r="535" spans="1:8">
      <c r="A535" s="2"/>
      <c r="B535" s="12"/>
      <c r="C535" s="12"/>
      <c r="E535" t="str">
        <f>IF(LEN(D535)=0,"",[1]!i_pq_tradedays($B$3,A536,A535)-1)</f>
        <v/>
      </c>
      <c r="G535" s="16" t="str">
        <f t="shared" si="32"/>
        <v/>
      </c>
      <c r="H535" s="70" t="str">
        <f t="shared" si="33"/>
        <v/>
      </c>
    </row>
    <row r="536" spans="1:8">
      <c r="A536" s="2"/>
      <c r="B536" s="12"/>
      <c r="C536" s="12"/>
      <c r="E536" t="str">
        <f>IF(LEN(D536)=0,"",[1]!i_pq_tradedays($B$3,A537,A536)-1)</f>
        <v/>
      </c>
      <c r="G536" s="16" t="str">
        <f t="shared" si="32"/>
        <v/>
      </c>
      <c r="H536" s="70" t="str">
        <f t="shared" si="33"/>
        <v/>
      </c>
    </row>
    <row r="537" spans="1:8">
      <c r="A537" s="2"/>
      <c r="B537" s="12"/>
      <c r="C537" s="12"/>
      <c r="E537" t="str">
        <f>IF(LEN(D537)=0,"",[1]!i_pq_tradedays($B$3,A538,A537)-1)</f>
        <v/>
      </c>
      <c r="G537" s="16" t="str">
        <f t="shared" si="32"/>
        <v/>
      </c>
      <c r="H537" s="70" t="str">
        <f t="shared" si="33"/>
        <v/>
      </c>
    </row>
    <row r="538" spans="1:8">
      <c r="A538" s="2"/>
      <c r="B538" s="12"/>
      <c r="C538" s="12"/>
      <c r="E538" t="str">
        <f>IF(LEN(D538)=0,"",[1]!i_pq_tradedays($B$3,A539,A538)-1)</f>
        <v/>
      </c>
      <c r="G538" s="16" t="str">
        <f t="shared" si="32"/>
        <v/>
      </c>
      <c r="H538" s="70" t="str">
        <f t="shared" si="33"/>
        <v/>
      </c>
    </row>
    <row r="539" spans="1:8">
      <c r="A539" s="2"/>
      <c r="B539" s="12"/>
      <c r="C539" s="12"/>
      <c r="E539" t="str">
        <f>IF(LEN(D539)=0,"",[1]!i_pq_tradedays($B$3,A540,A539)-1)</f>
        <v/>
      </c>
      <c r="G539" s="16" t="str">
        <f t="shared" si="32"/>
        <v/>
      </c>
      <c r="H539" s="70" t="str">
        <f t="shared" si="33"/>
        <v/>
      </c>
    </row>
    <row r="540" spans="1:8">
      <c r="A540" s="2"/>
      <c r="B540" s="12"/>
      <c r="C540" s="12"/>
      <c r="E540" t="str">
        <f>IF(LEN(D540)=0,"",[1]!i_pq_tradedays($B$3,A541,A540)-1)</f>
        <v/>
      </c>
      <c r="G540" s="16" t="str">
        <f t="shared" si="32"/>
        <v/>
      </c>
      <c r="H540" s="70" t="str">
        <f t="shared" si="33"/>
        <v/>
      </c>
    </row>
    <row r="541" spans="1:8">
      <c r="A541" s="2"/>
      <c r="B541" s="12"/>
      <c r="C541" s="12"/>
      <c r="E541" t="str">
        <f>IF(LEN(D541)=0,"",[1]!i_pq_tradedays($B$3,A542,A541)-1)</f>
        <v/>
      </c>
      <c r="G541" s="16" t="str">
        <f t="shared" si="32"/>
        <v/>
      </c>
      <c r="H541" s="70" t="str">
        <f t="shared" si="33"/>
        <v/>
      </c>
    </row>
    <row r="542" spans="1:8">
      <c r="A542" s="2"/>
      <c r="B542" s="12"/>
      <c r="C542" s="12"/>
      <c r="E542" t="str">
        <f>IF(LEN(D542)=0,"",[1]!i_pq_tradedays($B$3,A543,A542)-1)</f>
        <v/>
      </c>
      <c r="G542" s="16" t="str">
        <f t="shared" si="32"/>
        <v/>
      </c>
      <c r="H542" s="70" t="str">
        <f t="shared" si="33"/>
        <v/>
      </c>
    </row>
    <row r="543" spans="1:8">
      <c r="A543" s="2"/>
      <c r="B543" s="12"/>
      <c r="C543" s="12"/>
      <c r="E543" t="str">
        <f>IF(LEN(D543)=0,"",[1]!i_pq_tradedays($B$3,A544,A543)-1)</f>
        <v/>
      </c>
      <c r="G543" s="16" t="str">
        <f t="shared" si="32"/>
        <v/>
      </c>
      <c r="H543" s="70" t="str">
        <f t="shared" si="33"/>
        <v/>
      </c>
    </row>
    <row r="544" spans="1:8">
      <c r="A544" s="2"/>
      <c r="B544" s="12"/>
      <c r="C544" s="12"/>
      <c r="E544" t="str">
        <f>IF(LEN(D544)=0,"",[1]!i_pq_tradedays($B$3,A545,A544)-1)</f>
        <v/>
      </c>
      <c r="G544" s="16" t="str">
        <f t="shared" si="32"/>
        <v/>
      </c>
      <c r="H544" s="70" t="str">
        <f t="shared" si="33"/>
        <v/>
      </c>
    </row>
    <row r="545" spans="1:8">
      <c r="A545" s="2"/>
      <c r="B545" s="12"/>
      <c r="C545" s="12"/>
      <c r="E545" t="str">
        <f>IF(LEN(D545)=0,"",[1]!i_pq_tradedays($B$3,A546,A545)-1)</f>
        <v/>
      </c>
      <c r="G545" s="16" t="str">
        <f t="shared" si="32"/>
        <v/>
      </c>
      <c r="H545" s="70" t="str">
        <f t="shared" si="33"/>
        <v/>
      </c>
    </row>
    <row r="546" spans="1:8">
      <c r="A546" s="2"/>
      <c r="B546" s="12"/>
      <c r="C546" s="12"/>
      <c r="E546" t="str">
        <f>IF(LEN(D546)=0,"",[1]!i_pq_tradedays($B$3,A547,A546)-1)</f>
        <v/>
      </c>
      <c r="G546" s="16" t="str">
        <f t="shared" si="32"/>
        <v/>
      </c>
      <c r="H546" s="70" t="str">
        <f t="shared" si="33"/>
        <v/>
      </c>
    </row>
    <row r="547" spans="1:8">
      <c r="A547" s="2"/>
      <c r="B547" s="12"/>
      <c r="C547" s="12"/>
      <c r="E547" t="str">
        <f>IF(LEN(D547)=0,"",[1]!i_pq_tradedays($B$3,A548,A547)-1)</f>
        <v/>
      </c>
      <c r="G547" s="16" t="str">
        <f t="shared" si="32"/>
        <v/>
      </c>
      <c r="H547" s="70" t="str">
        <f t="shared" si="33"/>
        <v/>
      </c>
    </row>
    <row r="548" spans="1:8">
      <c r="A548" s="2"/>
      <c r="B548" s="12"/>
      <c r="C548" s="12"/>
      <c r="E548" t="str">
        <f>IF(LEN(D548)=0,"",[1]!i_pq_tradedays($B$3,A549,A548)-1)</f>
        <v/>
      </c>
      <c r="G548" s="16" t="str">
        <f t="shared" si="32"/>
        <v/>
      </c>
      <c r="H548" s="70" t="str">
        <f t="shared" si="33"/>
        <v/>
      </c>
    </row>
    <row r="549" spans="1:8">
      <c r="A549" s="2"/>
      <c r="B549" s="12"/>
      <c r="C549" s="12"/>
      <c r="E549" t="str">
        <f>IF(LEN(D549)=0,"",[1]!i_pq_tradedays($B$3,A550,A549)-1)</f>
        <v/>
      </c>
      <c r="G549" s="16" t="str">
        <f t="shared" si="32"/>
        <v/>
      </c>
      <c r="H549" s="70" t="str">
        <f t="shared" si="33"/>
        <v/>
      </c>
    </row>
    <row r="550" spans="1:8">
      <c r="A550" s="2"/>
      <c r="B550" s="12"/>
      <c r="C550" s="12"/>
      <c r="E550" t="str">
        <f>IF(LEN(D550)=0,"",[1]!i_pq_tradedays($B$3,A551,A550)-1)</f>
        <v/>
      </c>
      <c r="G550" s="16" t="str">
        <f t="shared" si="32"/>
        <v/>
      </c>
      <c r="H550" s="70" t="str">
        <f t="shared" si="33"/>
        <v/>
      </c>
    </row>
    <row r="551" spans="1:8">
      <c r="A551" s="2"/>
      <c r="B551" s="12"/>
      <c r="C551" s="12"/>
      <c r="E551" t="str">
        <f>IF(LEN(D551)=0,"",[1]!i_pq_tradedays($B$3,A552,A551)-1)</f>
        <v/>
      </c>
      <c r="G551" s="16" t="str">
        <f t="shared" si="32"/>
        <v/>
      </c>
      <c r="H551" s="70" t="str">
        <f t="shared" si="33"/>
        <v/>
      </c>
    </row>
    <row r="552" spans="1:8">
      <c r="A552" s="2"/>
      <c r="B552" s="12"/>
      <c r="C552" s="12"/>
      <c r="E552" t="str">
        <f>IF(LEN(D552)=0,"",[1]!i_pq_tradedays($B$3,A553,A552)-1)</f>
        <v/>
      </c>
      <c r="G552" s="16" t="str">
        <f t="shared" si="32"/>
        <v/>
      </c>
      <c r="H552" s="70" t="str">
        <f t="shared" si="33"/>
        <v/>
      </c>
    </row>
    <row r="553" spans="1:8">
      <c r="A553" s="2"/>
      <c r="B553" s="12"/>
      <c r="C553" s="12"/>
      <c r="E553" t="str">
        <f>IF(LEN(D553)=0,"",[1]!i_pq_tradedays($B$3,A554,A553)-1)</f>
        <v/>
      </c>
      <c r="G553" s="16" t="str">
        <f t="shared" si="32"/>
        <v/>
      </c>
      <c r="H553" s="70" t="str">
        <f t="shared" si="33"/>
        <v/>
      </c>
    </row>
    <row r="554" spans="1:8">
      <c r="A554" s="2"/>
      <c r="B554" s="12"/>
      <c r="C554" s="12"/>
      <c r="E554" t="str">
        <f>IF(LEN(D554)=0,"",[1]!i_pq_tradedays($B$3,A555,A554)-1)</f>
        <v/>
      </c>
      <c r="G554" s="16" t="str">
        <f t="shared" si="32"/>
        <v/>
      </c>
      <c r="H554" s="70" t="str">
        <f t="shared" si="33"/>
        <v/>
      </c>
    </row>
    <row r="555" spans="1:8">
      <c r="A555" s="2"/>
      <c r="B555" s="12"/>
      <c r="C555" s="12"/>
      <c r="E555" t="str">
        <f>IF(LEN(D555)=0,"",[1]!i_pq_tradedays($B$3,A556,A555)-1)</f>
        <v/>
      </c>
      <c r="G555" s="16" t="str">
        <f t="shared" si="32"/>
        <v/>
      </c>
      <c r="H555" s="70" t="str">
        <f t="shared" si="33"/>
        <v/>
      </c>
    </row>
    <row r="556" spans="1:8">
      <c r="A556" s="2"/>
      <c r="B556" s="12"/>
      <c r="C556" s="12"/>
      <c r="E556" t="str">
        <f>IF(LEN(D556)=0,"",[1]!i_pq_tradedays($B$3,A557,A556)-1)</f>
        <v/>
      </c>
      <c r="G556" s="16" t="str">
        <f t="shared" si="32"/>
        <v/>
      </c>
      <c r="H556" s="70" t="str">
        <f t="shared" si="33"/>
        <v/>
      </c>
    </row>
    <row r="557" spans="1:8">
      <c r="A557" s="2"/>
      <c r="B557" s="12"/>
      <c r="C557" s="12"/>
      <c r="E557" t="str">
        <f>IF(LEN(D557)=0,"",[1]!i_pq_tradedays($B$3,A558,A557)-1)</f>
        <v/>
      </c>
      <c r="G557" s="16" t="str">
        <f t="shared" si="32"/>
        <v/>
      </c>
      <c r="H557" s="70" t="str">
        <f t="shared" si="33"/>
        <v/>
      </c>
    </row>
    <row r="558" spans="1:8">
      <c r="A558" s="2"/>
      <c r="B558" s="12"/>
      <c r="C558" s="12"/>
      <c r="E558" t="str">
        <f>IF(LEN(D558)=0,"",[1]!i_pq_tradedays($B$3,A559,A558)-1)</f>
        <v/>
      </c>
      <c r="G558" s="16" t="str">
        <f t="shared" si="32"/>
        <v/>
      </c>
      <c r="H558" s="70" t="str">
        <f t="shared" si="33"/>
        <v/>
      </c>
    </row>
    <row r="559" spans="1:8">
      <c r="A559" s="2"/>
      <c r="B559" s="12"/>
      <c r="C559" s="12"/>
      <c r="E559" t="str">
        <f>IF(LEN(D559)=0,"",[1]!i_pq_tradedays($B$3,A560,A559)-1)</f>
        <v/>
      </c>
      <c r="G559" s="16" t="str">
        <f t="shared" si="32"/>
        <v/>
      </c>
      <c r="H559" s="70" t="str">
        <f t="shared" si="33"/>
        <v/>
      </c>
    </row>
    <row r="560" spans="1:8">
      <c r="A560" s="2"/>
      <c r="B560" s="12"/>
      <c r="C560" s="12"/>
      <c r="E560" t="str">
        <f>IF(LEN(D560)=0,"",[1]!i_pq_tradedays($B$3,A561,A560)-1)</f>
        <v/>
      </c>
      <c r="G560" s="16" t="str">
        <f t="shared" si="32"/>
        <v/>
      </c>
      <c r="H560" s="70" t="str">
        <f t="shared" si="33"/>
        <v/>
      </c>
    </row>
    <row r="561" spans="1:8">
      <c r="A561" s="2"/>
      <c r="B561" s="12"/>
      <c r="C561" s="12"/>
      <c r="E561" t="str">
        <f>IF(LEN(D561)=0,"",[1]!i_pq_tradedays($B$3,A562,A561)-1)</f>
        <v/>
      </c>
      <c r="G561" s="16" t="str">
        <f t="shared" si="32"/>
        <v/>
      </c>
      <c r="H561" s="70" t="str">
        <f t="shared" si="33"/>
        <v/>
      </c>
    </row>
    <row r="562" spans="1:8">
      <c r="A562" s="2"/>
      <c r="B562" s="12"/>
      <c r="C562" s="12"/>
      <c r="E562" t="str">
        <f>IF(LEN(D562)=0,"",[1]!i_pq_tradedays($B$3,A563,A562)-1)</f>
        <v/>
      </c>
      <c r="G562" s="16" t="str">
        <f t="shared" si="32"/>
        <v/>
      </c>
      <c r="H562" s="70" t="str">
        <f t="shared" si="33"/>
        <v/>
      </c>
    </row>
    <row r="563" spans="1:8">
      <c r="A563" s="2"/>
      <c r="B563" s="12"/>
      <c r="C563" s="12"/>
      <c r="E563" t="str">
        <f>IF(LEN(D563)=0,"",[1]!i_pq_tradedays($B$3,A564,A563)-1)</f>
        <v/>
      </c>
      <c r="G563" s="16" t="str">
        <f t="shared" si="32"/>
        <v/>
      </c>
      <c r="H563" s="70" t="str">
        <f t="shared" si="33"/>
        <v/>
      </c>
    </row>
    <row r="564" spans="1:8">
      <c r="A564" s="2"/>
      <c r="B564" s="12"/>
      <c r="C564" s="12"/>
      <c r="E564" t="str">
        <f>IF(LEN(D564)=0,"",[1]!i_pq_tradedays($B$3,A565,A564)-1)</f>
        <v/>
      </c>
      <c r="G564" s="16" t="str">
        <f t="shared" si="32"/>
        <v/>
      </c>
      <c r="H564" s="70" t="str">
        <f t="shared" si="33"/>
        <v/>
      </c>
    </row>
    <row r="565" spans="1:8">
      <c r="A565" s="2"/>
      <c r="B565" s="12"/>
      <c r="C565" s="12"/>
      <c r="E565" t="str">
        <f>IF(LEN(D565)=0,"",[1]!i_pq_tradedays($B$3,A566,A565)-1)</f>
        <v/>
      </c>
      <c r="G565" s="16" t="str">
        <f t="shared" ref="G565:G628" si="34">IF(LEN(D565)=0,"",D565/E565)</f>
        <v/>
      </c>
      <c r="H565" s="70" t="str">
        <f t="shared" ref="H565:H628" si="35">IF(LEN(D565)=0,"",G565/G566-1)</f>
        <v/>
      </c>
    </row>
    <row r="566" spans="1:8">
      <c r="A566" s="2"/>
      <c r="B566" s="12"/>
      <c r="C566" s="12"/>
      <c r="E566" t="str">
        <f>IF(LEN(D566)=0,"",[1]!i_pq_tradedays($B$3,A567,A566)-1)</f>
        <v/>
      </c>
      <c r="G566" s="16" t="str">
        <f t="shared" si="34"/>
        <v/>
      </c>
      <c r="H566" s="70" t="str">
        <f t="shared" si="35"/>
        <v/>
      </c>
    </row>
    <row r="567" spans="1:8">
      <c r="A567" s="2"/>
      <c r="B567" s="12"/>
      <c r="C567" s="12"/>
      <c r="E567" t="str">
        <f>IF(LEN(D567)=0,"",[1]!i_pq_tradedays($B$3,A568,A567)-1)</f>
        <v/>
      </c>
      <c r="G567" s="16" t="str">
        <f t="shared" si="34"/>
        <v/>
      </c>
      <c r="H567" s="70" t="str">
        <f t="shared" si="35"/>
        <v/>
      </c>
    </row>
    <row r="568" spans="1:8">
      <c r="A568" s="2"/>
      <c r="B568" s="12"/>
      <c r="C568" s="12"/>
      <c r="E568" t="str">
        <f>IF(LEN(D568)=0,"",[1]!i_pq_tradedays($B$3,A569,A568)-1)</f>
        <v/>
      </c>
      <c r="G568" s="16" t="str">
        <f t="shared" si="34"/>
        <v/>
      </c>
      <c r="H568" s="70" t="str">
        <f t="shared" si="35"/>
        <v/>
      </c>
    </row>
    <row r="569" spans="1:8">
      <c r="A569" s="2"/>
      <c r="B569" s="12"/>
      <c r="C569" s="12"/>
      <c r="E569" t="str">
        <f>IF(LEN(D569)=0,"",[1]!i_pq_tradedays($B$3,A570,A569)-1)</f>
        <v/>
      </c>
      <c r="G569" s="16" t="str">
        <f t="shared" si="34"/>
        <v/>
      </c>
      <c r="H569" s="70" t="str">
        <f t="shared" si="35"/>
        <v/>
      </c>
    </row>
    <row r="570" spans="1:8">
      <c r="A570" s="2"/>
      <c r="B570" s="12"/>
      <c r="C570" s="12"/>
      <c r="E570" t="str">
        <f>IF(LEN(D570)=0,"",[1]!i_pq_tradedays($B$3,A571,A570)-1)</f>
        <v/>
      </c>
      <c r="G570" s="16" t="str">
        <f t="shared" si="34"/>
        <v/>
      </c>
      <c r="H570" s="70" t="str">
        <f t="shared" si="35"/>
        <v/>
      </c>
    </row>
    <row r="571" spans="1:8">
      <c r="A571" s="2"/>
      <c r="B571" s="12"/>
      <c r="C571" s="12"/>
      <c r="E571" t="str">
        <f>IF(LEN(D571)=0,"",[1]!i_pq_tradedays($B$3,A572,A571)-1)</f>
        <v/>
      </c>
      <c r="G571" s="16" t="str">
        <f t="shared" si="34"/>
        <v/>
      </c>
      <c r="H571" s="70" t="str">
        <f t="shared" si="35"/>
        <v/>
      </c>
    </row>
    <row r="572" spans="1:8">
      <c r="A572" s="2"/>
      <c r="B572" s="12"/>
      <c r="C572" s="12"/>
      <c r="E572" t="str">
        <f>IF(LEN(D572)=0,"",[1]!i_pq_tradedays($B$3,A573,A572)-1)</f>
        <v/>
      </c>
      <c r="G572" s="16" t="str">
        <f t="shared" si="34"/>
        <v/>
      </c>
      <c r="H572" s="70" t="str">
        <f t="shared" si="35"/>
        <v/>
      </c>
    </row>
    <row r="573" spans="1:8">
      <c r="A573" s="2"/>
      <c r="B573" s="12"/>
      <c r="C573" s="12"/>
      <c r="E573" t="str">
        <f>IF(LEN(D573)=0,"",[1]!i_pq_tradedays($B$3,A574,A573)-1)</f>
        <v/>
      </c>
      <c r="G573" s="16" t="str">
        <f t="shared" si="34"/>
        <v/>
      </c>
      <c r="H573" s="70" t="str">
        <f t="shared" si="35"/>
        <v/>
      </c>
    </row>
    <row r="574" spans="1:8">
      <c r="A574" s="2"/>
      <c r="B574" s="12"/>
      <c r="C574" s="12"/>
      <c r="E574" t="str">
        <f>IF(LEN(D574)=0,"",[1]!i_pq_tradedays($B$3,A575,A574)-1)</f>
        <v/>
      </c>
      <c r="G574" s="16" t="str">
        <f t="shared" si="34"/>
        <v/>
      </c>
      <c r="H574" s="70" t="str">
        <f t="shared" si="35"/>
        <v/>
      </c>
    </row>
    <row r="575" spans="1:8">
      <c r="A575" s="2"/>
      <c r="B575" s="12"/>
      <c r="C575" s="12"/>
      <c r="E575" t="str">
        <f>IF(LEN(D575)=0,"",[1]!i_pq_tradedays($B$3,A576,A575)-1)</f>
        <v/>
      </c>
      <c r="G575" s="16" t="str">
        <f t="shared" si="34"/>
        <v/>
      </c>
      <c r="H575" s="70" t="str">
        <f t="shared" si="35"/>
        <v/>
      </c>
    </row>
    <row r="576" spans="1:8">
      <c r="A576" s="2"/>
      <c r="B576" s="12"/>
      <c r="C576" s="12"/>
      <c r="E576" t="str">
        <f>IF(LEN(D576)=0,"",[1]!i_pq_tradedays($B$3,A577,A576)-1)</f>
        <v/>
      </c>
      <c r="G576" s="16" t="str">
        <f t="shared" si="34"/>
        <v/>
      </c>
      <c r="H576" s="70" t="str">
        <f t="shared" si="35"/>
        <v/>
      </c>
    </row>
    <row r="577" spans="1:8">
      <c r="A577" s="2"/>
      <c r="B577" s="12"/>
      <c r="C577" s="12"/>
      <c r="E577" t="str">
        <f>IF(LEN(D577)=0,"",[1]!i_pq_tradedays($B$3,A578,A577)-1)</f>
        <v/>
      </c>
      <c r="G577" s="16" t="str">
        <f t="shared" si="34"/>
        <v/>
      </c>
      <c r="H577" s="70" t="str">
        <f t="shared" si="35"/>
        <v/>
      </c>
    </row>
    <row r="578" spans="1:8">
      <c r="A578" s="2"/>
      <c r="B578" s="12"/>
      <c r="C578" s="12"/>
      <c r="E578" t="str">
        <f>IF(LEN(D578)=0,"",[1]!i_pq_tradedays($B$3,A579,A578)-1)</f>
        <v/>
      </c>
      <c r="G578" s="16" t="str">
        <f t="shared" si="34"/>
        <v/>
      </c>
      <c r="H578" s="70" t="str">
        <f t="shared" si="35"/>
        <v/>
      </c>
    </row>
    <row r="579" spans="1:8">
      <c r="A579" s="2"/>
      <c r="B579" s="12"/>
      <c r="C579" s="12"/>
      <c r="E579" t="str">
        <f>IF(LEN(D579)=0,"",[1]!i_pq_tradedays($B$3,A580,A579)-1)</f>
        <v/>
      </c>
      <c r="G579" s="16" t="str">
        <f t="shared" si="34"/>
        <v/>
      </c>
      <c r="H579" s="70" t="str">
        <f t="shared" si="35"/>
        <v/>
      </c>
    </row>
    <row r="580" spans="1:8">
      <c r="A580" s="2"/>
      <c r="B580" s="12"/>
      <c r="C580" s="12"/>
      <c r="E580" t="str">
        <f>IF(LEN(D580)=0,"",[1]!i_pq_tradedays($B$3,A581,A580)-1)</f>
        <v/>
      </c>
      <c r="G580" s="16" t="str">
        <f t="shared" si="34"/>
        <v/>
      </c>
      <c r="H580" s="70" t="str">
        <f t="shared" si="35"/>
        <v/>
      </c>
    </row>
    <row r="581" spans="1:8">
      <c r="A581" s="2"/>
      <c r="B581" s="12"/>
      <c r="C581" s="12"/>
      <c r="E581" t="str">
        <f>IF(LEN(D581)=0,"",[1]!i_pq_tradedays($B$3,A582,A581)-1)</f>
        <v/>
      </c>
      <c r="G581" s="16" t="str">
        <f t="shared" si="34"/>
        <v/>
      </c>
      <c r="H581" s="70" t="str">
        <f t="shared" si="35"/>
        <v/>
      </c>
    </row>
    <row r="582" spans="1:8">
      <c r="A582" s="2"/>
      <c r="B582" s="12"/>
      <c r="C582" s="12"/>
      <c r="E582" t="str">
        <f>IF(LEN(D582)=0,"",[1]!i_pq_tradedays($B$3,A583,A582)-1)</f>
        <v/>
      </c>
      <c r="G582" s="16" t="str">
        <f t="shared" si="34"/>
        <v/>
      </c>
      <c r="H582" s="70" t="str">
        <f t="shared" si="35"/>
        <v/>
      </c>
    </row>
    <row r="583" spans="1:8">
      <c r="A583" s="2"/>
      <c r="B583" s="12"/>
      <c r="C583" s="12"/>
      <c r="E583" t="str">
        <f>IF(LEN(D583)=0,"",[1]!i_pq_tradedays($B$3,A584,A583)-1)</f>
        <v/>
      </c>
      <c r="G583" s="16" t="str">
        <f t="shared" si="34"/>
        <v/>
      </c>
      <c r="H583" s="70" t="str">
        <f t="shared" si="35"/>
        <v/>
      </c>
    </row>
    <row r="584" spans="1:8">
      <c r="A584" s="2"/>
      <c r="B584" s="12"/>
      <c r="C584" s="12"/>
      <c r="E584" t="str">
        <f>IF(LEN(D584)=0,"",[1]!i_pq_tradedays($B$3,A585,A584)-1)</f>
        <v/>
      </c>
      <c r="G584" s="16" t="str">
        <f t="shared" si="34"/>
        <v/>
      </c>
      <c r="H584" s="70" t="str">
        <f t="shared" si="35"/>
        <v/>
      </c>
    </row>
    <row r="585" spans="1:8">
      <c r="A585" s="2"/>
      <c r="B585" s="12"/>
      <c r="C585" s="12"/>
      <c r="E585" t="str">
        <f>IF(LEN(D585)=0,"",[1]!i_pq_tradedays($B$3,A586,A585)-1)</f>
        <v/>
      </c>
      <c r="G585" s="16" t="str">
        <f t="shared" si="34"/>
        <v/>
      </c>
      <c r="H585" s="70" t="str">
        <f t="shared" si="35"/>
        <v/>
      </c>
    </row>
    <row r="586" spans="1:8">
      <c r="A586" s="2"/>
      <c r="B586" s="12"/>
      <c r="C586" s="12"/>
      <c r="E586" t="str">
        <f>IF(LEN(D586)=0,"",[1]!i_pq_tradedays($B$3,A587,A586)-1)</f>
        <v/>
      </c>
      <c r="G586" s="16" t="str">
        <f t="shared" si="34"/>
        <v/>
      </c>
      <c r="H586" s="70" t="str">
        <f t="shared" si="35"/>
        <v/>
      </c>
    </row>
    <row r="587" spans="1:8">
      <c r="A587" s="2"/>
      <c r="B587" s="12"/>
      <c r="C587" s="12"/>
      <c r="E587" t="str">
        <f>IF(LEN(D587)=0,"",[1]!i_pq_tradedays($B$3,A588,A587)-1)</f>
        <v/>
      </c>
      <c r="G587" s="16" t="str">
        <f t="shared" si="34"/>
        <v/>
      </c>
      <c r="H587" s="70" t="str">
        <f t="shared" si="35"/>
        <v/>
      </c>
    </row>
    <row r="588" spans="1:8">
      <c r="A588" s="2"/>
      <c r="B588" s="12"/>
      <c r="C588" s="12"/>
      <c r="E588" t="str">
        <f>IF(LEN(D588)=0,"",[1]!i_pq_tradedays($B$3,A589,A588)-1)</f>
        <v/>
      </c>
      <c r="G588" s="16" t="str">
        <f t="shared" si="34"/>
        <v/>
      </c>
      <c r="H588" s="70" t="str">
        <f t="shared" si="35"/>
        <v/>
      </c>
    </row>
    <row r="589" spans="1:8">
      <c r="A589" s="2"/>
      <c r="B589" s="12"/>
      <c r="C589" s="12"/>
      <c r="E589" t="str">
        <f>IF(LEN(D589)=0,"",[1]!i_pq_tradedays($B$3,A590,A589)-1)</f>
        <v/>
      </c>
      <c r="G589" s="16" t="str">
        <f t="shared" si="34"/>
        <v/>
      </c>
      <c r="H589" s="70" t="str">
        <f t="shared" si="35"/>
        <v/>
      </c>
    </row>
    <row r="590" spans="1:8">
      <c r="A590" s="2"/>
      <c r="B590" s="12"/>
      <c r="C590" s="12"/>
      <c r="E590" t="str">
        <f>IF(LEN(D590)=0,"",[1]!i_pq_tradedays($B$3,A591,A590)-1)</f>
        <v/>
      </c>
      <c r="G590" s="16" t="str">
        <f t="shared" si="34"/>
        <v/>
      </c>
      <c r="H590" s="70" t="str">
        <f t="shared" si="35"/>
        <v/>
      </c>
    </row>
    <row r="591" spans="1:8">
      <c r="A591" s="2"/>
      <c r="B591" s="12"/>
      <c r="C591" s="12"/>
      <c r="E591" t="str">
        <f>IF(LEN(D591)=0,"",[1]!i_pq_tradedays($B$3,A592,A591)-1)</f>
        <v/>
      </c>
      <c r="G591" s="16" t="str">
        <f t="shared" si="34"/>
        <v/>
      </c>
      <c r="H591" s="70" t="str">
        <f t="shared" si="35"/>
        <v/>
      </c>
    </row>
    <row r="592" spans="1:8">
      <c r="A592" s="2"/>
      <c r="B592" s="12"/>
      <c r="C592" s="12"/>
      <c r="E592" t="str">
        <f>IF(LEN(D592)=0,"",[1]!i_pq_tradedays($B$3,A593,A592)-1)</f>
        <v/>
      </c>
      <c r="G592" s="16" t="str">
        <f t="shared" si="34"/>
        <v/>
      </c>
      <c r="H592" s="70" t="str">
        <f t="shared" si="35"/>
        <v/>
      </c>
    </row>
    <row r="593" spans="1:8">
      <c r="A593" s="2"/>
      <c r="B593" s="12"/>
      <c r="C593" s="12"/>
      <c r="E593" t="str">
        <f>IF(LEN(D593)=0,"",[1]!i_pq_tradedays($B$3,A594,A593)-1)</f>
        <v/>
      </c>
      <c r="G593" s="16" t="str">
        <f t="shared" si="34"/>
        <v/>
      </c>
      <c r="H593" s="70" t="str">
        <f t="shared" si="35"/>
        <v/>
      </c>
    </row>
    <row r="594" spans="1:8">
      <c r="A594" s="2"/>
      <c r="B594" s="12"/>
      <c r="C594" s="12"/>
      <c r="E594" t="str">
        <f>IF(LEN(D594)=0,"",[1]!i_pq_tradedays($B$3,A595,A594)-1)</f>
        <v/>
      </c>
      <c r="G594" s="16" t="str">
        <f t="shared" si="34"/>
        <v/>
      </c>
      <c r="H594" s="70" t="str">
        <f t="shared" si="35"/>
        <v/>
      </c>
    </row>
    <row r="595" spans="1:8">
      <c r="A595" s="2"/>
      <c r="B595" s="12"/>
      <c r="C595" s="12"/>
      <c r="E595" t="str">
        <f>IF(LEN(D595)=0,"",[1]!i_pq_tradedays($B$3,A596,A595)-1)</f>
        <v/>
      </c>
      <c r="G595" s="16" t="str">
        <f t="shared" si="34"/>
        <v/>
      </c>
      <c r="H595" s="70" t="str">
        <f t="shared" si="35"/>
        <v/>
      </c>
    </row>
    <row r="596" spans="1:8">
      <c r="A596" s="2"/>
      <c r="B596" s="12"/>
      <c r="C596" s="12"/>
      <c r="E596" t="str">
        <f>IF(LEN(D596)=0,"",[1]!i_pq_tradedays($B$3,A597,A596)-1)</f>
        <v/>
      </c>
      <c r="G596" s="16" t="str">
        <f t="shared" si="34"/>
        <v/>
      </c>
      <c r="H596" s="70" t="str">
        <f t="shared" si="35"/>
        <v/>
      </c>
    </row>
    <row r="597" spans="1:8">
      <c r="A597" s="2"/>
      <c r="B597" s="12"/>
      <c r="C597" s="12"/>
      <c r="E597" t="str">
        <f>IF(LEN(D597)=0,"",[1]!i_pq_tradedays($B$3,A598,A597)-1)</f>
        <v/>
      </c>
      <c r="G597" s="16" t="str">
        <f t="shared" si="34"/>
        <v/>
      </c>
      <c r="H597" s="70" t="str">
        <f t="shared" si="35"/>
        <v/>
      </c>
    </row>
    <row r="598" spans="1:8">
      <c r="A598" s="2"/>
      <c r="B598" s="12"/>
      <c r="C598" s="12"/>
      <c r="E598" t="str">
        <f>IF(LEN(D598)=0,"",[1]!i_pq_tradedays($B$3,A599,A598)-1)</f>
        <v/>
      </c>
      <c r="G598" s="16" t="str">
        <f t="shared" si="34"/>
        <v/>
      </c>
      <c r="H598" s="70" t="str">
        <f t="shared" si="35"/>
        <v/>
      </c>
    </row>
    <row r="599" spans="1:8">
      <c r="A599" s="2"/>
      <c r="B599" s="12"/>
      <c r="C599" s="12"/>
      <c r="E599" t="str">
        <f>IF(LEN(D599)=0,"",[1]!i_pq_tradedays($B$3,A600,A599)-1)</f>
        <v/>
      </c>
      <c r="G599" s="16" t="str">
        <f t="shared" si="34"/>
        <v/>
      </c>
      <c r="H599" s="70" t="str">
        <f t="shared" si="35"/>
        <v/>
      </c>
    </row>
    <row r="600" spans="1:8">
      <c r="A600" s="2"/>
      <c r="B600" s="12"/>
      <c r="C600" s="12"/>
      <c r="E600" t="str">
        <f>IF(LEN(D600)=0,"",[1]!i_pq_tradedays($B$3,A601,A600)-1)</f>
        <v/>
      </c>
      <c r="G600" s="16" t="str">
        <f t="shared" si="34"/>
        <v/>
      </c>
      <c r="H600" s="70" t="str">
        <f t="shared" si="35"/>
        <v/>
      </c>
    </row>
    <row r="601" spans="1:8">
      <c r="A601" s="2"/>
      <c r="B601" s="12"/>
      <c r="C601" s="12"/>
      <c r="E601" t="str">
        <f>IF(LEN(D601)=0,"",[1]!i_pq_tradedays($B$3,A602,A601)-1)</f>
        <v/>
      </c>
      <c r="G601" s="16" t="str">
        <f t="shared" si="34"/>
        <v/>
      </c>
      <c r="H601" s="70" t="str">
        <f t="shared" si="35"/>
        <v/>
      </c>
    </row>
    <row r="602" spans="1:8">
      <c r="A602" s="2"/>
      <c r="B602" s="12"/>
      <c r="C602" s="12"/>
      <c r="E602" t="str">
        <f>IF(LEN(D602)=0,"",[1]!i_pq_tradedays($B$3,A603,A602)-1)</f>
        <v/>
      </c>
      <c r="G602" s="16" t="str">
        <f t="shared" si="34"/>
        <v/>
      </c>
      <c r="H602" s="70" t="str">
        <f t="shared" si="35"/>
        <v/>
      </c>
    </row>
    <row r="603" spans="1:8">
      <c r="A603" s="2"/>
      <c r="B603" s="12"/>
      <c r="C603" s="12"/>
      <c r="E603" t="str">
        <f>IF(LEN(D603)=0,"",[1]!i_pq_tradedays($B$3,A604,A603)-1)</f>
        <v/>
      </c>
      <c r="G603" s="16" t="str">
        <f t="shared" si="34"/>
        <v/>
      </c>
      <c r="H603" s="70" t="str">
        <f t="shared" si="35"/>
        <v/>
      </c>
    </row>
    <row r="604" spans="1:8">
      <c r="A604" s="2"/>
      <c r="B604" s="12"/>
      <c r="C604" s="12"/>
      <c r="E604" t="str">
        <f>IF(LEN(D604)=0,"",[1]!i_pq_tradedays($B$3,A605,A604)-1)</f>
        <v/>
      </c>
      <c r="G604" s="16" t="str">
        <f t="shared" si="34"/>
        <v/>
      </c>
      <c r="H604" s="70" t="str">
        <f t="shared" si="35"/>
        <v/>
      </c>
    </row>
    <row r="605" spans="1:8">
      <c r="A605" s="2"/>
      <c r="B605" s="12"/>
      <c r="C605" s="12"/>
      <c r="E605" t="str">
        <f>IF(LEN(D605)=0,"",[1]!i_pq_tradedays($B$3,A606,A605)-1)</f>
        <v/>
      </c>
      <c r="G605" s="16" t="str">
        <f t="shared" si="34"/>
        <v/>
      </c>
      <c r="H605" s="70" t="str">
        <f t="shared" si="35"/>
        <v/>
      </c>
    </row>
    <row r="606" spans="1:8">
      <c r="A606" s="2"/>
      <c r="B606" s="12"/>
      <c r="C606" s="12"/>
      <c r="E606" t="str">
        <f>IF(LEN(D606)=0,"",[1]!i_pq_tradedays($B$3,A607,A606)-1)</f>
        <v/>
      </c>
      <c r="G606" s="16" t="str">
        <f t="shared" si="34"/>
        <v/>
      </c>
      <c r="H606" s="70" t="str">
        <f t="shared" si="35"/>
        <v/>
      </c>
    </row>
    <row r="607" spans="1:8">
      <c r="A607" s="2"/>
      <c r="B607" s="12"/>
      <c r="C607" s="12"/>
      <c r="E607" t="str">
        <f>IF(LEN(D607)=0,"",[1]!i_pq_tradedays($B$3,A608,A607)-1)</f>
        <v/>
      </c>
      <c r="G607" s="16" t="str">
        <f t="shared" si="34"/>
        <v/>
      </c>
      <c r="H607" s="70" t="str">
        <f t="shared" si="35"/>
        <v/>
      </c>
    </row>
    <row r="608" spans="1:8">
      <c r="A608" s="2"/>
      <c r="B608" s="12"/>
      <c r="C608" s="12"/>
      <c r="E608" t="str">
        <f>IF(LEN(D608)=0,"",[1]!i_pq_tradedays($B$3,A609,A608)-1)</f>
        <v/>
      </c>
      <c r="G608" s="16" t="str">
        <f t="shared" si="34"/>
        <v/>
      </c>
      <c r="H608" s="70" t="str">
        <f t="shared" si="35"/>
        <v/>
      </c>
    </row>
    <row r="609" spans="1:8">
      <c r="A609" s="2"/>
      <c r="B609" s="12"/>
      <c r="C609" s="12"/>
      <c r="E609" t="str">
        <f>IF(LEN(D609)=0,"",[1]!i_pq_tradedays($B$3,A610,A609)-1)</f>
        <v/>
      </c>
      <c r="G609" s="16" t="str">
        <f t="shared" si="34"/>
        <v/>
      </c>
      <c r="H609" s="70" t="str">
        <f t="shared" si="35"/>
        <v/>
      </c>
    </row>
    <row r="610" spans="1:8">
      <c r="A610" s="2"/>
      <c r="B610" s="12"/>
      <c r="C610" s="12"/>
      <c r="E610" t="str">
        <f>IF(LEN(D610)=0,"",[1]!i_pq_tradedays($B$3,A611,A610)-1)</f>
        <v/>
      </c>
      <c r="G610" s="16" t="str">
        <f t="shared" si="34"/>
        <v/>
      </c>
      <c r="H610" s="70" t="str">
        <f t="shared" si="35"/>
        <v/>
      </c>
    </row>
    <row r="611" spans="1:8">
      <c r="A611" s="2"/>
      <c r="B611" s="12"/>
      <c r="C611" s="12"/>
      <c r="E611" t="str">
        <f>IF(LEN(D611)=0,"",[1]!i_pq_tradedays($B$3,A612,A611)-1)</f>
        <v/>
      </c>
      <c r="G611" s="16" t="str">
        <f t="shared" si="34"/>
        <v/>
      </c>
      <c r="H611" s="70" t="str">
        <f t="shared" si="35"/>
        <v/>
      </c>
    </row>
    <row r="612" spans="1:8">
      <c r="A612" s="2"/>
      <c r="B612" s="12"/>
      <c r="C612" s="12"/>
      <c r="E612" t="str">
        <f>IF(LEN(D612)=0,"",[1]!i_pq_tradedays($B$3,A613,A612)-1)</f>
        <v/>
      </c>
      <c r="G612" s="16" t="str">
        <f t="shared" si="34"/>
        <v/>
      </c>
      <c r="H612" s="70" t="str">
        <f t="shared" si="35"/>
        <v/>
      </c>
    </row>
    <row r="613" spans="1:8">
      <c r="A613" s="2"/>
      <c r="B613" s="12"/>
      <c r="C613" s="12"/>
      <c r="E613" t="str">
        <f>IF(LEN(D613)=0,"",[1]!i_pq_tradedays($B$3,A614,A613)-1)</f>
        <v/>
      </c>
      <c r="G613" s="16" t="str">
        <f t="shared" si="34"/>
        <v/>
      </c>
      <c r="H613" s="70" t="str">
        <f t="shared" si="35"/>
        <v/>
      </c>
    </row>
    <row r="614" spans="1:8">
      <c r="A614" s="2"/>
      <c r="B614" s="12"/>
      <c r="C614" s="12"/>
      <c r="E614" t="str">
        <f>IF(LEN(D614)=0,"",[1]!i_pq_tradedays($B$3,A615,A614)-1)</f>
        <v/>
      </c>
      <c r="G614" s="16" t="str">
        <f t="shared" si="34"/>
        <v/>
      </c>
      <c r="H614" s="70" t="str">
        <f t="shared" si="35"/>
        <v/>
      </c>
    </row>
    <row r="615" spans="1:8">
      <c r="A615" s="2"/>
      <c r="B615" s="12"/>
      <c r="C615" s="12"/>
      <c r="E615" t="str">
        <f>IF(LEN(D615)=0,"",[1]!i_pq_tradedays($B$3,A616,A615)-1)</f>
        <v/>
      </c>
      <c r="G615" s="16" t="str">
        <f t="shared" si="34"/>
        <v/>
      </c>
      <c r="H615" s="70" t="str">
        <f t="shared" si="35"/>
        <v/>
      </c>
    </row>
    <row r="616" spans="1:8">
      <c r="A616" s="2"/>
      <c r="B616" s="12"/>
      <c r="C616" s="12"/>
      <c r="E616" t="str">
        <f>IF(LEN(D616)=0,"",[1]!i_pq_tradedays($B$3,A617,A616)-1)</f>
        <v/>
      </c>
      <c r="G616" s="16" t="str">
        <f t="shared" si="34"/>
        <v/>
      </c>
      <c r="H616" s="70" t="str">
        <f t="shared" si="35"/>
        <v/>
      </c>
    </row>
    <row r="617" spans="1:8">
      <c r="A617" s="2"/>
      <c r="B617" s="12"/>
      <c r="C617" s="12"/>
      <c r="E617" t="str">
        <f>IF(LEN(D617)=0,"",[1]!i_pq_tradedays($B$3,A618,A617)-1)</f>
        <v/>
      </c>
      <c r="G617" s="16" t="str">
        <f t="shared" si="34"/>
        <v/>
      </c>
      <c r="H617" s="70" t="str">
        <f t="shared" si="35"/>
        <v/>
      </c>
    </row>
    <row r="618" spans="1:8">
      <c r="A618" s="2"/>
      <c r="B618" s="12"/>
      <c r="C618" s="12"/>
      <c r="E618" t="str">
        <f>IF(LEN(D618)=0,"",[1]!i_pq_tradedays($B$3,A619,A618)-1)</f>
        <v/>
      </c>
      <c r="G618" s="16" t="str">
        <f t="shared" si="34"/>
        <v/>
      </c>
      <c r="H618" s="70" t="str">
        <f t="shared" si="35"/>
        <v/>
      </c>
    </row>
    <row r="619" spans="1:8">
      <c r="A619" s="2"/>
      <c r="B619" s="12"/>
      <c r="C619" s="12"/>
      <c r="E619" t="str">
        <f>IF(LEN(D619)=0,"",[1]!i_pq_tradedays($B$3,A620,A619)-1)</f>
        <v/>
      </c>
      <c r="G619" s="16" t="str">
        <f t="shared" si="34"/>
        <v/>
      </c>
      <c r="H619" s="70" t="str">
        <f t="shared" si="35"/>
        <v/>
      </c>
    </row>
    <row r="620" spans="1:8">
      <c r="A620" s="2"/>
      <c r="B620" s="12"/>
      <c r="C620" s="12"/>
      <c r="E620" t="str">
        <f>IF(LEN(D620)=0,"",[1]!i_pq_tradedays($B$3,A621,A620)-1)</f>
        <v/>
      </c>
      <c r="G620" s="16" t="str">
        <f t="shared" si="34"/>
        <v/>
      </c>
      <c r="H620" s="70" t="str">
        <f t="shared" si="35"/>
        <v/>
      </c>
    </row>
    <row r="621" spans="1:8">
      <c r="A621" s="2"/>
      <c r="B621" s="12"/>
      <c r="C621" s="12"/>
      <c r="E621" t="str">
        <f>IF(LEN(D621)=0,"",[1]!i_pq_tradedays($B$3,A622,A621)-1)</f>
        <v/>
      </c>
      <c r="G621" s="16" t="str">
        <f t="shared" si="34"/>
        <v/>
      </c>
      <c r="H621" s="70" t="str">
        <f t="shared" si="35"/>
        <v/>
      </c>
    </row>
    <row r="622" spans="1:8">
      <c r="A622" s="2"/>
      <c r="B622" s="12"/>
      <c r="C622" s="12"/>
      <c r="E622" t="str">
        <f>IF(LEN(D622)=0,"",[1]!i_pq_tradedays($B$3,A623,A622)-1)</f>
        <v/>
      </c>
      <c r="G622" s="16" t="str">
        <f t="shared" si="34"/>
        <v/>
      </c>
      <c r="H622" s="70" t="str">
        <f t="shared" si="35"/>
        <v/>
      </c>
    </row>
    <row r="623" spans="1:8">
      <c r="A623" s="2"/>
      <c r="B623" s="12"/>
      <c r="C623" s="12"/>
      <c r="E623" t="str">
        <f>IF(LEN(D623)=0,"",[1]!i_pq_tradedays($B$3,A624,A623)-1)</f>
        <v/>
      </c>
      <c r="G623" s="16" t="str">
        <f t="shared" si="34"/>
        <v/>
      </c>
      <c r="H623" s="70" t="str">
        <f t="shared" si="35"/>
        <v/>
      </c>
    </row>
    <row r="624" spans="1:8">
      <c r="A624" s="2"/>
      <c r="B624" s="12"/>
      <c r="C624" s="12"/>
      <c r="E624" t="str">
        <f>IF(LEN(D624)=0,"",[1]!i_pq_tradedays($B$3,A625,A624)-1)</f>
        <v/>
      </c>
      <c r="G624" s="16" t="str">
        <f t="shared" si="34"/>
        <v/>
      </c>
      <c r="H624" s="70" t="str">
        <f t="shared" si="35"/>
        <v/>
      </c>
    </row>
    <row r="625" spans="1:8">
      <c r="A625" s="2"/>
      <c r="B625" s="12"/>
      <c r="C625" s="12"/>
      <c r="E625" t="str">
        <f>IF(LEN(D625)=0,"",[1]!i_pq_tradedays($B$3,A626,A625)-1)</f>
        <v/>
      </c>
      <c r="G625" s="16" t="str">
        <f t="shared" si="34"/>
        <v/>
      </c>
      <c r="H625" s="70" t="str">
        <f t="shared" si="35"/>
        <v/>
      </c>
    </row>
    <row r="626" spans="1:8">
      <c r="A626" s="2"/>
      <c r="B626" s="12"/>
      <c r="C626" s="12"/>
      <c r="E626" t="str">
        <f>IF(LEN(D626)=0,"",[1]!i_pq_tradedays($B$3,A627,A626)-1)</f>
        <v/>
      </c>
      <c r="G626" s="16" t="str">
        <f t="shared" si="34"/>
        <v/>
      </c>
      <c r="H626" s="70" t="str">
        <f t="shared" si="35"/>
        <v/>
      </c>
    </row>
    <row r="627" spans="1:8">
      <c r="A627" s="2"/>
      <c r="B627" s="12"/>
      <c r="C627" s="12"/>
      <c r="E627" t="str">
        <f>IF(LEN(D627)=0,"",[1]!i_pq_tradedays($B$3,A628,A627)-1)</f>
        <v/>
      </c>
      <c r="G627" s="16" t="str">
        <f t="shared" si="34"/>
        <v/>
      </c>
      <c r="H627" s="70" t="str">
        <f t="shared" si="35"/>
        <v/>
      </c>
    </row>
    <row r="628" spans="1:8">
      <c r="A628" s="2"/>
      <c r="B628" s="12"/>
      <c r="C628" s="12"/>
      <c r="E628" t="str">
        <f>IF(LEN(D628)=0,"",[1]!i_pq_tradedays($B$3,A629,A628)-1)</f>
        <v/>
      </c>
      <c r="G628" s="16" t="str">
        <f t="shared" si="34"/>
        <v/>
      </c>
      <c r="H628" s="70" t="str">
        <f t="shared" si="35"/>
        <v/>
      </c>
    </row>
    <row r="629" spans="1:8">
      <c r="A629" s="2"/>
      <c r="B629" s="12"/>
      <c r="C629" s="12"/>
      <c r="E629" t="str">
        <f>IF(LEN(D629)=0,"",[1]!i_pq_tradedays($B$3,A630,A629)-1)</f>
        <v/>
      </c>
      <c r="G629" s="16" t="str">
        <f t="shared" ref="G629:G692" si="36">IF(LEN(D629)=0,"",D629/E629)</f>
        <v/>
      </c>
      <c r="H629" s="70" t="str">
        <f t="shared" ref="H629:H692" si="37">IF(LEN(D629)=0,"",G629/G630-1)</f>
        <v/>
      </c>
    </row>
    <row r="630" spans="1:8">
      <c r="A630" s="2"/>
      <c r="B630" s="12"/>
      <c r="C630" s="12"/>
      <c r="E630" t="str">
        <f>IF(LEN(D630)=0,"",[1]!i_pq_tradedays($B$3,A631,A630)-1)</f>
        <v/>
      </c>
      <c r="G630" s="16" t="str">
        <f t="shared" si="36"/>
        <v/>
      </c>
      <c r="H630" s="70" t="str">
        <f t="shared" si="37"/>
        <v/>
      </c>
    </row>
    <row r="631" spans="1:8">
      <c r="A631" s="2"/>
      <c r="B631" s="12"/>
      <c r="C631" s="12"/>
      <c r="E631" t="str">
        <f>IF(LEN(D631)=0,"",[1]!i_pq_tradedays($B$3,A632,A631)-1)</f>
        <v/>
      </c>
      <c r="G631" s="16" t="str">
        <f t="shared" si="36"/>
        <v/>
      </c>
      <c r="H631" s="70" t="str">
        <f t="shared" si="37"/>
        <v/>
      </c>
    </row>
    <row r="632" spans="1:8">
      <c r="A632" s="2"/>
      <c r="B632" s="12"/>
      <c r="C632" s="12"/>
      <c r="E632" t="str">
        <f>IF(LEN(D632)=0,"",[1]!i_pq_tradedays($B$3,A633,A632)-1)</f>
        <v/>
      </c>
      <c r="G632" s="16" t="str">
        <f t="shared" si="36"/>
        <v/>
      </c>
      <c r="H632" s="70" t="str">
        <f t="shared" si="37"/>
        <v/>
      </c>
    </row>
    <row r="633" spans="1:8">
      <c r="A633" s="2"/>
      <c r="B633" s="12"/>
      <c r="C633" s="12"/>
      <c r="E633" t="str">
        <f>IF(LEN(D633)=0,"",[1]!i_pq_tradedays($B$3,A634,A633)-1)</f>
        <v/>
      </c>
      <c r="G633" s="16" t="str">
        <f t="shared" si="36"/>
        <v/>
      </c>
      <c r="H633" s="70" t="str">
        <f t="shared" si="37"/>
        <v/>
      </c>
    </row>
    <row r="634" spans="1:8">
      <c r="A634" s="2"/>
      <c r="B634" s="12"/>
      <c r="C634" s="12"/>
      <c r="E634" t="str">
        <f>IF(LEN(D634)=0,"",[1]!i_pq_tradedays($B$3,A635,A634)-1)</f>
        <v/>
      </c>
      <c r="G634" s="16" t="str">
        <f t="shared" si="36"/>
        <v/>
      </c>
      <c r="H634" s="70" t="str">
        <f t="shared" si="37"/>
        <v/>
      </c>
    </row>
    <row r="635" spans="1:8">
      <c r="A635" s="2"/>
      <c r="B635" s="12"/>
      <c r="C635" s="12"/>
      <c r="E635" t="str">
        <f>IF(LEN(D635)=0,"",[1]!i_pq_tradedays($B$3,A636,A635)-1)</f>
        <v/>
      </c>
      <c r="G635" s="16" t="str">
        <f t="shared" si="36"/>
        <v/>
      </c>
      <c r="H635" s="70" t="str">
        <f t="shared" si="37"/>
        <v/>
      </c>
    </row>
    <row r="636" spans="1:8">
      <c r="A636" s="2"/>
      <c r="B636" s="12"/>
      <c r="C636" s="12"/>
      <c r="E636" t="str">
        <f>IF(LEN(D636)=0,"",[1]!i_pq_tradedays($B$3,A637,A636)-1)</f>
        <v/>
      </c>
      <c r="G636" s="16" t="str">
        <f t="shared" si="36"/>
        <v/>
      </c>
      <c r="H636" s="70" t="str">
        <f t="shared" si="37"/>
        <v/>
      </c>
    </row>
    <row r="637" spans="1:8">
      <c r="A637" s="2"/>
      <c r="B637" s="12"/>
      <c r="C637" s="12"/>
      <c r="E637" t="str">
        <f>IF(LEN(D637)=0,"",[1]!i_pq_tradedays($B$3,A638,A637)-1)</f>
        <v/>
      </c>
      <c r="G637" s="16" t="str">
        <f t="shared" si="36"/>
        <v/>
      </c>
      <c r="H637" s="70" t="str">
        <f t="shared" si="37"/>
        <v/>
      </c>
    </row>
    <row r="638" spans="1:8">
      <c r="A638" s="2"/>
      <c r="B638" s="12"/>
      <c r="C638" s="12"/>
      <c r="E638" t="str">
        <f>IF(LEN(D638)=0,"",[1]!i_pq_tradedays($B$3,A639,A638)-1)</f>
        <v/>
      </c>
      <c r="G638" s="16" t="str">
        <f t="shared" si="36"/>
        <v/>
      </c>
      <c r="H638" s="70" t="str">
        <f t="shared" si="37"/>
        <v/>
      </c>
    </row>
    <row r="639" spans="1:8">
      <c r="A639" s="2"/>
      <c r="B639" s="12"/>
      <c r="C639" s="12"/>
      <c r="E639" t="str">
        <f>IF(LEN(D639)=0,"",[1]!i_pq_tradedays($B$3,A640,A639)-1)</f>
        <v/>
      </c>
      <c r="G639" s="16" t="str">
        <f t="shared" si="36"/>
        <v/>
      </c>
      <c r="H639" s="70" t="str">
        <f t="shared" si="37"/>
        <v/>
      </c>
    </row>
    <row r="640" spans="1:8">
      <c r="A640" s="2"/>
      <c r="B640" s="12"/>
      <c r="C640" s="12"/>
      <c r="E640" t="str">
        <f>IF(LEN(D640)=0,"",[1]!i_pq_tradedays($B$3,A641,A640)-1)</f>
        <v/>
      </c>
      <c r="G640" s="16" t="str">
        <f t="shared" si="36"/>
        <v/>
      </c>
      <c r="H640" s="70" t="str">
        <f t="shared" si="37"/>
        <v/>
      </c>
    </row>
    <row r="641" spans="1:8">
      <c r="A641" s="2"/>
      <c r="B641" s="12"/>
      <c r="C641" s="12"/>
      <c r="E641" t="str">
        <f>IF(LEN(D641)=0,"",[1]!i_pq_tradedays($B$3,A642,A641)-1)</f>
        <v/>
      </c>
      <c r="G641" s="16" t="str">
        <f t="shared" si="36"/>
        <v/>
      </c>
      <c r="H641" s="70" t="str">
        <f t="shared" si="37"/>
        <v/>
      </c>
    </row>
    <row r="642" spans="1:8">
      <c r="A642" s="2"/>
      <c r="B642" s="12"/>
      <c r="C642" s="12"/>
      <c r="E642" t="str">
        <f>IF(LEN(D642)=0,"",[1]!i_pq_tradedays($B$3,A643,A642)-1)</f>
        <v/>
      </c>
      <c r="G642" s="16" t="str">
        <f t="shared" si="36"/>
        <v/>
      </c>
      <c r="H642" s="70" t="str">
        <f t="shared" si="37"/>
        <v/>
      </c>
    </row>
    <row r="643" spans="1:8">
      <c r="A643" s="2"/>
      <c r="B643" s="12"/>
      <c r="C643" s="12"/>
      <c r="E643" t="str">
        <f>IF(LEN(D643)=0,"",[1]!i_pq_tradedays($B$3,A644,A643)-1)</f>
        <v/>
      </c>
      <c r="G643" s="16" t="str">
        <f t="shared" si="36"/>
        <v/>
      </c>
      <c r="H643" s="70" t="str">
        <f t="shared" si="37"/>
        <v/>
      </c>
    </row>
    <row r="644" spans="1:8">
      <c r="A644" s="2"/>
      <c r="B644" s="12"/>
      <c r="C644" s="12"/>
      <c r="E644" t="str">
        <f>IF(LEN(D644)=0,"",[1]!i_pq_tradedays($B$3,A645,A644)-1)</f>
        <v/>
      </c>
      <c r="G644" s="16" t="str">
        <f t="shared" si="36"/>
        <v/>
      </c>
      <c r="H644" s="70" t="str">
        <f t="shared" si="37"/>
        <v/>
      </c>
    </row>
    <row r="645" spans="1:8">
      <c r="A645" s="2"/>
      <c r="B645" s="12"/>
      <c r="C645" s="12"/>
      <c r="E645" t="str">
        <f>IF(LEN(D645)=0,"",[1]!i_pq_tradedays($B$3,A646,A645)-1)</f>
        <v/>
      </c>
      <c r="G645" s="16" t="str">
        <f t="shared" si="36"/>
        <v/>
      </c>
      <c r="H645" s="70" t="str">
        <f t="shared" si="37"/>
        <v/>
      </c>
    </row>
    <row r="646" spans="1:8">
      <c r="A646" s="2"/>
      <c r="B646" s="12"/>
      <c r="C646" s="12"/>
      <c r="E646" t="str">
        <f>IF(LEN(D646)=0,"",[1]!i_pq_tradedays($B$3,A647,A646)-1)</f>
        <v/>
      </c>
      <c r="G646" s="16" t="str">
        <f t="shared" si="36"/>
        <v/>
      </c>
      <c r="H646" s="70" t="str">
        <f t="shared" si="37"/>
        <v/>
      </c>
    </row>
    <row r="647" spans="1:8">
      <c r="A647" s="2"/>
      <c r="B647" s="12"/>
      <c r="C647" s="12"/>
      <c r="E647" t="str">
        <f>IF(LEN(D647)=0,"",[1]!i_pq_tradedays($B$3,A648,A647)-1)</f>
        <v/>
      </c>
      <c r="G647" s="16" t="str">
        <f t="shared" si="36"/>
        <v/>
      </c>
      <c r="H647" s="70" t="str">
        <f t="shared" si="37"/>
        <v/>
      </c>
    </row>
    <row r="648" spans="1:8">
      <c r="A648" s="2"/>
      <c r="B648" s="12"/>
      <c r="C648" s="12"/>
      <c r="E648" t="str">
        <f>IF(LEN(D648)=0,"",[1]!i_pq_tradedays($B$3,A649,A648)-1)</f>
        <v/>
      </c>
      <c r="G648" s="16" t="str">
        <f t="shared" si="36"/>
        <v/>
      </c>
      <c r="H648" s="70" t="str">
        <f t="shared" si="37"/>
        <v/>
      </c>
    </row>
    <row r="649" spans="1:8">
      <c r="A649" s="2"/>
      <c r="B649" s="12"/>
      <c r="C649" s="12"/>
      <c r="E649" t="str">
        <f>IF(LEN(D649)=0,"",[1]!i_pq_tradedays($B$3,A650,A649)-1)</f>
        <v/>
      </c>
      <c r="G649" s="16" t="str">
        <f t="shared" si="36"/>
        <v/>
      </c>
      <c r="H649" s="70" t="str">
        <f t="shared" si="37"/>
        <v/>
      </c>
    </row>
    <row r="650" spans="1:8">
      <c r="A650" s="2"/>
      <c r="B650" s="12"/>
      <c r="C650" s="12"/>
      <c r="E650" t="str">
        <f>IF(LEN(D650)=0,"",[1]!i_pq_tradedays($B$3,A651,A650)-1)</f>
        <v/>
      </c>
      <c r="G650" s="16" t="str">
        <f t="shared" si="36"/>
        <v/>
      </c>
      <c r="H650" s="70" t="str">
        <f t="shared" si="37"/>
        <v/>
      </c>
    </row>
    <row r="651" spans="1:8">
      <c r="A651" s="2"/>
      <c r="B651" s="12"/>
      <c r="C651" s="12"/>
      <c r="E651" t="str">
        <f>IF(LEN(D651)=0,"",[1]!i_pq_tradedays($B$3,A652,A651)-1)</f>
        <v/>
      </c>
      <c r="G651" s="16" t="str">
        <f t="shared" si="36"/>
        <v/>
      </c>
      <c r="H651" s="70" t="str">
        <f t="shared" si="37"/>
        <v/>
      </c>
    </row>
    <row r="652" spans="1:8">
      <c r="A652" s="2"/>
      <c r="B652" s="12"/>
      <c r="C652" s="12"/>
      <c r="E652" t="str">
        <f>IF(LEN(D652)=0,"",[1]!i_pq_tradedays($B$3,A653,A652)-1)</f>
        <v/>
      </c>
      <c r="G652" s="16" t="str">
        <f t="shared" si="36"/>
        <v/>
      </c>
      <c r="H652" s="70" t="str">
        <f t="shared" si="37"/>
        <v/>
      </c>
    </row>
    <row r="653" spans="1:8">
      <c r="A653" s="2"/>
      <c r="B653" s="12"/>
      <c r="C653" s="12"/>
      <c r="E653" t="str">
        <f>IF(LEN(D653)=0,"",[1]!i_pq_tradedays($B$3,A654,A653)-1)</f>
        <v/>
      </c>
      <c r="G653" s="16" t="str">
        <f t="shared" si="36"/>
        <v/>
      </c>
      <c r="H653" s="70" t="str">
        <f t="shared" si="37"/>
        <v/>
      </c>
    </row>
    <row r="654" spans="1:8">
      <c r="A654" s="2"/>
      <c r="B654" s="12"/>
      <c r="C654" s="12"/>
      <c r="E654" t="str">
        <f>IF(LEN(D654)=0,"",[1]!i_pq_tradedays($B$3,A655,A654)-1)</f>
        <v/>
      </c>
      <c r="G654" s="16" t="str">
        <f t="shared" si="36"/>
        <v/>
      </c>
      <c r="H654" s="70" t="str">
        <f t="shared" si="37"/>
        <v/>
      </c>
    </row>
    <row r="655" spans="1:8">
      <c r="A655" s="2"/>
      <c r="B655" s="12"/>
      <c r="C655" s="12"/>
      <c r="E655" t="str">
        <f>IF(LEN(D655)=0,"",[1]!i_pq_tradedays($B$3,A656,A655)-1)</f>
        <v/>
      </c>
      <c r="G655" s="16" t="str">
        <f t="shared" si="36"/>
        <v/>
      </c>
      <c r="H655" s="70" t="str">
        <f t="shared" si="37"/>
        <v/>
      </c>
    </row>
    <row r="656" spans="1:8">
      <c r="A656" s="2"/>
      <c r="B656" s="12"/>
      <c r="C656" s="12"/>
      <c r="E656" t="str">
        <f>IF(LEN(D656)=0,"",[1]!i_pq_tradedays($B$3,A657,A656)-1)</f>
        <v/>
      </c>
      <c r="G656" s="16" t="str">
        <f t="shared" si="36"/>
        <v/>
      </c>
      <c r="H656" s="70" t="str">
        <f t="shared" si="37"/>
        <v/>
      </c>
    </row>
    <row r="657" spans="1:8">
      <c r="A657" s="2"/>
      <c r="B657" s="12"/>
      <c r="C657" s="12"/>
      <c r="E657" t="str">
        <f>IF(LEN(D657)=0,"",[1]!i_pq_tradedays($B$3,A658,A657)-1)</f>
        <v/>
      </c>
      <c r="G657" s="16" t="str">
        <f t="shared" si="36"/>
        <v/>
      </c>
      <c r="H657" s="70" t="str">
        <f t="shared" si="37"/>
        <v/>
      </c>
    </row>
    <row r="658" spans="1:8">
      <c r="A658" s="2"/>
      <c r="B658" s="12"/>
      <c r="C658" s="12"/>
      <c r="E658" t="str">
        <f>IF(LEN(D658)=0,"",[1]!i_pq_tradedays($B$3,A659,A658)-1)</f>
        <v/>
      </c>
      <c r="G658" s="16" t="str">
        <f t="shared" si="36"/>
        <v/>
      </c>
      <c r="H658" s="70" t="str">
        <f t="shared" si="37"/>
        <v/>
      </c>
    </row>
    <row r="659" spans="1:8">
      <c r="A659" s="2"/>
      <c r="B659" s="12"/>
      <c r="C659" s="12"/>
      <c r="E659" t="str">
        <f>IF(LEN(D659)=0,"",[1]!i_pq_tradedays($B$3,A660,A659)-1)</f>
        <v/>
      </c>
      <c r="G659" s="16" t="str">
        <f t="shared" si="36"/>
        <v/>
      </c>
      <c r="H659" s="70" t="str">
        <f t="shared" si="37"/>
        <v/>
      </c>
    </row>
    <row r="660" spans="1:8">
      <c r="A660" s="2"/>
      <c r="B660" s="12"/>
      <c r="C660" s="12"/>
      <c r="E660" t="str">
        <f>IF(LEN(D660)=0,"",[1]!i_pq_tradedays($B$3,A661,A660)-1)</f>
        <v/>
      </c>
      <c r="G660" s="16" t="str">
        <f t="shared" si="36"/>
        <v/>
      </c>
      <c r="H660" s="70" t="str">
        <f t="shared" si="37"/>
        <v/>
      </c>
    </row>
    <row r="661" spans="1:8">
      <c r="A661" s="2"/>
      <c r="B661" s="12"/>
      <c r="C661" s="12"/>
      <c r="E661" t="str">
        <f>IF(LEN(D661)=0,"",[1]!i_pq_tradedays($B$3,A662,A661)-1)</f>
        <v/>
      </c>
      <c r="G661" s="16" t="str">
        <f t="shared" si="36"/>
        <v/>
      </c>
      <c r="H661" s="70" t="str">
        <f t="shared" si="37"/>
        <v/>
      </c>
    </row>
    <row r="662" spans="1:8">
      <c r="A662" s="2"/>
      <c r="B662" s="12"/>
      <c r="C662" s="12"/>
      <c r="E662" t="str">
        <f>IF(LEN(D662)=0,"",[1]!i_pq_tradedays($B$3,A663,A662)-1)</f>
        <v/>
      </c>
      <c r="G662" s="16" t="str">
        <f t="shared" si="36"/>
        <v/>
      </c>
      <c r="H662" s="70" t="str">
        <f t="shared" si="37"/>
        <v/>
      </c>
    </row>
    <row r="663" spans="1:8">
      <c r="A663" s="2"/>
      <c r="B663" s="12"/>
      <c r="C663" s="12"/>
      <c r="E663" t="str">
        <f>IF(LEN(D663)=0,"",[1]!i_pq_tradedays($B$3,A664,A663)-1)</f>
        <v/>
      </c>
      <c r="G663" s="16" t="str">
        <f t="shared" si="36"/>
        <v/>
      </c>
      <c r="H663" s="70" t="str">
        <f t="shared" si="37"/>
        <v/>
      </c>
    </row>
    <row r="664" spans="1:8">
      <c r="A664" s="2"/>
      <c r="B664" s="12"/>
      <c r="C664" s="12"/>
      <c r="E664" t="str">
        <f>IF(LEN(D664)=0,"",[1]!i_pq_tradedays($B$3,A665,A664)-1)</f>
        <v/>
      </c>
      <c r="G664" s="16" t="str">
        <f t="shared" si="36"/>
        <v/>
      </c>
      <c r="H664" s="70" t="str">
        <f t="shared" si="37"/>
        <v/>
      </c>
    </row>
    <row r="665" spans="1:8">
      <c r="A665" s="2"/>
      <c r="B665" s="12"/>
      <c r="C665" s="12"/>
      <c r="E665" t="str">
        <f>IF(LEN(D665)=0,"",[1]!i_pq_tradedays($B$3,A666,A665)-1)</f>
        <v/>
      </c>
      <c r="G665" s="16" t="str">
        <f t="shared" si="36"/>
        <v/>
      </c>
      <c r="H665" s="70" t="str">
        <f t="shared" si="37"/>
        <v/>
      </c>
    </row>
    <row r="666" spans="1:8">
      <c r="A666" s="2"/>
      <c r="B666" s="12"/>
      <c r="C666" s="12"/>
      <c r="E666" t="str">
        <f>IF(LEN(D666)=0,"",[1]!i_pq_tradedays($B$3,A667,A666)-1)</f>
        <v/>
      </c>
      <c r="G666" s="16" t="str">
        <f t="shared" si="36"/>
        <v/>
      </c>
      <c r="H666" s="70" t="str">
        <f t="shared" si="37"/>
        <v/>
      </c>
    </row>
    <row r="667" spans="1:8">
      <c r="A667" s="2"/>
      <c r="B667" s="12"/>
      <c r="C667" s="12"/>
      <c r="E667" t="str">
        <f>IF(LEN(D667)=0,"",[1]!i_pq_tradedays($B$3,A668,A667)-1)</f>
        <v/>
      </c>
      <c r="G667" s="16" t="str">
        <f t="shared" si="36"/>
        <v/>
      </c>
      <c r="H667" s="70" t="str">
        <f t="shared" si="37"/>
        <v/>
      </c>
    </row>
    <row r="668" spans="1:8">
      <c r="A668" s="2"/>
      <c r="B668" s="12"/>
      <c r="C668" s="12"/>
      <c r="E668" t="str">
        <f>IF(LEN(D668)=0,"",[1]!i_pq_tradedays($B$3,A669,A668)-1)</f>
        <v/>
      </c>
      <c r="G668" s="16" t="str">
        <f t="shared" si="36"/>
        <v/>
      </c>
      <c r="H668" s="70" t="str">
        <f t="shared" si="37"/>
        <v/>
      </c>
    </row>
    <row r="669" spans="1:8">
      <c r="A669" s="2"/>
      <c r="B669" s="12"/>
      <c r="C669" s="12"/>
      <c r="E669" t="str">
        <f>IF(LEN(D669)=0,"",[1]!i_pq_tradedays($B$3,A670,A669)-1)</f>
        <v/>
      </c>
      <c r="G669" s="16" t="str">
        <f t="shared" si="36"/>
        <v/>
      </c>
      <c r="H669" s="70" t="str">
        <f t="shared" si="37"/>
        <v/>
      </c>
    </row>
    <row r="670" spans="1:8">
      <c r="A670" s="2"/>
      <c r="B670" s="12"/>
      <c r="C670" s="12"/>
      <c r="E670" t="str">
        <f>IF(LEN(D670)=0,"",[1]!i_pq_tradedays($B$3,A671,A670)-1)</f>
        <v/>
      </c>
      <c r="G670" s="16" t="str">
        <f t="shared" si="36"/>
        <v/>
      </c>
      <c r="H670" s="70" t="str">
        <f t="shared" si="37"/>
        <v/>
      </c>
    </row>
    <row r="671" spans="1:8">
      <c r="A671" s="2"/>
      <c r="B671" s="12"/>
      <c r="C671" s="12"/>
      <c r="E671" t="str">
        <f>IF(LEN(D671)=0,"",[1]!i_pq_tradedays($B$3,A672,A671)-1)</f>
        <v/>
      </c>
      <c r="G671" s="16" t="str">
        <f t="shared" si="36"/>
        <v/>
      </c>
      <c r="H671" s="70" t="str">
        <f t="shared" si="37"/>
        <v/>
      </c>
    </row>
    <row r="672" spans="1:8">
      <c r="A672" s="2"/>
      <c r="B672" s="12"/>
      <c r="C672" s="12"/>
      <c r="E672" t="str">
        <f>IF(LEN(D672)=0,"",[1]!i_pq_tradedays($B$3,A673,A672)-1)</f>
        <v/>
      </c>
      <c r="G672" s="16" t="str">
        <f t="shared" si="36"/>
        <v/>
      </c>
      <c r="H672" s="70" t="str">
        <f t="shared" si="37"/>
        <v/>
      </c>
    </row>
    <row r="673" spans="1:8">
      <c r="A673" s="2"/>
      <c r="B673" s="12"/>
      <c r="C673" s="12"/>
      <c r="E673" t="str">
        <f>IF(LEN(D673)=0,"",[1]!i_pq_tradedays($B$3,A674,A673)-1)</f>
        <v/>
      </c>
      <c r="G673" s="16" t="str">
        <f t="shared" si="36"/>
        <v/>
      </c>
      <c r="H673" s="70" t="str">
        <f t="shared" si="37"/>
        <v/>
      </c>
    </row>
    <row r="674" spans="1:8">
      <c r="A674" s="2"/>
      <c r="B674" s="12"/>
      <c r="C674" s="12"/>
      <c r="E674" t="str">
        <f>IF(LEN(D674)=0,"",[1]!i_pq_tradedays($B$3,A675,A674)-1)</f>
        <v/>
      </c>
      <c r="G674" s="16" t="str">
        <f t="shared" si="36"/>
        <v/>
      </c>
      <c r="H674" s="70" t="str">
        <f t="shared" si="37"/>
        <v/>
      </c>
    </row>
    <row r="675" spans="1:8">
      <c r="A675" s="2"/>
      <c r="B675" s="12"/>
      <c r="C675" s="12"/>
      <c r="E675" t="str">
        <f>IF(LEN(D675)=0,"",[1]!i_pq_tradedays($B$3,A676,A675)-1)</f>
        <v/>
      </c>
      <c r="G675" s="16" t="str">
        <f t="shared" si="36"/>
        <v/>
      </c>
      <c r="H675" s="70" t="str">
        <f t="shared" si="37"/>
        <v/>
      </c>
    </row>
    <row r="676" spans="1:8">
      <c r="A676" s="2"/>
      <c r="B676" s="12"/>
      <c r="C676" s="12"/>
      <c r="E676" t="str">
        <f>IF(LEN(D676)=0,"",[1]!i_pq_tradedays($B$3,A677,A676)-1)</f>
        <v/>
      </c>
      <c r="G676" s="16" t="str">
        <f t="shared" si="36"/>
        <v/>
      </c>
      <c r="H676" s="70" t="str">
        <f t="shared" si="37"/>
        <v/>
      </c>
    </row>
    <row r="677" spans="1:8">
      <c r="A677" s="2"/>
      <c r="B677" s="12"/>
      <c r="C677" s="12"/>
      <c r="E677" t="str">
        <f>IF(LEN(D677)=0,"",[1]!i_pq_tradedays($B$3,A678,A677)-1)</f>
        <v/>
      </c>
      <c r="G677" s="16" t="str">
        <f t="shared" si="36"/>
        <v/>
      </c>
      <c r="H677" s="70" t="str">
        <f t="shared" si="37"/>
        <v/>
      </c>
    </row>
    <row r="678" spans="1:8">
      <c r="A678" s="2"/>
      <c r="B678" s="12"/>
      <c r="C678" s="12"/>
      <c r="E678" t="str">
        <f>IF(LEN(D678)=0,"",[1]!i_pq_tradedays($B$3,A679,A678)-1)</f>
        <v/>
      </c>
      <c r="G678" s="16" t="str">
        <f t="shared" si="36"/>
        <v/>
      </c>
      <c r="H678" s="70" t="str">
        <f t="shared" si="37"/>
        <v/>
      </c>
    </row>
    <row r="679" spans="1:8">
      <c r="A679" s="2"/>
      <c r="B679" s="12"/>
      <c r="C679" s="12"/>
      <c r="E679" t="str">
        <f>IF(LEN(D679)=0,"",[1]!i_pq_tradedays($B$3,A680,A679)-1)</f>
        <v/>
      </c>
      <c r="G679" s="16" t="str">
        <f t="shared" si="36"/>
        <v/>
      </c>
      <c r="H679" s="70" t="str">
        <f t="shared" si="37"/>
        <v/>
      </c>
    </row>
    <row r="680" spans="1:8">
      <c r="A680" s="2"/>
      <c r="B680" s="12"/>
      <c r="C680" s="12"/>
      <c r="E680" t="str">
        <f>IF(LEN(D680)=0,"",[1]!i_pq_tradedays($B$3,A681,A680)-1)</f>
        <v/>
      </c>
      <c r="G680" s="16" t="str">
        <f t="shared" si="36"/>
        <v/>
      </c>
      <c r="H680" s="70" t="str">
        <f t="shared" si="37"/>
        <v/>
      </c>
    </row>
    <row r="681" spans="1:8">
      <c r="A681" s="2"/>
      <c r="B681" s="12"/>
      <c r="C681" s="12"/>
      <c r="E681" t="str">
        <f>IF(LEN(D681)=0,"",[1]!i_pq_tradedays($B$3,A682,A681)-1)</f>
        <v/>
      </c>
      <c r="G681" s="16" t="str">
        <f t="shared" si="36"/>
        <v/>
      </c>
      <c r="H681" s="70" t="str">
        <f t="shared" si="37"/>
        <v/>
      </c>
    </row>
    <row r="682" spans="1:8">
      <c r="A682" s="2"/>
      <c r="B682" s="12"/>
      <c r="C682" s="12"/>
      <c r="E682" t="str">
        <f>IF(LEN(D682)=0,"",[1]!i_pq_tradedays($B$3,A683,A682)-1)</f>
        <v/>
      </c>
      <c r="G682" s="16" t="str">
        <f t="shared" si="36"/>
        <v/>
      </c>
      <c r="H682" s="70" t="str">
        <f t="shared" si="37"/>
        <v/>
      </c>
    </row>
    <row r="683" spans="1:8">
      <c r="A683" s="2"/>
      <c r="B683" s="12"/>
      <c r="C683" s="12"/>
      <c r="E683" t="str">
        <f>IF(LEN(D683)=0,"",[1]!i_pq_tradedays($B$3,A684,A683)-1)</f>
        <v/>
      </c>
      <c r="G683" s="16" t="str">
        <f t="shared" si="36"/>
        <v/>
      </c>
      <c r="H683" s="70" t="str">
        <f t="shared" si="37"/>
        <v/>
      </c>
    </row>
    <row r="684" spans="1:8">
      <c r="A684" s="2"/>
      <c r="B684" s="12"/>
      <c r="C684" s="12"/>
      <c r="E684" t="str">
        <f>IF(LEN(D684)=0,"",[1]!i_pq_tradedays($B$3,A685,A684)-1)</f>
        <v/>
      </c>
      <c r="G684" s="16" t="str">
        <f t="shared" si="36"/>
        <v/>
      </c>
      <c r="H684" s="70" t="str">
        <f t="shared" si="37"/>
        <v/>
      </c>
    </row>
    <row r="685" spans="1:8">
      <c r="A685" s="2"/>
      <c r="B685" s="12"/>
      <c r="C685" s="12"/>
      <c r="E685" t="str">
        <f>IF(LEN(D685)=0,"",[1]!i_pq_tradedays($B$3,A686,A685)-1)</f>
        <v/>
      </c>
      <c r="G685" s="16" t="str">
        <f t="shared" si="36"/>
        <v/>
      </c>
      <c r="H685" s="70" t="str">
        <f t="shared" si="37"/>
        <v/>
      </c>
    </row>
    <row r="686" spans="1:8">
      <c r="A686" s="2"/>
      <c r="B686" s="12"/>
      <c r="C686" s="12"/>
      <c r="E686" t="str">
        <f>IF(LEN(D686)=0,"",[1]!i_pq_tradedays($B$3,A687,A686)-1)</f>
        <v/>
      </c>
      <c r="G686" s="16" t="str">
        <f t="shared" si="36"/>
        <v/>
      </c>
      <c r="H686" s="70" t="str">
        <f t="shared" si="37"/>
        <v/>
      </c>
    </row>
    <row r="687" spans="1:8">
      <c r="A687" s="2"/>
      <c r="B687" s="12"/>
      <c r="C687" s="12"/>
      <c r="E687" t="str">
        <f>IF(LEN(D687)=0,"",[1]!i_pq_tradedays($B$3,A688,A687)-1)</f>
        <v/>
      </c>
      <c r="G687" s="16" t="str">
        <f t="shared" si="36"/>
        <v/>
      </c>
      <c r="H687" s="70" t="str">
        <f t="shared" si="37"/>
        <v/>
      </c>
    </row>
    <row r="688" spans="1:8">
      <c r="A688" s="2"/>
      <c r="B688" s="12"/>
      <c r="C688" s="12"/>
      <c r="E688" t="str">
        <f>IF(LEN(D688)=0,"",[1]!i_pq_tradedays($B$3,A689,A688)-1)</f>
        <v/>
      </c>
      <c r="G688" s="16" t="str">
        <f t="shared" si="36"/>
        <v/>
      </c>
      <c r="H688" s="70" t="str">
        <f t="shared" si="37"/>
        <v/>
      </c>
    </row>
    <row r="689" spans="1:8">
      <c r="A689" s="2"/>
      <c r="B689" s="12"/>
      <c r="C689" s="12"/>
      <c r="E689" t="str">
        <f>IF(LEN(D689)=0,"",[1]!i_pq_tradedays($B$3,A690,A689)-1)</f>
        <v/>
      </c>
      <c r="G689" s="16" t="str">
        <f t="shared" si="36"/>
        <v/>
      </c>
      <c r="H689" s="70" t="str">
        <f t="shared" si="37"/>
        <v/>
      </c>
    </row>
    <row r="690" spans="1:8">
      <c r="A690" s="2"/>
      <c r="B690" s="12"/>
      <c r="C690" s="12"/>
      <c r="E690" t="str">
        <f>IF(LEN(D690)=0,"",[1]!i_pq_tradedays($B$3,A691,A690)-1)</f>
        <v/>
      </c>
      <c r="G690" s="16" t="str">
        <f t="shared" si="36"/>
        <v/>
      </c>
      <c r="H690" s="70" t="str">
        <f t="shared" si="37"/>
        <v/>
      </c>
    </row>
    <row r="691" spans="1:8">
      <c r="A691" s="2"/>
      <c r="B691" s="12"/>
      <c r="C691" s="12"/>
      <c r="E691" t="str">
        <f>IF(LEN(D691)=0,"",[1]!i_pq_tradedays($B$3,A692,A691)-1)</f>
        <v/>
      </c>
      <c r="G691" s="16" t="str">
        <f t="shared" si="36"/>
        <v/>
      </c>
      <c r="H691" s="70" t="str">
        <f t="shared" si="37"/>
        <v/>
      </c>
    </row>
    <row r="692" spans="1:8">
      <c r="A692" s="2"/>
      <c r="B692" s="12"/>
      <c r="C692" s="12"/>
      <c r="E692" t="str">
        <f>IF(LEN(D692)=0,"",[1]!i_pq_tradedays($B$3,A693,A692)-1)</f>
        <v/>
      </c>
      <c r="G692" s="16" t="str">
        <f t="shared" si="36"/>
        <v/>
      </c>
      <c r="H692" s="70" t="str">
        <f t="shared" si="37"/>
        <v/>
      </c>
    </row>
    <row r="693" spans="1:8">
      <c r="A693" s="2"/>
      <c r="B693" s="12"/>
      <c r="C693" s="12"/>
      <c r="E693" t="str">
        <f>IF(LEN(D693)=0,"",[1]!i_pq_tradedays($B$3,A694,A693)-1)</f>
        <v/>
      </c>
      <c r="G693" s="16" t="str">
        <f t="shared" ref="G693:G756" si="38">IF(LEN(D693)=0,"",D693/E693)</f>
        <v/>
      </c>
      <c r="H693" s="70" t="str">
        <f t="shared" ref="H693:H756" si="39">IF(LEN(D693)=0,"",G693/G694-1)</f>
        <v/>
      </c>
    </row>
    <row r="694" spans="1:8">
      <c r="A694" s="2"/>
      <c r="B694" s="12"/>
      <c r="C694" s="12"/>
      <c r="E694" t="str">
        <f>IF(LEN(D694)=0,"",[1]!i_pq_tradedays($B$3,A695,A694)-1)</f>
        <v/>
      </c>
      <c r="G694" s="16" t="str">
        <f t="shared" si="38"/>
        <v/>
      </c>
      <c r="H694" s="70" t="str">
        <f t="shared" si="39"/>
        <v/>
      </c>
    </row>
    <row r="695" spans="1:8">
      <c r="A695" s="2"/>
      <c r="B695" s="12"/>
      <c r="C695" s="12"/>
      <c r="E695" t="str">
        <f>IF(LEN(D695)=0,"",[1]!i_pq_tradedays($B$3,A696,A695)-1)</f>
        <v/>
      </c>
      <c r="G695" s="16" t="str">
        <f t="shared" si="38"/>
        <v/>
      </c>
      <c r="H695" s="70" t="str">
        <f t="shared" si="39"/>
        <v/>
      </c>
    </row>
    <row r="696" spans="1:8">
      <c r="A696" s="2"/>
      <c r="B696" s="12"/>
      <c r="C696" s="12"/>
      <c r="E696" t="str">
        <f>IF(LEN(D696)=0,"",[1]!i_pq_tradedays($B$3,A697,A696)-1)</f>
        <v/>
      </c>
      <c r="G696" s="16" t="str">
        <f t="shared" si="38"/>
        <v/>
      </c>
      <c r="H696" s="70" t="str">
        <f t="shared" si="39"/>
        <v/>
      </c>
    </row>
    <row r="697" spans="1:8">
      <c r="A697" s="2"/>
      <c r="B697" s="12"/>
      <c r="C697" s="12"/>
      <c r="E697" t="str">
        <f>IF(LEN(D697)=0,"",[1]!i_pq_tradedays($B$3,A698,A697)-1)</f>
        <v/>
      </c>
      <c r="G697" s="16" t="str">
        <f t="shared" si="38"/>
        <v/>
      </c>
      <c r="H697" s="70" t="str">
        <f t="shared" si="39"/>
        <v/>
      </c>
    </row>
    <row r="698" spans="1:8">
      <c r="A698" s="2"/>
      <c r="B698" s="12"/>
      <c r="C698" s="12"/>
      <c r="E698" t="str">
        <f>IF(LEN(D698)=0,"",[1]!i_pq_tradedays($B$3,A699,A698)-1)</f>
        <v/>
      </c>
      <c r="G698" s="16" t="str">
        <f t="shared" si="38"/>
        <v/>
      </c>
      <c r="H698" s="70" t="str">
        <f t="shared" si="39"/>
        <v/>
      </c>
    </row>
    <row r="699" spans="1:8">
      <c r="A699" s="2"/>
      <c r="B699" s="12"/>
      <c r="C699" s="12"/>
      <c r="E699" t="str">
        <f>IF(LEN(D699)=0,"",[1]!i_pq_tradedays($B$3,A700,A699)-1)</f>
        <v/>
      </c>
      <c r="G699" s="16" t="str">
        <f t="shared" si="38"/>
        <v/>
      </c>
      <c r="H699" s="70" t="str">
        <f t="shared" si="39"/>
        <v/>
      </c>
    </row>
    <row r="700" spans="1:8">
      <c r="A700" s="2"/>
      <c r="B700" s="12"/>
      <c r="C700" s="12"/>
      <c r="E700" t="str">
        <f>IF(LEN(D700)=0,"",[1]!i_pq_tradedays($B$3,A701,A700)-1)</f>
        <v/>
      </c>
      <c r="G700" s="16" t="str">
        <f t="shared" si="38"/>
        <v/>
      </c>
      <c r="H700" s="70" t="str">
        <f t="shared" si="39"/>
        <v/>
      </c>
    </row>
    <row r="701" spans="1:8">
      <c r="A701" s="2"/>
      <c r="B701" s="12"/>
      <c r="C701" s="12"/>
      <c r="E701" t="str">
        <f>IF(LEN(D701)=0,"",[1]!i_pq_tradedays($B$3,A702,A701)-1)</f>
        <v/>
      </c>
      <c r="G701" s="16" t="str">
        <f t="shared" si="38"/>
        <v/>
      </c>
      <c r="H701" s="70" t="str">
        <f t="shared" si="39"/>
        <v/>
      </c>
    </row>
    <row r="702" spans="1:8">
      <c r="A702" s="2"/>
      <c r="B702" s="12"/>
      <c r="C702" s="12"/>
      <c r="E702" t="str">
        <f>IF(LEN(D702)=0,"",[1]!i_pq_tradedays($B$3,A703,A702)-1)</f>
        <v/>
      </c>
      <c r="G702" s="16" t="str">
        <f t="shared" si="38"/>
        <v/>
      </c>
      <c r="H702" s="70" t="str">
        <f t="shared" si="39"/>
        <v/>
      </c>
    </row>
    <row r="703" spans="1:8">
      <c r="A703" s="2"/>
      <c r="B703" s="12"/>
      <c r="C703" s="12"/>
      <c r="E703" t="str">
        <f>IF(LEN(D703)=0,"",[1]!i_pq_tradedays($B$3,A704,A703)-1)</f>
        <v/>
      </c>
      <c r="G703" s="16" t="str">
        <f t="shared" si="38"/>
        <v/>
      </c>
      <c r="H703" s="70" t="str">
        <f t="shared" si="39"/>
        <v/>
      </c>
    </row>
    <row r="704" spans="1:8">
      <c r="A704" s="2"/>
      <c r="B704" s="12"/>
      <c r="C704" s="12"/>
      <c r="E704" t="str">
        <f>IF(LEN(D704)=0,"",[1]!i_pq_tradedays($B$3,A705,A704)-1)</f>
        <v/>
      </c>
      <c r="G704" s="16" t="str">
        <f t="shared" si="38"/>
        <v/>
      </c>
      <c r="H704" s="70" t="str">
        <f t="shared" si="39"/>
        <v/>
      </c>
    </row>
    <row r="705" spans="1:8">
      <c r="A705" s="2"/>
      <c r="B705" s="12"/>
      <c r="C705" s="12"/>
      <c r="E705" t="str">
        <f>IF(LEN(D705)=0,"",[1]!i_pq_tradedays($B$3,A706,A705)-1)</f>
        <v/>
      </c>
      <c r="G705" s="16" t="str">
        <f t="shared" si="38"/>
        <v/>
      </c>
      <c r="H705" s="70" t="str">
        <f t="shared" si="39"/>
        <v/>
      </c>
    </row>
    <row r="706" spans="1:8">
      <c r="A706" s="2"/>
      <c r="B706" s="12"/>
      <c r="C706" s="12"/>
      <c r="E706" t="str">
        <f>IF(LEN(D706)=0,"",[1]!i_pq_tradedays($B$3,A707,A706)-1)</f>
        <v/>
      </c>
      <c r="G706" s="16" t="str">
        <f t="shared" si="38"/>
        <v/>
      </c>
      <c r="H706" s="70" t="str">
        <f t="shared" si="39"/>
        <v/>
      </c>
    </row>
    <row r="707" spans="1:8">
      <c r="A707" s="2"/>
      <c r="B707" s="12"/>
      <c r="C707" s="12"/>
      <c r="E707" t="str">
        <f>IF(LEN(D707)=0,"",[1]!i_pq_tradedays($B$3,A708,A707)-1)</f>
        <v/>
      </c>
      <c r="G707" s="16" t="str">
        <f t="shared" si="38"/>
        <v/>
      </c>
      <c r="H707" s="70" t="str">
        <f t="shared" si="39"/>
        <v/>
      </c>
    </row>
    <row r="708" spans="1:8">
      <c r="A708" s="2"/>
      <c r="B708" s="12"/>
      <c r="C708" s="12"/>
      <c r="E708" t="str">
        <f>IF(LEN(D708)=0,"",[1]!i_pq_tradedays($B$3,A709,A708)-1)</f>
        <v/>
      </c>
      <c r="G708" s="16" t="str">
        <f t="shared" si="38"/>
        <v/>
      </c>
      <c r="H708" s="70" t="str">
        <f t="shared" si="39"/>
        <v/>
      </c>
    </row>
    <row r="709" spans="1:8">
      <c r="A709" s="2"/>
      <c r="B709" s="12"/>
      <c r="C709" s="12"/>
      <c r="E709" t="str">
        <f>IF(LEN(D709)=0,"",[1]!i_pq_tradedays($B$3,A710,A709)-1)</f>
        <v/>
      </c>
      <c r="G709" s="16" t="str">
        <f t="shared" si="38"/>
        <v/>
      </c>
      <c r="H709" s="70" t="str">
        <f t="shared" si="39"/>
        <v/>
      </c>
    </row>
    <row r="710" spans="1:8">
      <c r="A710" s="2"/>
      <c r="B710" s="12"/>
      <c r="C710" s="12"/>
      <c r="E710" t="str">
        <f>IF(LEN(D710)=0,"",[1]!i_pq_tradedays($B$3,A711,A710)-1)</f>
        <v/>
      </c>
      <c r="G710" s="16" t="str">
        <f t="shared" si="38"/>
        <v/>
      </c>
      <c r="H710" s="70" t="str">
        <f t="shared" si="39"/>
        <v/>
      </c>
    </row>
    <row r="711" spans="1:8">
      <c r="A711" s="2"/>
      <c r="B711" s="12"/>
      <c r="C711" s="12"/>
      <c r="E711" t="str">
        <f>IF(LEN(D711)=0,"",[1]!i_pq_tradedays($B$3,A712,A711)-1)</f>
        <v/>
      </c>
      <c r="G711" s="16" t="str">
        <f t="shared" si="38"/>
        <v/>
      </c>
      <c r="H711" s="70" t="str">
        <f t="shared" si="39"/>
        <v/>
      </c>
    </row>
    <row r="712" spans="1:8">
      <c r="A712" s="2"/>
      <c r="B712" s="12"/>
      <c r="C712" s="12"/>
      <c r="E712" t="str">
        <f>IF(LEN(D712)=0,"",[1]!i_pq_tradedays($B$3,A713,A712)-1)</f>
        <v/>
      </c>
      <c r="G712" s="16" t="str">
        <f t="shared" si="38"/>
        <v/>
      </c>
      <c r="H712" s="70" t="str">
        <f t="shared" si="39"/>
        <v/>
      </c>
    </row>
    <row r="713" spans="1:8">
      <c r="A713" s="2"/>
      <c r="B713" s="12"/>
      <c r="C713" s="12"/>
      <c r="E713" t="str">
        <f>IF(LEN(D713)=0,"",[1]!i_pq_tradedays($B$3,A714,A713)-1)</f>
        <v/>
      </c>
      <c r="G713" s="16" t="str">
        <f t="shared" si="38"/>
        <v/>
      </c>
      <c r="H713" s="70" t="str">
        <f t="shared" si="39"/>
        <v/>
      </c>
    </row>
    <row r="714" spans="1:8">
      <c r="A714" s="2"/>
      <c r="B714" s="12"/>
      <c r="C714" s="12"/>
      <c r="E714" t="str">
        <f>IF(LEN(D714)=0,"",[1]!i_pq_tradedays($B$3,A715,A714)-1)</f>
        <v/>
      </c>
      <c r="G714" s="16" t="str">
        <f t="shared" si="38"/>
        <v/>
      </c>
      <c r="H714" s="70" t="str">
        <f t="shared" si="39"/>
        <v/>
      </c>
    </row>
    <row r="715" spans="1:8">
      <c r="A715" s="2"/>
      <c r="B715" s="12"/>
      <c r="C715" s="12"/>
      <c r="E715" t="str">
        <f>IF(LEN(D715)=0,"",[1]!i_pq_tradedays($B$3,A716,A715)-1)</f>
        <v/>
      </c>
      <c r="G715" s="16" t="str">
        <f t="shared" si="38"/>
        <v/>
      </c>
      <c r="H715" s="70" t="str">
        <f t="shared" si="39"/>
        <v/>
      </c>
    </row>
    <row r="716" spans="1:8">
      <c r="A716" s="2"/>
      <c r="B716" s="12"/>
      <c r="C716" s="12"/>
      <c r="E716" t="str">
        <f>IF(LEN(D716)=0,"",[1]!i_pq_tradedays($B$3,A717,A716)-1)</f>
        <v/>
      </c>
      <c r="G716" s="16" t="str">
        <f t="shared" si="38"/>
        <v/>
      </c>
      <c r="H716" s="70" t="str">
        <f t="shared" si="39"/>
        <v/>
      </c>
    </row>
    <row r="717" spans="1:8">
      <c r="A717" s="2"/>
      <c r="B717" s="12"/>
      <c r="C717" s="12"/>
      <c r="E717" t="str">
        <f>IF(LEN(D717)=0,"",[1]!i_pq_tradedays($B$3,A718,A717)-1)</f>
        <v/>
      </c>
      <c r="G717" s="16" t="str">
        <f t="shared" si="38"/>
        <v/>
      </c>
      <c r="H717" s="70" t="str">
        <f t="shared" si="39"/>
        <v/>
      </c>
    </row>
    <row r="718" spans="1:8">
      <c r="A718" s="2"/>
      <c r="B718" s="12"/>
      <c r="C718" s="12"/>
      <c r="E718" t="str">
        <f>IF(LEN(D718)=0,"",[1]!i_pq_tradedays($B$3,A719,A718)-1)</f>
        <v/>
      </c>
      <c r="G718" s="16" t="str">
        <f t="shared" si="38"/>
        <v/>
      </c>
      <c r="H718" s="70" t="str">
        <f t="shared" si="39"/>
        <v/>
      </c>
    </row>
    <row r="719" spans="1:8">
      <c r="A719" s="2"/>
      <c r="B719" s="12"/>
      <c r="C719" s="12"/>
      <c r="E719" t="str">
        <f>IF(LEN(D719)=0,"",[1]!i_pq_tradedays($B$3,A720,A719)-1)</f>
        <v/>
      </c>
      <c r="G719" s="16" t="str">
        <f t="shared" si="38"/>
        <v/>
      </c>
      <c r="H719" s="70" t="str">
        <f t="shared" si="39"/>
        <v/>
      </c>
    </row>
    <row r="720" spans="1:8">
      <c r="A720" s="2"/>
      <c r="B720" s="12"/>
      <c r="C720" s="12"/>
      <c r="E720" t="str">
        <f>IF(LEN(D720)=0,"",[1]!i_pq_tradedays($B$3,A721,A720)-1)</f>
        <v/>
      </c>
      <c r="G720" s="16" t="str">
        <f t="shared" si="38"/>
        <v/>
      </c>
      <c r="H720" s="70" t="str">
        <f t="shared" si="39"/>
        <v/>
      </c>
    </row>
    <row r="721" spans="1:8">
      <c r="A721" s="2"/>
      <c r="B721" s="12"/>
      <c r="C721" s="12"/>
      <c r="E721" t="str">
        <f>IF(LEN(D721)=0,"",[1]!i_pq_tradedays($B$3,A722,A721)-1)</f>
        <v/>
      </c>
      <c r="G721" s="16" t="str">
        <f t="shared" si="38"/>
        <v/>
      </c>
      <c r="H721" s="70" t="str">
        <f t="shared" si="39"/>
        <v/>
      </c>
    </row>
    <row r="722" spans="1:8">
      <c r="A722" s="2"/>
      <c r="B722" s="12"/>
      <c r="C722" s="12"/>
      <c r="E722" t="str">
        <f>IF(LEN(D722)=0,"",[1]!i_pq_tradedays($B$3,A723,A722)-1)</f>
        <v/>
      </c>
      <c r="G722" s="16" t="str">
        <f t="shared" si="38"/>
        <v/>
      </c>
      <c r="H722" s="70" t="str">
        <f t="shared" si="39"/>
        <v/>
      </c>
    </row>
    <row r="723" spans="1:8">
      <c r="A723" s="2"/>
      <c r="B723" s="12"/>
      <c r="C723" s="12"/>
      <c r="E723" t="str">
        <f>IF(LEN(D723)=0,"",[1]!i_pq_tradedays($B$3,A724,A723)-1)</f>
        <v/>
      </c>
      <c r="G723" s="16" t="str">
        <f t="shared" si="38"/>
        <v/>
      </c>
      <c r="H723" s="70" t="str">
        <f t="shared" si="39"/>
        <v/>
      </c>
    </row>
    <row r="724" spans="1:8">
      <c r="A724" s="2"/>
      <c r="B724" s="12"/>
      <c r="C724" s="12"/>
      <c r="E724" t="str">
        <f>IF(LEN(D724)=0,"",[1]!i_pq_tradedays($B$3,A725,A724)-1)</f>
        <v/>
      </c>
      <c r="G724" s="16" t="str">
        <f t="shared" si="38"/>
        <v/>
      </c>
      <c r="H724" s="70" t="str">
        <f t="shared" si="39"/>
        <v/>
      </c>
    </row>
    <row r="725" spans="1:8">
      <c r="A725" s="2"/>
      <c r="B725" s="12"/>
      <c r="C725" s="12"/>
      <c r="E725" t="str">
        <f>IF(LEN(D725)=0,"",[1]!i_pq_tradedays($B$3,A726,A725)-1)</f>
        <v/>
      </c>
      <c r="G725" s="16" t="str">
        <f t="shared" si="38"/>
        <v/>
      </c>
      <c r="H725" s="70" t="str">
        <f t="shared" si="39"/>
        <v/>
      </c>
    </row>
    <row r="726" spans="1:8">
      <c r="A726" s="2"/>
      <c r="B726" s="12"/>
      <c r="C726" s="12"/>
      <c r="E726" t="str">
        <f>IF(LEN(D726)=0,"",[1]!i_pq_tradedays($B$3,A727,A726)-1)</f>
        <v/>
      </c>
      <c r="G726" s="16" t="str">
        <f t="shared" si="38"/>
        <v/>
      </c>
      <c r="H726" s="70" t="str">
        <f t="shared" si="39"/>
        <v/>
      </c>
    </row>
    <row r="727" spans="1:8">
      <c r="A727" s="2"/>
      <c r="B727" s="12"/>
      <c r="C727" s="12"/>
      <c r="E727" t="str">
        <f>IF(LEN(D727)=0,"",[1]!i_pq_tradedays($B$3,A728,A727)-1)</f>
        <v/>
      </c>
      <c r="G727" s="16" t="str">
        <f t="shared" si="38"/>
        <v/>
      </c>
      <c r="H727" s="70" t="str">
        <f t="shared" si="39"/>
        <v/>
      </c>
    </row>
    <row r="728" spans="1:8">
      <c r="A728" s="2"/>
      <c r="B728" s="12"/>
      <c r="C728" s="12"/>
      <c r="E728" t="str">
        <f>IF(LEN(D728)=0,"",[1]!i_pq_tradedays($B$3,A729,A728)-1)</f>
        <v/>
      </c>
      <c r="G728" s="16" t="str">
        <f t="shared" si="38"/>
        <v/>
      </c>
      <c r="H728" s="70" t="str">
        <f t="shared" si="39"/>
        <v/>
      </c>
    </row>
    <row r="729" spans="1:8">
      <c r="A729" s="2"/>
      <c r="B729" s="12"/>
      <c r="C729" s="12"/>
      <c r="E729" t="str">
        <f>IF(LEN(D729)=0,"",[1]!i_pq_tradedays($B$3,A730,A729)-1)</f>
        <v/>
      </c>
      <c r="G729" s="16" t="str">
        <f t="shared" si="38"/>
        <v/>
      </c>
      <c r="H729" s="70" t="str">
        <f t="shared" si="39"/>
        <v/>
      </c>
    </row>
    <row r="730" spans="1:8">
      <c r="A730" s="2"/>
      <c r="B730" s="12"/>
      <c r="C730" s="12"/>
      <c r="E730" t="str">
        <f>IF(LEN(D730)=0,"",[1]!i_pq_tradedays($B$3,A731,A730)-1)</f>
        <v/>
      </c>
      <c r="G730" s="16" t="str">
        <f t="shared" si="38"/>
        <v/>
      </c>
      <c r="H730" s="70" t="str">
        <f t="shared" si="39"/>
        <v/>
      </c>
    </row>
    <row r="731" spans="1:8">
      <c r="A731" s="2"/>
      <c r="B731" s="12"/>
      <c r="C731" s="12"/>
      <c r="E731" t="str">
        <f>IF(LEN(D731)=0,"",[1]!i_pq_tradedays($B$3,A732,A731)-1)</f>
        <v/>
      </c>
      <c r="G731" s="16" t="str">
        <f t="shared" si="38"/>
        <v/>
      </c>
      <c r="H731" s="70" t="str">
        <f t="shared" si="39"/>
        <v/>
      </c>
    </row>
    <row r="732" spans="1:8">
      <c r="A732" s="2"/>
      <c r="B732" s="12"/>
      <c r="C732" s="12"/>
      <c r="E732" t="str">
        <f>IF(LEN(D732)=0,"",[1]!i_pq_tradedays($B$3,A733,A732)-1)</f>
        <v/>
      </c>
      <c r="G732" s="16" t="str">
        <f t="shared" si="38"/>
        <v/>
      </c>
      <c r="H732" s="70" t="str">
        <f t="shared" si="39"/>
        <v/>
      </c>
    </row>
    <row r="733" spans="1:8">
      <c r="A733" s="2"/>
      <c r="B733" s="12"/>
      <c r="C733" s="12"/>
      <c r="E733" t="str">
        <f>IF(LEN(D733)=0,"",[1]!i_pq_tradedays($B$3,A734,A733)-1)</f>
        <v/>
      </c>
      <c r="G733" s="16" t="str">
        <f t="shared" si="38"/>
        <v/>
      </c>
      <c r="H733" s="70" t="str">
        <f t="shared" si="39"/>
        <v/>
      </c>
    </row>
    <row r="734" spans="1:8">
      <c r="A734" s="2"/>
      <c r="B734" s="12"/>
      <c r="C734" s="12"/>
      <c r="E734" t="str">
        <f>IF(LEN(D734)=0,"",[1]!i_pq_tradedays($B$3,A735,A734)-1)</f>
        <v/>
      </c>
      <c r="G734" s="16" t="str">
        <f t="shared" si="38"/>
        <v/>
      </c>
      <c r="H734" s="70" t="str">
        <f t="shared" si="39"/>
        <v/>
      </c>
    </row>
    <row r="735" spans="1:8">
      <c r="A735" s="2"/>
      <c r="B735" s="12"/>
      <c r="C735" s="12"/>
      <c r="E735" t="str">
        <f>IF(LEN(D735)=0,"",[1]!i_pq_tradedays($B$3,A736,A735)-1)</f>
        <v/>
      </c>
      <c r="G735" s="16" t="str">
        <f t="shared" si="38"/>
        <v/>
      </c>
      <c r="H735" s="70" t="str">
        <f t="shared" si="39"/>
        <v/>
      </c>
    </row>
    <row r="736" spans="1:8">
      <c r="A736" s="2"/>
      <c r="B736" s="12"/>
      <c r="C736" s="12"/>
      <c r="E736" t="str">
        <f>IF(LEN(D736)=0,"",[1]!i_pq_tradedays($B$3,A737,A736)-1)</f>
        <v/>
      </c>
      <c r="G736" s="16" t="str">
        <f t="shared" si="38"/>
        <v/>
      </c>
      <c r="H736" s="70" t="str">
        <f t="shared" si="39"/>
        <v/>
      </c>
    </row>
    <row r="737" spans="1:8">
      <c r="A737" s="2"/>
      <c r="B737" s="12"/>
      <c r="C737" s="12"/>
      <c r="E737" t="str">
        <f>IF(LEN(D737)=0,"",[1]!i_pq_tradedays($B$3,A738,A737)-1)</f>
        <v/>
      </c>
      <c r="G737" s="16" t="str">
        <f t="shared" si="38"/>
        <v/>
      </c>
      <c r="H737" s="70" t="str">
        <f t="shared" si="39"/>
        <v/>
      </c>
    </row>
    <row r="738" spans="1:8">
      <c r="A738" s="2"/>
      <c r="B738" s="12"/>
      <c r="C738" s="12"/>
      <c r="E738" t="str">
        <f>IF(LEN(D738)=0,"",[1]!i_pq_tradedays($B$3,A739,A738)-1)</f>
        <v/>
      </c>
      <c r="G738" s="16" t="str">
        <f t="shared" si="38"/>
        <v/>
      </c>
      <c r="H738" s="70" t="str">
        <f t="shared" si="39"/>
        <v/>
      </c>
    </row>
    <row r="739" spans="1:8">
      <c r="A739" s="2"/>
      <c r="B739" s="12"/>
      <c r="C739" s="12"/>
      <c r="E739" t="str">
        <f>IF(LEN(D739)=0,"",[1]!i_pq_tradedays($B$3,A740,A739)-1)</f>
        <v/>
      </c>
      <c r="G739" s="16" t="str">
        <f t="shared" si="38"/>
        <v/>
      </c>
      <c r="H739" s="70" t="str">
        <f t="shared" si="39"/>
        <v/>
      </c>
    </row>
    <row r="740" spans="1:8">
      <c r="A740" s="2"/>
      <c r="B740" s="12"/>
      <c r="C740" s="12"/>
      <c r="E740" t="str">
        <f>IF(LEN(D740)=0,"",[1]!i_pq_tradedays($B$3,A741,A740)-1)</f>
        <v/>
      </c>
      <c r="G740" s="16" t="str">
        <f t="shared" si="38"/>
        <v/>
      </c>
      <c r="H740" s="70" t="str">
        <f t="shared" si="39"/>
        <v/>
      </c>
    </row>
    <row r="741" spans="1:8">
      <c r="A741" s="2"/>
      <c r="B741" s="12"/>
      <c r="C741" s="12"/>
      <c r="E741" t="str">
        <f>IF(LEN(D741)=0,"",[1]!i_pq_tradedays($B$3,A742,A741)-1)</f>
        <v/>
      </c>
      <c r="G741" s="16" t="str">
        <f t="shared" si="38"/>
        <v/>
      </c>
      <c r="H741" s="70" t="str">
        <f t="shared" si="39"/>
        <v/>
      </c>
    </row>
    <row r="742" spans="1:8">
      <c r="A742" s="2"/>
      <c r="B742" s="12"/>
      <c r="C742" s="12"/>
      <c r="E742" t="str">
        <f>IF(LEN(D742)=0,"",[1]!i_pq_tradedays($B$3,A743,A742)-1)</f>
        <v/>
      </c>
      <c r="G742" s="16" t="str">
        <f t="shared" si="38"/>
        <v/>
      </c>
      <c r="H742" s="70" t="str">
        <f t="shared" si="39"/>
        <v/>
      </c>
    </row>
    <row r="743" spans="1:8">
      <c r="A743" s="2"/>
      <c r="B743" s="12"/>
      <c r="C743" s="12"/>
      <c r="E743" t="str">
        <f>IF(LEN(D743)=0,"",[1]!i_pq_tradedays($B$3,A744,A743)-1)</f>
        <v/>
      </c>
      <c r="G743" s="16" t="str">
        <f t="shared" si="38"/>
        <v/>
      </c>
      <c r="H743" s="70" t="str">
        <f t="shared" si="39"/>
        <v/>
      </c>
    </row>
    <row r="744" spans="1:8">
      <c r="A744" s="2"/>
      <c r="B744" s="12"/>
      <c r="C744" s="12"/>
      <c r="E744" t="str">
        <f>IF(LEN(D744)=0,"",[1]!i_pq_tradedays($B$3,A745,A744)-1)</f>
        <v/>
      </c>
      <c r="G744" s="16" t="str">
        <f t="shared" si="38"/>
        <v/>
      </c>
      <c r="H744" s="70" t="str">
        <f t="shared" si="39"/>
        <v/>
      </c>
    </row>
    <row r="745" spans="1:8">
      <c r="A745" s="2"/>
      <c r="B745" s="12"/>
      <c r="C745" s="12"/>
      <c r="E745" t="str">
        <f>IF(LEN(D745)=0,"",[1]!i_pq_tradedays($B$3,A746,A745)-1)</f>
        <v/>
      </c>
      <c r="G745" s="16" t="str">
        <f t="shared" si="38"/>
        <v/>
      </c>
      <c r="H745" s="70" t="str">
        <f t="shared" si="39"/>
        <v/>
      </c>
    </row>
    <row r="746" spans="1:8">
      <c r="A746" s="2"/>
      <c r="B746" s="12"/>
      <c r="C746" s="12"/>
      <c r="E746" t="str">
        <f>IF(LEN(D746)=0,"",[1]!i_pq_tradedays($B$3,A747,A746)-1)</f>
        <v/>
      </c>
      <c r="G746" s="16" t="str">
        <f t="shared" si="38"/>
        <v/>
      </c>
      <c r="H746" s="70" t="str">
        <f t="shared" si="39"/>
        <v/>
      </c>
    </row>
    <row r="747" spans="1:8">
      <c r="A747" s="2"/>
      <c r="B747" s="12"/>
      <c r="C747" s="12"/>
      <c r="E747" t="str">
        <f>IF(LEN(D747)=0,"",[1]!i_pq_tradedays($B$3,A748,A747)-1)</f>
        <v/>
      </c>
      <c r="G747" s="16" t="str">
        <f t="shared" si="38"/>
        <v/>
      </c>
      <c r="H747" s="70" t="str">
        <f t="shared" si="39"/>
        <v/>
      </c>
    </row>
    <row r="748" spans="1:8">
      <c r="A748" s="2"/>
      <c r="B748" s="12"/>
      <c r="C748" s="12"/>
      <c r="E748" t="str">
        <f>IF(LEN(D748)=0,"",[1]!i_pq_tradedays($B$3,A749,A748)-1)</f>
        <v/>
      </c>
      <c r="G748" s="16" t="str">
        <f t="shared" si="38"/>
        <v/>
      </c>
      <c r="H748" s="70" t="str">
        <f t="shared" si="39"/>
        <v/>
      </c>
    </row>
    <row r="749" spans="1:8">
      <c r="A749" s="2"/>
      <c r="B749" s="12"/>
      <c r="C749" s="12"/>
      <c r="E749" t="str">
        <f>IF(LEN(D749)=0,"",[1]!i_pq_tradedays($B$3,A750,A749)-1)</f>
        <v/>
      </c>
      <c r="G749" s="16" t="str">
        <f t="shared" si="38"/>
        <v/>
      </c>
      <c r="H749" s="70" t="str">
        <f t="shared" si="39"/>
        <v/>
      </c>
    </row>
    <row r="750" spans="1:8">
      <c r="A750" s="2"/>
      <c r="B750" s="12"/>
      <c r="C750" s="12"/>
      <c r="E750" t="str">
        <f>IF(LEN(D750)=0,"",[1]!i_pq_tradedays($B$3,A751,A750)-1)</f>
        <v/>
      </c>
      <c r="G750" s="16" t="str">
        <f t="shared" si="38"/>
        <v/>
      </c>
      <c r="H750" s="70" t="str">
        <f t="shared" si="39"/>
        <v/>
      </c>
    </row>
    <row r="751" spans="1:8">
      <c r="A751" s="2"/>
      <c r="B751" s="12"/>
      <c r="C751" s="12"/>
      <c r="E751" t="str">
        <f>IF(LEN(D751)=0,"",[1]!i_pq_tradedays($B$3,A752,A751)-1)</f>
        <v/>
      </c>
      <c r="G751" s="16" t="str">
        <f t="shared" si="38"/>
        <v/>
      </c>
      <c r="H751" s="70" t="str">
        <f t="shared" si="39"/>
        <v/>
      </c>
    </row>
    <row r="752" spans="1:8">
      <c r="A752" s="2"/>
      <c r="B752" s="12"/>
      <c r="C752" s="12"/>
      <c r="E752" t="str">
        <f>IF(LEN(D752)=0,"",[1]!i_pq_tradedays($B$3,A753,A752)-1)</f>
        <v/>
      </c>
      <c r="G752" s="16" t="str">
        <f t="shared" si="38"/>
        <v/>
      </c>
      <c r="H752" s="70" t="str">
        <f t="shared" si="39"/>
        <v/>
      </c>
    </row>
    <row r="753" spans="1:8">
      <c r="A753" s="2"/>
      <c r="B753" s="12"/>
      <c r="C753" s="12"/>
      <c r="E753" t="str">
        <f>IF(LEN(D753)=0,"",[1]!i_pq_tradedays($B$3,A754,A753)-1)</f>
        <v/>
      </c>
      <c r="G753" s="16" t="str">
        <f t="shared" si="38"/>
        <v/>
      </c>
      <c r="H753" s="70" t="str">
        <f t="shared" si="39"/>
        <v/>
      </c>
    </row>
    <row r="754" spans="1:8">
      <c r="A754" s="2"/>
      <c r="B754" s="12"/>
      <c r="C754" s="12"/>
      <c r="E754" t="str">
        <f>IF(LEN(D754)=0,"",[1]!i_pq_tradedays($B$3,A755,A754)-1)</f>
        <v/>
      </c>
      <c r="G754" s="16" t="str">
        <f t="shared" si="38"/>
        <v/>
      </c>
      <c r="H754" s="70" t="str">
        <f t="shared" si="39"/>
        <v/>
      </c>
    </row>
    <row r="755" spans="1:8">
      <c r="A755" s="2"/>
      <c r="B755" s="12"/>
      <c r="C755" s="12"/>
      <c r="E755" t="str">
        <f>IF(LEN(D755)=0,"",[1]!i_pq_tradedays($B$3,A756,A755)-1)</f>
        <v/>
      </c>
      <c r="G755" s="16" t="str">
        <f t="shared" si="38"/>
        <v/>
      </c>
      <c r="H755" s="70" t="str">
        <f t="shared" si="39"/>
        <v/>
      </c>
    </row>
    <row r="756" spans="1:8">
      <c r="A756" s="2"/>
      <c r="B756" s="12"/>
      <c r="C756" s="12"/>
      <c r="E756" t="str">
        <f>IF(LEN(D756)=0,"",[1]!i_pq_tradedays($B$3,A757,A756)-1)</f>
        <v/>
      </c>
      <c r="G756" s="16" t="str">
        <f t="shared" si="38"/>
        <v/>
      </c>
      <c r="H756" s="70" t="str">
        <f t="shared" si="39"/>
        <v/>
      </c>
    </row>
    <row r="757" spans="1:8">
      <c r="A757" s="2"/>
      <c r="B757" s="12"/>
      <c r="C757" s="12"/>
      <c r="E757" t="str">
        <f>IF(LEN(D757)=0,"",[1]!i_pq_tradedays($B$3,A758,A757)-1)</f>
        <v/>
      </c>
      <c r="G757" s="16" t="str">
        <f t="shared" ref="G757:G820" si="40">IF(LEN(D757)=0,"",D757/E757)</f>
        <v/>
      </c>
      <c r="H757" s="70" t="str">
        <f t="shared" ref="H757:H820" si="41">IF(LEN(D757)=0,"",G757/G758-1)</f>
        <v/>
      </c>
    </row>
    <row r="758" spans="1:8">
      <c r="A758" s="2"/>
      <c r="B758" s="12"/>
      <c r="C758" s="12"/>
      <c r="E758" t="str">
        <f>IF(LEN(D758)=0,"",[1]!i_pq_tradedays($B$3,A759,A758)-1)</f>
        <v/>
      </c>
      <c r="G758" s="16" t="str">
        <f t="shared" si="40"/>
        <v/>
      </c>
      <c r="H758" s="70" t="str">
        <f t="shared" si="41"/>
        <v/>
      </c>
    </row>
    <row r="759" spans="1:8">
      <c r="A759" s="2"/>
      <c r="B759" s="12"/>
      <c r="C759" s="12"/>
      <c r="E759" t="str">
        <f>IF(LEN(D759)=0,"",[1]!i_pq_tradedays($B$3,A760,A759)-1)</f>
        <v/>
      </c>
      <c r="G759" s="16" t="str">
        <f t="shared" si="40"/>
        <v/>
      </c>
      <c r="H759" s="70" t="str">
        <f t="shared" si="41"/>
        <v/>
      </c>
    </row>
    <row r="760" spans="1:8">
      <c r="A760" s="2"/>
      <c r="B760" s="12"/>
      <c r="C760" s="12"/>
      <c r="E760" t="str">
        <f>IF(LEN(D760)=0,"",[1]!i_pq_tradedays($B$3,A761,A760)-1)</f>
        <v/>
      </c>
      <c r="G760" s="16" t="str">
        <f t="shared" si="40"/>
        <v/>
      </c>
      <c r="H760" s="70" t="str">
        <f t="shared" si="41"/>
        <v/>
      </c>
    </row>
    <row r="761" spans="1:8">
      <c r="A761" s="2"/>
      <c r="B761" s="12"/>
      <c r="C761" s="12"/>
      <c r="E761" t="str">
        <f>IF(LEN(D761)=0,"",[1]!i_pq_tradedays($B$3,A762,A761)-1)</f>
        <v/>
      </c>
      <c r="G761" s="16" t="str">
        <f t="shared" si="40"/>
        <v/>
      </c>
      <c r="H761" s="70" t="str">
        <f t="shared" si="41"/>
        <v/>
      </c>
    </row>
    <row r="762" spans="1:8">
      <c r="A762" s="2"/>
      <c r="B762" s="12"/>
      <c r="C762" s="12"/>
      <c r="E762" t="str">
        <f>IF(LEN(D762)=0,"",[1]!i_pq_tradedays($B$3,A763,A762)-1)</f>
        <v/>
      </c>
      <c r="G762" s="16" t="str">
        <f t="shared" si="40"/>
        <v/>
      </c>
      <c r="H762" s="70" t="str">
        <f t="shared" si="41"/>
        <v/>
      </c>
    </row>
    <row r="763" spans="1:8">
      <c r="A763" s="2"/>
      <c r="B763" s="12"/>
      <c r="C763" s="12"/>
      <c r="E763" t="str">
        <f>IF(LEN(D763)=0,"",[1]!i_pq_tradedays($B$3,A764,A763)-1)</f>
        <v/>
      </c>
      <c r="G763" s="16" t="str">
        <f t="shared" si="40"/>
        <v/>
      </c>
      <c r="H763" s="70" t="str">
        <f t="shared" si="41"/>
        <v/>
      </c>
    </row>
    <row r="764" spans="1:8">
      <c r="A764" s="2"/>
      <c r="B764" s="12"/>
      <c r="C764" s="12"/>
      <c r="E764" t="str">
        <f>IF(LEN(D764)=0,"",[1]!i_pq_tradedays($B$3,A765,A764)-1)</f>
        <v/>
      </c>
      <c r="G764" s="16" t="str">
        <f t="shared" si="40"/>
        <v/>
      </c>
      <c r="H764" s="70" t="str">
        <f t="shared" si="41"/>
        <v/>
      </c>
    </row>
    <row r="765" spans="1:8">
      <c r="A765" s="2"/>
      <c r="B765" s="12"/>
      <c r="C765" s="12"/>
      <c r="E765" t="str">
        <f>IF(LEN(D765)=0,"",[1]!i_pq_tradedays($B$3,A766,A765)-1)</f>
        <v/>
      </c>
      <c r="G765" s="16" t="str">
        <f t="shared" si="40"/>
        <v/>
      </c>
      <c r="H765" s="70" t="str">
        <f t="shared" si="41"/>
        <v/>
      </c>
    </row>
    <row r="766" spans="1:8">
      <c r="A766" s="2"/>
      <c r="B766" s="12"/>
      <c r="C766" s="12"/>
      <c r="E766" t="str">
        <f>IF(LEN(D766)=0,"",[1]!i_pq_tradedays($B$3,A767,A766)-1)</f>
        <v/>
      </c>
      <c r="G766" s="16" t="str">
        <f t="shared" si="40"/>
        <v/>
      </c>
      <c r="H766" s="70" t="str">
        <f t="shared" si="41"/>
        <v/>
      </c>
    </row>
    <row r="767" spans="1:8">
      <c r="A767" s="2"/>
      <c r="B767" s="12"/>
      <c r="C767" s="12"/>
      <c r="E767" t="str">
        <f>IF(LEN(D767)=0,"",[1]!i_pq_tradedays($B$3,A768,A767)-1)</f>
        <v/>
      </c>
      <c r="G767" s="16" t="str">
        <f t="shared" si="40"/>
        <v/>
      </c>
      <c r="H767" s="70" t="str">
        <f t="shared" si="41"/>
        <v/>
      </c>
    </row>
    <row r="768" spans="1:8">
      <c r="A768" s="2"/>
      <c r="B768" s="12"/>
      <c r="C768" s="12"/>
      <c r="E768" t="str">
        <f>IF(LEN(D768)=0,"",[1]!i_pq_tradedays($B$3,A769,A768)-1)</f>
        <v/>
      </c>
      <c r="G768" s="16" t="str">
        <f t="shared" si="40"/>
        <v/>
      </c>
      <c r="H768" s="70" t="str">
        <f t="shared" si="41"/>
        <v/>
      </c>
    </row>
    <row r="769" spans="1:8">
      <c r="A769" s="2"/>
      <c r="B769" s="12"/>
      <c r="C769" s="12"/>
      <c r="E769" t="str">
        <f>IF(LEN(D769)=0,"",[1]!i_pq_tradedays($B$3,A770,A769)-1)</f>
        <v/>
      </c>
      <c r="G769" s="16" t="str">
        <f t="shared" si="40"/>
        <v/>
      </c>
      <c r="H769" s="70" t="str">
        <f t="shared" si="41"/>
        <v/>
      </c>
    </row>
    <row r="770" spans="1:8">
      <c r="A770" s="2"/>
      <c r="B770" s="12"/>
      <c r="C770" s="12"/>
      <c r="E770" t="str">
        <f>IF(LEN(D770)=0,"",[1]!i_pq_tradedays($B$3,A771,A770)-1)</f>
        <v/>
      </c>
      <c r="G770" s="16" t="str">
        <f t="shared" si="40"/>
        <v/>
      </c>
      <c r="H770" s="70" t="str">
        <f t="shared" si="41"/>
        <v/>
      </c>
    </row>
    <row r="771" spans="1:8">
      <c r="A771" s="2"/>
      <c r="B771" s="12"/>
      <c r="C771" s="12"/>
      <c r="E771" t="str">
        <f>IF(LEN(D771)=0,"",[1]!i_pq_tradedays($B$3,A772,A771)-1)</f>
        <v/>
      </c>
      <c r="G771" s="16" t="str">
        <f t="shared" si="40"/>
        <v/>
      </c>
      <c r="H771" s="70" t="str">
        <f t="shared" si="41"/>
        <v/>
      </c>
    </row>
    <row r="772" spans="1:8">
      <c r="A772" s="2"/>
      <c r="B772" s="12"/>
      <c r="C772" s="12"/>
      <c r="E772" t="str">
        <f>IF(LEN(D772)=0,"",[1]!i_pq_tradedays($B$3,A773,A772)-1)</f>
        <v/>
      </c>
      <c r="G772" s="16" t="str">
        <f t="shared" si="40"/>
        <v/>
      </c>
      <c r="H772" s="70" t="str">
        <f t="shared" si="41"/>
        <v/>
      </c>
    </row>
    <row r="773" spans="1:8">
      <c r="A773" s="2"/>
      <c r="B773" s="12"/>
      <c r="C773" s="12"/>
      <c r="E773" t="str">
        <f>IF(LEN(D773)=0,"",[1]!i_pq_tradedays($B$3,A774,A773)-1)</f>
        <v/>
      </c>
      <c r="G773" s="16" t="str">
        <f t="shared" si="40"/>
        <v/>
      </c>
      <c r="H773" s="70" t="str">
        <f t="shared" si="41"/>
        <v/>
      </c>
    </row>
    <row r="774" spans="1:8">
      <c r="A774" s="2"/>
      <c r="B774" s="12"/>
      <c r="C774" s="12"/>
      <c r="E774" t="str">
        <f>IF(LEN(D774)=0,"",[1]!i_pq_tradedays($B$3,A775,A774)-1)</f>
        <v/>
      </c>
      <c r="G774" s="16" t="str">
        <f t="shared" si="40"/>
        <v/>
      </c>
      <c r="H774" s="70" t="str">
        <f t="shared" si="41"/>
        <v/>
      </c>
    </row>
    <row r="775" spans="1:8">
      <c r="A775" s="2"/>
      <c r="B775" s="12"/>
      <c r="C775" s="12"/>
      <c r="E775" t="str">
        <f>IF(LEN(D775)=0,"",[1]!i_pq_tradedays($B$3,A776,A775)-1)</f>
        <v/>
      </c>
      <c r="G775" s="16" t="str">
        <f t="shared" si="40"/>
        <v/>
      </c>
      <c r="H775" s="70" t="str">
        <f t="shared" si="41"/>
        <v/>
      </c>
    </row>
    <row r="776" spans="1:8">
      <c r="A776" s="2"/>
      <c r="B776" s="12"/>
      <c r="C776" s="12"/>
      <c r="E776" t="str">
        <f>IF(LEN(D776)=0,"",[1]!i_pq_tradedays($B$3,A777,A776)-1)</f>
        <v/>
      </c>
      <c r="G776" s="16" t="str">
        <f t="shared" si="40"/>
        <v/>
      </c>
      <c r="H776" s="70" t="str">
        <f t="shared" si="41"/>
        <v/>
      </c>
    </row>
    <row r="777" spans="1:8">
      <c r="A777" s="2"/>
      <c r="B777" s="12"/>
      <c r="C777" s="12"/>
      <c r="E777" t="str">
        <f>IF(LEN(D777)=0,"",[1]!i_pq_tradedays($B$3,A778,A777)-1)</f>
        <v/>
      </c>
      <c r="G777" s="16" t="str">
        <f t="shared" si="40"/>
        <v/>
      </c>
      <c r="H777" s="70" t="str">
        <f t="shared" si="41"/>
        <v/>
      </c>
    </row>
    <row r="778" spans="1:8">
      <c r="A778" s="2"/>
      <c r="B778" s="12"/>
      <c r="C778" s="12"/>
      <c r="E778" t="str">
        <f>IF(LEN(D778)=0,"",[1]!i_pq_tradedays($B$3,A779,A778)-1)</f>
        <v/>
      </c>
      <c r="G778" s="16" t="str">
        <f t="shared" si="40"/>
        <v/>
      </c>
      <c r="H778" s="70" t="str">
        <f t="shared" si="41"/>
        <v/>
      </c>
    </row>
    <row r="779" spans="1:8">
      <c r="A779" s="2"/>
      <c r="B779" s="12"/>
      <c r="C779" s="12"/>
      <c r="E779" t="str">
        <f>IF(LEN(D779)=0,"",[1]!i_pq_tradedays($B$3,A780,A779)-1)</f>
        <v/>
      </c>
      <c r="G779" s="16" t="str">
        <f t="shared" si="40"/>
        <v/>
      </c>
      <c r="H779" s="70" t="str">
        <f t="shared" si="41"/>
        <v/>
      </c>
    </row>
    <row r="780" spans="1:8">
      <c r="A780" s="2"/>
      <c r="B780" s="12"/>
      <c r="C780" s="12"/>
      <c r="E780" t="str">
        <f>IF(LEN(D780)=0,"",[1]!i_pq_tradedays($B$3,A781,A780)-1)</f>
        <v/>
      </c>
      <c r="G780" s="16" t="str">
        <f t="shared" si="40"/>
        <v/>
      </c>
      <c r="H780" s="70" t="str">
        <f t="shared" si="41"/>
        <v/>
      </c>
    </row>
    <row r="781" spans="1:8">
      <c r="A781" s="2"/>
      <c r="B781" s="12"/>
      <c r="C781" s="12"/>
      <c r="E781" t="str">
        <f>IF(LEN(D781)=0,"",[1]!i_pq_tradedays($B$3,A782,A781)-1)</f>
        <v/>
      </c>
      <c r="G781" s="16" t="str">
        <f t="shared" si="40"/>
        <v/>
      </c>
      <c r="H781" s="70" t="str">
        <f t="shared" si="41"/>
        <v/>
      </c>
    </row>
    <row r="782" spans="1:8">
      <c r="A782" s="2"/>
      <c r="B782" s="12"/>
      <c r="C782" s="12"/>
      <c r="E782" t="str">
        <f>IF(LEN(D782)=0,"",[1]!i_pq_tradedays($B$3,A783,A782)-1)</f>
        <v/>
      </c>
      <c r="G782" s="16" t="str">
        <f t="shared" si="40"/>
        <v/>
      </c>
      <c r="H782" s="70" t="str">
        <f t="shared" si="41"/>
        <v/>
      </c>
    </row>
    <row r="783" spans="1:8">
      <c r="A783" s="2"/>
      <c r="B783" s="12"/>
      <c r="C783" s="12"/>
      <c r="E783" t="str">
        <f>IF(LEN(D783)=0,"",[1]!i_pq_tradedays($B$3,A784,A783)-1)</f>
        <v/>
      </c>
      <c r="G783" s="16" t="str">
        <f t="shared" si="40"/>
        <v/>
      </c>
      <c r="H783" s="70" t="str">
        <f t="shared" si="41"/>
        <v/>
      </c>
    </row>
    <row r="784" spans="1:8">
      <c r="A784" s="2"/>
      <c r="B784" s="12"/>
      <c r="C784" s="12"/>
      <c r="E784" t="str">
        <f>IF(LEN(D784)=0,"",[1]!i_pq_tradedays($B$3,A785,A784)-1)</f>
        <v/>
      </c>
      <c r="G784" s="16" t="str">
        <f t="shared" si="40"/>
        <v/>
      </c>
      <c r="H784" s="70" t="str">
        <f t="shared" si="41"/>
        <v/>
      </c>
    </row>
    <row r="785" spans="1:8">
      <c r="A785" s="2"/>
      <c r="B785" s="12"/>
      <c r="C785" s="12"/>
      <c r="E785" t="str">
        <f>IF(LEN(D785)=0,"",[1]!i_pq_tradedays($B$3,A786,A785)-1)</f>
        <v/>
      </c>
      <c r="G785" s="16" t="str">
        <f t="shared" si="40"/>
        <v/>
      </c>
      <c r="H785" s="70" t="str">
        <f t="shared" si="41"/>
        <v/>
      </c>
    </row>
    <row r="786" spans="1:8">
      <c r="A786" s="2"/>
      <c r="B786" s="12"/>
      <c r="C786" s="12"/>
      <c r="E786" t="str">
        <f>IF(LEN(D786)=0,"",[1]!i_pq_tradedays($B$3,A787,A786)-1)</f>
        <v/>
      </c>
      <c r="G786" s="16" t="str">
        <f t="shared" si="40"/>
        <v/>
      </c>
      <c r="H786" s="70" t="str">
        <f t="shared" si="41"/>
        <v/>
      </c>
    </row>
    <row r="787" spans="1:8">
      <c r="A787" s="2"/>
      <c r="B787" s="12"/>
      <c r="C787" s="12"/>
      <c r="E787" t="str">
        <f>IF(LEN(D787)=0,"",[1]!i_pq_tradedays($B$3,A788,A787)-1)</f>
        <v/>
      </c>
      <c r="G787" s="16" t="str">
        <f t="shared" si="40"/>
        <v/>
      </c>
      <c r="H787" s="70" t="str">
        <f t="shared" si="41"/>
        <v/>
      </c>
    </row>
    <row r="788" spans="1:8">
      <c r="A788" s="2"/>
      <c r="B788" s="12"/>
      <c r="C788" s="12"/>
      <c r="E788" t="str">
        <f>IF(LEN(D788)=0,"",[1]!i_pq_tradedays($B$3,A789,A788)-1)</f>
        <v/>
      </c>
      <c r="G788" s="16" t="str">
        <f t="shared" si="40"/>
        <v/>
      </c>
      <c r="H788" s="70" t="str">
        <f t="shared" si="41"/>
        <v/>
      </c>
    </row>
    <row r="789" spans="1:8">
      <c r="A789" s="2"/>
      <c r="B789" s="12"/>
      <c r="C789" s="12"/>
      <c r="E789" t="str">
        <f>IF(LEN(D789)=0,"",[1]!i_pq_tradedays($B$3,A790,A789)-1)</f>
        <v/>
      </c>
      <c r="G789" s="16" t="str">
        <f t="shared" si="40"/>
        <v/>
      </c>
      <c r="H789" s="70" t="str">
        <f t="shared" si="41"/>
        <v/>
      </c>
    </row>
    <row r="790" spans="1:8">
      <c r="A790" s="2"/>
      <c r="B790" s="12"/>
      <c r="C790" s="12"/>
      <c r="E790" t="str">
        <f>IF(LEN(D790)=0,"",[1]!i_pq_tradedays($B$3,A791,A790)-1)</f>
        <v/>
      </c>
      <c r="G790" s="16" t="str">
        <f t="shared" si="40"/>
        <v/>
      </c>
      <c r="H790" s="70" t="str">
        <f t="shared" si="41"/>
        <v/>
      </c>
    </row>
    <row r="791" spans="1:8">
      <c r="A791" s="2"/>
      <c r="B791" s="12"/>
      <c r="C791" s="12"/>
      <c r="E791" t="str">
        <f>IF(LEN(D791)=0,"",[1]!i_pq_tradedays($B$3,A792,A791)-1)</f>
        <v/>
      </c>
      <c r="G791" s="16" t="str">
        <f t="shared" si="40"/>
        <v/>
      </c>
      <c r="H791" s="70" t="str">
        <f t="shared" si="41"/>
        <v/>
      </c>
    </row>
    <row r="792" spans="1:8">
      <c r="A792" s="2"/>
      <c r="B792" s="12"/>
      <c r="C792" s="12"/>
      <c r="E792" t="str">
        <f>IF(LEN(D792)=0,"",[1]!i_pq_tradedays($B$3,A793,A792)-1)</f>
        <v/>
      </c>
      <c r="G792" s="16" t="str">
        <f t="shared" si="40"/>
        <v/>
      </c>
      <c r="H792" s="70" t="str">
        <f t="shared" si="41"/>
        <v/>
      </c>
    </row>
    <row r="793" spans="1:8">
      <c r="A793" s="2"/>
      <c r="B793" s="12"/>
      <c r="C793" s="12"/>
      <c r="E793" t="str">
        <f>IF(LEN(D793)=0,"",[1]!i_pq_tradedays($B$3,A794,A793)-1)</f>
        <v/>
      </c>
      <c r="G793" s="16" t="str">
        <f t="shared" si="40"/>
        <v/>
      </c>
      <c r="H793" s="70" t="str">
        <f t="shared" si="41"/>
        <v/>
      </c>
    </row>
    <row r="794" spans="1:8">
      <c r="A794" s="2"/>
      <c r="B794" s="12"/>
      <c r="C794" s="12"/>
      <c r="E794" t="str">
        <f>IF(LEN(D794)=0,"",[1]!i_pq_tradedays($B$3,A795,A794)-1)</f>
        <v/>
      </c>
      <c r="G794" s="16" t="str">
        <f t="shared" si="40"/>
        <v/>
      </c>
      <c r="H794" s="70" t="str">
        <f t="shared" si="41"/>
        <v/>
      </c>
    </row>
    <row r="795" spans="1:8">
      <c r="A795" s="2"/>
      <c r="B795" s="12"/>
      <c r="C795" s="12"/>
      <c r="E795" t="str">
        <f>IF(LEN(D795)=0,"",[1]!i_pq_tradedays($B$3,A796,A795)-1)</f>
        <v/>
      </c>
      <c r="G795" s="16" t="str">
        <f t="shared" si="40"/>
        <v/>
      </c>
      <c r="H795" s="70" t="str">
        <f t="shared" si="41"/>
        <v/>
      </c>
    </row>
    <row r="796" spans="1:8">
      <c r="A796" s="2"/>
      <c r="B796" s="12"/>
      <c r="C796" s="12"/>
      <c r="E796" t="str">
        <f>IF(LEN(D796)=0,"",[1]!i_pq_tradedays($B$3,A797,A796)-1)</f>
        <v/>
      </c>
      <c r="G796" s="16" t="str">
        <f t="shared" si="40"/>
        <v/>
      </c>
      <c r="H796" s="70" t="str">
        <f t="shared" si="41"/>
        <v/>
      </c>
    </row>
    <row r="797" spans="1:8">
      <c r="A797" s="2"/>
      <c r="B797" s="12"/>
      <c r="C797" s="12"/>
      <c r="E797" t="str">
        <f>IF(LEN(D797)=0,"",[1]!i_pq_tradedays($B$3,A798,A797)-1)</f>
        <v/>
      </c>
      <c r="G797" s="16" t="str">
        <f t="shared" si="40"/>
        <v/>
      </c>
      <c r="H797" s="70" t="str">
        <f t="shared" si="41"/>
        <v/>
      </c>
    </row>
    <row r="798" spans="1:8">
      <c r="A798" s="2"/>
      <c r="B798" s="12"/>
      <c r="C798" s="12"/>
      <c r="E798" t="str">
        <f>IF(LEN(D798)=0,"",[1]!i_pq_tradedays($B$3,A799,A798)-1)</f>
        <v/>
      </c>
      <c r="G798" s="16" t="str">
        <f t="shared" si="40"/>
        <v/>
      </c>
      <c r="H798" s="70" t="str">
        <f t="shared" si="41"/>
        <v/>
      </c>
    </row>
    <row r="799" spans="1:8">
      <c r="A799" s="2"/>
      <c r="B799" s="12"/>
      <c r="C799" s="12"/>
      <c r="E799" t="str">
        <f>IF(LEN(D799)=0,"",[1]!i_pq_tradedays($B$3,A800,A799)-1)</f>
        <v/>
      </c>
      <c r="G799" s="16" t="str">
        <f t="shared" si="40"/>
        <v/>
      </c>
      <c r="H799" s="70" t="str">
        <f t="shared" si="41"/>
        <v/>
      </c>
    </row>
    <row r="800" spans="1:8">
      <c r="A800" s="2"/>
      <c r="B800" s="12"/>
      <c r="C800" s="12"/>
      <c r="E800" t="str">
        <f>IF(LEN(D800)=0,"",[1]!i_pq_tradedays($B$3,A801,A800)-1)</f>
        <v/>
      </c>
      <c r="G800" s="16" t="str">
        <f t="shared" si="40"/>
        <v/>
      </c>
      <c r="H800" s="70" t="str">
        <f t="shared" si="41"/>
        <v/>
      </c>
    </row>
    <row r="801" spans="1:8">
      <c r="A801" s="2"/>
      <c r="B801" s="12"/>
      <c r="C801" s="12"/>
      <c r="E801" t="str">
        <f>IF(LEN(D801)=0,"",[1]!i_pq_tradedays($B$3,A802,A801)-1)</f>
        <v/>
      </c>
      <c r="G801" s="16" t="str">
        <f t="shared" si="40"/>
        <v/>
      </c>
      <c r="H801" s="70" t="str">
        <f t="shared" si="41"/>
        <v/>
      </c>
    </row>
    <row r="802" spans="1:8">
      <c r="A802" s="2"/>
      <c r="B802" s="12"/>
      <c r="C802" s="12"/>
      <c r="E802" t="str">
        <f>IF(LEN(D802)=0,"",[1]!i_pq_tradedays($B$3,A803,A802)-1)</f>
        <v/>
      </c>
      <c r="G802" s="16" t="str">
        <f t="shared" si="40"/>
        <v/>
      </c>
      <c r="H802" s="70" t="str">
        <f t="shared" si="41"/>
        <v/>
      </c>
    </row>
    <row r="803" spans="1:8">
      <c r="A803" s="2"/>
      <c r="B803" s="12"/>
      <c r="C803" s="12"/>
      <c r="E803" t="str">
        <f>IF(LEN(D803)=0,"",[1]!i_pq_tradedays($B$3,A804,A803)-1)</f>
        <v/>
      </c>
      <c r="G803" s="16" t="str">
        <f t="shared" si="40"/>
        <v/>
      </c>
      <c r="H803" s="70" t="str">
        <f t="shared" si="41"/>
        <v/>
      </c>
    </row>
    <row r="804" spans="1:8">
      <c r="A804" s="2"/>
      <c r="B804" s="12"/>
      <c r="C804" s="12"/>
      <c r="E804" t="str">
        <f>IF(LEN(D804)=0,"",[1]!i_pq_tradedays($B$3,A805,A804)-1)</f>
        <v/>
      </c>
      <c r="G804" s="16" t="str">
        <f t="shared" si="40"/>
        <v/>
      </c>
      <c r="H804" s="70" t="str">
        <f t="shared" si="41"/>
        <v/>
      </c>
    </row>
    <row r="805" spans="1:8">
      <c r="A805" s="2"/>
      <c r="B805" s="12"/>
      <c r="C805" s="12"/>
      <c r="E805" t="str">
        <f>IF(LEN(D805)=0,"",[1]!i_pq_tradedays($B$3,A806,A805)-1)</f>
        <v/>
      </c>
      <c r="G805" s="16" t="str">
        <f t="shared" si="40"/>
        <v/>
      </c>
      <c r="H805" s="70" t="str">
        <f t="shared" si="41"/>
        <v/>
      </c>
    </row>
    <row r="806" spans="1:8">
      <c r="A806" s="2"/>
      <c r="B806" s="12"/>
      <c r="C806" s="12"/>
      <c r="E806" t="str">
        <f>IF(LEN(D806)=0,"",[1]!i_pq_tradedays($B$3,A807,A806)-1)</f>
        <v/>
      </c>
      <c r="G806" s="16" t="str">
        <f t="shared" si="40"/>
        <v/>
      </c>
      <c r="H806" s="70" t="str">
        <f t="shared" si="41"/>
        <v/>
      </c>
    </row>
    <row r="807" spans="1:8">
      <c r="A807" s="2"/>
      <c r="B807" s="12"/>
      <c r="C807" s="12"/>
      <c r="E807" t="str">
        <f>IF(LEN(D807)=0,"",[1]!i_pq_tradedays($B$3,A808,A807)-1)</f>
        <v/>
      </c>
      <c r="G807" s="16" t="str">
        <f t="shared" si="40"/>
        <v/>
      </c>
      <c r="H807" s="70" t="str">
        <f t="shared" si="41"/>
        <v/>
      </c>
    </row>
    <row r="808" spans="1:8">
      <c r="A808" s="2"/>
      <c r="B808" s="12"/>
      <c r="C808" s="12"/>
      <c r="E808" t="str">
        <f>IF(LEN(D808)=0,"",[1]!i_pq_tradedays($B$3,A809,A808)-1)</f>
        <v/>
      </c>
      <c r="G808" s="16" t="str">
        <f t="shared" si="40"/>
        <v/>
      </c>
      <c r="H808" s="70" t="str">
        <f t="shared" si="41"/>
        <v/>
      </c>
    </row>
    <row r="809" spans="1:8">
      <c r="A809" s="2"/>
      <c r="B809" s="12"/>
      <c r="C809" s="12"/>
      <c r="E809" t="str">
        <f>IF(LEN(D809)=0,"",[1]!i_pq_tradedays($B$3,A810,A809)-1)</f>
        <v/>
      </c>
      <c r="G809" s="16" t="str">
        <f t="shared" si="40"/>
        <v/>
      </c>
      <c r="H809" s="70" t="str">
        <f t="shared" si="41"/>
        <v/>
      </c>
    </row>
    <row r="810" spans="1:8">
      <c r="A810" s="2"/>
      <c r="B810" s="12"/>
      <c r="C810" s="12"/>
      <c r="E810" t="str">
        <f>IF(LEN(D810)=0,"",[1]!i_pq_tradedays($B$3,A811,A810)-1)</f>
        <v/>
      </c>
      <c r="G810" s="16" t="str">
        <f t="shared" si="40"/>
        <v/>
      </c>
      <c r="H810" s="70" t="str">
        <f t="shared" si="41"/>
        <v/>
      </c>
    </row>
    <row r="811" spans="1:8">
      <c r="A811" s="2"/>
      <c r="B811" s="12"/>
      <c r="C811" s="12"/>
      <c r="E811" t="str">
        <f>IF(LEN(D811)=0,"",[1]!i_pq_tradedays($B$3,A812,A811)-1)</f>
        <v/>
      </c>
      <c r="G811" s="16" t="str">
        <f t="shared" si="40"/>
        <v/>
      </c>
      <c r="H811" s="70" t="str">
        <f t="shared" si="41"/>
        <v/>
      </c>
    </row>
    <row r="812" spans="1:8">
      <c r="A812" s="2"/>
      <c r="B812" s="12"/>
      <c r="C812" s="12"/>
      <c r="E812" t="str">
        <f>IF(LEN(D812)=0,"",[1]!i_pq_tradedays($B$3,A813,A812)-1)</f>
        <v/>
      </c>
      <c r="G812" s="16" t="str">
        <f t="shared" si="40"/>
        <v/>
      </c>
      <c r="H812" s="70" t="str">
        <f t="shared" si="41"/>
        <v/>
      </c>
    </row>
    <row r="813" spans="1:8">
      <c r="A813" s="2"/>
      <c r="B813" s="12"/>
      <c r="C813" s="12"/>
      <c r="E813" t="str">
        <f>IF(LEN(D813)=0,"",[1]!i_pq_tradedays($B$3,A814,A813)-1)</f>
        <v/>
      </c>
      <c r="G813" s="16" t="str">
        <f t="shared" si="40"/>
        <v/>
      </c>
      <c r="H813" s="70" t="str">
        <f t="shared" si="41"/>
        <v/>
      </c>
    </row>
    <row r="814" spans="1:8">
      <c r="A814" s="2"/>
      <c r="B814" s="12"/>
      <c r="C814" s="12"/>
      <c r="E814" t="str">
        <f>IF(LEN(D814)=0,"",[1]!i_pq_tradedays($B$3,A815,A814)-1)</f>
        <v/>
      </c>
      <c r="G814" s="16" t="str">
        <f t="shared" si="40"/>
        <v/>
      </c>
      <c r="H814" s="70" t="str">
        <f t="shared" si="41"/>
        <v/>
      </c>
    </row>
    <row r="815" spans="1:8">
      <c r="A815" s="2"/>
      <c r="B815" s="12"/>
      <c r="C815" s="12"/>
      <c r="E815" t="str">
        <f>IF(LEN(D815)=0,"",[1]!i_pq_tradedays($B$3,A816,A815)-1)</f>
        <v/>
      </c>
      <c r="G815" s="16" t="str">
        <f t="shared" si="40"/>
        <v/>
      </c>
      <c r="H815" s="70" t="str">
        <f t="shared" si="41"/>
        <v/>
      </c>
    </row>
    <row r="816" spans="1:8">
      <c r="A816" s="2"/>
      <c r="B816" s="12"/>
      <c r="C816" s="12"/>
      <c r="E816" t="str">
        <f>IF(LEN(D816)=0,"",[1]!i_pq_tradedays($B$3,A817,A816)-1)</f>
        <v/>
      </c>
      <c r="G816" s="16" t="str">
        <f t="shared" si="40"/>
        <v/>
      </c>
      <c r="H816" s="70" t="str">
        <f t="shared" si="41"/>
        <v/>
      </c>
    </row>
    <row r="817" spans="1:8">
      <c r="A817" s="2"/>
      <c r="B817" s="12"/>
      <c r="C817" s="12"/>
      <c r="E817" t="str">
        <f>IF(LEN(D817)=0,"",[1]!i_pq_tradedays($B$3,A818,A817)-1)</f>
        <v/>
      </c>
      <c r="G817" s="16" t="str">
        <f t="shared" si="40"/>
        <v/>
      </c>
      <c r="H817" s="70" t="str">
        <f t="shared" si="41"/>
        <v/>
      </c>
    </row>
    <row r="818" spans="1:8">
      <c r="A818" s="2"/>
      <c r="B818" s="12"/>
      <c r="C818" s="12"/>
      <c r="E818" t="str">
        <f>IF(LEN(D818)=0,"",[1]!i_pq_tradedays($B$3,A819,A818)-1)</f>
        <v/>
      </c>
      <c r="G818" s="16" t="str">
        <f t="shared" si="40"/>
        <v/>
      </c>
      <c r="H818" s="70" t="str">
        <f t="shared" si="41"/>
        <v/>
      </c>
    </row>
    <row r="819" spans="1:8">
      <c r="A819" s="2"/>
      <c r="B819" s="12"/>
      <c r="C819" s="12"/>
      <c r="E819" t="str">
        <f>IF(LEN(D819)=0,"",[1]!i_pq_tradedays($B$3,A820,A819)-1)</f>
        <v/>
      </c>
      <c r="G819" s="16" t="str">
        <f t="shared" si="40"/>
        <v/>
      </c>
      <c r="H819" s="70" t="str">
        <f t="shared" si="41"/>
        <v/>
      </c>
    </row>
    <row r="820" spans="1:8">
      <c r="A820" s="2"/>
      <c r="B820" s="12"/>
      <c r="C820" s="12"/>
      <c r="E820" t="str">
        <f>IF(LEN(D820)=0,"",[1]!i_pq_tradedays($B$3,A821,A820)-1)</f>
        <v/>
      </c>
      <c r="G820" s="16" t="str">
        <f t="shared" si="40"/>
        <v/>
      </c>
      <c r="H820" s="70" t="str">
        <f t="shared" si="41"/>
        <v/>
      </c>
    </row>
    <row r="821" spans="1:8">
      <c r="A821" s="2"/>
      <c r="B821" s="12"/>
      <c r="C821" s="12"/>
      <c r="E821" t="str">
        <f>IF(LEN(D821)=0,"",[1]!i_pq_tradedays($B$3,A822,A821)-1)</f>
        <v/>
      </c>
      <c r="G821" s="16" t="str">
        <f t="shared" ref="G821:G884" si="42">IF(LEN(D821)=0,"",D821/E821)</f>
        <v/>
      </c>
      <c r="H821" s="70" t="str">
        <f t="shared" ref="H821:H884" si="43">IF(LEN(D821)=0,"",G821/G822-1)</f>
        <v/>
      </c>
    </row>
    <row r="822" spans="1:8">
      <c r="A822" s="2"/>
      <c r="B822" s="12"/>
      <c r="C822" s="12"/>
      <c r="E822" t="str">
        <f>IF(LEN(D822)=0,"",[1]!i_pq_tradedays($B$3,A823,A822)-1)</f>
        <v/>
      </c>
      <c r="G822" s="16" t="str">
        <f t="shared" si="42"/>
        <v/>
      </c>
      <c r="H822" s="70" t="str">
        <f t="shared" si="43"/>
        <v/>
      </c>
    </row>
    <row r="823" spans="1:8">
      <c r="A823" s="2"/>
      <c r="B823" s="12"/>
      <c r="C823" s="12"/>
      <c r="E823" t="str">
        <f>IF(LEN(D823)=0,"",[1]!i_pq_tradedays($B$3,A824,A823)-1)</f>
        <v/>
      </c>
      <c r="G823" s="16" t="str">
        <f t="shared" si="42"/>
        <v/>
      </c>
      <c r="H823" s="70" t="str">
        <f t="shared" si="43"/>
        <v/>
      </c>
    </row>
    <row r="824" spans="1:8">
      <c r="A824" s="2"/>
      <c r="B824" s="12"/>
      <c r="C824" s="12"/>
      <c r="E824" t="str">
        <f>IF(LEN(D824)=0,"",[1]!i_pq_tradedays($B$3,A825,A824)-1)</f>
        <v/>
      </c>
      <c r="G824" s="16" t="str">
        <f t="shared" si="42"/>
        <v/>
      </c>
      <c r="H824" s="70" t="str">
        <f t="shared" si="43"/>
        <v/>
      </c>
    </row>
    <row r="825" spans="1:8">
      <c r="A825" s="2"/>
      <c r="B825" s="12"/>
      <c r="C825" s="12"/>
      <c r="E825" t="str">
        <f>IF(LEN(D825)=0,"",[1]!i_pq_tradedays($B$3,A826,A825)-1)</f>
        <v/>
      </c>
      <c r="G825" s="16" t="str">
        <f t="shared" si="42"/>
        <v/>
      </c>
      <c r="H825" s="70" t="str">
        <f t="shared" si="43"/>
        <v/>
      </c>
    </row>
    <row r="826" spans="1:8">
      <c r="A826" s="2"/>
      <c r="B826" s="12"/>
      <c r="C826" s="12"/>
      <c r="E826" t="str">
        <f>IF(LEN(D826)=0,"",[1]!i_pq_tradedays($B$3,A827,A826)-1)</f>
        <v/>
      </c>
      <c r="G826" s="16" t="str">
        <f t="shared" si="42"/>
        <v/>
      </c>
      <c r="H826" s="70" t="str">
        <f t="shared" si="43"/>
        <v/>
      </c>
    </row>
    <row r="827" spans="1:8">
      <c r="A827" s="2"/>
      <c r="B827" s="12"/>
      <c r="C827" s="12"/>
      <c r="E827" t="str">
        <f>IF(LEN(D827)=0,"",[1]!i_pq_tradedays($B$3,A828,A827)-1)</f>
        <v/>
      </c>
      <c r="G827" s="16" t="str">
        <f t="shared" si="42"/>
        <v/>
      </c>
      <c r="H827" s="70" t="str">
        <f t="shared" si="43"/>
        <v/>
      </c>
    </row>
    <row r="828" spans="1:8">
      <c r="A828" s="2"/>
      <c r="B828" s="12"/>
      <c r="C828" s="12"/>
      <c r="E828" t="str">
        <f>IF(LEN(D828)=0,"",[1]!i_pq_tradedays($B$3,A829,A828)-1)</f>
        <v/>
      </c>
      <c r="G828" s="16" t="str">
        <f t="shared" si="42"/>
        <v/>
      </c>
      <c r="H828" s="70" t="str">
        <f t="shared" si="43"/>
        <v/>
      </c>
    </row>
    <row r="829" spans="1:8">
      <c r="A829" s="2"/>
      <c r="B829" s="12"/>
      <c r="C829" s="12"/>
      <c r="E829" t="str">
        <f>IF(LEN(D829)=0,"",[1]!i_pq_tradedays($B$3,A830,A829)-1)</f>
        <v/>
      </c>
      <c r="G829" s="16" t="str">
        <f t="shared" si="42"/>
        <v/>
      </c>
      <c r="H829" s="70" t="str">
        <f t="shared" si="43"/>
        <v/>
      </c>
    </row>
    <row r="830" spans="1:8">
      <c r="A830" s="2"/>
      <c r="B830" s="12"/>
      <c r="C830" s="12"/>
      <c r="E830" t="str">
        <f>IF(LEN(D830)=0,"",[1]!i_pq_tradedays($B$3,A831,A830)-1)</f>
        <v/>
      </c>
      <c r="G830" s="16" t="str">
        <f t="shared" si="42"/>
        <v/>
      </c>
      <c r="H830" s="70" t="str">
        <f t="shared" si="43"/>
        <v/>
      </c>
    </row>
    <row r="831" spans="1:8">
      <c r="A831" s="2"/>
      <c r="B831" s="12"/>
      <c r="C831" s="12"/>
      <c r="E831" t="str">
        <f>IF(LEN(D831)=0,"",[1]!i_pq_tradedays($B$3,A832,A831)-1)</f>
        <v/>
      </c>
      <c r="G831" s="16" t="str">
        <f t="shared" si="42"/>
        <v/>
      </c>
      <c r="H831" s="70" t="str">
        <f t="shared" si="43"/>
        <v/>
      </c>
    </row>
    <row r="832" spans="1:8">
      <c r="A832" s="2"/>
      <c r="B832" s="12"/>
      <c r="C832" s="12"/>
      <c r="E832" t="str">
        <f>IF(LEN(D832)=0,"",[1]!i_pq_tradedays($B$3,A833,A832)-1)</f>
        <v/>
      </c>
      <c r="G832" s="16" t="str">
        <f t="shared" si="42"/>
        <v/>
      </c>
      <c r="H832" s="70" t="str">
        <f t="shared" si="43"/>
        <v/>
      </c>
    </row>
    <row r="833" spans="1:8">
      <c r="A833" s="2"/>
      <c r="B833" s="12"/>
      <c r="C833" s="12"/>
      <c r="E833" t="str">
        <f>IF(LEN(D833)=0,"",[1]!i_pq_tradedays($B$3,A834,A833)-1)</f>
        <v/>
      </c>
      <c r="G833" s="16" t="str">
        <f t="shared" si="42"/>
        <v/>
      </c>
      <c r="H833" s="70" t="str">
        <f t="shared" si="43"/>
        <v/>
      </c>
    </row>
    <row r="834" spans="1:8">
      <c r="A834" s="2"/>
      <c r="B834" s="12"/>
      <c r="C834" s="12"/>
      <c r="E834" t="str">
        <f>IF(LEN(D834)=0,"",[1]!i_pq_tradedays($B$3,A835,A834)-1)</f>
        <v/>
      </c>
      <c r="G834" s="16" t="str">
        <f t="shared" si="42"/>
        <v/>
      </c>
      <c r="H834" s="70" t="str">
        <f t="shared" si="43"/>
        <v/>
      </c>
    </row>
    <row r="835" spans="1:8">
      <c r="A835" s="2"/>
      <c r="B835" s="12"/>
      <c r="C835" s="12"/>
      <c r="E835" t="str">
        <f>IF(LEN(D835)=0,"",[1]!i_pq_tradedays($B$3,A836,A835)-1)</f>
        <v/>
      </c>
      <c r="G835" s="16" t="str">
        <f t="shared" si="42"/>
        <v/>
      </c>
      <c r="H835" s="70" t="str">
        <f t="shared" si="43"/>
        <v/>
      </c>
    </row>
    <row r="836" spans="1:8">
      <c r="A836" s="2"/>
      <c r="B836" s="12"/>
      <c r="C836" s="12"/>
      <c r="E836" t="str">
        <f>IF(LEN(D836)=0,"",[1]!i_pq_tradedays($B$3,A837,A836)-1)</f>
        <v/>
      </c>
      <c r="G836" s="16" t="str">
        <f t="shared" si="42"/>
        <v/>
      </c>
      <c r="H836" s="70" t="str">
        <f t="shared" si="43"/>
        <v/>
      </c>
    </row>
    <row r="837" spans="1:8">
      <c r="A837" s="2"/>
      <c r="B837" s="12"/>
      <c r="C837" s="12"/>
      <c r="E837" t="str">
        <f>IF(LEN(D837)=0,"",[1]!i_pq_tradedays($B$3,A838,A837)-1)</f>
        <v/>
      </c>
      <c r="G837" s="16" t="str">
        <f t="shared" si="42"/>
        <v/>
      </c>
      <c r="H837" s="70" t="str">
        <f t="shared" si="43"/>
        <v/>
      </c>
    </row>
    <row r="838" spans="1:8">
      <c r="A838" s="2"/>
      <c r="B838" s="12"/>
      <c r="C838" s="12"/>
      <c r="E838" t="str">
        <f>IF(LEN(D838)=0,"",[1]!i_pq_tradedays($B$3,A839,A838)-1)</f>
        <v/>
      </c>
      <c r="G838" s="16" t="str">
        <f t="shared" si="42"/>
        <v/>
      </c>
      <c r="H838" s="70" t="str">
        <f t="shared" si="43"/>
        <v/>
      </c>
    </row>
    <row r="839" spans="1:8">
      <c r="A839" s="2"/>
      <c r="B839" s="12"/>
      <c r="C839" s="12"/>
      <c r="E839" t="str">
        <f>IF(LEN(D839)=0,"",[1]!i_pq_tradedays($B$3,A840,A839)-1)</f>
        <v/>
      </c>
      <c r="G839" s="16" t="str">
        <f t="shared" si="42"/>
        <v/>
      </c>
      <c r="H839" s="70" t="str">
        <f t="shared" si="43"/>
        <v/>
      </c>
    </row>
    <row r="840" spans="1:8">
      <c r="A840" s="2"/>
      <c r="B840" s="12"/>
      <c r="C840" s="12"/>
      <c r="E840" t="str">
        <f>IF(LEN(D840)=0,"",[1]!i_pq_tradedays($B$3,A841,A840)-1)</f>
        <v/>
      </c>
      <c r="G840" s="16" t="str">
        <f t="shared" si="42"/>
        <v/>
      </c>
      <c r="H840" s="70" t="str">
        <f t="shared" si="43"/>
        <v/>
      </c>
    </row>
    <row r="841" spans="1:8">
      <c r="A841" s="2"/>
      <c r="B841" s="12"/>
      <c r="C841" s="12"/>
      <c r="E841" t="str">
        <f>IF(LEN(D841)=0,"",[1]!i_pq_tradedays($B$3,A842,A841)-1)</f>
        <v/>
      </c>
      <c r="G841" s="16" t="str">
        <f t="shared" si="42"/>
        <v/>
      </c>
      <c r="H841" s="70" t="str">
        <f t="shared" si="43"/>
        <v/>
      </c>
    </row>
    <row r="842" spans="1:8">
      <c r="A842" s="2"/>
      <c r="B842" s="12"/>
      <c r="C842" s="12"/>
      <c r="E842" t="str">
        <f>IF(LEN(D842)=0,"",[1]!i_pq_tradedays($B$3,A843,A842)-1)</f>
        <v/>
      </c>
      <c r="G842" s="16" t="str">
        <f t="shared" si="42"/>
        <v/>
      </c>
      <c r="H842" s="70" t="str">
        <f t="shared" si="43"/>
        <v/>
      </c>
    </row>
    <row r="843" spans="1:8">
      <c r="A843" s="2"/>
      <c r="B843" s="12"/>
      <c r="C843" s="12"/>
      <c r="E843" t="str">
        <f>IF(LEN(D843)=0,"",[1]!i_pq_tradedays($B$3,A844,A843)-1)</f>
        <v/>
      </c>
      <c r="G843" s="16" t="str">
        <f t="shared" si="42"/>
        <v/>
      </c>
      <c r="H843" s="70" t="str">
        <f t="shared" si="43"/>
        <v/>
      </c>
    </row>
    <row r="844" spans="1:8">
      <c r="A844" s="2"/>
      <c r="B844" s="12"/>
      <c r="C844" s="12"/>
      <c r="E844" t="str">
        <f>IF(LEN(D844)=0,"",[1]!i_pq_tradedays($B$3,A845,A844)-1)</f>
        <v/>
      </c>
      <c r="G844" s="16" t="str">
        <f t="shared" si="42"/>
        <v/>
      </c>
      <c r="H844" s="70" t="str">
        <f t="shared" si="43"/>
        <v/>
      </c>
    </row>
    <row r="845" spans="1:8">
      <c r="A845" s="2"/>
      <c r="B845" s="12"/>
      <c r="C845" s="12"/>
      <c r="E845" t="str">
        <f>IF(LEN(D845)=0,"",[1]!i_pq_tradedays($B$3,A846,A845)-1)</f>
        <v/>
      </c>
      <c r="G845" s="16" t="str">
        <f t="shared" si="42"/>
        <v/>
      </c>
      <c r="H845" s="70" t="str">
        <f t="shared" si="43"/>
        <v/>
      </c>
    </row>
    <row r="846" spans="1:8">
      <c r="A846" s="2"/>
      <c r="B846" s="12"/>
      <c r="C846" s="12"/>
      <c r="E846" t="str">
        <f>IF(LEN(D846)=0,"",[1]!i_pq_tradedays($B$3,A847,A846)-1)</f>
        <v/>
      </c>
      <c r="G846" s="16" t="str">
        <f t="shared" si="42"/>
        <v/>
      </c>
      <c r="H846" s="70" t="str">
        <f t="shared" si="43"/>
        <v/>
      </c>
    </row>
    <row r="847" spans="1:8">
      <c r="A847" s="2"/>
      <c r="B847" s="12"/>
      <c r="C847" s="12"/>
      <c r="E847" t="str">
        <f>IF(LEN(D847)=0,"",[1]!i_pq_tradedays($B$3,A848,A847)-1)</f>
        <v/>
      </c>
      <c r="G847" s="16" t="str">
        <f t="shared" si="42"/>
        <v/>
      </c>
      <c r="H847" s="70" t="str">
        <f t="shared" si="43"/>
        <v/>
      </c>
    </row>
    <row r="848" spans="1:8">
      <c r="A848" s="2"/>
      <c r="B848" s="12"/>
      <c r="C848" s="12"/>
      <c r="E848" t="str">
        <f>IF(LEN(D848)=0,"",[1]!i_pq_tradedays($B$3,A849,A848)-1)</f>
        <v/>
      </c>
      <c r="G848" s="16" t="str">
        <f t="shared" si="42"/>
        <v/>
      </c>
      <c r="H848" s="70" t="str">
        <f t="shared" si="43"/>
        <v/>
      </c>
    </row>
    <row r="849" spans="1:8">
      <c r="A849" s="2"/>
      <c r="B849" s="12"/>
      <c r="C849" s="12"/>
      <c r="E849" t="str">
        <f>IF(LEN(D849)=0,"",[1]!i_pq_tradedays($B$3,A850,A849)-1)</f>
        <v/>
      </c>
      <c r="G849" s="16" t="str">
        <f t="shared" si="42"/>
        <v/>
      </c>
      <c r="H849" s="70" t="str">
        <f t="shared" si="43"/>
        <v/>
      </c>
    </row>
    <row r="850" spans="1:8">
      <c r="A850" s="2"/>
      <c r="B850" s="12"/>
      <c r="C850" s="12"/>
      <c r="E850" t="str">
        <f>IF(LEN(D850)=0,"",[1]!i_pq_tradedays($B$3,A851,A850)-1)</f>
        <v/>
      </c>
      <c r="G850" s="16" t="str">
        <f t="shared" si="42"/>
        <v/>
      </c>
      <c r="H850" s="70" t="str">
        <f t="shared" si="43"/>
        <v/>
      </c>
    </row>
    <row r="851" spans="1:8">
      <c r="A851" s="2"/>
      <c r="B851" s="12"/>
      <c r="C851" s="12"/>
      <c r="E851" t="str">
        <f>IF(LEN(D851)=0,"",[1]!i_pq_tradedays($B$3,A852,A851)-1)</f>
        <v/>
      </c>
      <c r="G851" s="16" t="str">
        <f t="shared" si="42"/>
        <v/>
      </c>
      <c r="H851" s="70" t="str">
        <f t="shared" si="43"/>
        <v/>
      </c>
    </row>
    <row r="852" spans="1:8">
      <c r="A852" s="2"/>
      <c r="B852" s="12"/>
      <c r="C852" s="12"/>
      <c r="E852" t="str">
        <f>IF(LEN(D852)=0,"",[1]!i_pq_tradedays($B$3,A853,A852)-1)</f>
        <v/>
      </c>
      <c r="G852" s="16" t="str">
        <f t="shared" si="42"/>
        <v/>
      </c>
      <c r="H852" s="70" t="str">
        <f t="shared" si="43"/>
        <v/>
      </c>
    </row>
    <row r="853" spans="1:8">
      <c r="A853" s="2"/>
      <c r="B853" s="12"/>
      <c r="C853" s="12"/>
      <c r="E853" t="str">
        <f>IF(LEN(D853)=0,"",[1]!i_pq_tradedays($B$3,A854,A853)-1)</f>
        <v/>
      </c>
      <c r="G853" s="16" t="str">
        <f t="shared" si="42"/>
        <v/>
      </c>
      <c r="H853" s="70" t="str">
        <f t="shared" si="43"/>
        <v/>
      </c>
    </row>
    <row r="854" spans="1:8">
      <c r="A854" s="2"/>
      <c r="B854" s="12"/>
      <c r="C854" s="12"/>
      <c r="E854" t="str">
        <f>IF(LEN(D854)=0,"",[1]!i_pq_tradedays($B$3,A855,A854)-1)</f>
        <v/>
      </c>
      <c r="G854" s="16" t="str">
        <f t="shared" si="42"/>
        <v/>
      </c>
      <c r="H854" s="70" t="str">
        <f t="shared" si="43"/>
        <v/>
      </c>
    </row>
    <row r="855" spans="1:8">
      <c r="A855" s="2"/>
      <c r="B855" s="12"/>
      <c r="C855" s="12"/>
      <c r="E855" t="str">
        <f>IF(LEN(D855)=0,"",[1]!i_pq_tradedays($B$3,A856,A855)-1)</f>
        <v/>
      </c>
      <c r="G855" s="16" t="str">
        <f t="shared" si="42"/>
        <v/>
      </c>
      <c r="H855" s="70" t="str">
        <f t="shared" si="43"/>
        <v/>
      </c>
    </row>
    <row r="856" spans="1:8">
      <c r="A856" s="2"/>
      <c r="B856" s="12"/>
      <c r="C856" s="12"/>
      <c r="E856" t="str">
        <f>IF(LEN(D856)=0,"",[1]!i_pq_tradedays($B$3,A857,A856)-1)</f>
        <v/>
      </c>
      <c r="G856" s="16" t="str">
        <f t="shared" si="42"/>
        <v/>
      </c>
      <c r="H856" s="70" t="str">
        <f t="shared" si="43"/>
        <v/>
      </c>
    </row>
    <row r="857" spans="1:8">
      <c r="A857" s="2"/>
      <c r="B857" s="12"/>
      <c r="C857" s="12"/>
      <c r="E857" t="str">
        <f>IF(LEN(D857)=0,"",[1]!i_pq_tradedays($B$3,A858,A857)-1)</f>
        <v/>
      </c>
      <c r="G857" s="16" t="str">
        <f t="shared" si="42"/>
        <v/>
      </c>
      <c r="H857" s="70" t="str">
        <f t="shared" si="43"/>
        <v/>
      </c>
    </row>
    <row r="858" spans="1:8">
      <c r="A858" s="2"/>
      <c r="B858" s="12"/>
      <c r="C858" s="12"/>
      <c r="E858" t="str">
        <f>IF(LEN(D858)=0,"",[1]!i_pq_tradedays($B$3,A859,A858)-1)</f>
        <v/>
      </c>
      <c r="G858" s="16" t="str">
        <f t="shared" si="42"/>
        <v/>
      </c>
      <c r="H858" s="70" t="str">
        <f t="shared" si="43"/>
        <v/>
      </c>
    </row>
    <row r="859" spans="1:8">
      <c r="A859" s="2"/>
      <c r="B859" s="12"/>
      <c r="C859" s="12"/>
      <c r="E859" t="str">
        <f>IF(LEN(D859)=0,"",[1]!i_pq_tradedays($B$3,A860,A859)-1)</f>
        <v/>
      </c>
      <c r="G859" s="16" t="str">
        <f t="shared" si="42"/>
        <v/>
      </c>
      <c r="H859" s="70" t="str">
        <f t="shared" si="43"/>
        <v/>
      </c>
    </row>
    <row r="860" spans="1:8">
      <c r="A860" s="2"/>
      <c r="B860" s="12"/>
      <c r="C860" s="12"/>
      <c r="E860" t="str">
        <f>IF(LEN(D860)=0,"",[1]!i_pq_tradedays($B$3,A861,A860)-1)</f>
        <v/>
      </c>
      <c r="G860" s="16" t="str">
        <f t="shared" si="42"/>
        <v/>
      </c>
      <c r="H860" s="70" t="str">
        <f t="shared" si="43"/>
        <v/>
      </c>
    </row>
    <row r="861" spans="1:8">
      <c r="A861" s="2"/>
      <c r="B861" s="12"/>
      <c r="C861" s="12"/>
      <c r="E861" t="str">
        <f>IF(LEN(D861)=0,"",[1]!i_pq_tradedays($B$3,A862,A861)-1)</f>
        <v/>
      </c>
      <c r="G861" s="16" t="str">
        <f t="shared" si="42"/>
        <v/>
      </c>
      <c r="H861" s="70" t="str">
        <f t="shared" si="43"/>
        <v/>
      </c>
    </row>
    <row r="862" spans="1:8">
      <c r="A862" s="2"/>
      <c r="B862" s="12"/>
      <c r="C862" s="12"/>
      <c r="E862" t="str">
        <f>IF(LEN(D862)=0,"",[1]!i_pq_tradedays($B$3,A863,A862)-1)</f>
        <v/>
      </c>
      <c r="G862" s="16" t="str">
        <f t="shared" si="42"/>
        <v/>
      </c>
      <c r="H862" s="70" t="str">
        <f t="shared" si="43"/>
        <v/>
      </c>
    </row>
    <row r="863" spans="1:8">
      <c r="A863" s="2"/>
      <c r="B863" s="12"/>
      <c r="C863" s="12"/>
      <c r="E863" t="str">
        <f>IF(LEN(D863)=0,"",[1]!i_pq_tradedays($B$3,A864,A863)-1)</f>
        <v/>
      </c>
      <c r="G863" s="16" t="str">
        <f t="shared" si="42"/>
        <v/>
      </c>
      <c r="H863" s="70" t="str">
        <f t="shared" si="43"/>
        <v/>
      </c>
    </row>
    <row r="864" spans="1:8">
      <c r="A864" s="2"/>
      <c r="B864" s="12"/>
      <c r="C864" s="12"/>
      <c r="E864" t="str">
        <f>IF(LEN(D864)=0,"",[1]!i_pq_tradedays($B$3,A865,A864)-1)</f>
        <v/>
      </c>
      <c r="G864" s="16" t="str">
        <f t="shared" si="42"/>
        <v/>
      </c>
      <c r="H864" s="70" t="str">
        <f t="shared" si="43"/>
        <v/>
      </c>
    </row>
    <row r="865" spans="1:8">
      <c r="A865" s="2"/>
      <c r="B865" s="12"/>
      <c r="C865" s="12"/>
      <c r="E865" t="str">
        <f>IF(LEN(D865)=0,"",[1]!i_pq_tradedays($B$3,A866,A865)-1)</f>
        <v/>
      </c>
      <c r="G865" s="16" t="str">
        <f t="shared" si="42"/>
        <v/>
      </c>
      <c r="H865" s="70" t="str">
        <f t="shared" si="43"/>
        <v/>
      </c>
    </row>
    <row r="866" spans="1:8">
      <c r="A866" s="2"/>
      <c r="B866" s="12"/>
      <c r="C866" s="12"/>
      <c r="E866" t="str">
        <f>IF(LEN(D866)=0,"",[1]!i_pq_tradedays($B$3,A867,A866)-1)</f>
        <v/>
      </c>
      <c r="G866" s="16" t="str">
        <f t="shared" si="42"/>
        <v/>
      </c>
      <c r="H866" s="70" t="str">
        <f t="shared" si="43"/>
        <v/>
      </c>
    </row>
    <row r="867" spans="1:8">
      <c r="A867" s="2"/>
      <c r="B867" s="12"/>
      <c r="C867" s="12"/>
      <c r="E867" t="str">
        <f>IF(LEN(D867)=0,"",[1]!i_pq_tradedays($B$3,A868,A867)-1)</f>
        <v/>
      </c>
      <c r="G867" s="16" t="str">
        <f t="shared" si="42"/>
        <v/>
      </c>
      <c r="H867" s="70" t="str">
        <f t="shared" si="43"/>
        <v/>
      </c>
    </row>
    <row r="868" spans="1:8">
      <c r="A868" s="2"/>
      <c r="B868" s="12"/>
      <c r="C868" s="12"/>
      <c r="E868" t="str">
        <f>IF(LEN(D868)=0,"",[1]!i_pq_tradedays($B$3,A869,A868)-1)</f>
        <v/>
      </c>
      <c r="G868" s="16" t="str">
        <f t="shared" si="42"/>
        <v/>
      </c>
      <c r="H868" s="70" t="str">
        <f t="shared" si="43"/>
        <v/>
      </c>
    </row>
    <row r="869" spans="1:8">
      <c r="A869" s="2"/>
      <c r="B869" s="12"/>
      <c r="C869" s="12"/>
      <c r="E869" t="str">
        <f>IF(LEN(D869)=0,"",[1]!i_pq_tradedays($B$3,A870,A869)-1)</f>
        <v/>
      </c>
      <c r="G869" s="16" t="str">
        <f t="shared" si="42"/>
        <v/>
      </c>
      <c r="H869" s="70" t="str">
        <f t="shared" si="43"/>
        <v/>
      </c>
    </row>
    <row r="870" spans="1:8">
      <c r="A870" s="2"/>
      <c r="B870" s="12"/>
      <c r="C870" s="12"/>
      <c r="E870" t="str">
        <f>IF(LEN(D870)=0,"",[1]!i_pq_tradedays($B$3,A871,A870)-1)</f>
        <v/>
      </c>
      <c r="G870" s="16" t="str">
        <f t="shared" si="42"/>
        <v/>
      </c>
      <c r="H870" s="70" t="str">
        <f t="shared" si="43"/>
        <v/>
      </c>
    </row>
    <row r="871" spans="1:8">
      <c r="A871" s="2"/>
      <c r="B871" s="12"/>
      <c r="C871" s="12"/>
      <c r="E871" t="str">
        <f>IF(LEN(D871)=0,"",[1]!i_pq_tradedays($B$3,A872,A871)-1)</f>
        <v/>
      </c>
      <c r="G871" s="16" t="str">
        <f t="shared" si="42"/>
        <v/>
      </c>
      <c r="H871" s="70" t="str">
        <f t="shared" si="43"/>
        <v/>
      </c>
    </row>
    <row r="872" spans="1:8">
      <c r="A872" s="2"/>
      <c r="B872" s="12"/>
      <c r="C872" s="12"/>
      <c r="E872" t="str">
        <f>IF(LEN(D872)=0,"",[1]!i_pq_tradedays($B$3,A873,A872)-1)</f>
        <v/>
      </c>
      <c r="G872" s="16" t="str">
        <f t="shared" si="42"/>
        <v/>
      </c>
      <c r="H872" s="70" t="str">
        <f t="shared" si="43"/>
        <v/>
      </c>
    </row>
    <row r="873" spans="1:8">
      <c r="A873" s="2"/>
      <c r="B873" s="12"/>
      <c r="C873" s="12"/>
      <c r="E873" t="str">
        <f>IF(LEN(D873)=0,"",[1]!i_pq_tradedays($B$3,A874,A873)-1)</f>
        <v/>
      </c>
      <c r="G873" s="16" t="str">
        <f t="shared" si="42"/>
        <v/>
      </c>
      <c r="H873" s="70" t="str">
        <f t="shared" si="43"/>
        <v/>
      </c>
    </row>
    <row r="874" spans="1:8">
      <c r="A874" s="2"/>
      <c r="B874" s="12"/>
      <c r="C874" s="12"/>
      <c r="E874" t="str">
        <f>IF(LEN(D874)=0,"",[1]!i_pq_tradedays($B$3,A875,A874)-1)</f>
        <v/>
      </c>
      <c r="G874" s="16" t="str">
        <f t="shared" si="42"/>
        <v/>
      </c>
      <c r="H874" s="70" t="str">
        <f t="shared" si="43"/>
        <v/>
      </c>
    </row>
    <row r="875" spans="1:8">
      <c r="A875" s="2"/>
      <c r="B875" s="12"/>
      <c r="C875" s="12"/>
      <c r="E875" t="str">
        <f>IF(LEN(D875)=0,"",[1]!i_pq_tradedays($B$3,A876,A875)-1)</f>
        <v/>
      </c>
      <c r="G875" s="16" t="str">
        <f t="shared" si="42"/>
        <v/>
      </c>
      <c r="H875" s="70" t="str">
        <f t="shared" si="43"/>
        <v/>
      </c>
    </row>
    <row r="876" spans="1:8">
      <c r="A876" s="2"/>
      <c r="B876" s="12"/>
      <c r="C876" s="12"/>
      <c r="E876" t="str">
        <f>IF(LEN(D876)=0,"",[1]!i_pq_tradedays($B$3,A877,A876)-1)</f>
        <v/>
      </c>
      <c r="G876" s="16" t="str">
        <f t="shared" si="42"/>
        <v/>
      </c>
      <c r="H876" s="70" t="str">
        <f t="shared" si="43"/>
        <v/>
      </c>
    </row>
    <row r="877" spans="1:8">
      <c r="A877" s="2"/>
      <c r="B877" s="12"/>
      <c r="C877" s="12"/>
      <c r="E877" t="str">
        <f>IF(LEN(D877)=0,"",[1]!i_pq_tradedays($B$3,A878,A877)-1)</f>
        <v/>
      </c>
      <c r="G877" s="16" t="str">
        <f t="shared" si="42"/>
        <v/>
      </c>
      <c r="H877" s="70" t="str">
        <f t="shared" si="43"/>
        <v/>
      </c>
    </row>
    <row r="878" spans="1:8">
      <c r="A878" s="2"/>
      <c r="B878" s="12"/>
      <c r="C878" s="12"/>
      <c r="E878" t="str">
        <f>IF(LEN(D878)=0,"",[1]!i_pq_tradedays($B$3,A879,A878)-1)</f>
        <v/>
      </c>
      <c r="G878" s="16" t="str">
        <f t="shared" si="42"/>
        <v/>
      </c>
      <c r="H878" s="70" t="str">
        <f t="shared" si="43"/>
        <v/>
      </c>
    </row>
    <row r="879" spans="1:8">
      <c r="A879" s="2"/>
      <c r="B879" s="12"/>
      <c r="C879" s="12"/>
      <c r="E879" t="str">
        <f>IF(LEN(D879)=0,"",[1]!i_pq_tradedays($B$3,A880,A879)-1)</f>
        <v/>
      </c>
      <c r="G879" s="16" t="str">
        <f t="shared" si="42"/>
        <v/>
      </c>
      <c r="H879" s="70" t="str">
        <f t="shared" si="43"/>
        <v/>
      </c>
    </row>
    <row r="880" spans="1:8">
      <c r="A880" s="2"/>
      <c r="B880" s="12"/>
      <c r="C880" s="12"/>
      <c r="E880" t="str">
        <f>IF(LEN(D880)=0,"",[1]!i_pq_tradedays($B$3,A881,A880)-1)</f>
        <v/>
      </c>
      <c r="G880" s="16" t="str">
        <f t="shared" si="42"/>
        <v/>
      </c>
      <c r="H880" s="70" t="str">
        <f t="shared" si="43"/>
        <v/>
      </c>
    </row>
    <row r="881" spans="1:8">
      <c r="A881" s="2"/>
      <c r="B881" s="12"/>
      <c r="C881" s="12"/>
      <c r="E881" t="str">
        <f>IF(LEN(D881)=0,"",[1]!i_pq_tradedays($B$3,A882,A881)-1)</f>
        <v/>
      </c>
      <c r="G881" s="16" t="str">
        <f t="shared" si="42"/>
        <v/>
      </c>
      <c r="H881" s="70" t="str">
        <f t="shared" si="43"/>
        <v/>
      </c>
    </row>
    <row r="882" spans="1:8">
      <c r="A882" s="2"/>
      <c r="B882" s="12"/>
      <c r="C882" s="12"/>
      <c r="E882" t="str">
        <f>IF(LEN(D882)=0,"",[1]!i_pq_tradedays($B$3,A883,A882)-1)</f>
        <v/>
      </c>
      <c r="G882" s="16" t="str">
        <f t="shared" si="42"/>
        <v/>
      </c>
      <c r="H882" s="70" t="str">
        <f t="shared" si="43"/>
        <v/>
      </c>
    </row>
    <row r="883" spans="1:8">
      <c r="A883" s="2"/>
      <c r="B883" s="12"/>
      <c r="C883" s="12"/>
      <c r="E883" t="str">
        <f>IF(LEN(D883)=0,"",[1]!i_pq_tradedays($B$3,A884,A883)-1)</f>
        <v/>
      </c>
      <c r="G883" s="16" t="str">
        <f t="shared" si="42"/>
        <v/>
      </c>
      <c r="H883" s="70" t="str">
        <f t="shared" si="43"/>
        <v/>
      </c>
    </row>
    <row r="884" spans="1:8">
      <c r="A884" s="2"/>
      <c r="B884" s="12"/>
      <c r="C884" s="12"/>
      <c r="E884" t="str">
        <f>IF(LEN(D884)=0,"",[1]!i_pq_tradedays($B$3,A885,A884)-1)</f>
        <v/>
      </c>
      <c r="G884" s="16" t="str">
        <f t="shared" si="42"/>
        <v/>
      </c>
      <c r="H884" s="70" t="str">
        <f t="shared" si="43"/>
        <v/>
      </c>
    </row>
    <row r="885" spans="1:8">
      <c r="A885" s="2"/>
      <c r="B885" s="12"/>
      <c r="C885" s="12"/>
      <c r="E885" t="str">
        <f>IF(LEN(D885)=0,"",[1]!i_pq_tradedays($B$3,A886,A885)-1)</f>
        <v/>
      </c>
      <c r="G885" s="16" t="str">
        <f t="shared" ref="G885:G948" si="44">IF(LEN(D885)=0,"",D885/E885)</f>
        <v/>
      </c>
      <c r="H885" s="70" t="str">
        <f t="shared" ref="H885:H948" si="45">IF(LEN(D885)=0,"",G885/G886-1)</f>
        <v/>
      </c>
    </row>
    <row r="886" spans="1:8">
      <c r="A886" s="2"/>
      <c r="B886" s="12"/>
      <c r="C886" s="12"/>
      <c r="E886" t="str">
        <f>IF(LEN(D886)=0,"",[1]!i_pq_tradedays($B$3,A887,A886)-1)</f>
        <v/>
      </c>
      <c r="G886" s="16" t="str">
        <f t="shared" si="44"/>
        <v/>
      </c>
      <c r="H886" s="70" t="str">
        <f t="shared" si="45"/>
        <v/>
      </c>
    </row>
    <row r="887" spans="1:8">
      <c r="A887" s="2"/>
      <c r="B887" s="12"/>
      <c r="C887" s="12"/>
      <c r="E887" t="str">
        <f>IF(LEN(D887)=0,"",[1]!i_pq_tradedays($B$3,A888,A887)-1)</f>
        <v/>
      </c>
      <c r="G887" s="16" t="str">
        <f t="shared" si="44"/>
        <v/>
      </c>
      <c r="H887" s="70" t="str">
        <f t="shared" si="45"/>
        <v/>
      </c>
    </row>
    <row r="888" spans="1:8">
      <c r="A888" s="2"/>
      <c r="B888" s="12"/>
      <c r="C888" s="12"/>
      <c r="E888" t="str">
        <f>IF(LEN(D888)=0,"",[1]!i_pq_tradedays($B$3,A889,A888)-1)</f>
        <v/>
      </c>
      <c r="G888" s="16" t="str">
        <f t="shared" si="44"/>
        <v/>
      </c>
      <c r="H888" s="70" t="str">
        <f t="shared" si="45"/>
        <v/>
      </c>
    </row>
    <row r="889" spans="1:8">
      <c r="A889" s="2"/>
      <c r="B889" s="12"/>
      <c r="C889" s="12"/>
      <c r="E889" t="str">
        <f>IF(LEN(D889)=0,"",[1]!i_pq_tradedays($B$3,A890,A889)-1)</f>
        <v/>
      </c>
      <c r="G889" s="16" t="str">
        <f t="shared" si="44"/>
        <v/>
      </c>
      <c r="H889" s="70" t="str">
        <f t="shared" si="45"/>
        <v/>
      </c>
    </row>
    <row r="890" spans="1:8">
      <c r="A890" s="2"/>
      <c r="B890" s="12"/>
      <c r="C890" s="12"/>
      <c r="E890" t="str">
        <f>IF(LEN(D890)=0,"",[1]!i_pq_tradedays($B$3,A891,A890)-1)</f>
        <v/>
      </c>
      <c r="G890" s="16" t="str">
        <f t="shared" si="44"/>
        <v/>
      </c>
      <c r="H890" s="70" t="str">
        <f t="shared" si="45"/>
        <v/>
      </c>
    </row>
    <row r="891" spans="1:8">
      <c r="A891" s="2"/>
      <c r="B891" s="12"/>
      <c r="C891" s="12"/>
      <c r="E891" t="str">
        <f>IF(LEN(D891)=0,"",[1]!i_pq_tradedays($B$3,A892,A891)-1)</f>
        <v/>
      </c>
      <c r="G891" s="16" t="str">
        <f t="shared" si="44"/>
        <v/>
      </c>
      <c r="H891" s="70" t="str">
        <f t="shared" si="45"/>
        <v/>
      </c>
    </row>
    <row r="892" spans="1:8">
      <c r="A892" s="2"/>
      <c r="B892" s="12"/>
      <c r="C892" s="12"/>
      <c r="E892" t="str">
        <f>IF(LEN(D892)=0,"",[1]!i_pq_tradedays($B$3,A893,A892)-1)</f>
        <v/>
      </c>
      <c r="G892" s="16" t="str">
        <f t="shared" si="44"/>
        <v/>
      </c>
      <c r="H892" s="70" t="str">
        <f t="shared" si="45"/>
        <v/>
      </c>
    </row>
    <row r="893" spans="1:8">
      <c r="A893" s="2"/>
      <c r="B893" s="12"/>
      <c r="C893" s="12"/>
      <c r="E893" t="str">
        <f>IF(LEN(D893)=0,"",[1]!i_pq_tradedays($B$3,A894,A893)-1)</f>
        <v/>
      </c>
      <c r="G893" s="16" t="str">
        <f t="shared" si="44"/>
        <v/>
      </c>
      <c r="H893" s="70" t="str">
        <f t="shared" si="45"/>
        <v/>
      </c>
    </row>
    <row r="894" spans="1:8">
      <c r="A894" s="2"/>
      <c r="B894" s="12"/>
      <c r="C894" s="12"/>
      <c r="E894" t="str">
        <f>IF(LEN(D894)=0,"",[1]!i_pq_tradedays($B$3,A895,A894)-1)</f>
        <v/>
      </c>
      <c r="G894" s="16" t="str">
        <f t="shared" si="44"/>
        <v/>
      </c>
      <c r="H894" s="70" t="str">
        <f t="shared" si="45"/>
        <v/>
      </c>
    </row>
    <row r="895" spans="1:8">
      <c r="A895" s="2"/>
      <c r="B895" s="12"/>
      <c r="C895" s="12"/>
      <c r="E895" t="str">
        <f>IF(LEN(D895)=0,"",[1]!i_pq_tradedays($B$3,A896,A895)-1)</f>
        <v/>
      </c>
      <c r="G895" s="16" t="str">
        <f t="shared" si="44"/>
        <v/>
      </c>
      <c r="H895" s="70" t="str">
        <f t="shared" si="45"/>
        <v/>
      </c>
    </row>
    <row r="896" spans="1:8">
      <c r="A896" s="2"/>
      <c r="B896" s="12"/>
      <c r="C896" s="12"/>
      <c r="E896" t="str">
        <f>IF(LEN(D896)=0,"",[1]!i_pq_tradedays($B$3,A897,A896)-1)</f>
        <v/>
      </c>
      <c r="G896" s="16" t="str">
        <f t="shared" si="44"/>
        <v/>
      </c>
      <c r="H896" s="70" t="str">
        <f t="shared" si="45"/>
        <v/>
      </c>
    </row>
    <row r="897" spans="1:8">
      <c r="A897" s="2"/>
      <c r="B897" s="12"/>
      <c r="C897" s="12"/>
      <c r="E897" t="str">
        <f>IF(LEN(D897)=0,"",[1]!i_pq_tradedays($B$3,A898,A897)-1)</f>
        <v/>
      </c>
      <c r="G897" s="16" t="str">
        <f t="shared" si="44"/>
        <v/>
      </c>
      <c r="H897" s="70" t="str">
        <f t="shared" si="45"/>
        <v/>
      </c>
    </row>
    <row r="898" spans="1:8">
      <c r="A898" s="2"/>
      <c r="B898" s="12"/>
      <c r="C898" s="12"/>
      <c r="E898" t="str">
        <f>IF(LEN(D898)=0,"",[1]!i_pq_tradedays($B$3,A899,A898)-1)</f>
        <v/>
      </c>
      <c r="G898" s="16" t="str">
        <f t="shared" si="44"/>
        <v/>
      </c>
      <c r="H898" s="70" t="str">
        <f t="shared" si="45"/>
        <v/>
      </c>
    </row>
    <row r="899" spans="1:8">
      <c r="A899" s="2"/>
      <c r="B899" s="12"/>
      <c r="C899" s="12"/>
      <c r="E899" t="str">
        <f>IF(LEN(D899)=0,"",[1]!i_pq_tradedays($B$3,A900,A899)-1)</f>
        <v/>
      </c>
      <c r="G899" s="16" t="str">
        <f t="shared" si="44"/>
        <v/>
      </c>
      <c r="H899" s="70" t="str">
        <f t="shared" si="45"/>
        <v/>
      </c>
    </row>
    <row r="900" spans="1:8">
      <c r="A900" s="2"/>
      <c r="B900" s="12"/>
      <c r="C900" s="12"/>
      <c r="E900" t="str">
        <f>IF(LEN(D900)=0,"",[1]!i_pq_tradedays($B$3,A901,A900)-1)</f>
        <v/>
      </c>
      <c r="G900" s="16" t="str">
        <f t="shared" si="44"/>
        <v/>
      </c>
      <c r="H900" s="70" t="str">
        <f t="shared" si="45"/>
        <v/>
      </c>
    </row>
    <row r="901" spans="1:8">
      <c r="A901" s="2"/>
      <c r="B901" s="12"/>
      <c r="C901" s="12"/>
      <c r="E901" t="str">
        <f>IF(LEN(D901)=0,"",[1]!i_pq_tradedays($B$3,A902,A901)-1)</f>
        <v/>
      </c>
      <c r="G901" s="16" t="str">
        <f t="shared" si="44"/>
        <v/>
      </c>
      <c r="H901" s="70" t="str">
        <f t="shared" si="45"/>
        <v/>
      </c>
    </row>
    <row r="902" spans="1:8">
      <c r="A902" s="2"/>
      <c r="B902" s="12"/>
      <c r="C902" s="12"/>
      <c r="E902" t="str">
        <f>IF(LEN(D902)=0,"",[1]!i_pq_tradedays($B$3,A903,A902)-1)</f>
        <v/>
      </c>
      <c r="G902" s="16" t="str">
        <f t="shared" si="44"/>
        <v/>
      </c>
      <c r="H902" s="70" t="str">
        <f t="shared" si="45"/>
        <v/>
      </c>
    </row>
    <row r="903" spans="1:8">
      <c r="A903" s="2"/>
      <c r="B903" s="12"/>
      <c r="C903" s="12"/>
      <c r="E903" t="str">
        <f>IF(LEN(D903)=0,"",[1]!i_pq_tradedays($B$3,A904,A903)-1)</f>
        <v/>
      </c>
      <c r="G903" s="16" t="str">
        <f t="shared" si="44"/>
        <v/>
      </c>
      <c r="H903" s="70" t="str">
        <f t="shared" si="45"/>
        <v/>
      </c>
    </row>
    <row r="904" spans="1:8">
      <c r="A904" s="2"/>
      <c r="B904" s="12"/>
      <c r="C904" s="12"/>
      <c r="E904" t="str">
        <f>IF(LEN(D904)=0,"",[1]!i_pq_tradedays($B$3,A905,A904)-1)</f>
        <v/>
      </c>
      <c r="G904" s="16" t="str">
        <f t="shared" si="44"/>
        <v/>
      </c>
      <c r="H904" s="70" t="str">
        <f t="shared" si="45"/>
        <v/>
      </c>
    </row>
    <row r="905" spans="1:8">
      <c r="A905" s="2"/>
      <c r="B905" s="12"/>
      <c r="C905" s="12"/>
      <c r="E905" t="str">
        <f>IF(LEN(D905)=0,"",[1]!i_pq_tradedays($B$3,A906,A905)-1)</f>
        <v/>
      </c>
      <c r="G905" s="16" t="str">
        <f t="shared" si="44"/>
        <v/>
      </c>
      <c r="H905" s="70" t="str">
        <f t="shared" si="45"/>
        <v/>
      </c>
    </row>
    <row r="906" spans="1:8">
      <c r="A906" s="2"/>
      <c r="B906" s="12"/>
      <c r="C906" s="12"/>
      <c r="E906" t="str">
        <f>IF(LEN(D906)=0,"",[1]!i_pq_tradedays($B$3,A907,A906)-1)</f>
        <v/>
      </c>
      <c r="G906" s="16" t="str">
        <f t="shared" si="44"/>
        <v/>
      </c>
      <c r="H906" s="70" t="str">
        <f t="shared" si="45"/>
        <v/>
      </c>
    </row>
    <row r="907" spans="1:8">
      <c r="A907" s="2"/>
      <c r="B907" s="12"/>
      <c r="C907" s="12"/>
      <c r="E907" t="str">
        <f>IF(LEN(D907)=0,"",[1]!i_pq_tradedays($B$3,A908,A907)-1)</f>
        <v/>
      </c>
      <c r="G907" s="16" t="str">
        <f t="shared" si="44"/>
        <v/>
      </c>
      <c r="H907" s="70" t="str">
        <f t="shared" si="45"/>
        <v/>
      </c>
    </row>
    <row r="908" spans="1:8">
      <c r="A908" s="2"/>
      <c r="B908" s="12"/>
      <c r="C908" s="12"/>
      <c r="E908" t="str">
        <f>IF(LEN(D908)=0,"",[1]!i_pq_tradedays($B$3,A909,A908)-1)</f>
        <v/>
      </c>
      <c r="G908" s="16" t="str">
        <f t="shared" si="44"/>
        <v/>
      </c>
      <c r="H908" s="70" t="str">
        <f t="shared" si="45"/>
        <v/>
      </c>
    </row>
    <row r="909" spans="1:8">
      <c r="A909" s="2"/>
      <c r="B909" s="12"/>
      <c r="C909" s="12"/>
      <c r="E909" t="str">
        <f>IF(LEN(D909)=0,"",[1]!i_pq_tradedays($B$3,A910,A909)-1)</f>
        <v/>
      </c>
      <c r="G909" s="16" t="str">
        <f t="shared" si="44"/>
        <v/>
      </c>
      <c r="H909" s="70" t="str">
        <f t="shared" si="45"/>
        <v/>
      </c>
    </row>
    <row r="910" spans="1:8">
      <c r="A910" s="2"/>
      <c r="B910" s="12"/>
      <c r="C910" s="12"/>
      <c r="E910" t="str">
        <f>IF(LEN(D910)=0,"",[1]!i_pq_tradedays($B$3,A911,A910)-1)</f>
        <v/>
      </c>
      <c r="G910" s="16" t="str">
        <f t="shared" si="44"/>
        <v/>
      </c>
      <c r="H910" s="70" t="str">
        <f t="shared" si="45"/>
        <v/>
      </c>
    </row>
    <row r="911" spans="1:8">
      <c r="A911" s="2"/>
      <c r="B911" s="12"/>
      <c r="C911" s="12"/>
      <c r="E911" t="str">
        <f>IF(LEN(D911)=0,"",[1]!i_pq_tradedays($B$3,A912,A911)-1)</f>
        <v/>
      </c>
      <c r="G911" s="16" t="str">
        <f t="shared" si="44"/>
        <v/>
      </c>
      <c r="H911" s="70" t="str">
        <f t="shared" si="45"/>
        <v/>
      </c>
    </row>
    <row r="912" spans="1:8">
      <c r="A912" s="2"/>
      <c r="B912" s="12"/>
      <c r="C912" s="12"/>
      <c r="E912" t="str">
        <f>IF(LEN(D912)=0,"",[1]!i_pq_tradedays($B$3,A913,A912)-1)</f>
        <v/>
      </c>
      <c r="G912" s="16" t="str">
        <f t="shared" si="44"/>
        <v/>
      </c>
      <c r="H912" s="70" t="str">
        <f t="shared" si="45"/>
        <v/>
      </c>
    </row>
    <row r="913" spans="1:8">
      <c r="A913" s="2"/>
      <c r="B913" s="12"/>
      <c r="C913" s="12"/>
      <c r="E913" t="str">
        <f>IF(LEN(D913)=0,"",[1]!i_pq_tradedays($B$3,A914,A913)-1)</f>
        <v/>
      </c>
      <c r="G913" s="16" t="str">
        <f t="shared" si="44"/>
        <v/>
      </c>
      <c r="H913" s="70" t="str">
        <f t="shared" si="45"/>
        <v/>
      </c>
    </row>
    <row r="914" spans="1:8">
      <c r="A914" s="2"/>
      <c r="B914" s="12"/>
      <c r="C914" s="12"/>
      <c r="E914" t="str">
        <f>IF(LEN(D914)=0,"",[1]!i_pq_tradedays($B$3,A915,A914)-1)</f>
        <v/>
      </c>
      <c r="G914" s="16" t="str">
        <f t="shared" si="44"/>
        <v/>
      </c>
      <c r="H914" s="70" t="str">
        <f t="shared" si="45"/>
        <v/>
      </c>
    </row>
    <row r="915" spans="1:8">
      <c r="A915" s="2"/>
      <c r="B915" s="12"/>
      <c r="C915" s="12"/>
      <c r="E915" t="str">
        <f>IF(LEN(D915)=0,"",[1]!i_pq_tradedays($B$3,A916,A915)-1)</f>
        <v/>
      </c>
      <c r="G915" s="16" t="str">
        <f t="shared" si="44"/>
        <v/>
      </c>
      <c r="H915" s="70" t="str">
        <f t="shared" si="45"/>
        <v/>
      </c>
    </row>
    <row r="916" spans="1:8">
      <c r="A916" s="2"/>
      <c r="B916" s="12"/>
      <c r="C916" s="12"/>
      <c r="E916" t="str">
        <f>IF(LEN(D916)=0,"",[1]!i_pq_tradedays($B$3,A917,A916)-1)</f>
        <v/>
      </c>
      <c r="G916" s="16" t="str">
        <f t="shared" si="44"/>
        <v/>
      </c>
      <c r="H916" s="70" t="str">
        <f t="shared" si="45"/>
        <v/>
      </c>
    </row>
    <row r="917" spans="1:8">
      <c r="A917" s="2"/>
      <c r="B917" s="12"/>
      <c r="C917" s="12"/>
      <c r="E917" t="str">
        <f>IF(LEN(D917)=0,"",[1]!i_pq_tradedays($B$3,A918,A917)-1)</f>
        <v/>
      </c>
      <c r="G917" s="16" t="str">
        <f t="shared" si="44"/>
        <v/>
      </c>
      <c r="H917" s="70" t="str">
        <f t="shared" si="45"/>
        <v/>
      </c>
    </row>
    <row r="918" spans="1:8">
      <c r="A918" s="2"/>
      <c r="B918" s="12"/>
      <c r="C918" s="12"/>
      <c r="E918" t="str">
        <f>IF(LEN(D918)=0,"",[1]!i_pq_tradedays($B$3,A919,A918)-1)</f>
        <v/>
      </c>
      <c r="G918" s="16" t="str">
        <f t="shared" si="44"/>
        <v/>
      </c>
      <c r="H918" s="70" t="str">
        <f t="shared" si="45"/>
        <v/>
      </c>
    </row>
    <row r="919" spans="1:8">
      <c r="A919" s="2"/>
      <c r="B919" s="12"/>
      <c r="C919" s="12"/>
      <c r="E919" t="str">
        <f>IF(LEN(D919)=0,"",[1]!i_pq_tradedays($B$3,A920,A919)-1)</f>
        <v/>
      </c>
      <c r="G919" s="16" t="str">
        <f t="shared" si="44"/>
        <v/>
      </c>
      <c r="H919" s="70" t="str">
        <f t="shared" si="45"/>
        <v/>
      </c>
    </row>
    <row r="920" spans="1:8">
      <c r="A920" s="2"/>
      <c r="B920" s="12"/>
      <c r="C920" s="12"/>
      <c r="E920" t="str">
        <f>IF(LEN(D920)=0,"",[1]!i_pq_tradedays($B$3,A921,A920)-1)</f>
        <v/>
      </c>
      <c r="G920" s="16" t="str">
        <f t="shared" si="44"/>
        <v/>
      </c>
      <c r="H920" s="70" t="str">
        <f t="shared" si="45"/>
        <v/>
      </c>
    </row>
    <row r="921" spans="1:8">
      <c r="A921" s="2"/>
      <c r="B921" s="12"/>
      <c r="C921" s="12"/>
      <c r="E921" t="str">
        <f>IF(LEN(D921)=0,"",[1]!i_pq_tradedays($B$3,A922,A921)-1)</f>
        <v/>
      </c>
      <c r="G921" s="16" t="str">
        <f t="shared" si="44"/>
        <v/>
      </c>
      <c r="H921" s="70" t="str">
        <f t="shared" si="45"/>
        <v/>
      </c>
    </row>
    <row r="922" spans="1:8">
      <c r="A922" s="2"/>
      <c r="B922" s="12"/>
      <c r="C922" s="12"/>
      <c r="E922" t="str">
        <f>IF(LEN(D922)=0,"",[1]!i_pq_tradedays($B$3,A923,A922)-1)</f>
        <v/>
      </c>
      <c r="G922" s="16" t="str">
        <f t="shared" si="44"/>
        <v/>
      </c>
      <c r="H922" s="70" t="str">
        <f t="shared" si="45"/>
        <v/>
      </c>
    </row>
    <row r="923" spans="1:8">
      <c r="A923" s="2"/>
      <c r="B923" s="12"/>
      <c r="C923" s="12"/>
      <c r="E923" t="str">
        <f>IF(LEN(D923)=0,"",[1]!i_pq_tradedays($B$3,A924,A923)-1)</f>
        <v/>
      </c>
      <c r="G923" s="16" t="str">
        <f t="shared" si="44"/>
        <v/>
      </c>
      <c r="H923" s="70" t="str">
        <f t="shared" si="45"/>
        <v/>
      </c>
    </row>
    <row r="924" spans="1:8">
      <c r="A924" s="2"/>
      <c r="B924" s="12"/>
      <c r="C924" s="12"/>
      <c r="E924" t="str">
        <f>IF(LEN(D924)=0,"",[1]!i_pq_tradedays($B$3,A925,A924)-1)</f>
        <v/>
      </c>
      <c r="G924" s="16" t="str">
        <f t="shared" si="44"/>
        <v/>
      </c>
      <c r="H924" s="70" t="str">
        <f t="shared" si="45"/>
        <v/>
      </c>
    </row>
    <row r="925" spans="1:8">
      <c r="A925" s="2"/>
      <c r="B925" s="12"/>
      <c r="C925" s="12"/>
      <c r="E925" t="str">
        <f>IF(LEN(D925)=0,"",[1]!i_pq_tradedays($B$3,A926,A925)-1)</f>
        <v/>
      </c>
      <c r="G925" s="16" t="str">
        <f t="shared" si="44"/>
        <v/>
      </c>
      <c r="H925" s="70" t="str">
        <f t="shared" si="45"/>
        <v/>
      </c>
    </row>
    <row r="926" spans="1:8">
      <c r="A926" s="2"/>
      <c r="B926" s="12"/>
      <c r="C926" s="12"/>
      <c r="E926" t="str">
        <f>IF(LEN(D926)=0,"",[1]!i_pq_tradedays($B$3,A927,A926)-1)</f>
        <v/>
      </c>
      <c r="G926" s="16" t="str">
        <f t="shared" si="44"/>
        <v/>
      </c>
      <c r="H926" s="70" t="str">
        <f t="shared" si="45"/>
        <v/>
      </c>
    </row>
    <row r="927" spans="1:8">
      <c r="A927" s="2"/>
      <c r="B927" s="12"/>
      <c r="C927" s="12"/>
      <c r="E927" t="str">
        <f>IF(LEN(D927)=0,"",[1]!i_pq_tradedays($B$3,A928,A927)-1)</f>
        <v/>
      </c>
      <c r="G927" s="16" t="str">
        <f t="shared" si="44"/>
        <v/>
      </c>
      <c r="H927" s="70" t="str">
        <f t="shared" si="45"/>
        <v/>
      </c>
    </row>
    <row r="928" spans="1:8">
      <c r="A928" s="2"/>
      <c r="B928" s="12"/>
      <c r="C928" s="12"/>
      <c r="E928" t="str">
        <f>IF(LEN(D928)=0,"",[1]!i_pq_tradedays($B$3,A929,A928)-1)</f>
        <v/>
      </c>
      <c r="G928" s="16" t="str">
        <f t="shared" si="44"/>
        <v/>
      </c>
      <c r="H928" s="70" t="str">
        <f t="shared" si="45"/>
        <v/>
      </c>
    </row>
    <row r="929" spans="1:8">
      <c r="A929" s="2"/>
      <c r="B929" s="12"/>
      <c r="C929" s="12"/>
      <c r="E929" t="str">
        <f>IF(LEN(D929)=0,"",[1]!i_pq_tradedays($B$3,A930,A929)-1)</f>
        <v/>
      </c>
      <c r="G929" s="16" t="str">
        <f t="shared" si="44"/>
        <v/>
      </c>
      <c r="H929" s="70" t="str">
        <f t="shared" si="45"/>
        <v/>
      </c>
    </row>
    <row r="930" spans="1:8">
      <c r="A930" s="2"/>
      <c r="B930" s="12"/>
      <c r="C930" s="12"/>
      <c r="E930" t="str">
        <f>IF(LEN(D930)=0,"",[1]!i_pq_tradedays($B$3,A931,A930)-1)</f>
        <v/>
      </c>
      <c r="G930" s="16" t="str">
        <f t="shared" si="44"/>
        <v/>
      </c>
      <c r="H930" s="70" t="str">
        <f t="shared" si="45"/>
        <v/>
      </c>
    </row>
    <row r="931" spans="1:8">
      <c r="A931" s="2"/>
      <c r="B931" s="12"/>
      <c r="C931" s="12"/>
      <c r="E931" t="str">
        <f>IF(LEN(D931)=0,"",[1]!i_pq_tradedays($B$3,A932,A931)-1)</f>
        <v/>
      </c>
      <c r="G931" s="16" t="str">
        <f t="shared" si="44"/>
        <v/>
      </c>
      <c r="H931" s="70" t="str">
        <f t="shared" si="45"/>
        <v/>
      </c>
    </row>
    <row r="932" spans="1:8">
      <c r="A932" s="2"/>
      <c r="B932" s="12"/>
      <c r="C932" s="12"/>
      <c r="E932" t="str">
        <f>IF(LEN(D932)=0,"",[1]!i_pq_tradedays($B$3,A933,A932)-1)</f>
        <v/>
      </c>
      <c r="G932" s="16" t="str">
        <f t="shared" si="44"/>
        <v/>
      </c>
      <c r="H932" s="70" t="str">
        <f t="shared" si="45"/>
        <v/>
      </c>
    </row>
    <row r="933" spans="1:8">
      <c r="A933" s="2"/>
      <c r="B933" s="12"/>
      <c r="C933" s="12"/>
      <c r="E933" t="str">
        <f>IF(LEN(D933)=0,"",[1]!i_pq_tradedays($B$3,A934,A933)-1)</f>
        <v/>
      </c>
      <c r="G933" s="16" t="str">
        <f t="shared" si="44"/>
        <v/>
      </c>
      <c r="H933" s="70" t="str">
        <f t="shared" si="45"/>
        <v/>
      </c>
    </row>
    <row r="934" spans="1:8">
      <c r="A934" s="2"/>
      <c r="B934" s="12"/>
      <c r="C934" s="12"/>
      <c r="E934" t="str">
        <f>IF(LEN(D934)=0,"",[1]!i_pq_tradedays($B$3,A935,A934)-1)</f>
        <v/>
      </c>
      <c r="G934" s="16" t="str">
        <f t="shared" si="44"/>
        <v/>
      </c>
      <c r="H934" s="70" t="str">
        <f t="shared" si="45"/>
        <v/>
      </c>
    </row>
    <row r="935" spans="1:8">
      <c r="A935" s="2"/>
      <c r="B935" s="12"/>
      <c r="C935" s="12"/>
      <c r="E935" t="str">
        <f>IF(LEN(D935)=0,"",[1]!i_pq_tradedays($B$3,A936,A935)-1)</f>
        <v/>
      </c>
      <c r="G935" s="16" t="str">
        <f t="shared" si="44"/>
        <v/>
      </c>
      <c r="H935" s="70" t="str">
        <f t="shared" si="45"/>
        <v/>
      </c>
    </row>
    <row r="936" spans="1:8">
      <c r="A936" s="2"/>
      <c r="B936" s="12"/>
      <c r="C936" s="12"/>
      <c r="E936" t="str">
        <f>IF(LEN(D936)=0,"",[1]!i_pq_tradedays($B$3,A937,A936)-1)</f>
        <v/>
      </c>
      <c r="G936" s="16" t="str">
        <f t="shared" si="44"/>
        <v/>
      </c>
      <c r="H936" s="70" t="str">
        <f t="shared" si="45"/>
        <v/>
      </c>
    </row>
    <row r="937" spans="1:8">
      <c r="A937" s="2"/>
      <c r="B937" s="12"/>
      <c r="C937" s="12"/>
      <c r="E937" t="str">
        <f>IF(LEN(D937)=0,"",[1]!i_pq_tradedays($B$3,A938,A937)-1)</f>
        <v/>
      </c>
      <c r="G937" s="16" t="str">
        <f t="shared" si="44"/>
        <v/>
      </c>
      <c r="H937" s="70" t="str">
        <f t="shared" si="45"/>
        <v/>
      </c>
    </row>
    <row r="938" spans="1:8">
      <c r="A938" s="2"/>
      <c r="B938" s="12"/>
      <c r="C938" s="12"/>
      <c r="E938" t="str">
        <f>IF(LEN(D938)=0,"",[1]!i_pq_tradedays($B$3,A939,A938)-1)</f>
        <v/>
      </c>
      <c r="G938" s="16" t="str">
        <f t="shared" si="44"/>
        <v/>
      </c>
      <c r="H938" s="70" t="str">
        <f t="shared" si="45"/>
        <v/>
      </c>
    </row>
    <row r="939" spans="1:8">
      <c r="A939" s="2"/>
      <c r="B939" s="12"/>
      <c r="C939" s="12"/>
      <c r="E939" t="str">
        <f>IF(LEN(D939)=0,"",[1]!i_pq_tradedays($B$3,A940,A939)-1)</f>
        <v/>
      </c>
      <c r="G939" s="16" t="str">
        <f t="shared" si="44"/>
        <v/>
      </c>
      <c r="H939" s="70" t="str">
        <f t="shared" si="45"/>
        <v/>
      </c>
    </row>
    <row r="940" spans="1:8">
      <c r="A940" s="2"/>
      <c r="B940" s="12"/>
      <c r="C940" s="12"/>
      <c r="E940" t="str">
        <f>IF(LEN(D940)=0,"",[1]!i_pq_tradedays($B$3,A941,A940)-1)</f>
        <v/>
      </c>
      <c r="G940" s="16" t="str">
        <f t="shared" si="44"/>
        <v/>
      </c>
      <c r="H940" s="70" t="str">
        <f t="shared" si="45"/>
        <v/>
      </c>
    </row>
    <row r="941" spans="1:8">
      <c r="A941" s="2"/>
      <c r="B941" s="12"/>
      <c r="C941" s="12"/>
      <c r="E941" t="str">
        <f>IF(LEN(D941)=0,"",[1]!i_pq_tradedays($B$3,A942,A941)-1)</f>
        <v/>
      </c>
      <c r="G941" s="16" t="str">
        <f t="shared" si="44"/>
        <v/>
      </c>
      <c r="H941" s="70" t="str">
        <f t="shared" si="45"/>
        <v/>
      </c>
    </row>
    <row r="942" spans="1:8">
      <c r="A942" s="2"/>
      <c r="B942" s="12"/>
      <c r="C942" s="12"/>
      <c r="E942" t="str">
        <f>IF(LEN(D942)=0,"",[1]!i_pq_tradedays($B$3,A943,A942)-1)</f>
        <v/>
      </c>
      <c r="G942" s="16" t="str">
        <f t="shared" si="44"/>
        <v/>
      </c>
      <c r="H942" s="70" t="str">
        <f t="shared" si="45"/>
        <v/>
      </c>
    </row>
    <row r="943" spans="1:8">
      <c r="A943" s="2"/>
      <c r="B943" s="12"/>
      <c r="C943" s="12"/>
      <c r="E943" t="str">
        <f>IF(LEN(D943)=0,"",[1]!i_pq_tradedays($B$3,A944,A943)-1)</f>
        <v/>
      </c>
      <c r="G943" s="16" t="str">
        <f t="shared" si="44"/>
        <v/>
      </c>
      <c r="H943" s="70" t="str">
        <f t="shared" si="45"/>
        <v/>
      </c>
    </row>
    <row r="944" spans="1:8">
      <c r="A944" s="2"/>
      <c r="B944" s="12"/>
      <c r="C944" s="12"/>
      <c r="E944" t="str">
        <f>IF(LEN(D944)=0,"",[1]!i_pq_tradedays($B$3,A945,A944)-1)</f>
        <v/>
      </c>
      <c r="G944" s="16" t="str">
        <f t="shared" si="44"/>
        <v/>
      </c>
      <c r="H944" s="70" t="str">
        <f t="shared" si="45"/>
        <v/>
      </c>
    </row>
    <row r="945" spans="1:8">
      <c r="A945" s="2"/>
      <c r="B945" s="12"/>
      <c r="C945" s="12"/>
      <c r="E945" t="str">
        <f>IF(LEN(D945)=0,"",[1]!i_pq_tradedays($B$3,A946,A945)-1)</f>
        <v/>
      </c>
      <c r="G945" s="16" t="str">
        <f t="shared" si="44"/>
        <v/>
      </c>
      <c r="H945" s="70" t="str">
        <f t="shared" si="45"/>
        <v/>
      </c>
    </row>
    <row r="946" spans="1:8">
      <c r="A946" s="2"/>
      <c r="B946" s="12"/>
      <c r="C946" s="12"/>
      <c r="E946" t="str">
        <f>IF(LEN(D946)=0,"",[1]!i_pq_tradedays($B$3,A947,A946)-1)</f>
        <v/>
      </c>
      <c r="G946" s="16" t="str">
        <f t="shared" si="44"/>
        <v/>
      </c>
      <c r="H946" s="70" t="str">
        <f t="shared" si="45"/>
        <v/>
      </c>
    </row>
    <row r="947" spans="1:8">
      <c r="A947" s="2"/>
      <c r="B947" s="12"/>
      <c r="C947" s="12"/>
      <c r="E947" t="str">
        <f>IF(LEN(D947)=0,"",[1]!i_pq_tradedays($B$3,A948,A947)-1)</f>
        <v/>
      </c>
      <c r="G947" s="16" t="str">
        <f t="shared" si="44"/>
        <v/>
      </c>
      <c r="H947" s="70" t="str">
        <f t="shared" si="45"/>
        <v/>
      </c>
    </row>
    <row r="948" spans="1:8">
      <c r="A948" s="2"/>
      <c r="B948" s="12"/>
      <c r="C948" s="12"/>
      <c r="E948" t="str">
        <f>IF(LEN(D948)=0,"",[1]!i_pq_tradedays($B$3,A949,A948)-1)</f>
        <v/>
      </c>
      <c r="G948" s="16" t="str">
        <f t="shared" si="44"/>
        <v/>
      </c>
      <c r="H948" s="70" t="str">
        <f t="shared" si="45"/>
        <v/>
      </c>
    </row>
    <row r="949" spans="1:8">
      <c r="A949" s="2"/>
      <c r="B949" s="12"/>
      <c r="C949" s="12"/>
      <c r="E949" t="str">
        <f>IF(LEN(D949)=0,"",[1]!i_pq_tradedays($B$3,A950,A949)-1)</f>
        <v/>
      </c>
      <c r="G949" s="16" t="str">
        <f t="shared" ref="G949:G1012" si="46">IF(LEN(D949)=0,"",D949/E949)</f>
        <v/>
      </c>
      <c r="H949" s="70" t="str">
        <f t="shared" ref="H949:H1012" si="47">IF(LEN(D949)=0,"",G949/G950-1)</f>
        <v/>
      </c>
    </row>
    <row r="950" spans="1:8">
      <c r="A950" s="2"/>
      <c r="B950" s="12"/>
      <c r="C950" s="12"/>
      <c r="E950" t="str">
        <f>IF(LEN(D950)=0,"",[1]!i_pq_tradedays($B$3,A951,A950)-1)</f>
        <v/>
      </c>
      <c r="G950" s="16" t="str">
        <f t="shared" si="46"/>
        <v/>
      </c>
      <c r="H950" s="70" t="str">
        <f t="shared" si="47"/>
        <v/>
      </c>
    </row>
    <row r="951" spans="1:8">
      <c r="A951" s="2"/>
      <c r="B951" s="12"/>
      <c r="C951" s="12"/>
      <c r="E951" t="str">
        <f>IF(LEN(D951)=0,"",[1]!i_pq_tradedays($B$3,A952,A951)-1)</f>
        <v/>
      </c>
      <c r="G951" s="16" t="str">
        <f t="shared" si="46"/>
        <v/>
      </c>
      <c r="H951" s="70" t="str">
        <f t="shared" si="47"/>
        <v/>
      </c>
    </row>
    <row r="952" spans="1:8">
      <c r="A952" s="2"/>
      <c r="B952" s="12"/>
      <c r="C952" s="12"/>
      <c r="E952" t="str">
        <f>IF(LEN(D952)=0,"",[1]!i_pq_tradedays($B$3,A953,A952)-1)</f>
        <v/>
      </c>
      <c r="G952" s="16" t="str">
        <f t="shared" si="46"/>
        <v/>
      </c>
      <c r="H952" s="70" t="str">
        <f t="shared" si="47"/>
        <v/>
      </c>
    </row>
    <row r="953" spans="1:8">
      <c r="A953" s="2"/>
      <c r="B953" s="12"/>
      <c r="C953" s="12"/>
      <c r="E953" t="str">
        <f>IF(LEN(D953)=0,"",[1]!i_pq_tradedays($B$3,A954,A953)-1)</f>
        <v/>
      </c>
      <c r="G953" s="16" t="str">
        <f t="shared" si="46"/>
        <v/>
      </c>
      <c r="H953" s="70" t="str">
        <f t="shared" si="47"/>
        <v/>
      </c>
    </row>
    <row r="954" spans="1:8">
      <c r="A954" s="2"/>
      <c r="B954" s="12"/>
      <c r="C954" s="12"/>
      <c r="E954" t="str">
        <f>IF(LEN(D954)=0,"",[1]!i_pq_tradedays($B$3,A955,A954)-1)</f>
        <v/>
      </c>
      <c r="G954" s="16" t="str">
        <f t="shared" si="46"/>
        <v/>
      </c>
      <c r="H954" s="70" t="str">
        <f t="shared" si="47"/>
        <v/>
      </c>
    </row>
    <row r="955" spans="1:8">
      <c r="A955" s="2"/>
      <c r="B955" s="12"/>
      <c r="C955" s="12"/>
      <c r="E955" t="str">
        <f>IF(LEN(D955)=0,"",[1]!i_pq_tradedays($B$3,A956,A955)-1)</f>
        <v/>
      </c>
      <c r="G955" s="16" t="str">
        <f t="shared" si="46"/>
        <v/>
      </c>
      <c r="H955" s="70" t="str">
        <f t="shared" si="47"/>
        <v/>
      </c>
    </row>
    <row r="956" spans="1:8">
      <c r="A956" s="2"/>
      <c r="B956" s="12"/>
      <c r="C956" s="12"/>
      <c r="E956" t="str">
        <f>IF(LEN(D956)=0,"",[1]!i_pq_tradedays($B$3,A957,A956)-1)</f>
        <v/>
      </c>
      <c r="G956" s="16" t="str">
        <f t="shared" si="46"/>
        <v/>
      </c>
      <c r="H956" s="70" t="str">
        <f t="shared" si="47"/>
        <v/>
      </c>
    </row>
    <row r="957" spans="1:8">
      <c r="A957" s="2"/>
      <c r="B957" s="12"/>
      <c r="C957" s="12"/>
      <c r="E957" t="str">
        <f>IF(LEN(D957)=0,"",[1]!i_pq_tradedays($B$3,A958,A957)-1)</f>
        <v/>
      </c>
      <c r="G957" s="16" t="str">
        <f t="shared" si="46"/>
        <v/>
      </c>
      <c r="H957" s="70" t="str">
        <f t="shared" si="47"/>
        <v/>
      </c>
    </row>
    <row r="958" spans="1:8">
      <c r="A958" s="2"/>
      <c r="B958" s="12"/>
      <c r="C958" s="12"/>
      <c r="E958" t="str">
        <f>IF(LEN(D958)=0,"",[1]!i_pq_tradedays($B$3,A959,A958)-1)</f>
        <v/>
      </c>
      <c r="G958" s="16" t="str">
        <f t="shared" si="46"/>
        <v/>
      </c>
      <c r="H958" s="70" t="str">
        <f t="shared" si="47"/>
        <v/>
      </c>
    </row>
    <row r="959" spans="1:8">
      <c r="A959" s="2"/>
      <c r="B959" s="12"/>
      <c r="C959" s="12"/>
      <c r="E959" t="str">
        <f>IF(LEN(D959)=0,"",[1]!i_pq_tradedays($B$3,A960,A959)-1)</f>
        <v/>
      </c>
      <c r="G959" s="16" t="str">
        <f t="shared" si="46"/>
        <v/>
      </c>
      <c r="H959" s="70" t="str">
        <f t="shared" si="47"/>
        <v/>
      </c>
    </row>
    <row r="960" spans="1:8">
      <c r="A960" s="2"/>
      <c r="B960" s="12"/>
      <c r="C960" s="12"/>
      <c r="E960" t="str">
        <f>IF(LEN(D960)=0,"",[1]!i_pq_tradedays($B$3,A961,A960)-1)</f>
        <v/>
      </c>
      <c r="G960" s="16" t="str">
        <f t="shared" si="46"/>
        <v/>
      </c>
      <c r="H960" s="70" t="str">
        <f t="shared" si="47"/>
        <v/>
      </c>
    </row>
    <row r="961" spans="1:8">
      <c r="A961" s="2"/>
      <c r="B961" s="12"/>
      <c r="C961" s="12"/>
      <c r="E961" t="str">
        <f>IF(LEN(D961)=0,"",[1]!i_pq_tradedays($B$3,A962,A961)-1)</f>
        <v/>
      </c>
      <c r="G961" s="16" t="str">
        <f t="shared" si="46"/>
        <v/>
      </c>
      <c r="H961" s="70" t="str">
        <f t="shared" si="47"/>
        <v/>
      </c>
    </row>
    <row r="962" spans="1:8">
      <c r="A962" s="2"/>
      <c r="B962" s="12"/>
      <c r="C962" s="12"/>
      <c r="E962" t="str">
        <f>IF(LEN(D962)=0,"",[1]!i_pq_tradedays($B$3,A963,A962)-1)</f>
        <v/>
      </c>
      <c r="G962" s="16" t="str">
        <f t="shared" si="46"/>
        <v/>
      </c>
      <c r="H962" s="70" t="str">
        <f t="shared" si="47"/>
        <v/>
      </c>
    </row>
    <row r="963" spans="1:8">
      <c r="A963" s="2"/>
      <c r="B963" s="12"/>
      <c r="C963" s="12"/>
      <c r="E963" t="str">
        <f>IF(LEN(D963)=0,"",[1]!i_pq_tradedays($B$3,A964,A963)-1)</f>
        <v/>
      </c>
      <c r="G963" s="16" t="str">
        <f t="shared" si="46"/>
        <v/>
      </c>
      <c r="H963" s="70" t="str">
        <f t="shared" si="47"/>
        <v/>
      </c>
    </row>
    <row r="964" spans="1:8">
      <c r="A964" s="2"/>
      <c r="B964" s="12"/>
      <c r="C964" s="12"/>
      <c r="E964" t="str">
        <f>IF(LEN(D964)=0,"",[1]!i_pq_tradedays($B$3,A965,A964)-1)</f>
        <v/>
      </c>
      <c r="G964" s="16" t="str">
        <f t="shared" si="46"/>
        <v/>
      </c>
      <c r="H964" s="70" t="str">
        <f t="shared" si="47"/>
        <v/>
      </c>
    </row>
    <row r="965" spans="1:8">
      <c r="A965" s="2"/>
      <c r="B965" s="12"/>
      <c r="C965" s="12"/>
      <c r="E965" t="str">
        <f>IF(LEN(D965)=0,"",[1]!i_pq_tradedays($B$3,A966,A965)-1)</f>
        <v/>
      </c>
      <c r="G965" s="16" t="str">
        <f t="shared" si="46"/>
        <v/>
      </c>
      <c r="H965" s="70" t="str">
        <f t="shared" si="47"/>
        <v/>
      </c>
    </row>
    <row r="966" spans="1:8">
      <c r="A966" s="2"/>
      <c r="B966" s="12"/>
      <c r="C966" s="12"/>
      <c r="E966" t="str">
        <f>IF(LEN(D966)=0,"",[1]!i_pq_tradedays($B$3,A967,A966)-1)</f>
        <v/>
      </c>
      <c r="G966" s="16" t="str">
        <f t="shared" si="46"/>
        <v/>
      </c>
      <c r="H966" s="70" t="str">
        <f t="shared" si="47"/>
        <v/>
      </c>
    </row>
    <row r="967" spans="1:8">
      <c r="A967" s="2"/>
      <c r="B967" s="12"/>
      <c r="C967" s="12"/>
      <c r="E967" t="str">
        <f>IF(LEN(D967)=0,"",[1]!i_pq_tradedays($B$3,A968,A967)-1)</f>
        <v/>
      </c>
      <c r="G967" s="16" t="str">
        <f t="shared" si="46"/>
        <v/>
      </c>
      <c r="H967" s="70" t="str">
        <f t="shared" si="47"/>
        <v/>
      </c>
    </row>
    <row r="968" spans="1:8">
      <c r="A968" s="2"/>
      <c r="B968" s="12"/>
      <c r="C968" s="12"/>
      <c r="E968" t="str">
        <f>IF(LEN(D968)=0,"",[1]!i_pq_tradedays($B$3,A969,A968)-1)</f>
        <v/>
      </c>
      <c r="G968" s="16" t="str">
        <f t="shared" si="46"/>
        <v/>
      </c>
      <c r="H968" s="70" t="str">
        <f t="shared" si="47"/>
        <v/>
      </c>
    </row>
    <row r="969" spans="1:8">
      <c r="A969" s="2"/>
      <c r="B969" s="12"/>
      <c r="C969" s="12"/>
      <c r="E969" t="str">
        <f>IF(LEN(D969)=0,"",[1]!i_pq_tradedays($B$3,A970,A969)-1)</f>
        <v/>
      </c>
      <c r="G969" s="16" t="str">
        <f t="shared" si="46"/>
        <v/>
      </c>
      <c r="H969" s="70" t="str">
        <f t="shared" si="47"/>
        <v/>
      </c>
    </row>
    <row r="970" spans="1:8">
      <c r="A970" s="2"/>
      <c r="B970" s="12"/>
      <c r="C970" s="12"/>
      <c r="E970" t="str">
        <f>IF(LEN(D970)=0,"",[1]!i_pq_tradedays($B$3,A971,A970)-1)</f>
        <v/>
      </c>
      <c r="G970" s="16" t="str">
        <f t="shared" si="46"/>
        <v/>
      </c>
      <c r="H970" s="70" t="str">
        <f t="shared" si="47"/>
        <v/>
      </c>
    </row>
    <row r="971" spans="1:8">
      <c r="A971" s="2"/>
      <c r="B971" s="12"/>
      <c r="C971" s="12"/>
      <c r="E971" t="str">
        <f>IF(LEN(D971)=0,"",[1]!i_pq_tradedays($B$3,A972,A971)-1)</f>
        <v/>
      </c>
      <c r="G971" s="16" t="str">
        <f t="shared" si="46"/>
        <v/>
      </c>
      <c r="H971" s="70" t="str">
        <f t="shared" si="47"/>
        <v/>
      </c>
    </row>
    <row r="972" spans="1:8">
      <c r="A972" s="2"/>
      <c r="B972" s="12"/>
      <c r="C972" s="12"/>
      <c r="E972" t="str">
        <f>IF(LEN(D972)=0,"",[1]!i_pq_tradedays($B$3,A973,A972)-1)</f>
        <v/>
      </c>
      <c r="G972" s="16" t="str">
        <f t="shared" si="46"/>
        <v/>
      </c>
      <c r="H972" s="70" t="str">
        <f t="shared" si="47"/>
        <v/>
      </c>
    </row>
    <row r="973" spans="1:8">
      <c r="A973" s="2"/>
      <c r="B973" s="12"/>
      <c r="C973" s="12"/>
      <c r="E973" t="str">
        <f>IF(LEN(D973)=0,"",[1]!i_pq_tradedays($B$3,A974,A973)-1)</f>
        <v/>
      </c>
      <c r="G973" s="16" t="str">
        <f t="shared" si="46"/>
        <v/>
      </c>
      <c r="H973" s="70" t="str">
        <f t="shared" si="47"/>
        <v/>
      </c>
    </row>
    <row r="974" spans="1:8">
      <c r="A974" s="2"/>
      <c r="B974" s="12"/>
      <c r="C974" s="12"/>
      <c r="E974" t="str">
        <f>IF(LEN(D974)=0,"",[1]!i_pq_tradedays($B$3,A975,A974)-1)</f>
        <v/>
      </c>
      <c r="G974" s="16" t="str">
        <f t="shared" si="46"/>
        <v/>
      </c>
      <c r="H974" s="70" t="str">
        <f t="shared" si="47"/>
        <v/>
      </c>
    </row>
    <row r="975" spans="1:8">
      <c r="A975" s="2"/>
      <c r="B975" s="12"/>
      <c r="C975" s="12"/>
      <c r="E975" t="str">
        <f>IF(LEN(D975)=0,"",[1]!i_pq_tradedays($B$3,A976,A975)-1)</f>
        <v/>
      </c>
      <c r="G975" s="16" t="str">
        <f t="shared" si="46"/>
        <v/>
      </c>
      <c r="H975" s="70" t="str">
        <f t="shared" si="47"/>
        <v/>
      </c>
    </row>
    <row r="976" spans="1:8">
      <c r="A976" s="2"/>
      <c r="B976" s="12"/>
      <c r="C976" s="12"/>
      <c r="E976" t="str">
        <f>IF(LEN(D976)=0,"",[1]!i_pq_tradedays($B$3,A977,A976)-1)</f>
        <v/>
      </c>
      <c r="G976" s="16" t="str">
        <f t="shared" si="46"/>
        <v/>
      </c>
      <c r="H976" s="70" t="str">
        <f t="shared" si="47"/>
        <v/>
      </c>
    </row>
    <row r="977" spans="1:8">
      <c r="A977" s="2"/>
      <c r="B977" s="12"/>
      <c r="C977" s="12"/>
      <c r="E977" t="str">
        <f>IF(LEN(D977)=0,"",[1]!i_pq_tradedays($B$3,A978,A977)-1)</f>
        <v/>
      </c>
      <c r="G977" s="16" t="str">
        <f t="shared" si="46"/>
        <v/>
      </c>
      <c r="H977" s="70" t="str">
        <f t="shared" si="47"/>
        <v/>
      </c>
    </row>
    <row r="978" spans="1:8">
      <c r="A978" s="2"/>
      <c r="B978" s="12"/>
      <c r="C978" s="12"/>
      <c r="E978" t="str">
        <f>IF(LEN(D978)=0,"",[1]!i_pq_tradedays($B$3,A979,A978)-1)</f>
        <v/>
      </c>
      <c r="G978" s="16" t="str">
        <f t="shared" si="46"/>
        <v/>
      </c>
      <c r="H978" s="70" t="str">
        <f t="shared" si="47"/>
        <v/>
      </c>
    </row>
    <row r="979" spans="1:8">
      <c r="A979" s="2"/>
      <c r="B979" s="12"/>
      <c r="C979" s="12"/>
      <c r="E979" t="str">
        <f>IF(LEN(D979)=0,"",[1]!i_pq_tradedays($B$3,A980,A979)-1)</f>
        <v/>
      </c>
      <c r="G979" s="16" t="str">
        <f t="shared" si="46"/>
        <v/>
      </c>
      <c r="H979" s="70" t="str">
        <f t="shared" si="47"/>
        <v/>
      </c>
    </row>
    <row r="980" spans="1:8">
      <c r="A980" s="2"/>
      <c r="B980" s="12"/>
      <c r="C980" s="12"/>
      <c r="E980" t="str">
        <f>IF(LEN(D980)=0,"",[1]!i_pq_tradedays($B$3,A981,A980)-1)</f>
        <v/>
      </c>
      <c r="G980" s="16" t="str">
        <f t="shared" si="46"/>
        <v/>
      </c>
      <c r="H980" s="70" t="str">
        <f t="shared" si="47"/>
        <v/>
      </c>
    </row>
    <row r="981" spans="1:8">
      <c r="A981" s="2"/>
      <c r="B981" s="12"/>
      <c r="C981" s="12"/>
      <c r="E981" t="str">
        <f>IF(LEN(D981)=0,"",[1]!i_pq_tradedays($B$3,A982,A981)-1)</f>
        <v/>
      </c>
      <c r="G981" s="16" t="str">
        <f t="shared" si="46"/>
        <v/>
      </c>
      <c r="H981" s="70" t="str">
        <f t="shared" si="47"/>
        <v/>
      </c>
    </row>
    <row r="982" spans="1:8">
      <c r="A982" s="2"/>
      <c r="B982" s="12"/>
      <c r="C982" s="12"/>
      <c r="E982" t="str">
        <f>IF(LEN(D982)=0,"",[1]!i_pq_tradedays($B$3,A983,A982)-1)</f>
        <v/>
      </c>
      <c r="G982" s="16" t="str">
        <f t="shared" si="46"/>
        <v/>
      </c>
      <c r="H982" s="70" t="str">
        <f t="shared" si="47"/>
        <v/>
      </c>
    </row>
    <row r="983" spans="1:8">
      <c r="A983" s="2"/>
      <c r="B983" s="12"/>
      <c r="C983" s="12"/>
      <c r="E983" t="str">
        <f>IF(LEN(D983)=0,"",[1]!i_pq_tradedays($B$3,A984,A983)-1)</f>
        <v/>
      </c>
      <c r="G983" s="16" t="str">
        <f t="shared" si="46"/>
        <v/>
      </c>
      <c r="H983" s="70" t="str">
        <f t="shared" si="47"/>
        <v/>
      </c>
    </row>
    <row r="984" spans="1:8">
      <c r="A984" s="2"/>
      <c r="B984" s="12"/>
      <c r="C984" s="12"/>
      <c r="E984" t="str">
        <f>IF(LEN(D984)=0,"",[1]!i_pq_tradedays($B$3,A985,A984)-1)</f>
        <v/>
      </c>
      <c r="G984" s="16" t="str">
        <f t="shared" si="46"/>
        <v/>
      </c>
      <c r="H984" s="70" t="str">
        <f t="shared" si="47"/>
        <v/>
      </c>
    </row>
    <row r="985" spans="1:8">
      <c r="A985" s="2"/>
      <c r="B985" s="12"/>
      <c r="C985" s="12"/>
      <c r="E985" t="str">
        <f>IF(LEN(D985)=0,"",[1]!i_pq_tradedays($B$3,A986,A985)-1)</f>
        <v/>
      </c>
      <c r="G985" s="16" t="str">
        <f t="shared" si="46"/>
        <v/>
      </c>
      <c r="H985" s="70" t="str">
        <f t="shared" si="47"/>
        <v/>
      </c>
    </row>
    <row r="986" spans="1:8">
      <c r="A986" s="2"/>
      <c r="B986" s="12"/>
      <c r="C986" s="12"/>
      <c r="E986" t="str">
        <f>IF(LEN(D986)=0,"",[1]!i_pq_tradedays($B$3,A987,A986)-1)</f>
        <v/>
      </c>
      <c r="G986" s="16" t="str">
        <f t="shared" si="46"/>
        <v/>
      </c>
      <c r="H986" s="70" t="str">
        <f t="shared" si="47"/>
        <v/>
      </c>
    </row>
    <row r="987" spans="1:8">
      <c r="A987" s="2"/>
      <c r="B987" s="12"/>
      <c r="C987" s="12"/>
      <c r="E987" t="str">
        <f>IF(LEN(D987)=0,"",[1]!i_pq_tradedays($B$3,A988,A987)-1)</f>
        <v/>
      </c>
      <c r="G987" s="16" t="str">
        <f t="shared" si="46"/>
        <v/>
      </c>
      <c r="H987" s="70" t="str">
        <f t="shared" si="47"/>
        <v/>
      </c>
    </row>
    <row r="988" spans="1:8">
      <c r="A988" s="2"/>
      <c r="B988" s="12"/>
      <c r="C988" s="12"/>
      <c r="E988" t="str">
        <f>IF(LEN(D988)=0,"",[1]!i_pq_tradedays($B$3,A989,A988)-1)</f>
        <v/>
      </c>
      <c r="G988" s="16" t="str">
        <f t="shared" si="46"/>
        <v/>
      </c>
      <c r="H988" s="70" t="str">
        <f t="shared" si="47"/>
        <v/>
      </c>
    </row>
    <row r="989" spans="1:8">
      <c r="A989" s="2"/>
      <c r="B989" s="12"/>
      <c r="C989" s="12"/>
      <c r="E989" t="str">
        <f>IF(LEN(D989)=0,"",[1]!i_pq_tradedays($B$3,A990,A989)-1)</f>
        <v/>
      </c>
      <c r="G989" s="16" t="str">
        <f t="shared" si="46"/>
        <v/>
      </c>
      <c r="H989" s="70" t="str">
        <f t="shared" si="47"/>
        <v/>
      </c>
    </row>
    <row r="990" spans="1:8">
      <c r="A990" s="2"/>
      <c r="B990" s="12"/>
      <c r="C990" s="12"/>
      <c r="E990" t="str">
        <f>IF(LEN(D990)=0,"",[1]!i_pq_tradedays($B$3,A991,A990)-1)</f>
        <v/>
      </c>
      <c r="G990" s="16" t="str">
        <f t="shared" si="46"/>
        <v/>
      </c>
      <c r="H990" s="70" t="str">
        <f t="shared" si="47"/>
        <v/>
      </c>
    </row>
    <row r="991" spans="1:8">
      <c r="A991" s="2"/>
      <c r="B991" s="12"/>
      <c r="C991" s="12"/>
      <c r="E991" t="str">
        <f>IF(LEN(D991)=0,"",[1]!i_pq_tradedays($B$3,A992,A991)-1)</f>
        <v/>
      </c>
      <c r="G991" s="16" t="str">
        <f t="shared" si="46"/>
        <v/>
      </c>
      <c r="H991" s="70" t="str">
        <f t="shared" si="47"/>
        <v/>
      </c>
    </row>
    <row r="992" spans="1:8">
      <c r="A992" s="2"/>
      <c r="B992" s="12"/>
      <c r="C992" s="12"/>
      <c r="E992" t="str">
        <f>IF(LEN(D992)=0,"",[1]!i_pq_tradedays($B$3,A993,A992)-1)</f>
        <v/>
      </c>
      <c r="G992" s="16" t="str">
        <f t="shared" si="46"/>
        <v/>
      </c>
      <c r="H992" s="70" t="str">
        <f t="shared" si="47"/>
        <v/>
      </c>
    </row>
    <row r="993" spans="1:8">
      <c r="A993" s="2"/>
      <c r="B993" s="12"/>
      <c r="C993" s="12"/>
      <c r="E993" t="str">
        <f>IF(LEN(D993)=0,"",[1]!i_pq_tradedays($B$3,A994,A993)-1)</f>
        <v/>
      </c>
      <c r="G993" s="16" t="str">
        <f t="shared" si="46"/>
        <v/>
      </c>
      <c r="H993" s="70" t="str">
        <f t="shared" si="47"/>
        <v/>
      </c>
    </row>
    <row r="994" spans="1:8">
      <c r="A994" s="2"/>
      <c r="B994" s="12"/>
      <c r="C994" s="12"/>
      <c r="E994" t="str">
        <f>IF(LEN(D994)=0,"",[1]!i_pq_tradedays($B$3,A995,A994)-1)</f>
        <v/>
      </c>
      <c r="G994" s="16" t="str">
        <f t="shared" si="46"/>
        <v/>
      </c>
      <c r="H994" s="70" t="str">
        <f t="shared" si="47"/>
        <v/>
      </c>
    </row>
    <row r="995" spans="1:8">
      <c r="A995" s="2"/>
      <c r="B995" s="12"/>
      <c r="C995" s="12"/>
      <c r="E995" t="str">
        <f>IF(LEN(D995)=0,"",[1]!i_pq_tradedays($B$3,A996,A995)-1)</f>
        <v/>
      </c>
      <c r="G995" s="16" t="str">
        <f t="shared" si="46"/>
        <v/>
      </c>
      <c r="H995" s="70" t="str">
        <f t="shared" si="47"/>
        <v/>
      </c>
    </row>
    <row r="996" spans="1:8">
      <c r="A996" s="2"/>
      <c r="B996" s="12"/>
      <c r="C996" s="12"/>
      <c r="E996" t="str">
        <f>IF(LEN(D996)=0,"",[1]!i_pq_tradedays($B$3,A997,A996)-1)</f>
        <v/>
      </c>
      <c r="G996" s="16" t="str">
        <f t="shared" si="46"/>
        <v/>
      </c>
      <c r="H996" s="70" t="str">
        <f t="shared" si="47"/>
        <v/>
      </c>
    </row>
    <row r="997" spans="1:8">
      <c r="A997" s="2"/>
      <c r="B997" s="12"/>
      <c r="C997" s="12"/>
      <c r="E997" t="str">
        <f>IF(LEN(D997)=0,"",[1]!i_pq_tradedays($B$3,A998,A997)-1)</f>
        <v/>
      </c>
      <c r="G997" s="16" t="str">
        <f t="shared" si="46"/>
        <v/>
      </c>
      <c r="H997" s="70" t="str">
        <f t="shared" si="47"/>
        <v/>
      </c>
    </row>
    <row r="998" spans="1:8">
      <c r="A998" s="2"/>
      <c r="B998" s="12"/>
      <c r="C998" s="12"/>
      <c r="E998" t="str">
        <f>IF(LEN(D998)=0,"",[1]!i_pq_tradedays($B$3,A999,A998)-1)</f>
        <v/>
      </c>
      <c r="G998" s="16" t="str">
        <f t="shared" si="46"/>
        <v/>
      </c>
      <c r="H998" s="70" t="str">
        <f t="shared" si="47"/>
        <v/>
      </c>
    </row>
    <row r="999" spans="1:8">
      <c r="A999" s="2"/>
      <c r="B999" s="12"/>
      <c r="C999" s="12"/>
      <c r="E999" t="str">
        <f>IF(LEN(D999)=0,"",[1]!i_pq_tradedays($B$3,A1000,A999)-1)</f>
        <v/>
      </c>
      <c r="G999" s="16" t="str">
        <f t="shared" si="46"/>
        <v/>
      </c>
      <c r="H999" s="70" t="str">
        <f t="shared" si="47"/>
        <v/>
      </c>
    </row>
    <row r="1000" spans="1:8">
      <c r="A1000" s="2"/>
      <c r="B1000" s="12"/>
      <c r="C1000" s="12"/>
      <c r="E1000" t="str">
        <f>IF(LEN(D1000)=0,"",[1]!i_pq_tradedays($B$3,A1001,A1000)-1)</f>
        <v/>
      </c>
      <c r="G1000" s="16" t="str">
        <f t="shared" si="46"/>
        <v/>
      </c>
      <c r="H1000" s="70" t="str">
        <f t="shared" si="47"/>
        <v/>
      </c>
    </row>
    <row r="1001" spans="1:8">
      <c r="A1001" s="2"/>
      <c r="B1001" s="12"/>
      <c r="C1001" s="12"/>
      <c r="E1001" t="str">
        <f>IF(LEN(D1001)=0,"",[1]!i_pq_tradedays($B$3,A1002,A1001)-1)</f>
        <v/>
      </c>
      <c r="G1001" s="16" t="str">
        <f t="shared" si="46"/>
        <v/>
      </c>
      <c r="H1001" s="70" t="str">
        <f t="shared" si="47"/>
        <v/>
      </c>
    </row>
    <row r="1002" spans="1:8">
      <c r="A1002" s="2"/>
      <c r="B1002" s="12"/>
      <c r="C1002" s="12"/>
      <c r="E1002" t="str">
        <f>IF(LEN(D1002)=0,"",[1]!i_pq_tradedays($B$3,A1003,A1002)-1)</f>
        <v/>
      </c>
      <c r="G1002" s="16" t="str">
        <f t="shared" si="46"/>
        <v/>
      </c>
      <c r="H1002" s="70" t="str">
        <f t="shared" si="47"/>
        <v/>
      </c>
    </row>
    <row r="1003" spans="1:8">
      <c r="A1003" s="2"/>
      <c r="B1003" s="12"/>
      <c r="C1003" s="12"/>
      <c r="E1003" t="str">
        <f>IF(LEN(D1003)=0,"",[1]!i_pq_tradedays($B$3,A1004,A1003)-1)</f>
        <v/>
      </c>
      <c r="G1003" s="16" t="str">
        <f t="shared" si="46"/>
        <v/>
      </c>
      <c r="H1003" s="70" t="str">
        <f t="shared" si="47"/>
        <v/>
      </c>
    </row>
    <row r="1004" spans="1:8">
      <c r="A1004" s="2"/>
      <c r="B1004" s="12"/>
      <c r="C1004" s="12"/>
      <c r="E1004" t="str">
        <f>IF(LEN(D1004)=0,"",[1]!i_pq_tradedays($B$3,A1005,A1004)-1)</f>
        <v/>
      </c>
      <c r="G1004" s="16" t="str">
        <f t="shared" si="46"/>
        <v/>
      </c>
      <c r="H1004" s="70" t="str">
        <f t="shared" si="47"/>
        <v/>
      </c>
    </row>
    <row r="1005" spans="1:8">
      <c r="A1005" s="2"/>
      <c r="B1005" s="12"/>
      <c r="C1005" s="12"/>
      <c r="E1005" t="str">
        <f>IF(LEN(D1005)=0,"",[1]!i_pq_tradedays($B$3,A1006,A1005)-1)</f>
        <v/>
      </c>
      <c r="G1005" s="16" t="str">
        <f t="shared" si="46"/>
        <v/>
      </c>
      <c r="H1005" s="70" t="str">
        <f t="shared" si="47"/>
        <v/>
      </c>
    </row>
    <row r="1006" spans="1:8">
      <c r="A1006" s="2"/>
      <c r="B1006" s="12"/>
      <c r="C1006" s="12"/>
      <c r="E1006" t="str">
        <f>IF(LEN(D1006)=0,"",[1]!i_pq_tradedays($B$3,A1007,A1006)-1)</f>
        <v/>
      </c>
      <c r="G1006" s="16" t="str">
        <f t="shared" si="46"/>
        <v/>
      </c>
      <c r="H1006" s="70" t="str">
        <f t="shared" si="47"/>
        <v/>
      </c>
    </row>
    <row r="1007" spans="1:8">
      <c r="A1007" s="2"/>
      <c r="B1007" s="12"/>
      <c r="C1007" s="12"/>
      <c r="E1007" t="str">
        <f>IF(LEN(D1007)=0,"",[1]!i_pq_tradedays($B$3,A1008,A1007)-1)</f>
        <v/>
      </c>
      <c r="G1007" s="16" t="str">
        <f t="shared" si="46"/>
        <v/>
      </c>
      <c r="H1007" s="70" t="str">
        <f t="shared" si="47"/>
        <v/>
      </c>
    </row>
    <row r="1008" spans="1:8">
      <c r="A1008" s="2"/>
      <c r="B1008" s="12"/>
      <c r="C1008" s="12"/>
      <c r="E1008" t="str">
        <f>IF(LEN(D1008)=0,"",[1]!i_pq_tradedays($B$3,A1009,A1008)-1)</f>
        <v/>
      </c>
      <c r="G1008" s="16" t="str">
        <f t="shared" si="46"/>
        <v/>
      </c>
      <c r="H1008" s="70" t="str">
        <f t="shared" si="47"/>
        <v/>
      </c>
    </row>
    <row r="1009" spans="1:8">
      <c r="A1009" s="2"/>
      <c r="B1009" s="12"/>
      <c r="C1009" s="12"/>
      <c r="E1009" t="str">
        <f>IF(LEN(D1009)=0,"",[1]!i_pq_tradedays($B$3,A1010,A1009)-1)</f>
        <v/>
      </c>
      <c r="G1009" s="16" t="str">
        <f t="shared" si="46"/>
        <v/>
      </c>
      <c r="H1009" s="70" t="str">
        <f t="shared" si="47"/>
        <v/>
      </c>
    </row>
    <row r="1010" spans="1:8">
      <c r="A1010" s="2"/>
      <c r="B1010" s="12"/>
      <c r="C1010" s="12"/>
      <c r="E1010" t="str">
        <f>IF(LEN(D1010)=0,"",[1]!i_pq_tradedays($B$3,A1011,A1010)-1)</f>
        <v/>
      </c>
      <c r="G1010" s="16" t="str">
        <f t="shared" si="46"/>
        <v/>
      </c>
      <c r="H1010" s="70" t="str">
        <f t="shared" si="47"/>
        <v/>
      </c>
    </row>
    <row r="1011" spans="1:8">
      <c r="A1011" s="2"/>
      <c r="B1011" s="12"/>
      <c r="C1011" s="12"/>
      <c r="E1011" t="str">
        <f>IF(LEN(D1011)=0,"",[1]!i_pq_tradedays($B$3,A1012,A1011)-1)</f>
        <v/>
      </c>
      <c r="G1011" s="16" t="str">
        <f t="shared" si="46"/>
        <v/>
      </c>
      <c r="H1011" s="70" t="str">
        <f t="shared" si="47"/>
        <v/>
      </c>
    </row>
    <row r="1012" spans="1:8">
      <c r="A1012" s="2"/>
      <c r="B1012" s="12"/>
      <c r="C1012" s="12"/>
      <c r="E1012" t="str">
        <f>IF(LEN(D1012)=0,"",[1]!i_pq_tradedays($B$3,A1013,A1012)-1)</f>
        <v/>
      </c>
      <c r="G1012" s="16" t="str">
        <f t="shared" si="46"/>
        <v/>
      </c>
      <c r="H1012" s="70" t="str">
        <f t="shared" si="47"/>
        <v/>
      </c>
    </row>
    <row r="1013" spans="1:8">
      <c r="A1013" s="2"/>
      <c r="B1013" s="12"/>
      <c r="C1013" s="12"/>
      <c r="E1013" t="str">
        <f>IF(LEN(D1013)=0,"",[1]!i_pq_tradedays($B$3,A1014,A1013)-1)</f>
        <v/>
      </c>
      <c r="G1013" s="16" t="str">
        <f t="shared" ref="G1013:G1076" si="48">IF(LEN(D1013)=0,"",D1013/E1013)</f>
        <v/>
      </c>
      <c r="H1013" s="70" t="str">
        <f t="shared" ref="H1013:H1076" si="49">IF(LEN(D1013)=0,"",G1013/G1014-1)</f>
        <v/>
      </c>
    </row>
    <row r="1014" spans="1:8">
      <c r="A1014" s="2"/>
      <c r="B1014" s="12"/>
      <c r="C1014" s="12"/>
      <c r="E1014" t="str">
        <f>IF(LEN(D1014)=0,"",[1]!i_pq_tradedays($B$3,A1015,A1014)-1)</f>
        <v/>
      </c>
      <c r="G1014" s="16" t="str">
        <f t="shared" si="48"/>
        <v/>
      </c>
      <c r="H1014" s="70" t="str">
        <f t="shared" si="49"/>
        <v/>
      </c>
    </row>
    <row r="1015" spans="1:8">
      <c r="A1015" s="2"/>
      <c r="B1015" s="12"/>
      <c r="C1015" s="12"/>
      <c r="E1015" t="str">
        <f>IF(LEN(D1015)=0,"",[1]!i_pq_tradedays($B$3,A1016,A1015)-1)</f>
        <v/>
      </c>
      <c r="G1015" s="16" t="str">
        <f t="shared" si="48"/>
        <v/>
      </c>
      <c r="H1015" s="70" t="str">
        <f t="shared" si="49"/>
        <v/>
      </c>
    </row>
    <row r="1016" spans="1:8">
      <c r="A1016" s="2"/>
      <c r="B1016" s="12"/>
      <c r="C1016" s="12"/>
      <c r="E1016" t="str">
        <f>IF(LEN(D1016)=0,"",[1]!i_pq_tradedays($B$3,A1017,A1016)-1)</f>
        <v/>
      </c>
      <c r="G1016" s="16" t="str">
        <f t="shared" si="48"/>
        <v/>
      </c>
      <c r="H1016" s="70" t="str">
        <f t="shared" si="49"/>
        <v/>
      </c>
    </row>
    <row r="1017" spans="1:8">
      <c r="A1017" s="2"/>
      <c r="B1017" s="12"/>
      <c r="C1017" s="12"/>
      <c r="E1017" t="str">
        <f>IF(LEN(D1017)=0,"",[1]!i_pq_tradedays($B$3,A1018,A1017)-1)</f>
        <v/>
      </c>
      <c r="G1017" s="16" t="str">
        <f t="shared" si="48"/>
        <v/>
      </c>
      <c r="H1017" s="70" t="str">
        <f t="shared" si="49"/>
        <v/>
      </c>
    </row>
    <row r="1018" spans="1:8">
      <c r="A1018" s="2"/>
      <c r="B1018" s="12"/>
      <c r="C1018" s="12"/>
      <c r="E1018" t="str">
        <f>IF(LEN(D1018)=0,"",[1]!i_pq_tradedays($B$3,A1019,A1018)-1)</f>
        <v/>
      </c>
      <c r="G1018" s="16" t="str">
        <f t="shared" si="48"/>
        <v/>
      </c>
      <c r="H1018" s="70" t="str">
        <f t="shared" si="49"/>
        <v/>
      </c>
    </row>
    <row r="1019" spans="1:8">
      <c r="A1019" s="2"/>
      <c r="B1019" s="12"/>
      <c r="C1019" s="12"/>
      <c r="E1019" t="str">
        <f>IF(LEN(D1019)=0,"",[1]!i_pq_tradedays($B$3,A1020,A1019)-1)</f>
        <v/>
      </c>
      <c r="G1019" s="16" t="str">
        <f t="shared" si="48"/>
        <v/>
      </c>
      <c r="H1019" s="70" t="str">
        <f t="shared" si="49"/>
        <v/>
      </c>
    </row>
    <row r="1020" spans="1:8">
      <c r="A1020" s="2"/>
      <c r="B1020" s="12"/>
      <c r="C1020" s="12"/>
      <c r="E1020" t="str">
        <f>IF(LEN(D1020)=0,"",[1]!i_pq_tradedays($B$3,A1021,A1020)-1)</f>
        <v/>
      </c>
      <c r="G1020" s="16" t="str">
        <f t="shared" si="48"/>
        <v/>
      </c>
      <c r="H1020" s="70" t="str">
        <f t="shared" si="49"/>
        <v/>
      </c>
    </row>
    <row r="1021" spans="1:8">
      <c r="A1021" s="2"/>
      <c r="B1021" s="12"/>
      <c r="C1021" s="12"/>
      <c r="E1021" t="str">
        <f>IF(LEN(D1021)=0,"",[1]!i_pq_tradedays($B$3,A1022,A1021)-1)</f>
        <v/>
      </c>
      <c r="G1021" s="16" t="str">
        <f t="shared" si="48"/>
        <v/>
      </c>
      <c r="H1021" s="70" t="str">
        <f t="shared" si="49"/>
        <v/>
      </c>
    </row>
    <row r="1022" spans="1:8">
      <c r="A1022" s="2"/>
      <c r="B1022" s="12"/>
      <c r="C1022" s="12"/>
      <c r="E1022" t="str">
        <f>IF(LEN(D1022)=0,"",[1]!i_pq_tradedays($B$3,A1023,A1022)-1)</f>
        <v/>
      </c>
      <c r="G1022" s="16" t="str">
        <f t="shared" si="48"/>
        <v/>
      </c>
      <c r="H1022" s="70" t="str">
        <f t="shared" si="49"/>
        <v/>
      </c>
    </row>
    <row r="1023" spans="1:8">
      <c r="A1023" s="2"/>
      <c r="B1023" s="12"/>
      <c r="C1023" s="12"/>
      <c r="E1023" t="str">
        <f>IF(LEN(D1023)=0,"",[1]!i_pq_tradedays($B$3,A1024,A1023)-1)</f>
        <v/>
      </c>
      <c r="G1023" s="16" t="str">
        <f t="shared" si="48"/>
        <v/>
      </c>
      <c r="H1023" s="70" t="str">
        <f t="shared" si="49"/>
        <v/>
      </c>
    </row>
    <row r="1024" spans="1:8">
      <c r="A1024" s="2"/>
      <c r="B1024" s="12"/>
      <c r="C1024" s="12"/>
      <c r="E1024" t="str">
        <f>IF(LEN(D1024)=0,"",[1]!i_pq_tradedays($B$3,A1025,A1024)-1)</f>
        <v/>
      </c>
      <c r="G1024" s="16" t="str">
        <f t="shared" si="48"/>
        <v/>
      </c>
      <c r="H1024" s="70" t="str">
        <f t="shared" si="49"/>
        <v/>
      </c>
    </row>
    <row r="1025" spans="1:8">
      <c r="A1025" s="2"/>
      <c r="B1025" s="12"/>
      <c r="C1025" s="12"/>
      <c r="E1025" t="str">
        <f>IF(LEN(D1025)=0,"",[1]!i_pq_tradedays($B$3,A1026,A1025)-1)</f>
        <v/>
      </c>
      <c r="G1025" s="16" t="str">
        <f t="shared" si="48"/>
        <v/>
      </c>
      <c r="H1025" s="70" t="str">
        <f t="shared" si="49"/>
        <v/>
      </c>
    </row>
    <row r="1026" spans="1:8">
      <c r="A1026" s="2"/>
      <c r="B1026" s="12"/>
      <c r="C1026" s="12"/>
      <c r="E1026" t="str">
        <f>IF(LEN(D1026)=0,"",[1]!i_pq_tradedays($B$3,A1027,A1026)-1)</f>
        <v/>
      </c>
      <c r="G1026" s="16" t="str">
        <f t="shared" si="48"/>
        <v/>
      </c>
      <c r="H1026" s="70" t="str">
        <f t="shared" si="49"/>
        <v/>
      </c>
    </row>
    <row r="1027" spans="1:8">
      <c r="A1027" s="2"/>
      <c r="B1027" s="12"/>
      <c r="C1027" s="12"/>
      <c r="E1027" t="str">
        <f>IF(LEN(D1027)=0,"",[1]!i_pq_tradedays($B$3,A1028,A1027)-1)</f>
        <v/>
      </c>
      <c r="G1027" s="16" t="str">
        <f t="shared" si="48"/>
        <v/>
      </c>
      <c r="H1027" s="70" t="str">
        <f t="shared" si="49"/>
        <v/>
      </c>
    </row>
    <row r="1028" spans="1:8">
      <c r="A1028" s="2"/>
      <c r="B1028" s="12"/>
      <c r="C1028" s="12"/>
      <c r="E1028" t="str">
        <f>IF(LEN(D1028)=0,"",[1]!i_pq_tradedays($B$3,A1029,A1028)-1)</f>
        <v/>
      </c>
      <c r="G1028" s="16" t="str">
        <f t="shared" si="48"/>
        <v/>
      </c>
      <c r="H1028" s="70" t="str">
        <f t="shared" si="49"/>
        <v/>
      </c>
    </row>
    <row r="1029" spans="1:8">
      <c r="A1029" s="2"/>
      <c r="B1029" s="12"/>
      <c r="C1029" s="12"/>
      <c r="E1029" t="str">
        <f>IF(LEN(D1029)=0,"",[1]!i_pq_tradedays($B$3,A1030,A1029)-1)</f>
        <v/>
      </c>
      <c r="G1029" s="16" t="str">
        <f t="shared" si="48"/>
        <v/>
      </c>
      <c r="H1029" s="70" t="str">
        <f t="shared" si="49"/>
        <v/>
      </c>
    </row>
    <row r="1030" spans="1:8">
      <c r="A1030" s="2"/>
      <c r="B1030" s="12"/>
      <c r="C1030" s="12"/>
      <c r="E1030" t="str">
        <f>IF(LEN(D1030)=0,"",[1]!i_pq_tradedays($B$3,A1031,A1030)-1)</f>
        <v/>
      </c>
      <c r="G1030" s="16" t="str">
        <f t="shared" si="48"/>
        <v/>
      </c>
      <c r="H1030" s="70" t="str">
        <f t="shared" si="49"/>
        <v/>
      </c>
    </row>
    <row r="1031" spans="1:8">
      <c r="A1031" s="2"/>
      <c r="B1031" s="12"/>
      <c r="C1031" s="12"/>
      <c r="E1031" t="str">
        <f>IF(LEN(D1031)=0,"",[1]!i_pq_tradedays($B$3,A1032,A1031)-1)</f>
        <v/>
      </c>
      <c r="G1031" s="16" t="str">
        <f t="shared" si="48"/>
        <v/>
      </c>
      <c r="H1031" s="70" t="str">
        <f t="shared" si="49"/>
        <v/>
      </c>
    </row>
    <row r="1032" spans="1:8">
      <c r="A1032" s="2"/>
      <c r="B1032" s="12"/>
      <c r="C1032" s="12"/>
      <c r="E1032" t="str">
        <f>IF(LEN(D1032)=0,"",[1]!i_pq_tradedays($B$3,A1033,A1032)-1)</f>
        <v/>
      </c>
      <c r="G1032" s="16" t="str">
        <f t="shared" si="48"/>
        <v/>
      </c>
      <c r="H1032" s="70" t="str">
        <f t="shared" si="49"/>
        <v/>
      </c>
    </row>
    <row r="1033" spans="1:8">
      <c r="A1033" s="2"/>
      <c r="B1033" s="12"/>
      <c r="C1033" s="12"/>
      <c r="E1033" t="str">
        <f>IF(LEN(D1033)=0,"",[1]!i_pq_tradedays($B$3,A1034,A1033)-1)</f>
        <v/>
      </c>
      <c r="G1033" s="16" t="str">
        <f t="shared" si="48"/>
        <v/>
      </c>
      <c r="H1033" s="70" t="str">
        <f t="shared" si="49"/>
        <v/>
      </c>
    </row>
    <row r="1034" spans="1:8">
      <c r="A1034" s="2"/>
      <c r="B1034" s="12"/>
      <c r="C1034" s="12"/>
      <c r="E1034" t="str">
        <f>IF(LEN(D1034)=0,"",[1]!i_pq_tradedays($B$3,A1035,A1034)-1)</f>
        <v/>
      </c>
      <c r="G1034" s="16" t="str">
        <f t="shared" si="48"/>
        <v/>
      </c>
      <c r="H1034" s="70" t="str">
        <f t="shared" si="49"/>
        <v/>
      </c>
    </row>
    <row r="1035" spans="1:8">
      <c r="A1035" s="2"/>
      <c r="B1035" s="12"/>
      <c r="C1035" s="12"/>
      <c r="E1035" t="str">
        <f>IF(LEN(D1035)=0,"",[1]!i_pq_tradedays($B$3,A1036,A1035)-1)</f>
        <v/>
      </c>
      <c r="G1035" s="16" t="str">
        <f t="shared" si="48"/>
        <v/>
      </c>
      <c r="H1035" s="70" t="str">
        <f t="shared" si="49"/>
        <v/>
      </c>
    </row>
    <row r="1036" spans="1:8">
      <c r="A1036" s="2"/>
      <c r="B1036" s="12"/>
      <c r="C1036" s="12"/>
      <c r="E1036" t="str">
        <f>IF(LEN(D1036)=0,"",[1]!i_pq_tradedays($B$3,A1037,A1036)-1)</f>
        <v/>
      </c>
      <c r="G1036" s="16" t="str">
        <f t="shared" si="48"/>
        <v/>
      </c>
      <c r="H1036" s="70" t="str">
        <f t="shared" si="49"/>
        <v/>
      </c>
    </row>
    <row r="1037" spans="1:8">
      <c r="A1037" s="2"/>
      <c r="B1037" s="12"/>
      <c r="C1037" s="12"/>
      <c r="E1037" t="str">
        <f>IF(LEN(D1037)=0,"",[1]!i_pq_tradedays($B$3,A1038,A1037)-1)</f>
        <v/>
      </c>
      <c r="G1037" s="16" t="str">
        <f t="shared" si="48"/>
        <v/>
      </c>
      <c r="H1037" s="70" t="str">
        <f t="shared" si="49"/>
        <v/>
      </c>
    </row>
    <row r="1038" spans="1:8">
      <c r="A1038" s="2"/>
      <c r="B1038" s="12"/>
      <c r="C1038" s="12"/>
      <c r="E1038" t="str">
        <f>IF(LEN(D1038)=0,"",[1]!i_pq_tradedays($B$3,A1039,A1038)-1)</f>
        <v/>
      </c>
      <c r="G1038" s="16" t="str">
        <f t="shared" si="48"/>
        <v/>
      </c>
      <c r="H1038" s="70" t="str">
        <f t="shared" si="49"/>
        <v/>
      </c>
    </row>
    <row r="1039" spans="1:8">
      <c r="A1039" s="2"/>
      <c r="B1039" s="12"/>
      <c r="C1039" s="12"/>
      <c r="E1039" t="str">
        <f>IF(LEN(D1039)=0,"",[1]!i_pq_tradedays($B$3,A1040,A1039)-1)</f>
        <v/>
      </c>
      <c r="G1039" s="16" t="str">
        <f t="shared" si="48"/>
        <v/>
      </c>
      <c r="H1039" s="70" t="str">
        <f t="shared" si="49"/>
        <v/>
      </c>
    </row>
    <row r="1040" spans="1:8">
      <c r="A1040" s="2"/>
      <c r="B1040" s="12"/>
      <c r="C1040" s="12"/>
      <c r="E1040" t="str">
        <f>IF(LEN(D1040)=0,"",[1]!i_pq_tradedays($B$3,A1041,A1040)-1)</f>
        <v/>
      </c>
      <c r="G1040" s="16" t="str">
        <f t="shared" si="48"/>
        <v/>
      </c>
      <c r="H1040" s="70" t="str">
        <f t="shared" si="49"/>
        <v/>
      </c>
    </row>
    <row r="1041" spans="1:8">
      <c r="A1041" s="2"/>
      <c r="B1041" s="12"/>
      <c r="C1041" s="12"/>
      <c r="E1041" t="str">
        <f>IF(LEN(D1041)=0,"",[1]!i_pq_tradedays($B$3,A1042,A1041)-1)</f>
        <v/>
      </c>
      <c r="G1041" s="16" t="str">
        <f t="shared" si="48"/>
        <v/>
      </c>
      <c r="H1041" s="70" t="str">
        <f t="shared" si="49"/>
        <v/>
      </c>
    </row>
    <row r="1042" spans="1:8">
      <c r="A1042" s="2"/>
      <c r="B1042" s="12"/>
      <c r="C1042" s="12"/>
      <c r="E1042" t="str">
        <f>IF(LEN(D1042)=0,"",[1]!i_pq_tradedays($B$3,A1043,A1042)-1)</f>
        <v/>
      </c>
      <c r="G1042" s="16" t="str">
        <f t="shared" si="48"/>
        <v/>
      </c>
      <c r="H1042" s="70" t="str">
        <f t="shared" si="49"/>
        <v/>
      </c>
    </row>
    <row r="1043" spans="1:8">
      <c r="A1043" s="2"/>
      <c r="B1043" s="12"/>
      <c r="C1043" s="12"/>
      <c r="E1043" t="str">
        <f>IF(LEN(D1043)=0,"",[1]!i_pq_tradedays($B$3,A1044,A1043)-1)</f>
        <v/>
      </c>
      <c r="G1043" s="16" t="str">
        <f t="shared" si="48"/>
        <v/>
      </c>
      <c r="H1043" s="70" t="str">
        <f t="shared" si="49"/>
        <v/>
      </c>
    </row>
    <row r="1044" spans="1:8">
      <c r="A1044" s="2"/>
      <c r="B1044" s="12"/>
      <c r="C1044" s="12"/>
      <c r="E1044" t="str">
        <f>IF(LEN(D1044)=0,"",[1]!i_pq_tradedays($B$3,A1045,A1044)-1)</f>
        <v/>
      </c>
      <c r="G1044" s="16" t="str">
        <f t="shared" si="48"/>
        <v/>
      </c>
      <c r="H1044" s="70" t="str">
        <f t="shared" si="49"/>
        <v/>
      </c>
    </row>
    <row r="1045" spans="1:8">
      <c r="A1045" s="2"/>
      <c r="B1045" s="12"/>
      <c r="C1045" s="12"/>
      <c r="E1045" t="str">
        <f>IF(LEN(D1045)=0,"",[1]!i_pq_tradedays($B$3,A1046,A1045)-1)</f>
        <v/>
      </c>
      <c r="G1045" s="16" t="str">
        <f t="shared" si="48"/>
        <v/>
      </c>
      <c r="H1045" s="70" t="str">
        <f t="shared" si="49"/>
        <v/>
      </c>
    </row>
    <row r="1046" spans="1:8">
      <c r="A1046" s="2"/>
      <c r="B1046" s="12"/>
      <c r="C1046" s="12"/>
      <c r="E1046" t="str">
        <f>IF(LEN(D1046)=0,"",[1]!i_pq_tradedays($B$3,A1047,A1046)-1)</f>
        <v/>
      </c>
      <c r="G1046" s="16" t="str">
        <f t="shared" si="48"/>
        <v/>
      </c>
      <c r="H1046" s="70" t="str">
        <f t="shared" si="49"/>
        <v/>
      </c>
    </row>
    <row r="1047" spans="1:8">
      <c r="A1047" s="2"/>
      <c r="B1047" s="12"/>
      <c r="C1047" s="12"/>
      <c r="E1047" t="str">
        <f>IF(LEN(D1047)=0,"",[1]!i_pq_tradedays($B$3,A1048,A1047)-1)</f>
        <v/>
      </c>
      <c r="G1047" s="16" t="str">
        <f t="shared" si="48"/>
        <v/>
      </c>
      <c r="H1047" s="70" t="str">
        <f t="shared" si="49"/>
        <v/>
      </c>
    </row>
    <row r="1048" spans="1:8">
      <c r="A1048" s="2"/>
      <c r="B1048" s="12"/>
      <c r="C1048" s="12"/>
      <c r="E1048" t="str">
        <f>IF(LEN(D1048)=0,"",[1]!i_pq_tradedays($B$3,A1049,A1048)-1)</f>
        <v/>
      </c>
      <c r="G1048" s="16" t="str">
        <f t="shared" si="48"/>
        <v/>
      </c>
      <c r="H1048" s="70" t="str">
        <f t="shared" si="49"/>
        <v/>
      </c>
    </row>
    <row r="1049" spans="1:8">
      <c r="A1049" s="2"/>
      <c r="B1049" s="12"/>
      <c r="C1049" s="12"/>
      <c r="E1049" t="str">
        <f>IF(LEN(D1049)=0,"",[1]!i_pq_tradedays($B$3,A1050,A1049)-1)</f>
        <v/>
      </c>
      <c r="G1049" s="16" t="str">
        <f t="shared" si="48"/>
        <v/>
      </c>
      <c r="H1049" s="70" t="str">
        <f t="shared" si="49"/>
        <v/>
      </c>
    </row>
    <row r="1050" spans="1:8">
      <c r="A1050" s="2"/>
      <c r="B1050" s="12"/>
      <c r="C1050" s="12"/>
      <c r="E1050" t="str">
        <f>IF(LEN(D1050)=0,"",[1]!i_pq_tradedays($B$3,A1051,A1050)-1)</f>
        <v/>
      </c>
      <c r="G1050" s="16" t="str">
        <f t="shared" si="48"/>
        <v/>
      </c>
      <c r="H1050" s="70" t="str">
        <f t="shared" si="49"/>
        <v/>
      </c>
    </row>
    <row r="1051" spans="1:8">
      <c r="A1051" s="2"/>
      <c r="B1051" s="12"/>
      <c r="C1051" s="12"/>
      <c r="E1051" t="str">
        <f>IF(LEN(D1051)=0,"",[1]!i_pq_tradedays($B$3,A1052,A1051)-1)</f>
        <v/>
      </c>
      <c r="G1051" s="16" t="str">
        <f t="shared" si="48"/>
        <v/>
      </c>
      <c r="H1051" s="70" t="str">
        <f t="shared" si="49"/>
        <v/>
      </c>
    </row>
    <row r="1052" spans="1:8">
      <c r="A1052" s="2"/>
      <c r="B1052" s="12"/>
      <c r="C1052" s="12"/>
      <c r="E1052" t="str">
        <f>IF(LEN(D1052)=0,"",[1]!i_pq_tradedays($B$3,A1053,A1052)-1)</f>
        <v/>
      </c>
      <c r="G1052" s="16" t="str">
        <f t="shared" si="48"/>
        <v/>
      </c>
      <c r="H1052" s="70" t="str">
        <f t="shared" si="49"/>
        <v/>
      </c>
    </row>
    <row r="1053" spans="1:8">
      <c r="A1053" s="2"/>
      <c r="B1053" s="12"/>
      <c r="C1053" s="12"/>
      <c r="E1053" t="str">
        <f>IF(LEN(D1053)=0,"",[1]!i_pq_tradedays($B$3,A1054,A1053)-1)</f>
        <v/>
      </c>
      <c r="G1053" s="16" t="str">
        <f t="shared" si="48"/>
        <v/>
      </c>
      <c r="H1053" s="70" t="str">
        <f t="shared" si="49"/>
        <v/>
      </c>
    </row>
    <row r="1054" spans="1:8">
      <c r="A1054" s="2"/>
      <c r="B1054" s="12"/>
      <c r="C1054" s="12"/>
      <c r="E1054" t="str">
        <f>IF(LEN(D1054)=0,"",[1]!i_pq_tradedays($B$3,A1055,A1054)-1)</f>
        <v/>
      </c>
      <c r="G1054" s="16" t="str">
        <f t="shared" si="48"/>
        <v/>
      </c>
      <c r="H1054" s="70" t="str">
        <f t="shared" si="49"/>
        <v/>
      </c>
    </row>
    <row r="1055" spans="1:8">
      <c r="A1055" s="2"/>
      <c r="B1055" s="12"/>
      <c r="C1055" s="12"/>
      <c r="E1055" t="str">
        <f>IF(LEN(D1055)=0,"",[1]!i_pq_tradedays($B$3,A1056,A1055)-1)</f>
        <v/>
      </c>
      <c r="G1055" s="16" t="str">
        <f t="shared" si="48"/>
        <v/>
      </c>
      <c r="H1055" s="70" t="str">
        <f t="shared" si="49"/>
        <v/>
      </c>
    </row>
    <row r="1056" spans="1:8">
      <c r="A1056" s="2"/>
      <c r="B1056" s="12"/>
      <c r="C1056" s="12"/>
      <c r="E1056" t="str">
        <f>IF(LEN(D1056)=0,"",[1]!i_pq_tradedays($B$3,A1057,A1056)-1)</f>
        <v/>
      </c>
      <c r="G1056" s="16" t="str">
        <f t="shared" si="48"/>
        <v/>
      </c>
      <c r="H1056" s="70" t="str">
        <f t="shared" si="49"/>
        <v/>
      </c>
    </row>
    <row r="1057" spans="1:8">
      <c r="A1057" s="2"/>
      <c r="B1057" s="12"/>
      <c r="C1057" s="12"/>
      <c r="E1057" t="str">
        <f>IF(LEN(D1057)=0,"",[1]!i_pq_tradedays($B$3,A1058,A1057)-1)</f>
        <v/>
      </c>
      <c r="G1057" s="16" t="str">
        <f t="shared" si="48"/>
        <v/>
      </c>
      <c r="H1057" s="70" t="str">
        <f t="shared" si="49"/>
        <v/>
      </c>
    </row>
    <row r="1058" spans="1:8">
      <c r="A1058" s="2"/>
      <c r="B1058" s="12"/>
      <c r="C1058" s="12"/>
      <c r="E1058" t="str">
        <f>IF(LEN(D1058)=0,"",[1]!i_pq_tradedays($B$3,A1059,A1058)-1)</f>
        <v/>
      </c>
      <c r="G1058" s="16" t="str">
        <f t="shared" si="48"/>
        <v/>
      </c>
      <c r="H1058" s="70" t="str">
        <f t="shared" si="49"/>
        <v/>
      </c>
    </row>
    <row r="1059" spans="1:8">
      <c r="A1059" s="2"/>
      <c r="B1059" s="12"/>
      <c r="C1059" s="12"/>
      <c r="E1059" t="str">
        <f>IF(LEN(D1059)=0,"",[1]!i_pq_tradedays($B$3,A1060,A1059)-1)</f>
        <v/>
      </c>
      <c r="G1059" s="16" t="str">
        <f t="shared" si="48"/>
        <v/>
      </c>
      <c r="H1059" s="70" t="str">
        <f t="shared" si="49"/>
        <v/>
      </c>
    </row>
    <row r="1060" spans="1:8">
      <c r="A1060" s="2"/>
      <c r="B1060" s="12"/>
      <c r="C1060" s="12"/>
      <c r="E1060" t="str">
        <f>IF(LEN(D1060)=0,"",[1]!i_pq_tradedays($B$3,A1061,A1060)-1)</f>
        <v/>
      </c>
      <c r="G1060" s="16" t="str">
        <f t="shared" si="48"/>
        <v/>
      </c>
      <c r="H1060" s="70" t="str">
        <f t="shared" si="49"/>
        <v/>
      </c>
    </row>
    <row r="1061" spans="1:8">
      <c r="A1061" s="2"/>
      <c r="B1061" s="12"/>
      <c r="C1061" s="12"/>
      <c r="E1061" t="str">
        <f>IF(LEN(D1061)=0,"",[1]!i_pq_tradedays($B$3,A1062,A1061)-1)</f>
        <v/>
      </c>
      <c r="G1061" s="16" t="str">
        <f t="shared" si="48"/>
        <v/>
      </c>
      <c r="H1061" s="70" t="str">
        <f t="shared" si="49"/>
        <v/>
      </c>
    </row>
    <row r="1062" spans="1:8">
      <c r="A1062" s="2"/>
      <c r="B1062" s="12"/>
      <c r="C1062" s="12"/>
      <c r="E1062" t="str">
        <f>IF(LEN(D1062)=0,"",[1]!i_pq_tradedays($B$3,A1063,A1062)-1)</f>
        <v/>
      </c>
      <c r="G1062" s="16" t="str">
        <f t="shared" si="48"/>
        <v/>
      </c>
      <c r="H1062" s="70" t="str">
        <f t="shared" si="49"/>
        <v/>
      </c>
    </row>
    <row r="1063" spans="1:8">
      <c r="A1063" s="2"/>
      <c r="B1063" s="12"/>
      <c r="C1063" s="12"/>
      <c r="E1063" t="str">
        <f>IF(LEN(D1063)=0,"",[1]!i_pq_tradedays($B$3,A1064,A1063)-1)</f>
        <v/>
      </c>
      <c r="G1063" s="16" t="str">
        <f t="shared" si="48"/>
        <v/>
      </c>
      <c r="H1063" s="70" t="str">
        <f t="shared" si="49"/>
        <v/>
      </c>
    </row>
    <row r="1064" spans="1:8">
      <c r="A1064" s="2"/>
      <c r="B1064" s="12"/>
      <c r="C1064" s="12"/>
      <c r="E1064" t="str">
        <f>IF(LEN(D1064)=0,"",[1]!i_pq_tradedays($B$3,A1065,A1064)-1)</f>
        <v/>
      </c>
      <c r="G1064" s="16" t="str">
        <f t="shared" si="48"/>
        <v/>
      </c>
      <c r="H1064" s="70" t="str">
        <f t="shared" si="49"/>
        <v/>
      </c>
    </row>
    <row r="1065" spans="1:8">
      <c r="A1065" s="2"/>
      <c r="B1065" s="12"/>
      <c r="C1065" s="12"/>
      <c r="E1065" t="str">
        <f>IF(LEN(D1065)=0,"",[1]!i_pq_tradedays($B$3,A1066,A1065)-1)</f>
        <v/>
      </c>
      <c r="G1065" s="16" t="str">
        <f t="shared" si="48"/>
        <v/>
      </c>
      <c r="H1065" s="70" t="str">
        <f t="shared" si="49"/>
        <v/>
      </c>
    </row>
    <row r="1066" spans="1:8">
      <c r="A1066" s="2"/>
      <c r="B1066" s="12"/>
      <c r="C1066" s="12"/>
      <c r="E1066" t="str">
        <f>IF(LEN(D1066)=0,"",[1]!i_pq_tradedays($B$3,A1067,A1066)-1)</f>
        <v/>
      </c>
      <c r="G1066" s="16" t="str">
        <f t="shared" si="48"/>
        <v/>
      </c>
      <c r="H1066" s="70" t="str">
        <f t="shared" si="49"/>
        <v/>
      </c>
    </row>
    <row r="1067" spans="1:8">
      <c r="A1067" s="2"/>
      <c r="B1067" s="12"/>
      <c r="C1067" s="12"/>
      <c r="E1067" t="str">
        <f>IF(LEN(D1067)=0,"",[1]!i_pq_tradedays($B$3,A1068,A1067)-1)</f>
        <v/>
      </c>
      <c r="G1067" s="16" t="str">
        <f t="shared" si="48"/>
        <v/>
      </c>
      <c r="H1067" s="70" t="str">
        <f t="shared" si="49"/>
        <v/>
      </c>
    </row>
    <row r="1068" spans="1:8">
      <c r="A1068" s="2"/>
      <c r="B1068" s="12"/>
      <c r="C1068" s="12"/>
      <c r="E1068" t="str">
        <f>IF(LEN(D1068)=0,"",[1]!i_pq_tradedays($B$3,A1069,A1068)-1)</f>
        <v/>
      </c>
      <c r="G1068" s="16" t="str">
        <f t="shared" si="48"/>
        <v/>
      </c>
      <c r="H1068" s="70" t="str">
        <f t="shared" si="49"/>
        <v/>
      </c>
    </row>
    <row r="1069" spans="1:8">
      <c r="A1069" s="2"/>
      <c r="B1069" s="12"/>
      <c r="C1069" s="12"/>
      <c r="E1069" t="str">
        <f>IF(LEN(D1069)=0,"",[1]!i_pq_tradedays($B$3,A1070,A1069)-1)</f>
        <v/>
      </c>
      <c r="G1069" s="16" t="str">
        <f t="shared" si="48"/>
        <v/>
      </c>
      <c r="H1069" s="70" t="str">
        <f t="shared" si="49"/>
        <v/>
      </c>
    </row>
    <row r="1070" spans="1:8">
      <c r="A1070" s="2"/>
      <c r="B1070" s="12"/>
      <c r="C1070" s="12"/>
      <c r="E1070" t="str">
        <f>IF(LEN(D1070)=0,"",[1]!i_pq_tradedays($B$3,A1071,A1070)-1)</f>
        <v/>
      </c>
      <c r="G1070" s="16" t="str">
        <f t="shared" si="48"/>
        <v/>
      </c>
      <c r="H1070" s="70" t="str">
        <f t="shared" si="49"/>
        <v/>
      </c>
    </row>
    <row r="1071" spans="1:8">
      <c r="A1071" s="2"/>
      <c r="B1071" s="12"/>
      <c r="C1071" s="12"/>
      <c r="E1071" t="str">
        <f>IF(LEN(D1071)=0,"",[1]!i_pq_tradedays($B$3,A1072,A1071)-1)</f>
        <v/>
      </c>
      <c r="G1071" s="16" t="str">
        <f t="shared" si="48"/>
        <v/>
      </c>
      <c r="H1071" s="70" t="str">
        <f t="shared" si="49"/>
        <v/>
      </c>
    </row>
    <row r="1072" spans="1:8">
      <c r="A1072" s="2"/>
      <c r="B1072" s="12"/>
      <c r="C1072" s="12"/>
      <c r="E1072" t="str">
        <f>IF(LEN(D1072)=0,"",[1]!i_pq_tradedays($B$3,A1073,A1072)-1)</f>
        <v/>
      </c>
      <c r="G1072" s="16" t="str">
        <f t="shared" si="48"/>
        <v/>
      </c>
      <c r="H1072" s="70" t="str">
        <f t="shared" si="49"/>
        <v/>
      </c>
    </row>
    <row r="1073" spans="1:8">
      <c r="A1073" s="2"/>
      <c r="B1073" s="12"/>
      <c r="C1073" s="12"/>
      <c r="E1073" t="str">
        <f>IF(LEN(D1073)=0,"",[1]!i_pq_tradedays($B$3,A1074,A1073)-1)</f>
        <v/>
      </c>
      <c r="G1073" s="16" t="str">
        <f t="shared" si="48"/>
        <v/>
      </c>
      <c r="H1073" s="70" t="str">
        <f t="shared" si="49"/>
        <v/>
      </c>
    </row>
    <row r="1074" spans="1:8">
      <c r="A1074" s="2"/>
      <c r="B1074" s="12"/>
      <c r="C1074" s="12"/>
      <c r="E1074" t="str">
        <f>IF(LEN(D1074)=0,"",[1]!i_pq_tradedays($B$3,A1075,A1074)-1)</f>
        <v/>
      </c>
      <c r="G1074" s="16" t="str">
        <f t="shared" si="48"/>
        <v/>
      </c>
      <c r="H1074" s="70" t="str">
        <f t="shared" si="49"/>
        <v/>
      </c>
    </row>
    <row r="1075" spans="1:8">
      <c r="A1075" s="2"/>
      <c r="B1075" s="12"/>
      <c r="C1075" s="12"/>
      <c r="E1075" t="str">
        <f>IF(LEN(D1075)=0,"",[1]!i_pq_tradedays($B$3,A1076,A1075)-1)</f>
        <v/>
      </c>
      <c r="G1075" s="16" t="str">
        <f t="shared" si="48"/>
        <v/>
      </c>
      <c r="H1075" s="70" t="str">
        <f t="shared" si="49"/>
        <v/>
      </c>
    </row>
    <row r="1076" spans="1:8">
      <c r="A1076" s="2"/>
      <c r="B1076" s="12"/>
      <c r="C1076" s="12"/>
      <c r="E1076" t="str">
        <f>IF(LEN(D1076)=0,"",[1]!i_pq_tradedays($B$3,A1077,A1076)-1)</f>
        <v/>
      </c>
      <c r="G1076" s="16" t="str">
        <f t="shared" si="48"/>
        <v/>
      </c>
      <c r="H1076" s="70" t="str">
        <f t="shared" si="49"/>
        <v/>
      </c>
    </row>
    <row r="1077" spans="1:8">
      <c r="A1077" s="2"/>
      <c r="B1077" s="12"/>
      <c r="C1077" s="12"/>
      <c r="E1077" t="str">
        <f>IF(LEN(D1077)=0,"",[1]!i_pq_tradedays($B$3,A1078,A1077)-1)</f>
        <v/>
      </c>
      <c r="G1077" s="16" t="str">
        <f t="shared" ref="G1077:G1140" si="50">IF(LEN(D1077)=0,"",D1077/E1077)</f>
        <v/>
      </c>
      <c r="H1077" s="70" t="str">
        <f t="shared" ref="H1077:H1140" si="51">IF(LEN(D1077)=0,"",G1077/G1078-1)</f>
        <v/>
      </c>
    </row>
    <row r="1078" spans="1:8">
      <c r="A1078" s="2"/>
      <c r="B1078" s="12"/>
      <c r="C1078" s="12"/>
      <c r="E1078" t="str">
        <f>IF(LEN(D1078)=0,"",[1]!i_pq_tradedays($B$3,A1079,A1078)-1)</f>
        <v/>
      </c>
      <c r="G1078" s="16" t="str">
        <f t="shared" si="50"/>
        <v/>
      </c>
      <c r="H1078" s="70" t="str">
        <f t="shared" si="51"/>
        <v/>
      </c>
    </row>
    <row r="1079" spans="1:8">
      <c r="A1079" s="2"/>
      <c r="B1079" s="12"/>
      <c r="C1079" s="12"/>
      <c r="E1079" t="str">
        <f>IF(LEN(D1079)=0,"",[1]!i_pq_tradedays($B$3,A1080,A1079)-1)</f>
        <v/>
      </c>
      <c r="G1079" s="16" t="str">
        <f t="shared" si="50"/>
        <v/>
      </c>
      <c r="H1079" s="70" t="str">
        <f t="shared" si="51"/>
        <v/>
      </c>
    </row>
    <row r="1080" spans="1:8">
      <c r="A1080" s="2"/>
      <c r="B1080" s="12"/>
      <c r="C1080" s="12"/>
      <c r="E1080" t="str">
        <f>IF(LEN(D1080)=0,"",[1]!i_pq_tradedays($B$3,A1081,A1080)-1)</f>
        <v/>
      </c>
      <c r="G1080" s="16" t="str">
        <f t="shared" si="50"/>
        <v/>
      </c>
      <c r="H1080" s="70" t="str">
        <f t="shared" si="51"/>
        <v/>
      </c>
    </row>
    <row r="1081" spans="1:8">
      <c r="A1081" s="2"/>
      <c r="B1081" s="12"/>
      <c r="C1081" s="12"/>
      <c r="E1081" t="str">
        <f>IF(LEN(D1081)=0,"",[1]!i_pq_tradedays($B$3,A1082,A1081)-1)</f>
        <v/>
      </c>
      <c r="G1081" s="16" t="str">
        <f t="shared" si="50"/>
        <v/>
      </c>
      <c r="H1081" s="70" t="str">
        <f t="shared" si="51"/>
        <v/>
      </c>
    </row>
    <row r="1082" spans="1:8">
      <c r="A1082" s="2"/>
      <c r="B1082" s="12"/>
      <c r="C1082" s="12"/>
      <c r="E1082" t="str">
        <f>IF(LEN(D1082)=0,"",[1]!i_pq_tradedays($B$3,A1083,A1082)-1)</f>
        <v/>
      </c>
      <c r="G1082" s="16" t="str">
        <f t="shared" si="50"/>
        <v/>
      </c>
      <c r="H1082" s="70" t="str">
        <f t="shared" si="51"/>
        <v/>
      </c>
    </row>
    <row r="1083" spans="1:8">
      <c r="A1083" s="2"/>
      <c r="B1083" s="12"/>
      <c r="C1083" s="12"/>
      <c r="E1083" t="str">
        <f>IF(LEN(D1083)=0,"",[1]!i_pq_tradedays($B$3,A1084,A1083)-1)</f>
        <v/>
      </c>
      <c r="G1083" s="16" t="str">
        <f t="shared" si="50"/>
        <v/>
      </c>
      <c r="H1083" s="70" t="str">
        <f t="shared" si="51"/>
        <v/>
      </c>
    </row>
    <row r="1084" spans="1:8">
      <c r="A1084" s="2"/>
      <c r="B1084" s="12"/>
      <c r="C1084" s="12"/>
      <c r="E1084" t="str">
        <f>IF(LEN(D1084)=0,"",[1]!i_pq_tradedays($B$3,A1085,A1084)-1)</f>
        <v/>
      </c>
      <c r="G1084" s="16" t="str">
        <f t="shared" si="50"/>
        <v/>
      </c>
      <c r="H1084" s="70" t="str">
        <f t="shared" si="51"/>
        <v/>
      </c>
    </row>
    <row r="1085" spans="1:8">
      <c r="A1085" s="2"/>
      <c r="B1085" s="12"/>
      <c r="C1085" s="12"/>
      <c r="E1085" t="str">
        <f>IF(LEN(D1085)=0,"",[1]!i_pq_tradedays($B$3,A1086,A1085)-1)</f>
        <v/>
      </c>
      <c r="G1085" s="16" t="str">
        <f t="shared" si="50"/>
        <v/>
      </c>
      <c r="H1085" s="70" t="str">
        <f t="shared" si="51"/>
        <v/>
      </c>
    </row>
    <row r="1086" spans="1:8">
      <c r="A1086" s="2"/>
      <c r="B1086" s="12"/>
      <c r="C1086" s="12"/>
      <c r="E1086" t="str">
        <f>IF(LEN(D1086)=0,"",[1]!i_pq_tradedays($B$3,A1087,A1086)-1)</f>
        <v/>
      </c>
      <c r="G1086" s="16" t="str">
        <f t="shared" si="50"/>
        <v/>
      </c>
      <c r="H1086" s="70" t="str">
        <f t="shared" si="51"/>
        <v/>
      </c>
    </row>
    <row r="1087" spans="1:8">
      <c r="A1087" s="2"/>
      <c r="B1087" s="12"/>
      <c r="C1087" s="12"/>
      <c r="E1087" t="str">
        <f>IF(LEN(D1087)=0,"",[1]!i_pq_tradedays($B$3,A1088,A1087)-1)</f>
        <v/>
      </c>
      <c r="G1087" s="16" t="str">
        <f t="shared" si="50"/>
        <v/>
      </c>
      <c r="H1087" s="70" t="str">
        <f t="shared" si="51"/>
        <v/>
      </c>
    </row>
    <row r="1088" spans="1:8">
      <c r="A1088" s="2"/>
      <c r="B1088" s="12"/>
      <c r="C1088" s="12"/>
      <c r="E1088" t="str">
        <f>IF(LEN(D1088)=0,"",[1]!i_pq_tradedays($B$3,A1089,A1088)-1)</f>
        <v/>
      </c>
      <c r="G1088" s="16" t="str">
        <f t="shared" si="50"/>
        <v/>
      </c>
      <c r="H1088" s="70" t="str">
        <f t="shared" si="51"/>
        <v/>
      </c>
    </row>
    <row r="1089" spans="1:8">
      <c r="A1089" s="2"/>
      <c r="B1089" s="12"/>
      <c r="C1089" s="12"/>
      <c r="E1089" t="str">
        <f>IF(LEN(D1089)=0,"",[1]!i_pq_tradedays($B$3,A1090,A1089)-1)</f>
        <v/>
      </c>
      <c r="G1089" s="16" t="str">
        <f t="shared" si="50"/>
        <v/>
      </c>
      <c r="H1089" s="70" t="str">
        <f t="shared" si="51"/>
        <v/>
      </c>
    </row>
    <row r="1090" spans="1:8">
      <c r="A1090" s="2"/>
      <c r="B1090" s="12"/>
      <c r="C1090" s="12"/>
      <c r="E1090" t="str">
        <f>IF(LEN(D1090)=0,"",[1]!i_pq_tradedays($B$3,A1091,A1090)-1)</f>
        <v/>
      </c>
      <c r="G1090" s="16" t="str">
        <f t="shared" si="50"/>
        <v/>
      </c>
      <c r="H1090" s="70" t="str">
        <f t="shared" si="51"/>
        <v/>
      </c>
    </row>
    <row r="1091" spans="1:8">
      <c r="A1091" s="2"/>
      <c r="B1091" s="12"/>
      <c r="C1091" s="12"/>
      <c r="E1091" t="str">
        <f>IF(LEN(D1091)=0,"",[1]!i_pq_tradedays($B$3,A1092,A1091)-1)</f>
        <v/>
      </c>
      <c r="G1091" s="16" t="str">
        <f t="shared" si="50"/>
        <v/>
      </c>
      <c r="H1091" s="70" t="str">
        <f t="shared" si="51"/>
        <v/>
      </c>
    </row>
    <row r="1092" spans="1:8">
      <c r="A1092" s="2"/>
      <c r="B1092" s="12"/>
      <c r="C1092" s="12"/>
      <c r="E1092" t="str">
        <f>IF(LEN(D1092)=0,"",[1]!i_pq_tradedays($B$3,A1093,A1092)-1)</f>
        <v/>
      </c>
      <c r="G1092" s="16" t="str">
        <f t="shared" si="50"/>
        <v/>
      </c>
      <c r="H1092" s="70" t="str">
        <f t="shared" si="51"/>
        <v/>
      </c>
    </row>
    <row r="1093" spans="1:8">
      <c r="A1093" s="2"/>
      <c r="B1093" s="12"/>
      <c r="C1093" s="12"/>
      <c r="E1093" t="str">
        <f>IF(LEN(D1093)=0,"",[1]!i_pq_tradedays($B$3,A1094,A1093)-1)</f>
        <v/>
      </c>
      <c r="G1093" s="16" t="str">
        <f t="shared" si="50"/>
        <v/>
      </c>
      <c r="H1093" s="70" t="str">
        <f t="shared" si="51"/>
        <v/>
      </c>
    </row>
    <row r="1094" spans="1:8">
      <c r="A1094" s="2"/>
      <c r="B1094" s="12"/>
      <c r="C1094" s="12"/>
      <c r="E1094" t="str">
        <f>IF(LEN(D1094)=0,"",[1]!i_pq_tradedays($B$3,A1095,A1094)-1)</f>
        <v/>
      </c>
      <c r="G1094" s="16" t="str">
        <f t="shared" si="50"/>
        <v/>
      </c>
      <c r="H1094" s="70" t="str">
        <f t="shared" si="51"/>
        <v/>
      </c>
    </row>
    <row r="1095" spans="1:8">
      <c r="A1095" s="2"/>
      <c r="B1095" s="12"/>
      <c r="C1095" s="12"/>
      <c r="E1095" t="str">
        <f>IF(LEN(D1095)=0,"",[1]!i_pq_tradedays($B$3,A1096,A1095)-1)</f>
        <v/>
      </c>
      <c r="G1095" s="16" t="str">
        <f t="shared" si="50"/>
        <v/>
      </c>
      <c r="H1095" s="70" t="str">
        <f t="shared" si="51"/>
        <v/>
      </c>
    </row>
    <row r="1096" spans="1:8">
      <c r="A1096" s="2"/>
      <c r="B1096" s="12"/>
      <c r="C1096" s="12"/>
      <c r="E1096" t="str">
        <f>IF(LEN(D1096)=0,"",[1]!i_pq_tradedays($B$3,A1097,A1096)-1)</f>
        <v/>
      </c>
      <c r="G1096" s="16" t="str">
        <f t="shared" si="50"/>
        <v/>
      </c>
      <c r="H1096" s="70" t="str">
        <f t="shared" si="51"/>
        <v/>
      </c>
    </row>
    <row r="1097" spans="1:8">
      <c r="A1097" s="2"/>
      <c r="B1097" s="12"/>
      <c r="C1097" s="12"/>
      <c r="E1097" t="str">
        <f>IF(LEN(D1097)=0,"",[1]!i_pq_tradedays($B$3,A1098,A1097)-1)</f>
        <v/>
      </c>
      <c r="G1097" s="16" t="str">
        <f t="shared" si="50"/>
        <v/>
      </c>
      <c r="H1097" s="70" t="str">
        <f t="shared" si="51"/>
        <v/>
      </c>
    </row>
    <row r="1098" spans="1:8">
      <c r="A1098" s="2"/>
      <c r="B1098" s="12"/>
      <c r="C1098" s="12"/>
      <c r="E1098" t="str">
        <f>IF(LEN(D1098)=0,"",[1]!i_pq_tradedays($B$3,A1099,A1098)-1)</f>
        <v/>
      </c>
      <c r="G1098" s="16" t="str">
        <f t="shared" si="50"/>
        <v/>
      </c>
      <c r="H1098" s="70" t="str">
        <f t="shared" si="51"/>
        <v/>
      </c>
    </row>
    <row r="1099" spans="1:8">
      <c r="A1099" s="2"/>
      <c r="B1099" s="12"/>
      <c r="C1099" s="12"/>
      <c r="E1099" t="str">
        <f>IF(LEN(D1099)=0,"",[1]!i_pq_tradedays($B$3,A1100,A1099)-1)</f>
        <v/>
      </c>
      <c r="G1099" s="16" t="str">
        <f t="shared" si="50"/>
        <v/>
      </c>
      <c r="H1099" s="70" t="str">
        <f t="shared" si="51"/>
        <v/>
      </c>
    </row>
    <row r="1100" spans="1:8">
      <c r="A1100" s="2"/>
      <c r="B1100" s="12"/>
      <c r="C1100" s="12"/>
      <c r="E1100" t="str">
        <f>IF(LEN(D1100)=0,"",[1]!i_pq_tradedays($B$3,A1101,A1100)-1)</f>
        <v/>
      </c>
      <c r="G1100" s="16" t="str">
        <f t="shared" si="50"/>
        <v/>
      </c>
      <c r="H1100" s="70" t="str">
        <f t="shared" si="51"/>
        <v/>
      </c>
    </row>
    <row r="1101" spans="1:8">
      <c r="A1101" s="2"/>
      <c r="B1101" s="12"/>
      <c r="C1101" s="12"/>
      <c r="E1101" t="str">
        <f>IF(LEN(D1101)=0,"",[1]!i_pq_tradedays($B$3,A1102,A1101)-1)</f>
        <v/>
      </c>
      <c r="G1101" s="16" t="str">
        <f t="shared" si="50"/>
        <v/>
      </c>
      <c r="H1101" s="70" t="str">
        <f t="shared" si="51"/>
        <v/>
      </c>
    </row>
    <row r="1102" spans="1:8">
      <c r="A1102" s="2"/>
      <c r="B1102" s="12"/>
      <c r="C1102" s="12"/>
      <c r="E1102" t="str">
        <f>IF(LEN(D1102)=0,"",[1]!i_pq_tradedays($B$3,A1103,A1102)-1)</f>
        <v/>
      </c>
      <c r="G1102" s="16" t="str">
        <f t="shared" si="50"/>
        <v/>
      </c>
      <c r="H1102" s="70" t="str">
        <f t="shared" si="51"/>
        <v/>
      </c>
    </row>
    <row r="1103" spans="1:8">
      <c r="A1103" s="2"/>
      <c r="B1103" s="12"/>
      <c r="C1103" s="12"/>
      <c r="E1103" t="str">
        <f>IF(LEN(D1103)=0,"",[1]!i_pq_tradedays($B$3,A1104,A1103)-1)</f>
        <v/>
      </c>
      <c r="G1103" s="16" t="str">
        <f t="shared" si="50"/>
        <v/>
      </c>
      <c r="H1103" s="70" t="str">
        <f t="shared" si="51"/>
        <v/>
      </c>
    </row>
    <row r="1104" spans="1:8">
      <c r="A1104" s="2"/>
      <c r="B1104" s="12"/>
      <c r="C1104" s="12"/>
      <c r="E1104" t="str">
        <f>IF(LEN(D1104)=0,"",[1]!i_pq_tradedays($B$3,A1105,A1104)-1)</f>
        <v/>
      </c>
      <c r="G1104" s="16" t="str">
        <f t="shared" si="50"/>
        <v/>
      </c>
      <c r="H1104" s="70" t="str">
        <f t="shared" si="51"/>
        <v/>
      </c>
    </row>
    <row r="1105" spans="1:8">
      <c r="A1105" s="2"/>
      <c r="B1105" s="12"/>
      <c r="C1105" s="12"/>
      <c r="E1105" t="str">
        <f>IF(LEN(D1105)=0,"",[1]!i_pq_tradedays($B$3,A1106,A1105)-1)</f>
        <v/>
      </c>
      <c r="G1105" s="16" t="str">
        <f t="shared" si="50"/>
        <v/>
      </c>
      <c r="H1105" s="70" t="str">
        <f t="shared" si="51"/>
        <v/>
      </c>
    </row>
    <row r="1106" spans="1:8">
      <c r="A1106" s="2"/>
      <c r="B1106" s="12"/>
      <c r="C1106" s="12"/>
      <c r="E1106" t="str">
        <f>IF(LEN(D1106)=0,"",[1]!i_pq_tradedays($B$3,A1107,A1106)-1)</f>
        <v/>
      </c>
      <c r="G1106" s="16" t="str">
        <f t="shared" si="50"/>
        <v/>
      </c>
      <c r="H1106" s="70" t="str">
        <f t="shared" si="51"/>
        <v/>
      </c>
    </row>
    <row r="1107" spans="1:8">
      <c r="A1107" s="2"/>
      <c r="B1107" s="12"/>
      <c r="C1107" s="12"/>
      <c r="E1107" t="str">
        <f>IF(LEN(D1107)=0,"",[1]!i_pq_tradedays($B$3,A1108,A1107)-1)</f>
        <v/>
      </c>
      <c r="G1107" s="16" t="str">
        <f t="shared" si="50"/>
        <v/>
      </c>
      <c r="H1107" s="70" t="str">
        <f t="shared" si="51"/>
        <v/>
      </c>
    </row>
    <row r="1108" spans="1:8">
      <c r="A1108" s="2"/>
      <c r="B1108" s="12"/>
      <c r="C1108" s="12"/>
      <c r="E1108" t="str">
        <f>IF(LEN(D1108)=0,"",[1]!i_pq_tradedays($B$3,A1109,A1108)-1)</f>
        <v/>
      </c>
      <c r="G1108" s="16" t="str">
        <f t="shared" si="50"/>
        <v/>
      </c>
      <c r="H1108" s="70" t="str">
        <f t="shared" si="51"/>
        <v/>
      </c>
    </row>
    <row r="1109" spans="1:8">
      <c r="A1109" s="2"/>
      <c r="B1109" s="12"/>
      <c r="C1109" s="12"/>
      <c r="E1109" t="str">
        <f>IF(LEN(D1109)=0,"",[1]!i_pq_tradedays($B$3,A1110,A1109)-1)</f>
        <v/>
      </c>
      <c r="G1109" s="16" t="str">
        <f t="shared" si="50"/>
        <v/>
      </c>
      <c r="H1109" s="70" t="str">
        <f t="shared" si="51"/>
        <v/>
      </c>
    </row>
    <row r="1110" spans="1:8">
      <c r="A1110" s="2"/>
      <c r="B1110" s="12"/>
      <c r="C1110" s="12"/>
      <c r="E1110" t="str">
        <f>IF(LEN(D1110)=0,"",[1]!i_pq_tradedays($B$3,A1111,A1110)-1)</f>
        <v/>
      </c>
      <c r="G1110" s="16" t="str">
        <f t="shared" si="50"/>
        <v/>
      </c>
      <c r="H1110" s="70" t="str">
        <f t="shared" si="51"/>
        <v/>
      </c>
    </row>
    <row r="1111" spans="1:8">
      <c r="A1111" s="2"/>
      <c r="B1111" s="12"/>
      <c r="C1111" s="12"/>
      <c r="E1111" t="str">
        <f>IF(LEN(D1111)=0,"",[1]!i_pq_tradedays($B$3,A1112,A1111)-1)</f>
        <v/>
      </c>
      <c r="G1111" s="16" t="str">
        <f t="shared" si="50"/>
        <v/>
      </c>
      <c r="H1111" s="70" t="str">
        <f t="shared" si="51"/>
        <v/>
      </c>
    </row>
    <row r="1112" spans="1:8">
      <c r="A1112" s="2"/>
      <c r="B1112" s="12"/>
      <c r="C1112" s="12"/>
      <c r="E1112" t="str">
        <f>IF(LEN(D1112)=0,"",[1]!i_pq_tradedays($B$3,A1113,A1112)-1)</f>
        <v/>
      </c>
      <c r="G1112" s="16" t="str">
        <f t="shared" si="50"/>
        <v/>
      </c>
      <c r="H1112" s="70" t="str">
        <f t="shared" si="51"/>
        <v/>
      </c>
    </row>
    <row r="1113" spans="1:8">
      <c r="A1113" s="2"/>
      <c r="B1113" s="12"/>
      <c r="C1113" s="12"/>
      <c r="E1113" t="str">
        <f>IF(LEN(D1113)=0,"",[1]!i_pq_tradedays($B$3,A1114,A1113)-1)</f>
        <v/>
      </c>
      <c r="G1113" s="16" t="str">
        <f t="shared" si="50"/>
        <v/>
      </c>
      <c r="H1113" s="70" t="str">
        <f t="shared" si="51"/>
        <v/>
      </c>
    </row>
    <row r="1114" spans="1:8">
      <c r="A1114" s="2"/>
      <c r="B1114" s="12"/>
      <c r="C1114" s="12"/>
      <c r="E1114" t="str">
        <f>IF(LEN(D1114)=0,"",[1]!i_pq_tradedays($B$3,A1115,A1114)-1)</f>
        <v/>
      </c>
      <c r="G1114" s="16" t="str">
        <f t="shared" si="50"/>
        <v/>
      </c>
      <c r="H1114" s="70" t="str">
        <f t="shared" si="51"/>
        <v/>
      </c>
    </row>
    <row r="1115" spans="1:8">
      <c r="A1115" s="2"/>
      <c r="B1115" s="12"/>
      <c r="C1115" s="12"/>
      <c r="E1115" t="str">
        <f>IF(LEN(D1115)=0,"",[1]!i_pq_tradedays($B$3,A1116,A1115)-1)</f>
        <v/>
      </c>
      <c r="G1115" s="16" t="str">
        <f t="shared" si="50"/>
        <v/>
      </c>
      <c r="H1115" s="70" t="str">
        <f t="shared" si="51"/>
        <v/>
      </c>
    </row>
    <row r="1116" spans="1:8">
      <c r="A1116" s="2"/>
      <c r="B1116" s="12"/>
      <c r="C1116" s="12"/>
      <c r="E1116" t="str">
        <f>IF(LEN(D1116)=0,"",[1]!i_pq_tradedays($B$3,A1117,A1116)-1)</f>
        <v/>
      </c>
      <c r="G1116" s="16" t="str">
        <f t="shared" si="50"/>
        <v/>
      </c>
      <c r="H1116" s="70" t="str">
        <f t="shared" si="51"/>
        <v/>
      </c>
    </row>
    <row r="1117" spans="1:8">
      <c r="A1117" s="2"/>
      <c r="B1117" s="12"/>
      <c r="C1117" s="12"/>
      <c r="E1117" t="str">
        <f>IF(LEN(D1117)=0,"",[1]!i_pq_tradedays($B$3,A1118,A1117)-1)</f>
        <v/>
      </c>
      <c r="G1117" s="16" t="str">
        <f t="shared" si="50"/>
        <v/>
      </c>
      <c r="H1117" s="70" t="str">
        <f t="shared" si="51"/>
        <v/>
      </c>
    </row>
    <row r="1118" spans="1:8">
      <c r="A1118" s="2"/>
      <c r="B1118" s="12"/>
      <c r="C1118" s="12"/>
      <c r="E1118" t="str">
        <f>IF(LEN(D1118)=0,"",[1]!i_pq_tradedays($B$3,A1119,A1118)-1)</f>
        <v/>
      </c>
      <c r="G1118" s="16" t="str">
        <f t="shared" si="50"/>
        <v/>
      </c>
      <c r="H1118" s="70" t="str">
        <f t="shared" si="51"/>
        <v/>
      </c>
    </row>
    <row r="1119" spans="1:8">
      <c r="A1119" s="2"/>
      <c r="B1119" s="12"/>
      <c r="C1119" s="12"/>
      <c r="E1119" t="str">
        <f>IF(LEN(D1119)=0,"",[1]!i_pq_tradedays($B$3,A1120,A1119)-1)</f>
        <v/>
      </c>
      <c r="G1119" s="16" t="str">
        <f t="shared" si="50"/>
        <v/>
      </c>
      <c r="H1119" s="70" t="str">
        <f t="shared" si="51"/>
        <v/>
      </c>
    </row>
    <row r="1120" spans="1:8">
      <c r="A1120" s="2"/>
      <c r="B1120" s="12"/>
      <c r="C1120" s="12"/>
      <c r="E1120" t="str">
        <f>IF(LEN(D1120)=0,"",[1]!i_pq_tradedays($B$3,A1121,A1120)-1)</f>
        <v/>
      </c>
      <c r="G1120" s="16" t="str">
        <f t="shared" si="50"/>
        <v/>
      </c>
      <c r="H1120" s="70" t="str">
        <f t="shared" si="51"/>
        <v/>
      </c>
    </row>
    <row r="1121" spans="1:8">
      <c r="A1121" s="2"/>
      <c r="B1121" s="12"/>
      <c r="C1121" s="12"/>
      <c r="E1121" t="str">
        <f>IF(LEN(D1121)=0,"",[1]!i_pq_tradedays($B$3,A1122,A1121)-1)</f>
        <v/>
      </c>
      <c r="G1121" s="16" t="str">
        <f t="shared" si="50"/>
        <v/>
      </c>
      <c r="H1121" s="70" t="str">
        <f t="shared" si="51"/>
        <v/>
      </c>
    </row>
    <row r="1122" spans="1:8">
      <c r="A1122" s="2"/>
      <c r="B1122" s="12"/>
      <c r="C1122" s="12"/>
      <c r="E1122" t="str">
        <f>IF(LEN(D1122)=0,"",[1]!i_pq_tradedays($B$3,A1123,A1122)-1)</f>
        <v/>
      </c>
      <c r="G1122" s="16" t="str">
        <f t="shared" si="50"/>
        <v/>
      </c>
      <c r="H1122" s="70" t="str">
        <f t="shared" si="51"/>
        <v/>
      </c>
    </row>
    <row r="1123" spans="1:8">
      <c r="A1123" s="2"/>
      <c r="B1123" s="12"/>
      <c r="C1123" s="12"/>
      <c r="E1123" t="str">
        <f>IF(LEN(D1123)=0,"",[1]!i_pq_tradedays($B$3,A1124,A1123)-1)</f>
        <v/>
      </c>
      <c r="G1123" s="16" t="str">
        <f t="shared" si="50"/>
        <v/>
      </c>
      <c r="H1123" s="70" t="str">
        <f t="shared" si="51"/>
        <v/>
      </c>
    </row>
    <row r="1124" spans="1:8">
      <c r="A1124" s="2"/>
      <c r="B1124" s="12"/>
      <c r="C1124" s="12"/>
      <c r="E1124" t="str">
        <f>IF(LEN(D1124)=0,"",[1]!i_pq_tradedays($B$3,A1125,A1124)-1)</f>
        <v/>
      </c>
      <c r="G1124" s="16" t="str">
        <f t="shared" si="50"/>
        <v/>
      </c>
      <c r="H1124" s="70" t="str">
        <f t="shared" si="51"/>
        <v/>
      </c>
    </row>
    <row r="1125" spans="1:8">
      <c r="A1125" s="2"/>
      <c r="B1125" s="12"/>
      <c r="C1125" s="12"/>
      <c r="E1125" t="str">
        <f>IF(LEN(D1125)=0,"",[1]!i_pq_tradedays($B$3,A1126,A1125)-1)</f>
        <v/>
      </c>
      <c r="G1125" s="16" t="str">
        <f t="shared" si="50"/>
        <v/>
      </c>
      <c r="H1125" s="70" t="str">
        <f t="shared" si="51"/>
        <v/>
      </c>
    </row>
    <row r="1126" spans="1:8">
      <c r="A1126" s="2"/>
      <c r="B1126" s="12"/>
      <c r="C1126" s="12"/>
      <c r="E1126" t="str">
        <f>IF(LEN(D1126)=0,"",[1]!i_pq_tradedays($B$3,A1127,A1126)-1)</f>
        <v/>
      </c>
      <c r="G1126" s="16" t="str">
        <f t="shared" si="50"/>
        <v/>
      </c>
      <c r="H1126" s="70" t="str">
        <f t="shared" si="51"/>
        <v/>
      </c>
    </row>
    <row r="1127" spans="1:8">
      <c r="A1127" s="2"/>
      <c r="B1127" s="12"/>
      <c r="C1127" s="12"/>
      <c r="E1127" t="str">
        <f>IF(LEN(D1127)=0,"",[1]!i_pq_tradedays($B$3,A1128,A1127)-1)</f>
        <v/>
      </c>
      <c r="G1127" s="16" t="str">
        <f t="shared" si="50"/>
        <v/>
      </c>
      <c r="H1127" s="70" t="str">
        <f t="shared" si="51"/>
        <v/>
      </c>
    </row>
    <row r="1128" spans="1:8">
      <c r="A1128" s="2"/>
      <c r="B1128" s="12"/>
      <c r="C1128" s="12"/>
      <c r="E1128" t="str">
        <f>IF(LEN(D1128)=0,"",[1]!i_pq_tradedays($B$3,A1129,A1128)-1)</f>
        <v/>
      </c>
      <c r="G1128" s="16" t="str">
        <f t="shared" si="50"/>
        <v/>
      </c>
      <c r="H1128" s="70" t="str">
        <f t="shared" si="51"/>
        <v/>
      </c>
    </row>
    <row r="1129" spans="1:8">
      <c r="A1129" s="2"/>
      <c r="B1129" s="12"/>
      <c r="C1129" s="12"/>
      <c r="E1129" t="str">
        <f>IF(LEN(D1129)=0,"",[1]!i_pq_tradedays($B$3,A1130,A1129)-1)</f>
        <v/>
      </c>
      <c r="G1129" s="16" t="str">
        <f t="shared" si="50"/>
        <v/>
      </c>
      <c r="H1129" s="70" t="str">
        <f t="shared" si="51"/>
        <v/>
      </c>
    </row>
    <row r="1130" spans="1:8">
      <c r="A1130" s="2"/>
      <c r="B1130" s="12"/>
      <c r="C1130" s="12"/>
      <c r="E1130" t="str">
        <f>IF(LEN(D1130)=0,"",[1]!i_pq_tradedays($B$3,A1131,A1130)-1)</f>
        <v/>
      </c>
      <c r="G1130" s="16" t="str">
        <f t="shared" si="50"/>
        <v/>
      </c>
      <c r="H1130" s="70" t="str">
        <f t="shared" si="51"/>
        <v/>
      </c>
    </row>
    <row r="1131" spans="1:8">
      <c r="A1131" s="2"/>
      <c r="B1131" s="12"/>
      <c r="C1131" s="12"/>
      <c r="E1131" t="str">
        <f>IF(LEN(D1131)=0,"",[1]!i_pq_tradedays($B$3,A1132,A1131)-1)</f>
        <v/>
      </c>
      <c r="G1131" s="16" t="str">
        <f t="shared" si="50"/>
        <v/>
      </c>
      <c r="H1131" s="70" t="str">
        <f t="shared" si="51"/>
        <v/>
      </c>
    </row>
    <row r="1132" spans="1:8">
      <c r="A1132" s="2"/>
      <c r="B1132" s="12"/>
      <c r="C1132" s="12"/>
      <c r="E1132" t="str">
        <f>IF(LEN(D1132)=0,"",[1]!i_pq_tradedays($B$3,A1133,A1132)-1)</f>
        <v/>
      </c>
      <c r="G1132" s="16" t="str">
        <f t="shared" si="50"/>
        <v/>
      </c>
      <c r="H1132" s="70" t="str">
        <f t="shared" si="51"/>
        <v/>
      </c>
    </row>
    <row r="1133" spans="1:8">
      <c r="A1133" s="2"/>
      <c r="B1133" s="12"/>
      <c r="C1133" s="12"/>
      <c r="E1133" t="str">
        <f>IF(LEN(D1133)=0,"",[1]!i_pq_tradedays($B$3,A1134,A1133)-1)</f>
        <v/>
      </c>
      <c r="G1133" s="16" t="str">
        <f t="shared" si="50"/>
        <v/>
      </c>
      <c r="H1133" s="70" t="str">
        <f t="shared" si="51"/>
        <v/>
      </c>
    </row>
    <row r="1134" spans="1:8">
      <c r="A1134" s="2"/>
      <c r="B1134" s="12"/>
      <c r="C1134" s="12"/>
      <c r="E1134" t="str">
        <f>IF(LEN(D1134)=0,"",[1]!i_pq_tradedays($B$3,A1135,A1134)-1)</f>
        <v/>
      </c>
      <c r="G1134" s="16" t="str">
        <f t="shared" si="50"/>
        <v/>
      </c>
      <c r="H1134" s="70" t="str">
        <f t="shared" si="51"/>
        <v/>
      </c>
    </row>
    <row r="1135" spans="1:8">
      <c r="A1135" s="2"/>
      <c r="B1135" s="12"/>
      <c r="C1135" s="12"/>
      <c r="E1135" t="str">
        <f>IF(LEN(D1135)=0,"",[1]!i_pq_tradedays($B$3,A1136,A1135)-1)</f>
        <v/>
      </c>
      <c r="G1135" s="16" t="str">
        <f t="shared" si="50"/>
        <v/>
      </c>
      <c r="H1135" s="70" t="str">
        <f t="shared" si="51"/>
        <v/>
      </c>
    </row>
    <row r="1136" spans="1:8">
      <c r="A1136" s="2"/>
      <c r="B1136" s="12"/>
      <c r="C1136" s="12"/>
      <c r="E1136" t="str">
        <f>IF(LEN(D1136)=0,"",[1]!i_pq_tradedays($B$3,A1137,A1136)-1)</f>
        <v/>
      </c>
      <c r="G1136" s="16" t="str">
        <f t="shared" si="50"/>
        <v/>
      </c>
      <c r="H1136" s="70" t="str">
        <f t="shared" si="51"/>
        <v/>
      </c>
    </row>
    <row r="1137" spans="1:8">
      <c r="A1137" s="2"/>
      <c r="B1137" s="12"/>
      <c r="C1137" s="12"/>
      <c r="E1137" t="str">
        <f>IF(LEN(D1137)=0,"",[1]!i_pq_tradedays($B$3,A1138,A1137)-1)</f>
        <v/>
      </c>
      <c r="G1137" s="16" t="str">
        <f t="shared" si="50"/>
        <v/>
      </c>
      <c r="H1137" s="70" t="str">
        <f t="shared" si="51"/>
        <v/>
      </c>
    </row>
    <row r="1138" spans="1:8">
      <c r="A1138" s="2"/>
      <c r="B1138" s="12"/>
      <c r="C1138" s="12"/>
      <c r="E1138" t="str">
        <f>IF(LEN(D1138)=0,"",[1]!i_pq_tradedays($B$3,A1139,A1138)-1)</f>
        <v/>
      </c>
      <c r="G1138" s="16" t="str">
        <f t="shared" si="50"/>
        <v/>
      </c>
      <c r="H1138" s="70" t="str">
        <f t="shared" si="51"/>
        <v/>
      </c>
    </row>
    <row r="1139" spans="1:8">
      <c r="A1139" s="2"/>
      <c r="B1139" s="12"/>
      <c r="C1139" s="12"/>
      <c r="E1139" t="str">
        <f>IF(LEN(D1139)=0,"",[1]!i_pq_tradedays($B$3,A1140,A1139)-1)</f>
        <v/>
      </c>
      <c r="G1139" s="16" t="str">
        <f t="shared" si="50"/>
        <v/>
      </c>
      <c r="H1139" s="70" t="str">
        <f t="shared" si="51"/>
        <v/>
      </c>
    </row>
    <row r="1140" spans="1:8">
      <c r="A1140" s="2"/>
      <c r="B1140" s="12"/>
      <c r="C1140" s="12"/>
      <c r="E1140" t="str">
        <f>IF(LEN(D1140)=0,"",[1]!i_pq_tradedays($B$3,A1141,A1140)-1)</f>
        <v/>
      </c>
      <c r="G1140" s="16" t="str">
        <f t="shared" si="50"/>
        <v/>
      </c>
      <c r="H1140" s="70" t="str">
        <f t="shared" si="51"/>
        <v/>
      </c>
    </row>
    <row r="1141" spans="1:8">
      <c r="A1141" s="2"/>
      <c r="B1141" s="12"/>
      <c r="C1141" s="12"/>
      <c r="E1141" t="str">
        <f>IF(LEN(D1141)=0,"",[1]!i_pq_tradedays($B$3,A1142,A1141)-1)</f>
        <v/>
      </c>
      <c r="G1141" s="16" t="str">
        <f t="shared" ref="G1141:G1204" si="52">IF(LEN(D1141)=0,"",D1141/E1141)</f>
        <v/>
      </c>
      <c r="H1141" s="70" t="str">
        <f t="shared" ref="H1141:H1204" si="53">IF(LEN(D1141)=0,"",G1141/G1142-1)</f>
        <v/>
      </c>
    </row>
    <row r="1142" spans="1:8">
      <c r="A1142" s="2"/>
      <c r="B1142" s="12"/>
      <c r="C1142" s="12"/>
      <c r="E1142" t="str">
        <f>IF(LEN(D1142)=0,"",[1]!i_pq_tradedays($B$3,A1143,A1142)-1)</f>
        <v/>
      </c>
      <c r="G1142" s="16" t="str">
        <f t="shared" si="52"/>
        <v/>
      </c>
      <c r="H1142" s="70" t="str">
        <f t="shared" si="53"/>
        <v/>
      </c>
    </row>
    <row r="1143" spans="1:8">
      <c r="A1143" s="2"/>
      <c r="B1143" s="12"/>
      <c r="C1143" s="12"/>
      <c r="E1143" t="str">
        <f>IF(LEN(D1143)=0,"",[1]!i_pq_tradedays($B$3,A1144,A1143)-1)</f>
        <v/>
      </c>
      <c r="G1143" s="16" t="str">
        <f t="shared" si="52"/>
        <v/>
      </c>
      <c r="H1143" s="70" t="str">
        <f t="shared" si="53"/>
        <v/>
      </c>
    </row>
    <row r="1144" spans="1:8">
      <c r="A1144" s="2"/>
      <c r="B1144" s="12"/>
      <c r="C1144" s="12"/>
      <c r="E1144" t="str">
        <f>IF(LEN(D1144)=0,"",[1]!i_pq_tradedays($B$3,A1145,A1144)-1)</f>
        <v/>
      </c>
      <c r="G1144" s="16" t="str">
        <f t="shared" si="52"/>
        <v/>
      </c>
      <c r="H1144" s="70" t="str">
        <f t="shared" si="53"/>
        <v/>
      </c>
    </row>
    <row r="1145" spans="1:8">
      <c r="A1145" s="2"/>
      <c r="B1145" s="12"/>
      <c r="C1145" s="12"/>
      <c r="E1145" t="str">
        <f>IF(LEN(D1145)=0,"",[1]!i_pq_tradedays($B$3,A1146,A1145)-1)</f>
        <v/>
      </c>
      <c r="G1145" s="16" t="str">
        <f t="shared" si="52"/>
        <v/>
      </c>
      <c r="H1145" s="70" t="str">
        <f t="shared" si="53"/>
        <v/>
      </c>
    </row>
    <row r="1146" spans="1:8">
      <c r="A1146" s="2"/>
      <c r="B1146" s="12"/>
      <c r="C1146" s="12"/>
      <c r="E1146" t="str">
        <f>IF(LEN(D1146)=0,"",[1]!i_pq_tradedays($B$3,A1147,A1146)-1)</f>
        <v/>
      </c>
      <c r="G1146" s="16" t="str">
        <f t="shared" si="52"/>
        <v/>
      </c>
      <c r="H1146" s="70" t="str">
        <f t="shared" si="53"/>
        <v/>
      </c>
    </row>
    <row r="1147" spans="1:8">
      <c r="A1147" s="2"/>
      <c r="B1147" s="12"/>
      <c r="C1147" s="12"/>
      <c r="E1147" t="str">
        <f>IF(LEN(D1147)=0,"",[1]!i_pq_tradedays($B$3,A1148,A1147)-1)</f>
        <v/>
      </c>
      <c r="G1147" s="16" t="str">
        <f t="shared" si="52"/>
        <v/>
      </c>
      <c r="H1147" s="70" t="str">
        <f t="shared" si="53"/>
        <v/>
      </c>
    </row>
    <row r="1148" spans="1:8">
      <c r="A1148" s="2"/>
      <c r="B1148" s="12"/>
      <c r="C1148" s="12"/>
      <c r="E1148" t="str">
        <f>IF(LEN(D1148)=0,"",[1]!i_pq_tradedays($B$3,A1149,A1148)-1)</f>
        <v/>
      </c>
      <c r="G1148" s="16" t="str">
        <f t="shared" si="52"/>
        <v/>
      </c>
      <c r="H1148" s="70" t="str">
        <f t="shared" si="53"/>
        <v/>
      </c>
    </row>
    <row r="1149" spans="1:8">
      <c r="A1149" s="2"/>
      <c r="B1149" s="12"/>
      <c r="C1149" s="12"/>
      <c r="E1149" t="str">
        <f>IF(LEN(D1149)=0,"",[1]!i_pq_tradedays($B$3,A1150,A1149)-1)</f>
        <v/>
      </c>
      <c r="G1149" s="16" t="str">
        <f t="shared" si="52"/>
        <v/>
      </c>
      <c r="H1149" s="70" t="str">
        <f t="shared" si="53"/>
        <v/>
      </c>
    </row>
    <row r="1150" spans="1:8">
      <c r="A1150" s="2"/>
      <c r="B1150" s="12"/>
      <c r="C1150" s="12"/>
      <c r="E1150" t="str">
        <f>IF(LEN(D1150)=0,"",[1]!i_pq_tradedays($B$3,A1151,A1150)-1)</f>
        <v/>
      </c>
      <c r="G1150" s="16" t="str">
        <f t="shared" si="52"/>
        <v/>
      </c>
      <c r="H1150" s="70" t="str">
        <f t="shared" si="53"/>
        <v/>
      </c>
    </row>
    <row r="1151" spans="1:8">
      <c r="A1151" s="2"/>
      <c r="B1151" s="12"/>
      <c r="C1151" s="12"/>
      <c r="E1151" t="str">
        <f>IF(LEN(D1151)=0,"",[1]!i_pq_tradedays($B$3,A1152,A1151)-1)</f>
        <v/>
      </c>
      <c r="G1151" s="16" t="str">
        <f t="shared" si="52"/>
        <v/>
      </c>
      <c r="H1151" s="70" t="str">
        <f t="shared" si="53"/>
        <v/>
      </c>
    </row>
    <row r="1152" spans="1:8">
      <c r="A1152" s="2"/>
      <c r="B1152" s="12"/>
      <c r="C1152" s="12"/>
      <c r="E1152" t="str">
        <f>IF(LEN(D1152)=0,"",[1]!i_pq_tradedays($B$3,A1153,A1152)-1)</f>
        <v/>
      </c>
      <c r="G1152" s="16" t="str">
        <f t="shared" si="52"/>
        <v/>
      </c>
      <c r="H1152" s="70" t="str">
        <f t="shared" si="53"/>
        <v/>
      </c>
    </row>
    <row r="1153" spans="1:8">
      <c r="A1153" s="2"/>
      <c r="B1153" s="12"/>
      <c r="C1153" s="12"/>
      <c r="E1153" t="str">
        <f>IF(LEN(D1153)=0,"",[1]!i_pq_tradedays($B$3,A1154,A1153)-1)</f>
        <v/>
      </c>
      <c r="G1153" s="16" t="str">
        <f t="shared" si="52"/>
        <v/>
      </c>
      <c r="H1153" s="70" t="str">
        <f t="shared" si="53"/>
        <v/>
      </c>
    </row>
    <row r="1154" spans="1:8">
      <c r="A1154" s="2"/>
      <c r="B1154" s="12"/>
      <c r="C1154" s="12"/>
      <c r="E1154" t="str">
        <f>IF(LEN(D1154)=0,"",[1]!i_pq_tradedays($B$3,A1155,A1154)-1)</f>
        <v/>
      </c>
      <c r="G1154" s="16" t="str">
        <f t="shared" si="52"/>
        <v/>
      </c>
      <c r="H1154" s="70" t="str">
        <f t="shared" si="53"/>
        <v/>
      </c>
    </row>
    <row r="1155" spans="1:8">
      <c r="A1155" s="2"/>
      <c r="B1155" s="12"/>
      <c r="C1155" s="12"/>
      <c r="E1155" t="str">
        <f>IF(LEN(D1155)=0,"",[1]!i_pq_tradedays($B$3,A1156,A1155)-1)</f>
        <v/>
      </c>
      <c r="G1155" s="16" t="str">
        <f t="shared" si="52"/>
        <v/>
      </c>
      <c r="H1155" s="70" t="str">
        <f t="shared" si="53"/>
        <v/>
      </c>
    </row>
    <row r="1156" spans="1:8">
      <c r="A1156" s="2"/>
      <c r="B1156" s="12"/>
      <c r="C1156" s="12"/>
      <c r="E1156" t="str">
        <f>IF(LEN(D1156)=0,"",[1]!i_pq_tradedays($B$3,A1157,A1156)-1)</f>
        <v/>
      </c>
      <c r="G1156" s="16" t="str">
        <f t="shared" si="52"/>
        <v/>
      </c>
      <c r="H1156" s="70" t="str">
        <f t="shared" si="53"/>
        <v/>
      </c>
    </row>
    <row r="1157" spans="1:8">
      <c r="A1157" s="2"/>
      <c r="B1157" s="12"/>
      <c r="C1157" s="12"/>
      <c r="E1157" t="str">
        <f>IF(LEN(D1157)=0,"",[1]!i_pq_tradedays($B$3,A1158,A1157)-1)</f>
        <v/>
      </c>
      <c r="G1157" s="16" t="str">
        <f t="shared" si="52"/>
        <v/>
      </c>
      <c r="H1157" s="70" t="str">
        <f t="shared" si="53"/>
        <v/>
      </c>
    </row>
    <row r="1158" spans="1:8">
      <c r="A1158" s="2"/>
      <c r="B1158" s="12"/>
      <c r="C1158" s="12"/>
      <c r="E1158" t="str">
        <f>IF(LEN(D1158)=0,"",[1]!i_pq_tradedays($B$3,A1159,A1158)-1)</f>
        <v/>
      </c>
      <c r="G1158" s="16" t="str">
        <f t="shared" si="52"/>
        <v/>
      </c>
      <c r="H1158" s="70" t="str">
        <f t="shared" si="53"/>
        <v/>
      </c>
    </row>
    <row r="1159" spans="1:8">
      <c r="A1159" s="2"/>
      <c r="B1159" s="12"/>
      <c r="C1159" s="12"/>
      <c r="E1159" t="str">
        <f>IF(LEN(D1159)=0,"",[1]!i_pq_tradedays($B$3,A1160,A1159)-1)</f>
        <v/>
      </c>
      <c r="G1159" s="16" t="str">
        <f t="shared" si="52"/>
        <v/>
      </c>
      <c r="H1159" s="70" t="str">
        <f t="shared" si="53"/>
        <v/>
      </c>
    </row>
    <row r="1160" spans="1:8">
      <c r="A1160" s="2"/>
      <c r="B1160" s="12"/>
      <c r="C1160" s="12"/>
      <c r="E1160" t="str">
        <f>IF(LEN(D1160)=0,"",[1]!i_pq_tradedays($B$3,A1161,A1160)-1)</f>
        <v/>
      </c>
      <c r="G1160" s="16" t="str">
        <f t="shared" si="52"/>
        <v/>
      </c>
      <c r="H1160" s="70" t="str">
        <f t="shared" si="53"/>
        <v/>
      </c>
    </row>
    <row r="1161" spans="1:8">
      <c r="A1161" s="2"/>
      <c r="B1161" s="12"/>
      <c r="C1161" s="12"/>
      <c r="E1161" t="str">
        <f>IF(LEN(D1161)=0,"",[1]!i_pq_tradedays($B$3,A1162,A1161)-1)</f>
        <v/>
      </c>
      <c r="G1161" s="16" t="str">
        <f t="shared" si="52"/>
        <v/>
      </c>
      <c r="H1161" s="70" t="str">
        <f t="shared" si="53"/>
        <v/>
      </c>
    </row>
    <row r="1162" spans="1:8">
      <c r="A1162" s="2"/>
      <c r="B1162" s="12"/>
      <c r="C1162" s="12"/>
      <c r="E1162" t="str">
        <f>IF(LEN(D1162)=0,"",[1]!i_pq_tradedays($B$3,A1163,A1162)-1)</f>
        <v/>
      </c>
      <c r="G1162" s="16" t="str">
        <f t="shared" si="52"/>
        <v/>
      </c>
      <c r="H1162" s="70" t="str">
        <f t="shared" si="53"/>
        <v/>
      </c>
    </row>
    <row r="1163" spans="1:8">
      <c r="A1163" s="2"/>
      <c r="B1163" s="12"/>
      <c r="C1163" s="12"/>
      <c r="E1163" t="str">
        <f>IF(LEN(D1163)=0,"",[1]!i_pq_tradedays($B$3,A1164,A1163)-1)</f>
        <v/>
      </c>
      <c r="G1163" s="16" t="str">
        <f t="shared" si="52"/>
        <v/>
      </c>
      <c r="H1163" s="70" t="str">
        <f t="shared" si="53"/>
        <v/>
      </c>
    </row>
    <row r="1164" spans="1:8">
      <c r="A1164" s="2"/>
      <c r="B1164" s="12"/>
      <c r="C1164" s="12"/>
      <c r="E1164" t="str">
        <f>IF(LEN(D1164)=0,"",[1]!i_pq_tradedays($B$3,A1165,A1164)-1)</f>
        <v/>
      </c>
      <c r="G1164" s="16" t="str">
        <f t="shared" si="52"/>
        <v/>
      </c>
      <c r="H1164" s="70" t="str">
        <f t="shared" si="53"/>
        <v/>
      </c>
    </row>
    <row r="1165" spans="1:8">
      <c r="A1165" s="2"/>
      <c r="B1165" s="12"/>
      <c r="C1165" s="12"/>
      <c r="E1165" t="str">
        <f>IF(LEN(D1165)=0,"",[1]!i_pq_tradedays($B$3,A1166,A1165)-1)</f>
        <v/>
      </c>
      <c r="G1165" s="16" t="str">
        <f t="shared" si="52"/>
        <v/>
      </c>
      <c r="H1165" s="70" t="str">
        <f t="shared" si="53"/>
        <v/>
      </c>
    </row>
    <row r="1166" spans="1:8">
      <c r="A1166" s="2"/>
      <c r="B1166" s="12"/>
      <c r="C1166" s="12"/>
      <c r="E1166" t="str">
        <f>IF(LEN(D1166)=0,"",[1]!i_pq_tradedays($B$3,A1167,A1166)-1)</f>
        <v/>
      </c>
      <c r="G1166" s="16" t="str">
        <f t="shared" si="52"/>
        <v/>
      </c>
      <c r="H1166" s="70" t="str">
        <f t="shared" si="53"/>
        <v/>
      </c>
    </row>
    <row r="1167" spans="1:8">
      <c r="A1167" s="2"/>
      <c r="B1167" s="12"/>
      <c r="C1167" s="12"/>
      <c r="E1167" t="str">
        <f>IF(LEN(D1167)=0,"",[1]!i_pq_tradedays($B$3,A1168,A1167)-1)</f>
        <v/>
      </c>
      <c r="G1167" s="16" t="str">
        <f t="shared" si="52"/>
        <v/>
      </c>
      <c r="H1167" s="70" t="str">
        <f t="shared" si="53"/>
        <v/>
      </c>
    </row>
    <row r="1168" spans="1:8">
      <c r="A1168" s="2"/>
      <c r="B1168" s="12"/>
      <c r="C1168" s="12"/>
      <c r="E1168" t="str">
        <f>IF(LEN(D1168)=0,"",[1]!i_pq_tradedays($B$3,A1169,A1168)-1)</f>
        <v/>
      </c>
      <c r="G1168" s="16" t="str">
        <f t="shared" si="52"/>
        <v/>
      </c>
      <c r="H1168" s="70" t="str">
        <f t="shared" si="53"/>
        <v/>
      </c>
    </row>
    <row r="1169" spans="1:8">
      <c r="A1169" s="2"/>
      <c r="B1169" s="12"/>
      <c r="C1169" s="12"/>
      <c r="E1169" t="str">
        <f>IF(LEN(D1169)=0,"",[1]!i_pq_tradedays($B$3,A1170,A1169)-1)</f>
        <v/>
      </c>
      <c r="G1169" s="16" t="str">
        <f t="shared" si="52"/>
        <v/>
      </c>
      <c r="H1169" s="70" t="str">
        <f t="shared" si="53"/>
        <v/>
      </c>
    </row>
    <row r="1170" spans="1:8">
      <c r="A1170" s="2"/>
      <c r="B1170" s="12"/>
      <c r="C1170" s="12"/>
      <c r="E1170" t="str">
        <f>IF(LEN(D1170)=0,"",[1]!i_pq_tradedays($B$3,A1171,A1170)-1)</f>
        <v/>
      </c>
      <c r="G1170" s="16" t="str">
        <f t="shared" si="52"/>
        <v/>
      </c>
      <c r="H1170" s="70" t="str">
        <f t="shared" si="53"/>
        <v/>
      </c>
    </row>
    <row r="1171" spans="1:8">
      <c r="A1171" s="2"/>
      <c r="B1171" s="12"/>
      <c r="C1171" s="12"/>
      <c r="E1171" t="str">
        <f>IF(LEN(D1171)=0,"",[1]!i_pq_tradedays($B$3,A1172,A1171)-1)</f>
        <v/>
      </c>
      <c r="G1171" s="16" t="str">
        <f t="shared" si="52"/>
        <v/>
      </c>
      <c r="H1171" s="70" t="str">
        <f t="shared" si="53"/>
        <v/>
      </c>
    </row>
    <row r="1172" spans="1:8">
      <c r="A1172" s="2"/>
      <c r="B1172" s="12"/>
      <c r="C1172" s="12"/>
      <c r="E1172" t="str">
        <f>IF(LEN(D1172)=0,"",[1]!i_pq_tradedays($B$3,A1173,A1172)-1)</f>
        <v/>
      </c>
      <c r="G1172" s="16" t="str">
        <f t="shared" si="52"/>
        <v/>
      </c>
      <c r="H1172" s="70" t="str">
        <f t="shared" si="53"/>
        <v/>
      </c>
    </row>
    <row r="1173" spans="1:8">
      <c r="A1173" s="2"/>
      <c r="B1173" s="12"/>
      <c r="C1173" s="12"/>
      <c r="E1173" t="str">
        <f>IF(LEN(D1173)=0,"",[1]!i_pq_tradedays($B$3,A1174,A1173)-1)</f>
        <v/>
      </c>
      <c r="G1173" s="16" t="str">
        <f t="shared" si="52"/>
        <v/>
      </c>
      <c r="H1173" s="70" t="str">
        <f t="shared" si="53"/>
        <v/>
      </c>
    </row>
    <row r="1174" spans="1:8">
      <c r="A1174" s="2"/>
      <c r="B1174" s="12"/>
      <c r="C1174" s="12"/>
      <c r="E1174" t="str">
        <f>IF(LEN(D1174)=0,"",[1]!i_pq_tradedays($B$3,A1175,A1174)-1)</f>
        <v/>
      </c>
      <c r="G1174" s="16" t="str">
        <f t="shared" si="52"/>
        <v/>
      </c>
      <c r="H1174" s="70" t="str">
        <f t="shared" si="53"/>
        <v/>
      </c>
    </row>
    <row r="1175" spans="1:8">
      <c r="A1175" s="2"/>
      <c r="B1175" s="12"/>
      <c r="C1175" s="12"/>
      <c r="E1175" t="str">
        <f>IF(LEN(D1175)=0,"",[1]!i_pq_tradedays($B$3,A1176,A1175)-1)</f>
        <v/>
      </c>
      <c r="G1175" s="16" t="str">
        <f t="shared" si="52"/>
        <v/>
      </c>
      <c r="H1175" s="70" t="str">
        <f t="shared" si="53"/>
        <v/>
      </c>
    </row>
    <row r="1176" spans="1:8">
      <c r="A1176" s="2"/>
      <c r="B1176" s="12"/>
      <c r="C1176" s="12"/>
      <c r="E1176" t="str">
        <f>IF(LEN(D1176)=0,"",[1]!i_pq_tradedays($B$3,A1177,A1176)-1)</f>
        <v/>
      </c>
      <c r="G1176" s="16" t="str">
        <f t="shared" si="52"/>
        <v/>
      </c>
      <c r="H1176" s="70" t="str">
        <f t="shared" si="53"/>
        <v/>
      </c>
    </row>
    <row r="1177" spans="1:8">
      <c r="A1177" s="2"/>
      <c r="B1177" s="12"/>
      <c r="C1177" s="12"/>
      <c r="E1177" t="str">
        <f>IF(LEN(D1177)=0,"",[1]!i_pq_tradedays($B$3,A1178,A1177)-1)</f>
        <v/>
      </c>
      <c r="G1177" s="16" t="str">
        <f t="shared" si="52"/>
        <v/>
      </c>
      <c r="H1177" s="70" t="str">
        <f t="shared" si="53"/>
        <v/>
      </c>
    </row>
    <row r="1178" spans="1:8">
      <c r="A1178" s="2"/>
      <c r="B1178" s="12"/>
      <c r="C1178" s="12"/>
      <c r="E1178" t="str">
        <f>IF(LEN(D1178)=0,"",[1]!i_pq_tradedays($B$3,A1179,A1178)-1)</f>
        <v/>
      </c>
      <c r="G1178" s="16" t="str">
        <f t="shared" si="52"/>
        <v/>
      </c>
      <c r="H1178" s="70" t="str">
        <f t="shared" si="53"/>
        <v/>
      </c>
    </row>
    <row r="1179" spans="1:8">
      <c r="A1179" s="2"/>
      <c r="B1179" s="12"/>
      <c r="C1179" s="12"/>
      <c r="E1179" t="str">
        <f>IF(LEN(D1179)=0,"",[1]!i_pq_tradedays($B$3,A1180,A1179)-1)</f>
        <v/>
      </c>
      <c r="G1179" s="16" t="str">
        <f t="shared" si="52"/>
        <v/>
      </c>
      <c r="H1179" s="70" t="str">
        <f t="shared" si="53"/>
        <v/>
      </c>
    </row>
    <row r="1180" spans="1:8">
      <c r="A1180" s="2"/>
      <c r="B1180" s="12"/>
      <c r="C1180" s="12"/>
      <c r="E1180" t="str">
        <f>IF(LEN(D1180)=0,"",[1]!i_pq_tradedays($B$3,A1181,A1180)-1)</f>
        <v/>
      </c>
      <c r="G1180" s="16" t="str">
        <f t="shared" si="52"/>
        <v/>
      </c>
      <c r="H1180" s="70" t="str">
        <f t="shared" si="53"/>
        <v/>
      </c>
    </row>
    <row r="1181" spans="1:8">
      <c r="A1181" s="2"/>
      <c r="B1181" s="12"/>
      <c r="C1181" s="12"/>
      <c r="E1181" t="str">
        <f>IF(LEN(D1181)=0,"",[1]!i_pq_tradedays($B$3,A1182,A1181)-1)</f>
        <v/>
      </c>
      <c r="G1181" s="16" t="str">
        <f t="shared" si="52"/>
        <v/>
      </c>
      <c r="H1181" s="70" t="str">
        <f t="shared" si="53"/>
        <v/>
      </c>
    </row>
    <row r="1182" spans="1:8">
      <c r="A1182" s="2"/>
      <c r="B1182" s="12"/>
      <c r="C1182" s="12"/>
      <c r="E1182" t="str">
        <f>IF(LEN(D1182)=0,"",[1]!i_pq_tradedays($B$3,A1183,A1182)-1)</f>
        <v/>
      </c>
      <c r="G1182" s="16" t="str">
        <f t="shared" si="52"/>
        <v/>
      </c>
      <c r="H1182" s="70" t="str">
        <f t="shared" si="53"/>
        <v/>
      </c>
    </row>
    <row r="1183" spans="1:8">
      <c r="A1183" s="2"/>
      <c r="B1183" s="12"/>
      <c r="C1183" s="12"/>
      <c r="E1183" t="str">
        <f>IF(LEN(D1183)=0,"",[1]!i_pq_tradedays($B$3,A1184,A1183)-1)</f>
        <v/>
      </c>
      <c r="G1183" s="16" t="str">
        <f t="shared" si="52"/>
        <v/>
      </c>
      <c r="H1183" s="70" t="str">
        <f t="shared" si="53"/>
        <v/>
      </c>
    </row>
    <row r="1184" spans="1:8">
      <c r="A1184" s="2"/>
      <c r="B1184" s="12"/>
      <c r="C1184" s="12"/>
      <c r="E1184" t="str">
        <f>IF(LEN(D1184)=0,"",[1]!i_pq_tradedays($B$3,A1185,A1184)-1)</f>
        <v/>
      </c>
      <c r="G1184" s="16" t="str">
        <f t="shared" si="52"/>
        <v/>
      </c>
      <c r="H1184" s="70" t="str">
        <f t="shared" si="53"/>
        <v/>
      </c>
    </row>
    <row r="1185" spans="1:8">
      <c r="A1185" s="2"/>
      <c r="B1185" s="12"/>
      <c r="C1185" s="12"/>
      <c r="E1185" t="str">
        <f>IF(LEN(D1185)=0,"",[1]!i_pq_tradedays($B$3,A1186,A1185)-1)</f>
        <v/>
      </c>
      <c r="G1185" s="16" t="str">
        <f t="shared" si="52"/>
        <v/>
      </c>
      <c r="H1185" s="70" t="str">
        <f t="shared" si="53"/>
        <v/>
      </c>
    </row>
    <row r="1186" spans="1:8">
      <c r="A1186" s="2"/>
      <c r="B1186" s="12"/>
      <c r="C1186" s="12"/>
      <c r="E1186" t="str">
        <f>IF(LEN(D1186)=0,"",[1]!i_pq_tradedays($B$3,A1187,A1186)-1)</f>
        <v/>
      </c>
      <c r="G1186" s="16" t="str">
        <f t="shared" si="52"/>
        <v/>
      </c>
      <c r="H1186" s="70" t="str">
        <f t="shared" si="53"/>
        <v/>
      </c>
    </row>
    <row r="1187" spans="1:8">
      <c r="A1187" s="2"/>
      <c r="B1187" s="12"/>
      <c r="C1187" s="12"/>
      <c r="E1187" t="str">
        <f>IF(LEN(D1187)=0,"",[1]!i_pq_tradedays($B$3,A1188,A1187)-1)</f>
        <v/>
      </c>
      <c r="G1187" s="16" t="str">
        <f t="shared" si="52"/>
        <v/>
      </c>
      <c r="H1187" s="70" t="str">
        <f t="shared" si="53"/>
        <v/>
      </c>
    </row>
    <row r="1188" spans="1:8">
      <c r="A1188" s="2"/>
      <c r="B1188" s="12"/>
      <c r="C1188" s="12"/>
      <c r="E1188" t="str">
        <f>IF(LEN(D1188)=0,"",[1]!i_pq_tradedays($B$3,A1189,A1188)-1)</f>
        <v/>
      </c>
      <c r="G1188" s="16" t="str">
        <f t="shared" si="52"/>
        <v/>
      </c>
      <c r="H1188" s="70" t="str">
        <f t="shared" si="53"/>
        <v/>
      </c>
    </row>
    <row r="1189" spans="1:8">
      <c r="A1189" s="2"/>
      <c r="B1189" s="12"/>
      <c r="C1189" s="12"/>
      <c r="E1189" t="str">
        <f>IF(LEN(D1189)=0,"",[1]!i_pq_tradedays($B$3,A1190,A1189)-1)</f>
        <v/>
      </c>
      <c r="G1189" s="16" t="str">
        <f t="shared" si="52"/>
        <v/>
      </c>
      <c r="H1189" s="70" t="str">
        <f t="shared" si="53"/>
        <v/>
      </c>
    </row>
    <row r="1190" spans="1:8">
      <c r="A1190" s="2"/>
      <c r="B1190" s="12"/>
      <c r="C1190" s="12"/>
      <c r="E1190" t="str">
        <f>IF(LEN(D1190)=0,"",[1]!i_pq_tradedays($B$3,A1191,A1190)-1)</f>
        <v/>
      </c>
      <c r="G1190" s="16" t="str">
        <f t="shared" si="52"/>
        <v/>
      </c>
      <c r="H1190" s="70" t="str">
        <f t="shared" si="53"/>
        <v/>
      </c>
    </row>
    <row r="1191" spans="1:8">
      <c r="A1191" s="2"/>
      <c r="B1191" s="12"/>
      <c r="C1191" s="12"/>
      <c r="E1191" t="str">
        <f>IF(LEN(D1191)=0,"",[1]!i_pq_tradedays($B$3,A1192,A1191)-1)</f>
        <v/>
      </c>
      <c r="G1191" s="16" t="str">
        <f t="shared" si="52"/>
        <v/>
      </c>
      <c r="H1191" s="70" t="str">
        <f t="shared" si="53"/>
        <v/>
      </c>
    </row>
    <row r="1192" spans="1:8">
      <c r="A1192" s="2"/>
      <c r="B1192" s="12"/>
      <c r="C1192" s="12"/>
      <c r="E1192" t="str">
        <f>IF(LEN(D1192)=0,"",[1]!i_pq_tradedays($B$3,A1193,A1192)-1)</f>
        <v/>
      </c>
      <c r="G1192" s="16" t="str">
        <f t="shared" si="52"/>
        <v/>
      </c>
      <c r="H1192" s="70" t="str">
        <f t="shared" si="53"/>
        <v/>
      </c>
    </row>
    <row r="1193" spans="1:8">
      <c r="A1193" s="2"/>
      <c r="B1193" s="12"/>
      <c r="C1193" s="12"/>
      <c r="E1193" t="str">
        <f>IF(LEN(D1193)=0,"",[1]!i_pq_tradedays($B$3,A1194,A1193)-1)</f>
        <v/>
      </c>
      <c r="G1193" s="16" t="str">
        <f t="shared" si="52"/>
        <v/>
      </c>
      <c r="H1193" s="70" t="str">
        <f t="shared" si="53"/>
        <v/>
      </c>
    </row>
    <row r="1194" spans="1:8">
      <c r="A1194" s="2"/>
      <c r="B1194" s="12"/>
      <c r="C1194" s="12"/>
      <c r="E1194" t="str">
        <f>IF(LEN(D1194)=0,"",[1]!i_pq_tradedays($B$3,A1195,A1194)-1)</f>
        <v/>
      </c>
      <c r="G1194" s="16" t="str">
        <f t="shared" si="52"/>
        <v/>
      </c>
      <c r="H1194" s="70" t="str">
        <f t="shared" si="53"/>
        <v/>
      </c>
    </row>
    <row r="1195" spans="1:8">
      <c r="A1195" s="2"/>
      <c r="B1195" s="12"/>
      <c r="C1195" s="12"/>
      <c r="E1195" t="str">
        <f>IF(LEN(D1195)=0,"",[1]!i_pq_tradedays($B$3,A1196,A1195)-1)</f>
        <v/>
      </c>
      <c r="G1195" s="16" t="str">
        <f t="shared" si="52"/>
        <v/>
      </c>
      <c r="H1195" s="70" t="str">
        <f t="shared" si="53"/>
        <v/>
      </c>
    </row>
    <row r="1196" spans="1:8">
      <c r="A1196" s="2"/>
      <c r="B1196" s="12"/>
      <c r="C1196" s="12"/>
      <c r="E1196" t="str">
        <f>IF(LEN(D1196)=0,"",[1]!i_pq_tradedays($B$3,A1197,A1196)-1)</f>
        <v/>
      </c>
      <c r="G1196" s="16" t="str">
        <f t="shared" si="52"/>
        <v/>
      </c>
      <c r="H1196" s="70" t="str">
        <f t="shared" si="53"/>
        <v/>
      </c>
    </row>
    <row r="1197" spans="1:8">
      <c r="A1197" s="2"/>
      <c r="B1197" s="12"/>
      <c r="C1197" s="12"/>
      <c r="E1197" t="str">
        <f>IF(LEN(D1197)=0,"",[1]!i_pq_tradedays($B$3,A1198,A1197)-1)</f>
        <v/>
      </c>
      <c r="G1197" s="16" t="str">
        <f t="shared" si="52"/>
        <v/>
      </c>
      <c r="H1197" s="70" t="str">
        <f t="shared" si="53"/>
        <v/>
      </c>
    </row>
    <row r="1198" spans="1:8">
      <c r="A1198" s="2"/>
      <c r="B1198" s="12"/>
      <c r="C1198" s="12"/>
      <c r="E1198" t="str">
        <f>IF(LEN(D1198)=0,"",[1]!i_pq_tradedays($B$3,A1199,A1198)-1)</f>
        <v/>
      </c>
      <c r="G1198" s="16" t="str">
        <f t="shared" si="52"/>
        <v/>
      </c>
      <c r="H1198" s="70" t="str">
        <f t="shared" si="53"/>
        <v/>
      </c>
    </row>
    <row r="1199" spans="1:8">
      <c r="A1199" s="2"/>
      <c r="B1199" s="12"/>
      <c r="C1199" s="12"/>
      <c r="E1199" t="str">
        <f>IF(LEN(D1199)=0,"",[1]!i_pq_tradedays($B$3,A1200,A1199)-1)</f>
        <v/>
      </c>
      <c r="G1199" s="16" t="str">
        <f t="shared" si="52"/>
        <v/>
      </c>
      <c r="H1199" s="70" t="str">
        <f t="shared" si="53"/>
        <v/>
      </c>
    </row>
    <row r="1200" spans="1:8">
      <c r="A1200" s="2"/>
      <c r="B1200" s="12"/>
      <c r="C1200" s="12"/>
      <c r="E1200" t="str">
        <f>IF(LEN(D1200)=0,"",[1]!i_pq_tradedays($B$3,A1201,A1200)-1)</f>
        <v/>
      </c>
      <c r="G1200" s="16" t="str">
        <f t="shared" si="52"/>
        <v/>
      </c>
      <c r="H1200" s="70" t="str">
        <f t="shared" si="53"/>
        <v/>
      </c>
    </row>
    <row r="1201" spans="1:8">
      <c r="A1201" s="2"/>
      <c r="B1201" s="12"/>
      <c r="C1201" s="12"/>
      <c r="E1201" t="str">
        <f>IF(LEN(D1201)=0,"",[1]!i_pq_tradedays($B$3,A1202,A1201)-1)</f>
        <v/>
      </c>
      <c r="G1201" s="16" t="str">
        <f t="shared" si="52"/>
        <v/>
      </c>
      <c r="H1201" s="70" t="str">
        <f t="shared" si="53"/>
        <v/>
      </c>
    </row>
    <row r="1202" spans="1:8">
      <c r="A1202" s="2"/>
      <c r="B1202" s="12"/>
      <c r="C1202" s="12"/>
      <c r="E1202" t="str">
        <f>IF(LEN(D1202)=0,"",[1]!i_pq_tradedays($B$3,A1203,A1202)-1)</f>
        <v/>
      </c>
      <c r="G1202" s="16" t="str">
        <f t="shared" si="52"/>
        <v/>
      </c>
      <c r="H1202" s="70" t="str">
        <f t="shared" si="53"/>
        <v/>
      </c>
    </row>
    <row r="1203" spans="1:8">
      <c r="A1203" s="2"/>
      <c r="B1203" s="12"/>
      <c r="C1203" s="12"/>
      <c r="E1203" t="str">
        <f>IF(LEN(D1203)=0,"",[1]!i_pq_tradedays($B$3,A1204,A1203)-1)</f>
        <v/>
      </c>
      <c r="G1203" s="16" t="str">
        <f t="shared" si="52"/>
        <v/>
      </c>
      <c r="H1203" s="70" t="str">
        <f t="shared" si="53"/>
        <v/>
      </c>
    </row>
    <row r="1204" spans="1:8">
      <c r="A1204" s="2"/>
      <c r="B1204" s="12"/>
      <c r="C1204" s="12"/>
      <c r="E1204" t="str">
        <f>IF(LEN(D1204)=0,"",[1]!i_pq_tradedays($B$3,A1205,A1204)-1)</f>
        <v/>
      </c>
      <c r="G1204" s="16" t="str">
        <f t="shared" si="52"/>
        <v/>
      </c>
      <c r="H1204" s="70" t="str">
        <f t="shared" si="53"/>
        <v/>
      </c>
    </row>
    <row r="1205" spans="1:8">
      <c r="A1205" s="2"/>
      <c r="B1205" s="12"/>
      <c r="C1205" s="12"/>
      <c r="E1205" t="str">
        <f>IF(LEN(D1205)=0,"",[1]!i_pq_tradedays($B$3,A1206,A1205)-1)</f>
        <v/>
      </c>
      <c r="G1205" s="16" t="str">
        <f t="shared" ref="G1205:G1268" si="54">IF(LEN(D1205)=0,"",D1205/E1205)</f>
        <v/>
      </c>
      <c r="H1205" s="70" t="str">
        <f t="shared" ref="H1205:H1268" si="55">IF(LEN(D1205)=0,"",G1205/G1206-1)</f>
        <v/>
      </c>
    </row>
    <row r="1206" spans="1:8">
      <c r="A1206" s="2"/>
      <c r="B1206" s="12"/>
      <c r="C1206" s="12"/>
      <c r="E1206" t="str">
        <f>IF(LEN(D1206)=0,"",[1]!i_pq_tradedays($B$3,A1207,A1206)-1)</f>
        <v/>
      </c>
      <c r="G1206" s="16" t="str">
        <f t="shared" si="54"/>
        <v/>
      </c>
      <c r="H1206" s="70" t="str">
        <f t="shared" si="55"/>
        <v/>
      </c>
    </row>
    <row r="1207" spans="1:8">
      <c r="A1207" s="2"/>
      <c r="B1207" s="12"/>
      <c r="C1207" s="12"/>
      <c r="E1207" t="str">
        <f>IF(LEN(D1207)=0,"",[1]!i_pq_tradedays($B$3,A1208,A1207)-1)</f>
        <v/>
      </c>
      <c r="G1207" s="16" t="str">
        <f t="shared" si="54"/>
        <v/>
      </c>
      <c r="H1207" s="70" t="str">
        <f t="shared" si="55"/>
        <v/>
      </c>
    </row>
    <row r="1208" spans="1:8">
      <c r="A1208" s="2"/>
      <c r="B1208" s="12"/>
      <c r="C1208" s="12"/>
      <c r="E1208" t="str">
        <f>IF(LEN(D1208)=0,"",[1]!i_pq_tradedays($B$3,A1209,A1208)-1)</f>
        <v/>
      </c>
      <c r="G1208" s="16" t="str">
        <f t="shared" si="54"/>
        <v/>
      </c>
      <c r="H1208" s="70" t="str">
        <f t="shared" si="55"/>
        <v/>
      </c>
    </row>
    <row r="1209" spans="1:8">
      <c r="A1209" s="2"/>
      <c r="B1209" s="12"/>
      <c r="C1209" s="12"/>
      <c r="E1209" t="str">
        <f>IF(LEN(D1209)=0,"",[1]!i_pq_tradedays($B$3,A1210,A1209)-1)</f>
        <v/>
      </c>
      <c r="G1209" s="16" t="str">
        <f t="shared" si="54"/>
        <v/>
      </c>
      <c r="H1209" s="70" t="str">
        <f t="shared" si="55"/>
        <v/>
      </c>
    </row>
    <row r="1210" spans="1:8">
      <c r="A1210" s="2"/>
      <c r="B1210" s="12"/>
      <c r="C1210" s="12"/>
      <c r="E1210" t="str">
        <f>IF(LEN(D1210)=0,"",[1]!i_pq_tradedays($B$3,A1211,A1210)-1)</f>
        <v/>
      </c>
      <c r="G1210" s="16" t="str">
        <f t="shared" si="54"/>
        <v/>
      </c>
      <c r="H1210" s="70" t="str">
        <f t="shared" si="55"/>
        <v/>
      </c>
    </row>
    <row r="1211" spans="1:8">
      <c r="A1211" s="2"/>
      <c r="B1211" s="12"/>
      <c r="C1211" s="12"/>
      <c r="E1211" t="str">
        <f>IF(LEN(D1211)=0,"",[1]!i_pq_tradedays($B$3,A1212,A1211)-1)</f>
        <v/>
      </c>
      <c r="G1211" s="16" t="str">
        <f t="shared" si="54"/>
        <v/>
      </c>
      <c r="H1211" s="70" t="str">
        <f t="shared" si="55"/>
        <v/>
      </c>
    </row>
    <row r="1212" spans="1:8">
      <c r="A1212" s="2"/>
      <c r="B1212" s="12"/>
      <c r="C1212" s="12"/>
      <c r="E1212" t="str">
        <f>IF(LEN(D1212)=0,"",[1]!i_pq_tradedays($B$3,A1213,A1212)-1)</f>
        <v/>
      </c>
      <c r="G1212" s="16" t="str">
        <f t="shared" si="54"/>
        <v/>
      </c>
      <c r="H1212" s="70" t="str">
        <f t="shared" si="55"/>
        <v/>
      </c>
    </row>
    <row r="1213" spans="1:8">
      <c r="A1213" s="2"/>
      <c r="B1213" s="12"/>
      <c r="C1213" s="12"/>
      <c r="E1213" t="str">
        <f>IF(LEN(D1213)=0,"",[1]!i_pq_tradedays($B$3,A1214,A1213)-1)</f>
        <v/>
      </c>
      <c r="G1213" s="16" t="str">
        <f t="shared" si="54"/>
        <v/>
      </c>
      <c r="H1213" s="70" t="str">
        <f t="shared" si="55"/>
        <v/>
      </c>
    </row>
    <row r="1214" spans="1:8">
      <c r="A1214" s="2"/>
      <c r="B1214" s="12"/>
      <c r="C1214" s="12"/>
      <c r="E1214" t="str">
        <f>IF(LEN(D1214)=0,"",[1]!i_pq_tradedays($B$3,A1215,A1214)-1)</f>
        <v/>
      </c>
      <c r="G1214" s="16" t="str">
        <f t="shared" si="54"/>
        <v/>
      </c>
      <c r="H1214" s="70" t="str">
        <f t="shared" si="55"/>
        <v/>
      </c>
    </row>
    <row r="1215" spans="1:8">
      <c r="A1215" s="2"/>
      <c r="B1215" s="12"/>
      <c r="C1215" s="12"/>
      <c r="E1215" t="str">
        <f>IF(LEN(D1215)=0,"",[1]!i_pq_tradedays($B$3,A1216,A1215)-1)</f>
        <v/>
      </c>
      <c r="G1215" s="16" t="str">
        <f t="shared" si="54"/>
        <v/>
      </c>
      <c r="H1215" s="70" t="str">
        <f t="shared" si="55"/>
        <v/>
      </c>
    </row>
    <row r="1216" spans="1:8">
      <c r="A1216" s="2"/>
      <c r="B1216" s="12"/>
      <c r="C1216" s="12"/>
      <c r="E1216" t="str">
        <f>IF(LEN(D1216)=0,"",[1]!i_pq_tradedays($B$3,A1217,A1216)-1)</f>
        <v/>
      </c>
      <c r="G1216" s="16" t="str">
        <f t="shared" si="54"/>
        <v/>
      </c>
      <c r="H1216" s="70" t="str">
        <f t="shared" si="55"/>
        <v/>
      </c>
    </row>
    <row r="1217" spans="1:8">
      <c r="A1217" s="2"/>
      <c r="B1217" s="12"/>
      <c r="C1217" s="12"/>
      <c r="E1217" t="str">
        <f>IF(LEN(D1217)=0,"",[1]!i_pq_tradedays($B$3,A1218,A1217)-1)</f>
        <v/>
      </c>
      <c r="G1217" s="16" t="str">
        <f t="shared" si="54"/>
        <v/>
      </c>
      <c r="H1217" s="70" t="str">
        <f t="shared" si="55"/>
        <v/>
      </c>
    </row>
    <row r="1218" spans="1:8">
      <c r="A1218" s="2"/>
      <c r="B1218" s="12"/>
      <c r="C1218" s="12"/>
      <c r="E1218" t="str">
        <f>IF(LEN(D1218)=0,"",[1]!i_pq_tradedays($B$3,A1219,A1218)-1)</f>
        <v/>
      </c>
      <c r="G1218" s="16" t="str">
        <f t="shared" si="54"/>
        <v/>
      </c>
      <c r="H1218" s="70" t="str">
        <f t="shared" si="55"/>
        <v/>
      </c>
    </row>
    <row r="1219" spans="1:8">
      <c r="A1219" s="2"/>
      <c r="B1219" s="12"/>
      <c r="C1219" s="12"/>
      <c r="E1219" t="str">
        <f>IF(LEN(D1219)=0,"",[1]!i_pq_tradedays($B$3,A1220,A1219)-1)</f>
        <v/>
      </c>
      <c r="G1219" s="16" t="str">
        <f t="shared" si="54"/>
        <v/>
      </c>
      <c r="H1219" s="70" t="str">
        <f t="shared" si="55"/>
        <v/>
      </c>
    </row>
    <row r="1220" spans="1:8">
      <c r="A1220" s="2"/>
      <c r="B1220" s="12"/>
      <c r="C1220" s="12"/>
      <c r="E1220" t="str">
        <f>IF(LEN(D1220)=0,"",[1]!i_pq_tradedays($B$3,A1221,A1220)-1)</f>
        <v/>
      </c>
      <c r="G1220" s="16" t="str">
        <f t="shared" si="54"/>
        <v/>
      </c>
      <c r="H1220" s="70" t="str">
        <f t="shared" si="55"/>
        <v/>
      </c>
    </row>
    <row r="1221" spans="1:8">
      <c r="A1221" s="2"/>
      <c r="B1221" s="12"/>
      <c r="C1221" s="12"/>
      <c r="E1221" t="str">
        <f>IF(LEN(D1221)=0,"",[1]!i_pq_tradedays($B$3,A1222,A1221)-1)</f>
        <v/>
      </c>
      <c r="G1221" s="16" t="str">
        <f t="shared" si="54"/>
        <v/>
      </c>
      <c r="H1221" s="70" t="str">
        <f t="shared" si="55"/>
        <v/>
      </c>
    </row>
    <row r="1222" spans="1:8">
      <c r="A1222" s="2"/>
      <c r="B1222" s="12"/>
      <c r="C1222" s="12"/>
      <c r="E1222" t="str">
        <f>IF(LEN(D1222)=0,"",[1]!i_pq_tradedays($B$3,A1223,A1222)-1)</f>
        <v/>
      </c>
      <c r="G1222" s="16" t="str">
        <f t="shared" si="54"/>
        <v/>
      </c>
      <c r="H1222" s="70" t="str">
        <f t="shared" si="55"/>
        <v/>
      </c>
    </row>
    <row r="1223" spans="1:8">
      <c r="A1223" s="2"/>
      <c r="B1223" s="12"/>
      <c r="C1223" s="12"/>
      <c r="E1223" t="str">
        <f>IF(LEN(D1223)=0,"",[1]!i_pq_tradedays($B$3,A1224,A1223)-1)</f>
        <v/>
      </c>
      <c r="G1223" s="16" t="str">
        <f t="shared" si="54"/>
        <v/>
      </c>
      <c r="H1223" s="70" t="str">
        <f t="shared" si="55"/>
        <v/>
      </c>
    </row>
    <row r="1224" spans="1:8">
      <c r="A1224" s="2"/>
      <c r="B1224" s="12"/>
      <c r="C1224" s="12"/>
      <c r="E1224" t="str">
        <f>IF(LEN(D1224)=0,"",[1]!i_pq_tradedays($B$3,A1225,A1224)-1)</f>
        <v/>
      </c>
      <c r="G1224" s="16" t="str">
        <f t="shared" si="54"/>
        <v/>
      </c>
      <c r="H1224" s="70" t="str">
        <f t="shared" si="55"/>
        <v/>
      </c>
    </row>
    <row r="1225" spans="1:8">
      <c r="A1225" s="2"/>
      <c r="B1225" s="12"/>
      <c r="C1225" s="12"/>
      <c r="E1225" t="str">
        <f>IF(LEN(D1225)=0,"",[1]!i_pq_tradedays($B$3,A1226,A1225)-1)</f>
        <v/>
      </c>
      <c r="G1225" s="16" t="str">
        <f t="shared" si="54"/>
        <v/>
      </c>
      <c r="H1225" s="70" t="str">
        <f t="shared" si="55"/>
        <v/>
      </c>
    </row>
    <row r="1226" spans="1:8">
      <c r="A1226" s="2"/>
      <c r="B1226" s="12"/>
      <c r="C1226" s="12"/>
      <c r="E1226" t="str">
        <f>IF(LEN(D1226)=0,"",[1]!i_pq_tradedays($B$3,A1227,A1226)-1)</f>
        <v/>
      </c>
      <c r="G1226" s="16" t="str">
        <f t="shared" si="54"/>
        <v/>
      </c>
      <c r="H1226" s="70" t="str">
        <f t="shared" si="55"/>
        <v/>
      </c>
    </row>
    <row r="1227" spans="1:8">
      <c r="A1227" s="2"/>
      <c r="B1227" s="12"/>
      <c r="C1227" s="12"/>
      <c r="E1227" t="str">
        <f>IF(LEN(D1227)=0,"",[1]!i_pq_tradedays($B$3,A1228,A1227)-1)</f>
        <v/>
      </c>
      <c r="G1227" s="16" t="str">
        <f t="shared" si="54"/>
        <v/>
      </c>
      <c r="H1227" s="70" t="str">
        <f t="shared" si="55"/>
        <v/>
      </c>
    </row>
    <row r="1228" spans="1:8">
      <c r="A1228" s="2"/>
      <c r="B1228" s="12"/>
      <c r="C1228" s="12"/>
      <c r="E1228" t="str">
        <f>IF(LEN(D1228)=0,"",[1]!i_pq_tradedays($B$3,A1229,A1228)-1)</f>
        <v/>
      </c>
      <c r="G1228" s="16" t="str">
        <f t="shared" si="54"/>
        <v/>
      </c>
      <c r="H1228" s="70" t="str">
        <f t="shared" si="55"/>
        <v/>
      </c>
    </row>
    <row r="1229" spans="1:8">
      <c r="A1229" s="2"/>
      <c r="B1229" s="12"/>
      <c r="C1229" s="12"/>
      <c r="E1229" t="str">
        <f>IF(LEN(D1229)=0,"",[1]!i_pq_tradedays($B$3,A1230,A1229)-1)</f>
        <v/>
      </c>
      <c r="G1229" s="16" t="str">
        <f t="shared" si="54"/>
        <v/>
      </c>
      <c r="H1229" s="70" t="str">
        <f t="shared" si="55"/>
        <v/>
      </c>
    </row>
    <row r="1230" spans="1:8">
      <c r="A1230" s="2"/>
      <c r="B1230" s="12"/>
      <c r="C1230" s="12"/>
      <c r="E1230" t="str">
        <f>IF(LEN(D1230)=0,"",[1]!i_pq_tradedays($B$3,A1231,A1230)-1)</f>
        <v/>
      </c>
      <c r="G1230" s="16" t="str">
        <f t="shared" si="54"/>
        <v/>
      </c>
      <c r="H1230" s="70" t="str">
        <f t="shared" si="55"/>
        <v/>
      </c>
    </row>
    <row r="1231" spans="1:8">
      <c r="A1231" s="2"/>
      <c r="B1231" s="12"/>
      <c r="C1231" s="12"/>
      <c r="E1231" t="str">
        <f>IF(LEN(D1231)=0,"",[1]!i_pq_tradedays($B$3,A1232,A1231)-1)</f>
        <v/>
      </c>
      <c r="G1231" s="16" t="str">
        <f t="shared" si="54"/>
        <v/>
      </c>
      <c r="H1231" s="70" t="str">
        <f t="shared" si="55"/>
        <v/>
      </c>
    </row>
    <row r="1232" spans="1:8">
      <c r="A1232" s="2"/>
      <c r="B1232" s="12"/>
      <c r="C1232" s="12"/>
      <c r="E1232" t="str">
        <f>IF(LEN(D1232)=0,"",[1]!i_pq_tradedays($B$3,A1233,A1232)-1)</f>
        <v/>
      </c>
      <c r="G1232" s="16" t="str">
        <f t="shared" si="54"/>
        <v/>
      </c>
      <c r="H1232" s="70" t="str">
        <f t="shared" si="55"/>
        <v/>
      </c>
    </row>
    <row r="1233" spans="1:8">
      <c r="A1233" s="2"/>
      <c r="B1233" s="12"/>
      <c r="C1233" s="12"/>
      <c r="E1233" t="str">
        <f>IF(LEN(D1233)=0,"",[1]!i_pq_tradedays($B$3,A1234,A1233)-1)</f>
        <v/>
      </c>
      <c r="G1233" s="16" t="str">
        <f t="shared" si="54"/>
        <v/>
      </c>
      <c r="H1233" s="70" t="str">
        <f t="shared" si="55"/>
        <v/>
      </c>
    </row>
    <row r="1234" spans="1:8">
      <c r="A1234" s="2"/>
      <c r="B1234" s="12"/>
      <c r="C1234" s="12"/>
      <c r="E1234" t="str">
        <f>IF(LEN(D1234)=0,"",[1]!i_pq_tradedays($B$3,A1235,A1234)-1)</f>
        <v/>
      </c>
      <c r="G1234" s="16" t="str">
        <f t="shared" si="54"/>
        <v/>
      </c>
      <c r="H1234" s="70" t="str">
        <f t="shared" si="55"/>
        <v/>
      </c>
    </row>
    <row r="1235" spans="1:8">
      <c r="A1235" s="2"/>
      <c r="B1235" s="12"/>
      <c r="C1235" s="12"/>
      <c r="E1235" t="str">
        <f>IF(LEN(D1235)=0,"",[1]!i_pq_tradedays($B$3,A1236,A1235)-1)</f>
        <v/>
      </c>
      <c r="G1235" s="16" t="str">
        <f t="shared" si="54"/>
        <v/>
      </c>
      <c r="H1235" s="70" t="str">
        <f t="shared" si="55"/>
        <v/>
      </c>
    </row>
    <row r="1236" spans="1:8">
      <c r="A1236" s="2"/>
      <c r="B1236" s="12"/>
      <c r="C1236" s="12"/>
      <c r="E1236" t="str">
        <f>IF(LEN(D1236)=0,"",[1]!i_pq_tradedays($B$3,A1237,A1236)-1)</f>
        <v/>
      </c>
      <c r="G1236" s="16" t="str">
        <f t="shared" si="54"/>
        <v/>
      </c>
      <c r="H1236" s="70" t="str">
        <f t="shared" si="55"/>
        <v/>
      </c>
    </row>
    <row r="1237" spans="1:8">
      <c r="A1237" s="2"/>
      <c r="B1237" s="12"/>
      <c r="C1237" s="12"/>
      <c r="E1237" t="str">
        <f>IF(LEN(D1237)=0,"",[1]!i_pq_tradedays($B$3,A1238,A1237)-1)</f>
        <v/>
      </c>
      <c r="G1237" s="16" t="str">
        <f t="shared" si="54"/>
        <v/>
      </c>
      <c r="H1237" s="70" t="str">
        <f t="shared" si="55"/>
        <v/>
      </c>
    </row>
    <row r="1238" spans="1:8">
      <c r="A1238" s="2"/>
      <c r="B1238" s="12"/>
      <c r="C1238" s="12"/>
      <c r="E1238" t="str">
        <f>IF(LEN(D1238)=0,"",[1]!i_pq_tradedays($B$3,A1239,A1238)-1)</f>
        <v/>
      </c>
      <c r="G1238" s="16" t="str">
        <f t="shared" si="54"/>
        <v/>
      </c>
      <c r="H1238" s="70" t="str">
        <f t="shared" si="55"/>
        <v/>
      </c>
    </row>
    <row r="1239" spans="1:8">
      <c r="A1239" s="2"/>
      <c r="B1239" s="12"/>
      <c r="C1239" s="12"/>
      <c r="E1239" t="str">
        <f>IF(LEN(D1239)=0,"",[1]!i_pq_tradedays($B$3,A1240,A1239)-1)</f>
        <v/>
      </c>
      <c r="G1239" s="16" t="str">
        <f t="shared" si="54"/>
        <v/>
      </c>
      <c r="H1239" s="70" t="str">
        <f t="shared" si="55"/>
        <v/>
      </c>
    </row>
    <row r="1240" spans="1:8">
      <c r="A1240" s="2"/>
      <c r="B1240" s="12"/>
      <c r="C1240" s="12"/>
      <c r="E1240" t="str">
        <f>IF(LEN(D1240)=0,"",[1]!i_pq_tradedays($B$3,A1241,A1240)-1)</f>
        <v/>
      </c>
      <c r="G1240" s="16" t="str">
        <f t="shared" si="54"/>
        <v/>
      </c>
      <c r="H1240" s="70" t="str">
        <f t="shared" si="55"/>
        <v/>
      </c>
    </row>
    <row r="1241" spans="1:8">
      <c r="A1241" s="2"/>
      <c r="B1241" s="12"/>
      <c r="C1241" s="12"/>
      <c r="E1241" t="str">
        <f>IF(LEN(D1241)=0,"",[1]!i_pq_tradedays($B$3,A1242,A1241)-1)</f>
        <v/>
      </c>
      <c r="G1241" s="16" t="str">
        <f t="shared" si="54"/>
        <v/>
      </c>
      <c r="H1241" s="70" t="str">
        <f t="shared" si="55"/>
        <v/>
      </c>
    </row>
    <row r="1242" spans="1:8">
      <c r="A1242" s="2"/>
      <c r="B1242" s="12"/>
      <c r="C1242" s="12"/>
      <c r="E1242" t="str">
        <f>IF(LEN(D1242)=0,"",[1]!i_pq_tradedays($B$3,A1243,A1242)-1)</f>
        <v/>
      </c>
      <c r="G1242" s="16" t="str">
        <f t="shared" si="54"/>
        <v/>
      </c>
      <c r="H1242" s="70" t="str">
        <f t="shared" si="55"/>
        <v/>
      </c>
    </row>
    <row r="1243" spans="1:8">
      <c r="A1243" s="2"/>
      <c r="B1243" s="12"/>
      <c r="C1243" s="12"/>
      <c r="E1243" t="str">
        <f>IF(LEN(D1243)=0,"",[1]!i_pq_tradedays($B$3,A1244,A1243)-1)</f>
        <v/>
      </c>
      <c r="G1243" s="16" t="str">
        <f t="shared" si="54"/>
        <v/>
      </c>
      <c r="H1243" s="70" t="str">
        <f t="shared" si="55"/>
        <v/>
      </c>
    </row>
    <row r="1244" spans="1:8">
      <c r="A1244" s="2"/>
      <c r="B1244" s="12"/>
      <c r="C1244" s="12"/>
      <c r="E1244" t="str">
        <f>IF(LEN(D1244)=0,"",[1]!i_pq_tradedays($B$3,A1245,A1244)-1)</f>
        <v/>
      </c>
      <c r="G1244" s="16" t="str">
        <f t="shared" si="54"/>
        <v/>
      </c>
      <c r="H1244" s="70" t="str">
        <f t="shared" si="55"/>
        <v/>
      </c>
    </row>
    <row r="1245" spans="1:8">
      <c r="A1245" s="2"/>
      <c r="B1245" s="12"/>
      <c r="C1245" s="12"/>
      <c r="E1245" t="str">
        <f>IF(LEN(D1245)=0,"",[1]!i_pq_tradedays($B$3,A1246,A1245)-1)</f>
        <v/>
      </c>
      <c r="G1245" s="16" t="str">
        <f t="shared" si="54"/>
        <v/>
      </c>
      <c r="H1245" s="70" t="str">
        <f t="shared" si="55"/>
        <v/>
      </c>
    </row>
    <row r="1246" spans="1:8">
      <c r="A1246" s="2"/>
      <c r="B1246" s="12"/>
      <c r="C1246" s="12"/>
      <c r="E1246" t="str">
        <f>IF(LEN(D1246)=0,"",[1]!i_pq_tradedays($B$3,A1247,A1246)-1)</f>
        <v/>
      </c>
      <c r="G1246" s="16" t="str">
        <f t="shared" si="54"/>
        <v/>
      </c>
      <c r="H1246" s="70" t="str">
        <f t="shared" si="55"/>
        <v/>
      </c>
    </row>
    <row r="1247" spans="1:8">
      <c r="A1247" s="2"/>
      <c r="B1247" s="12"/>
      <c r="C1247" s="12"/>
      <c r="E1247" t="str">
        <f>IF(LEN(D1247)=0,"",[1]!i_pq_tradedays($B$3,A1248,A1247)-1)</f>
        <v/>
      </c>
      <c r="G1247" s="16" t="str">
        <f t="shared" si="54"/>
        <v/>
      </c>
      <c r="H1247" s="70" t="str">
        <f t="shared" si="55"/>
        <v/>
      </c>
    </row>
    <row r="1248" spans="1:8">
      <c r="A1248" s="2"/>
      <c r="B1248" s="12"/>
      <c r="C1248" s="12"/>
      <c r="E1248" t="str">
        <f>IF(LEN(D1248)=0,"",[1]!i_pq_tradedays($B$3,A1249,A1248)-1)</f>
        <v/>
      </c>
      <c r="G1248" s="16" t="str">
        <f t="shared" si="54"/>
        <v/>
      </c>
      <c r="H1248" s="70" t="str">
        <f t="shared" si="55"/>
        <v/>
      </c>
    </row>
    <row r="1249" spans="1:8">
      <c r="A1249" s="2"/>
      <c r="B1249" s="12"/>
      <c r="C1249" s="12"/>
      <c r="E1249" t="str">
        <f>IF(LEN(D1249)=0,"",[1]!i_pq_tradedays($B$3,A1250,A1249)-1)</f>
        <v/>
      </c>
      <c r="G1249" s="16" t="str">
        <f t="shared" si="54"/>
        <v/>
      </c>
      <c r="H1249" s="70" t="str">
        <f t="shared" si="55"/>
        <v/>
      </c>
    </row>
    <row r="1250" spans="1:8">
      <c r="A1250" s="2"/>
      <c r="B1250" s="12"/>
      <c r="C1250" s="12"/>
      <c r="E1250" t="str">
        <f>IF(LEN(D1250)=0,"",[1]!i_pq_tradedays($B$3,A1251,A1250)-1)</f>
        <v/>
      </c>
      <c r="G1250" s="16" t="str">
        <f t="shared" si="54"/>
        <v/>
      </c>
      <c r="H1250" s="70" t="str">
        <f t="shared" si="55"/>
        <v/>
      </c>
    </row>
    <row r="1251" spans="1:8">
      <c r="A1251" s="2"/>
      <c r="B1251" s="12"/>
      <c r="C1251" s="12"/>
      <c r="E1251" t="str">
        <f>IF(LEN(D1251)=0,"",[1]!i_pq_tradedays($B$3,A1252,A1251)-1)</f>
        <v/>
      </c>
      <c r="G1251" s="16" t="str">
        <f t="shared" si="54"/>
        <v/>
      </c>
      <c r="H1251" s="70" t="str">
        <f t="shared" si="55"/>
        <v/>
      </c>
    </row>
    <row r="1252" spans="1:8">
      <c r="A1252" s="2"/>
      <c r="B1252" s="12"/>
      <c r="C1252" s="12"/>
      <c r="E1252" t="str">
        <f>IF(LEN(D1252)=0,"",[1]!i_pq_tradedays($B$3,A1253,A1252)-1)</f>
        <v/>
      </c>
      <c r="G1252" s="16" t="str">
        <f t="shared" si="54"/>
        <v/>
      </c>
      <c r="H1252" s="70" t="str">
        <f t="shared" si="55"/>
        <v/>
      </c>
    </row>
    <row r="1253" spans="1:8">
      <c r="A1253" s="2"/>
      <c r="B1253" s="12"/>
      <c r="C1253" s="12"/>
      <c r="E1253" t="str">
        <f>IF(LEN(D1253)=0,"",[1]!i_pq_tradedays($B$3,A1254,A1253)-1)</f>
        <v/>
      </c>
      <c r="G1253" s="16" t="str">
        <f t="shared" si="54"/>
        <v/>
      </c>
      <c r="H1253" s="70" t="str">
        <f t="shared" si="55"/>
        <v/>
      </c>
    </row>
    <row r="1254" spans="1:8">
      <c r="A1254" s="2"/>
      <c r="B1254" s="12"/>
      <c r="C1254" s="12"/>
      <c r="E1254" t="str">
        <f>IF(LEN(D1254)=0,"",[1]!i_pq_tradedays($B$3,A1255,A1254)-1)</f>
        <v/>
      </c>
      <c r="G1254" s="16" t="str">
        <f t="shared" si="54"/>
        <v/>
      </c>
      <c r="H1254" s="70" t="str">
        <f t="shared" si="55"/>
        <v/>
      </c>
    </row>
    <row r="1255" spans="1:8">
      <c r="A1255" s="2"/>
      <c r="B1255" s="12"/>
      <c r="C1255" s="12"/>
      <c r="E1255" t="str">
        <f>IF(LEN(D1255)=0,"",[1]!i_pq_tradedays($B$3,A1256,A1255)-1)</f>
        <v/>
      </c>
      <c r="G1255" s="16" t="str">
        <f t="shared" si="54"/>
        <v/>
      </c>
      <c r="H1255" s="70" t="str">
        <f t="shared" si="55"/>
        <v/>
      </c>
    </row>
    <row r="1256" spans="1:8">
      <c r="A1256" s="2"/>
      <c r="B1256" s="12"/>
      <c r="C1256" s="12"/>
      <c r="E1256" t="str">
        <f>IF(LEN(D1256)=0,"",[1]!i_pq_tradedays($B$3,A1257,A1256)-1)</f>
        <v/>
      </c>
      <c r="G1256" s="16" t="str">
        <f t="shared" si="54"/>
        <v/>
      </c>
      <c r="H1256" s="70" t="str">
        <f t="shared" si="55"/>
        <v/>
      </c>
    </row>
    <row r="1257" spans="1:8">
      <c r="A1257" s="2"/>
      <c r="B1257" s="12"/>
      <c r="C1257" s="12"/>
      <c r="E1257" t="str">
        <f>IF(LEN(D1257)=0,"",[1]!i_pq_tradedays($B$3,A1258,A1257)-1)</f>
        <v/>
      </c>
      <c r="G1257" s="16" t="str">
        <f t="shared" si="54"/>
        <v/>
      </c>
      <c r="H1257" s="70" t="str">
        <f t="shared" si="55"/>
        <v/>
      </c>
    </row>
    <row r="1258" spans="1:8">
      <c r="A1258" s="2"/>
      <c r="B1258" s="12"/>
      <c r="C1258" s="12"/>
      <c r="E1258" t="str">
        <f>IF(LEN(D1258)=0,"",[1]!i_pq_tradedays($B$3,A1259,A1258)-1)</f>
        <v/>
      </c>
      <c r="G1258" s="16" t="str">
        <f t="shared" si="54"/>
        <v/>
      </c>
      <c r="H1258" s="70" t="str">
        <f t="shared" si="55"/>
        <v/>
      </c>
    </row>
    <row r="1259" spans="1:8">
      <c r="A1259" s="2"/>
      <c r="B1259" s="12"/>
      <c r="C1259" s="12"/>
      <c r="E1259" t="str">
        <f>IF(LEN(D1259)=0,"",[1]!i_pq_tradedays($B$3,A1260,A1259)-1)</f>
        <v/>
      </c>
      <c r="G1259" s="16" t="str">
        <f t="shared" si="54"/>
        <v/>
      </c>
      <c r="H1259" s="70" t="str">
        <f t="shared" si="55"/>
        <v/>
      </c>
    </row>
    <row r="1260" spans="1:8">
      <c r="A1260" s="2"/>
      <c r="B1260" s="12"/>
      <c r="C1260" s="12"/>
      <c r="E1260" t="str">
        <f>IF(LEN(D1260)=0,"",[1]!i_pq_tradedays($B$3,A1261,A1260)-1)</f>
        <v/>
      </c>
      <c r="G1260" s="16" t="str">
        <f t="shared" si="54"/>
        <v/>
      </c>
      <c r="H1260" s="70" t="str">
        <f t="shared" si="55"/>
        <v/>
      </c>
    </row>
    <row r="1261" spans="1:8">
      <c r="A1261" s="2"/>
      <c r="B1261" s="12"/>
      <c r="C1261" s="12"/>
      <c r="E1261" t="str">
        <f>IF(LEN(D1261)=0,"",[1]!i_pq_tradedays($B$3,A1262,A1261)-1)</f>
        <v/>
      </c>
      <c r="G1261" s="16" t="str">
        <f t="shared" si="54"/>
        <v/>
      </c>
      <c r="H1261" s="70" t="str">
        <f t="shared" si="55"/>
        <v/>
      </c>
    </row>
    <row r="1262" spans="1:8">
      <c r="A1262" s="2"/>
      <c r="B1262" s="12"/>
      <c r="C1262" s="12"/>
      <c r="E1262" t="str">
        <f>IF(LEN(D1262)=0,"",[1]!i_pq_tradedays($B$3,A1263,A1262)-1)</f>
        <v/>
      </c>
      <c r="G1262" s="16" t="str">
        <f t="shared" si="54"/>
        <v/>
      </c>
      <c r="H1262" s="70" t="str">
        <f t="shared" si="55"/>
        <v/>
      </c>
    </row>
    <row r="1263" spans="1:8">
      <c r="A1263" s="2"/>
      <c r="B1263" s="12"/>
      <c r="C1263" s="12"/>
      <c r="E1263" t="str">
        <f>IF(LEN(D1263)=0,"",[1]!i_pq_tradedays($B$3,A1264,A1263)-1)</f>
        <v/>
      </c>
      <c r="G1263" s="16" t="str">
        <f t="shared" si="54"/>
        <v/>
      </c>
      <c r="H1263" s="70" t="str">
        <f t="shared" si="55"/>
        <v/>
      </c>
    </row>
    <row r="1264" spans="1:8">
      <c r="A1264" s="2"/>
      <c r="B1264" s="12"/>
      <c r="C1264" s="12"/>
      <c r="E1264" t="str">
        <f>IF(LEN(D1264)=0,"",[1]!i_pq_tradedays($B$3,A1265,A1264)-1)</f>
        <v/>
      </c>
      <c r="G1264" s="16" t="str">
        <f t="shared" si="54"/>
        <v/>
      </c>
      <c r="H1264" s="70" t="str">
        <f t="shared" si="55"/>
        <v/>
      </c>
    </row>
    <row r="1265" spans="1:8">
      <c r="A1265" s="2"/>
      <c r="B1265" s="12"/>
      <c r="C1265" s="12"/>
      <c r="E1265" t="str">
        <f>IF(LEN(D1265)=0,"",[1]!i_pq_tradedays($B$3,A1266,A1265)-1)</f>
        <v/>
      </c>
      <c r="G1265" s="16" t="str">
        <f t="shared" si="54"/>
        <v/>
      </c>
      <c r="H1265" s="70" t="str">
        <f t="shared" si="55"/>
        <v/>
      </c>
    </row>
    <row r="1266" spans="1:8">
      <c r="A1266" s="2"/>
      <c r="B1266" s="12"/>
      <c r="C1266" s="12"/>
      <c r="E1266" t="str">
        <f>IF(LEN(D1266)=0,"",[1]!i_pq_tradedays($B$3,A1267,A1266)-1)</f>
        <v/>
      </c>
      <c r="G1266" s="16" t="str">
        <f t="shared" si="54"/>
        <v/>
      </c>
      <c r="H1266" s="70" t="str">
        <f t="shared" si="55"/>
        <v/>
      </c>
    </row>
    <row r="1267" spans="1:8">
      <c r="A1267" s="2"/>
      <c r="B1267" s="12"/>
      <c r="C1267" s="12"/>
      <c r="E1267" t="str">
        <f>IF(LEN(D1267)=0,"",[1]!i_pq_tradedays($B$3,A1268,A1267)-1)</f>
        <v/>
      </c>
      <c r="G1267" s="16" t="str">
        <f t="shared" si="54"/>
        <v/>
      </c>
      <c r="H1267" s="70" t="str">
        <f t="shared" si="55"/>
        <v/>
      </c>
    </row>
    <row r="1268" spans="1:8">
      <c r="A1268" s="2"/>
      <c r="B1268" s="12"/>
      <c r="C1268" s="12"/>
      <c r="E1268" t="str">
        <f>IF(LEN(D1268)=0,"",[1]!i_pq_tradedays($B$3,A1269,A1268)-1)</f>
        <v/>
      </c>
      <c r="G1268" s="16" t="str">
        <f t="shared" si="54"/>
        <v/>
      </c>
      <c r="H1268" s="70" t="str">
        <f t="shared" si="55"/>
        <v/>
      </c>
    </row>
    <row r="1269" spans="1:8">
      <c r="A1269" s="2"/>
      <c r="B1269" s="12"/>
      <c r="C1269" s="12"/>
      <c r="E1269" t="str">
        <f>IF(LEN(D1269)=0,"",[1]!i_pq_tradedays($B$3,A1270,A1269)-1)</f>
        <v/>
      </c>
      <c r="G1269" s="16" t="str">
        <f t="shared" ref="G1269:G1332" si="56">IF(LEN(D1269)=0,"",D1269/E1269)</f>
        <v/>
      </c>
      <c r="H1269" s="70" t="str">
        <f t="shared" ref="H1269:H1332" si="57">IF(LEN(D1269)=0,"",G1269/G1270-1)</f>
        <v/>
      </c>
    </row>
    <row r="1270" spans="1:8">
      <c r="A1270" s="2"/>
      <c r="B1270" s="12"/>
      <c r="C1270" s="12"/>
      <c r="E1270" t="str">
        <f>IF(LEN(D1270)=0,"",[1]!i_pq_tradedays($B$3,A1271,A1270)-1)</f>
        <v/>
      </c>
      <c r="G1270" s="16" t="str">
        <f t="shared" si="56"/>
        <v/>
      </c>
      <c r="H1270" s="70" t="str">
        <f t="shared" si="57"/>
        <v/>
      </c>
    </row>
    <row r="1271" spans="1:8">
      <c r="A1271" s="2"/>
      <c r="B1271" s="12"/>
      <c r="C1271" s="12"/>
      <c r="E1271" t="str">
        <f>IF(LEN(D1271)=0,"",[1]!i_pq_tradedays($B$3,A1272,A1271)-1)</f>
        <v/>
      </c>
      <c r="G1271" s="16" t="str">
        <f t="shared" si="56"/>
        <v/>
      </c>
      <c r="H1271" s="70" t="str">
        <f t="shared" si="57"/>
        <v/>
      </c>
    </row>
    <row r="1272" spans="1:8">
      <c r="A1272" s="2"/>
      <c r="B1272" s="12"/>
      <c r="C1272" s="12"/>
      <c r="E1272" t="str">
        <f>IF(LEN(D1272)=0,"",[1]!i_pq_tradedays($B$3,A1273,A1272)-1)</f>
        <v/>
      </c>
      <c r="G1272" s="16" t="str">
        <f t="shared" si="56"/>
        <v/>
      </c>
      <c r="H1272" s="70" t="str">
        <f t="shared" si="57"/>
        <v/>
      </c>
    </row>
    <row r="1273" spans="1:8">
      <c r="A1273" s="2"/>
      <c r="B1273" s="12"/>
      <c r="C1273" s="12"/>
      <c r="E1273" t="str">
        <f>IF(LEN(D1273)=0,"",[1]!i_pq_tradedays($B$3,A1274,A1273)-1)</f>
        <v/>
      </c>
      <c r="G1273" s="16" t="str">
        <f t="shared" si="56"/>
        <v/>
      </c>
      <c r="H1273" s="70" t="str">
        <f t="shared" si="57"/>
        <v/>
      </c>
    </row>
    <row r="1274" spans="1:8">
      <c r="A1274" s="2"/>
      <c r="B1274" s="12"/>
      <c r="C1274" s="12"/>
      <c r="E1274" t="str">
        <f>IF(LEN(D1274)=0,"",[1]!i_pq_tradedays($B$3,A1275,A1274)-1)</f>
        <v/>
      </c>
      <c r="G1274" s="16" t="str">
        <f t="shared" si="56"/>
        <v/>
      </c>
      <c r="H1274" s="70" t="str">
        <f t="shared" si="57"/>
        <v/>
      </c>
    </row>
    <row r="1275" spans="1:8">
      <c r="A1275" s="2"/>
      <c r="B1275" s="12"/>
      <c r="C1275" s="12"/>
      <c r="E1275" t="str">
        <f>IF(LEN(D1275)=0,"",[1]!i_pq_tradedays($B$3,A1276,A1275)-1)</f>
        <v/>
      </c>
      <c r="G1275" s="16" t="str">
        <f t="shared" si="56"/>
        <v/>
      </c>
      <c r="H1275" s="70" t="str">
        <f t="shared" si="57"/>
        <v/>
      </c>
    </row>
    <row r="1276" spans="1:8">
      <c r="A1276" s="2"/>
      <c r="B1276" s="12"/>
      <c r="C1276" s="12"/>
      <c r="E1276" t="str">
        <f>IF(LEN(D1276)=0,"",[1]!i_pq_tradedays($B$3,A1277,A1276)-1)</f>
        <v/>
      </c>
      <c r="G1276" s="16" t="str">
        <f t="shared" si="56"/>
        <v/>
      </c>
      <c r="H1276" s="70" t="str">
        <f t="shared" si="57"/>
        <v/>
      </c>
    </row>
    <row r="1277" spans="1:8">
      <c r="A1277" s="2"/>
      <c r="B1277" s="12"/>
      <c r="C1277" s="12"/>
      <c r="E1277" t="str">
        <f>IF(LEN(D1277)=0,"",[1]!i_pq_tradedays($B$3,A1278,A1277)-1)</f>
        <v/>
      </c>
      <c r="G1277" s="16" t="str">
        <f t="shared" si="56"/>
        <v/>
      </c>
      <c r="H1277" s="70" t="str">
        <f t="shared" si="57"/>
        <v/>
      </c>
    </row>
    <row r="1278" spans="1:8">
      <c r="A1278" s="2"/>
      <c r="B1278" s="12"/>
      <c r="C1278" s="12"/>
      <c r="E1278" t="str">
        <f>IF(LEN(D1278)=0,"",[1]!i_pq_tradedays($B$3,A1279,A1278)-1)</f>
        <v/>
      </c>
      <c r="G1278" s="16" t="str">
        <f t="shared" si="56"/>
        <v/>
      </c>
      <c r="H1278" s="70" t="str">
        <f t="shared" si="57"/>
        <v/>
      </c>
    </row>
    <row r="1279" spans="1:8">
      <c r="A1279" s="2"/>
      <c r="B1279" s="12"/>
      <c r="C1279" s="12"/>
      <c r="E1279" t="str">
        <f>IF(LEN(D1279)=0,"",[1]!i_pq_tradedays($B$3,A1280,A1279)-1)</f>
        <v/>
      </c>
      <c r="G1279" s="16" t="str">
        <f t="shared" si="56"/>
        <v/>
      </c>
      <c r="H1279" s="70" t="str">
        <f t="shared" si="57"/>
        <v/>
      </c>
    </row>
    <row r="1280" spans="1:8">
      <c r="A1280" s="2"/>
      <c r="B1280" s="12"/>
      <c r="C1280" s="12"/>
      <c r="E1280" t="str">
        <f>IF(LEN(D1280)=0,"",[1]!i_pq_tradedays($B$3,A1281,A1280)-1)</f>
        <v/>
      </c>
      <c r="G1280" s="16" t="str">
        <f t="shared" si="56"/>
        <v/>
      </c>
      <c r="H1280" s="70" t="str">
        <f t="shared" si="57"/>
        <v/>
      </c>
    </row>
    <row r="1281" spans="1:8">
      <c r="A1281" s="2"/>
      <c r="B1281" s="12"/>
      <c r="C1281" s="12"/>
      <c r="E1281" t="str">
        <f>IF(LEN(D1281)=0,"",[1]!i_pq_tradedays($B$3,A1282,A1281)-1)</f>
        <v/>
      </c>
      <c r="G1281" s="16" t="str">
        <f t="shared" si="56"/>
        <v/>
      </c>
      <c r="H1281" s="70" t="str">
        <f t="shared" si="57"/>
        <v/>
      </c>
    </row>
    <row r="1282" spans="1:8">
      <c r="A1282" s="2"/>
      <c r="B1282" s="12"/>
      <c r="C1282" s="12"/>
      <c r="E1282" t="str">
        <f>IF(LEN(D1282)=0,"",[1]!i_pq_tradedays($B$3,A1283,A1282)-1)</f>
        <v/>
      </c>
      <c r="G1282" s="16" t="str">
        <f t="shared" si="56"/>
        <v/>
      </c>
      <c r="H1282" s="70" t="str">
        <f t="shared" si="57"/>
        <v/>
      </c>
    </row>
    <row r="1283" spans="1:8">
      <c r="A1283" s="2"/>
      <c r="B1283" s="12"/>
      <c r="C1283" s="12"/>
      <c r="E1283" t="str">
        <f>IF(LEN(D1283)=0,"",[1]!i_pq_tradedays($B$3,A1284,A1283)-1)</f>
        <v/>
      </c>
      <c r="G1283" s="16" t="str">
        <f t="shared" si="56"/>
        <v/>
      </c>
      <c r="H1283" s="70" t="str">
        <f t="shared" si="57"/>
        <v/>
      </c>
    </row>
    <row r="1284" spans="1:8">
      <c r="A1284" s="2"/>
      <c r="B1284" s="12"/>
      <c r="C1284" s="12"/>
      <c r="E1284" t="str">
        <f>IF(LEN(D1284)=0,"",[1]!i_pq_tradedays($B$3,A1285,A1284)-1)</f>
        <v/>
      </c>
      <c r="G1284" s="16" t="str">
        <f t="shared" si="56"/>
        <v/>
      </c>
      <c r="H1284" s="70" t="str">
        <f t="shared" si="57"/>
        <v/>
      </c>
    </row>
    <row r="1285" spans="1:8">
      <c r="A1285" s="2"/>
      <c r="B1285" s="12"/>
      <c r="C1285" s="12"/>
      <c r="E1285" t="str">
        <f>IF(LEN(D1285)=0,"",[1]!i_pq_tradedays($B$3,A1286,A1285)-1)</f>
        <v/>
      </c>
      <c r="G1285" s="16" t="str">
        <f t="shared" si="56"/>
        <v/>
      </c>
      <c r="H1285" s="70" t="str">
        <f t="shared" si="57"/>
        <v/>
      </c>
    </row>
    <row r="1286" spans="1:8">
      <c r="A1286" s="2"/>
      <c r="B1286" s="12"/>
      <c r="C1286" s="12"/>
      <c r="E1286" t="str">
        <f>IF(LEN(D1286)=0,"",[1]!i_pq_tradedays($B$3,A1287,A1286)-1)</f>
        <v/>
      </c>
      <c r="G1286" s="16" t="str">
        <f t="shared" si="56"/>
        <v/>
      </c>
      <c r="H1286" s="70" t="str">
        <f t="shared" si="57"/>
        <v/>
      </c>
    </row>
    <row r="1287" spans="1:8">
      <c r="A1287" s="2"/>
      <c r="B1287" s="12"/>
      <c r="C1287" s="12"/>
      <c r="E1287" t="str">
        <f>IF(LEN(D1287)=0,"",[1]!i_pq_tradedays($B$3,A1288,A1287)-1)</f>
        <v/>
      </c>
      <c r="G1287" s="16" t="str">
        <f t="shared" si="56"/>
        <v/>
      </c>
      <c r="H1287" s="70" t="str">
        <f t="shared" si="57"/>
        <v/>
      </c>
    </row>
    <row r="1288" spans="1:8">
      <c r="A1288" s="2"/>
      <c r="B1288" s="12"/>
      <c r="C1288" s="12"/>
      <c r="E1288" t="str">
        <f>IF(LEN(D1288)=0,"",[1]!i_pq_tradedays($B$3,A1289,A1288)-1)</f>
        <v/>
      </c>
      <c r="G1288" s="16" t="str">
        <f t="shared" si="56"/>
        <v/>
      </c>
      <c r="H1288" s="70" t="str">
        <f t="shared" si="57"/>
        <v/>
      </c>
    </row>
    <row r="1289" spans="1:8">
      <c r="A1289" s="2"/>
      <c r="B1289" s="12"/>
      <c r="C1289" s="12"/>
      <c r="E1289" t="str">
        <f>IF(LEN(D1289)=0,"",[1]!i_pq_tradedays($B$3,A1290,A1289)-1)</f>
        <v/>
      </c>
      <c r="G1289" s="16" t="str">
        <f t="shared" si="56"/>
        <v/>
      </c>
      <c r="H1289" s="70" t="str">
        <f t="shared" si="57"/>
        <v/>
      </c>
    </row>
    <row r="1290" spans="1:8">
      <c r="A1290" s="2"/>
      <c r="B1290" s="12"/>
      <c r="C1290" s="12"/>
      <c r="E1290" t="str">
        <f>IF(LEN(D1290)=0,"",[1]!i_pq_tradedays($B$3,A1291,A1290)-1)</f>
        <v/>
      </c>
      <c r="G1290" s="16" t="str">
        <f t="shared" si="56"/>
        <v/>
      </c>
      <c r="H1290" s="70" t="str">
        <f t="shared" si="57"/>
        <v/>
      </c>
    </row>
    <row r="1291" spans="1:8">
      <c r="A1291" s="2"/>
      <c r="B1291" s="12"/>
      <c r="C1291" s="12"/>
      <c r="E1291" t="str">
        <f>IF(LEN(D1291)=0,"",[1]!i_pq_tradedays($B$3,A1292,A1291)-1)</f>
        <v/>
      </c>
      <c r="G1291" s="16" t="str">
        <f t="shared" si="56"/>
        <v/>
      </c>
      <c r="H1291" s="70" t="str">
        <f t="shared" si="57"/>
        <v/>
      </c>
    </row>
    <row r="1292" spans="1:8">
      <c r="A1292" s="2"/>
      <c r="B1292" s="12"/>
      <c r="C1292" s="12"/>
      <c r="E1292" t="str">
        <f>IF(LEN(D1292)=0,"",[1]!i_pq_tradedays($B$3,A1293,A1292)-1)</f>
        <v/>
      </c>
      <c r="G1292" s="16" t="str">
        <f t="shared" si="56"/>
        <v/>
      </c>
      <c r="H1292" s="70" t="str">
        <f t="shared" si="57"/>
        <v/>
      </c>
    </row>
    <row r="1293" spans="1:8">
      <c r="A1293" s="2"/>
      <c r="B1293" s="12"/>
      <c r="C1293" s="12"/>
      <c r="E1293" t="str">
        <f>IF(LEN(D1293)=0,"",[1]!i_pq_tradedays($B$3,A1294,A1293)-1)</f>
        <v/>
      </c>
      <c r="G1293" s="16" t="str">
        <f t="shared" si="56"/>
        <v/>
      </c>
      <c r="H1293" s="70" t="str">
        <f t="shared" si="57"/>
        <v/>
      </c>
    </row>
    <row r="1294" spans="1:8">
      <c r="A1294" s="2"/>
      <c r="B1294" s="12"/>
      <c r="C1294" s="12"/>
      <c r="E1294" t="str">
        <f>IF(LEN(D1294)=0,"",[1]!i_pq_tradedays($B$3,A1295,A1294)-1)</f>
        <v/>
      </c>
      <c r="G1294" s="16" t="str">
        <f t="shared" si="56"/>
        <v/>
      </c>
      <c r="H1294" s="70" t="str">
        <f t="shared" si="57"/>
        <v/>
      </c>
    </row>
    <row r="1295" spans="1:8">
      <c r="A1295" s="2"/>
      <c r="B1295" s="12"/>
      <c r="C1295" s="12"/>
      <c r="E1295" t="str">
        <f>IF(LEN(D1295)=0,"",[1]!i_pq_tradedays($B$3,A1296,A1295)-1)</f>
        <v/>
      </c>
      <c r="G1295" s="16" t="str">
        <f t="shared" si="56"/>
        <v/>
      </c>
      <c r="H1295" s="70" t="str">
        <f t="shared" si="57"/>
        <v/>
      </c>
    </row>
    <row r="1296" spans="1:8">
      <c r="A1296" s="2"/>
      <c r="B1296" s="12"/>
      <c r="C1296" s="12"/>
      <c r="E1296" t="str">
        <f>IF(LEN(D1296)=0,"",[1]!i_pq_tradedays($B$3,A1297,A1296)-1)</f>
        <v/>
      </c>
      <c r="G1296" s="16" t="str">
        <f t="shared" si="56"/>
        <v/>
      </c>
      <c r="H1296" s="70" t="str">
        <f t="shared" si="57"/>
        <v/>
      </c>
    </row>
    <row r="1297" spans="1:8">
      <c r="A1297" s="2"/>
      <c r="B1297" s="12"/>
      <c r="C1297" s="12"/>
      <c r="E1297" t="str">
        <f>IF(LEN(D1297)=0,"",[1]!i_pq_tradedays($B$3,A1298,A1297)-1)</f>
        <v/>
      </c>
      <c r="G1297" s="16" t="str">
        <f t="shared" si="56"/>
        <v/>
      </c>
      <c r="H1297" s="70" t="str">
        <f t="shared" si="57"/>
        <v/>
      </c>
    </row>
    <row r="1298" spans="1:8">
      <c r="A1298" s="2"/>
      <c r="B1298" s="12"/>
      <c r="C1298" s="12"/>
      <c r="E1298" t="str">
        <f>IF(LEN(D1298)=0,"",[1]!i_pq_tradedays($B$3,A1299,A1298)-1)</f>
        <v/>
      </c>
      <c r="G1298" s="16" t="str">
        <f t="shared" si="56"/>
        <v/>
      </c>
      <c r="H1298" s="70" t="str">
        <f t="shared" si="57"/>
        <v/>
      </c>
    </row>
    <row r="1299" spans="1:8">
      <c r="A1299" s="2"/>
      <c r="B1299" s="12"/>
      <c r="C1299" s="12"/>
      <c r="E1299" t="str">
        <f>IF(LEN(D1299)=0,"",[1]!i_pq_tradedays($B$3,A1300,A1299)-1)</f>
        <v/>
      </c>
      <c r="G1299" s="16" t="str">
        <f t="shared" si="56"/>
        <v/>
      </c>
      <c r="H1299" s="70" t="str">
        <f t="shared" si="57"/>
        <v/>
      </c>
    </row>
    <row r="1300" spans="1:8">
      <c r="A1300" s="2"/>
      <c r="B1300" s="12"/>
      <c r="C1300" s="12"/>
      <c r="E1300" t="str">
        <f>IF(LEN(D1300)=0,"",[1]!i_pq_tradedays($B$3,A1301,A1300)-1)</f>
        <v/>
      </c>
      <c r="G1300" s="16" t="str">
        <f t="shared" si="56"/>
        <v/>
      </c>
      <c r="H1300" s="70" t="str">
        <f t="shared" si="57"/>
        <v/>
      </c>
    </row>
    <row r="1301" spans="1:8">
      <c r="A1301" s="2"/>
      <c r="B1301" s="12"/>
      <c r="C1301" s="12"/>
      <c r="E1301" t="str">
        <f>IF(LEN(D1301)=0,"",[1]!i_pq_tradedays($B$3,A1302,A1301)-1)</f>
        <v/>
      </c>
      <c r="G1301" s="16" t="str">
        <f t="shared" si="56"/>
        <v/>
      </c>
      <c r="H1301" s="70" t="str">
        <f t="shared" si="57"/>
        <v/>
      </c>
    </row>
    <row r="1302" spans="1:8">
      <c r="A1302" s="2"/>
      <c r="B1302" s="12"/>
      <c r="C1302" s="12"/>
      <c r="E1302" t="str">
        <f>IF(LEN(D1302)=0,"",[1]!i_pq_tradedays($B$3,A1303,A1302)-1)</f>
        <v/>
      </c>
      <c r="G1302" s="16" t="str">
        <f t="shared" si="56"/>
        <v/>
      </c>
      <c r="H1302" s="70" t="str">
        <f t="shared" si="57"/>
        <v/>
      </c>
    </row>
    <row r="1303" spans="1:8">
      <c r="A1303" s="2"/>
      <c r="B1303" s="12"/>
      <c r="C1303" s="12"/>
      <c r="E1303" t="str">
        <f>IF(LEN(D1303)=0,"",[1]!i_pq_tradedays($B$3,A1304,A1303)-1)</f>
        <v/>
      </c>
      <c r="G1303" s="16" t="str">
        <f t="shared" si="56"/>
        <v/>
      </c>
      <c r="H1303" s="70" t="str">
        <f t="shared" si="57"/>
        <v/>
      </c>
    </row>
    <row r="1304" spans="1:8">
      <c r="A1304" s="2"/>
      <c r="B1304" s="12"/>
      <c r="C1304" s="12"/>
      <c r="E1304" t="str">
        <f>IF(LEN(D1304)=0,"",[1]!i_pq_tradedays($B$3,A1305,A1304)-1)</f>
        <v/>
      </c>
      <c r="G1304" s="16" t="str">
        <f t="shared" si="56"/>
        <v/>
      </c>
      <c r="H1304" s="70" t="str">
        <f t="shared" si="57"/>
        <v/>
      </c>
    </row>
    <row r="1305" spans="1:8">
      <c r="A1305" s="2"/>
      <c r="B1305" s="12"/>
      <c r="C1305" s="12"/>
      <c r="E1305" t="str">
        <f>IF(LEN(D1305)=0,"",[1]!i_pq_tradedays($B$3,A1306,A1305)-1)</f>
        <v/>
      </c>
      <c r="G1305" s="16" t="str">
        <f t="shared" si="56"/>
        <v/>
      </c>
      <c r="H1305" s="70" t="str">
        <f t="shared" si="57"/>
        <v/>
      </c>
    </row>
    <row r="1306" spans="1:8">
      <c r="A1306" s="2"/>
      <c r="B1306" s="12"/>
      <c r="C1306" s="12"/>
      <c r="E1306" t="str">
        <f>IF(LEN(D1306)=0,"",[1]!i_pq_tradedays($B$3,A1307,A1306)-1)</f>
        <v/>
      </c>
      <c r="G1306" s="16" t="str">
        <f t="shared" si="56"/>
        <v/>
      </c>
      <c r="H1306" s="70" t="str">
        <f t="shared" si="57"/>
        <v/>
      </c>
    </row>
    <row r="1307" spans="1:8">
      <c r="A1307" s="2"/>
      <c r="B1307" s="12"/>
      <c r="C1307" s="12"/>
      <c r="E1307" t="str">
        <f>IF(LEN(D1307)=0,"",[1]!i_pq_tradedays($B$3,A1308,A1307)-1)</f>
        <v/>
      </c>
      <c r="G1307" s="16" t="str">
        <f t="shared" si="56"/>
        <v/>
      </c>
      <c r="H1307" s="70" t="str">
        <f t="shared" si="57"/>
        <v/>
      </c>
    </row>
    <row r="1308" spans="1:8">
      <c r="A1308" s="2"/>
      <c r="B1308" s="12"/>
      <c r="C1308" s="12"/>
      <c r="E1308" t="str">
        <f>IF(LEN(D1308)=0,"",[1]!i_pq_tradedays($B$3,A1309,A1308)-1)</f>
        <v/>
      </c>
      <c r="G1308" s="16" t="str">
        <f t="shared" si="56"/>
        <v/>
      </c>
      <c r="H1308" s="70" t="str">
        <f t="shared" si="57"/>
        <v/>
      </c>
    </row>
    <row r="1309" spans="1:8">
      <c r="A1309" s="2"/>
      <c r="B1309" s="12"/>
      <c r="C1309" s="12"/>
      <c r="E1309" t="str">
        <f>IF(LEN(D1309)=0,"",[1]!i_pq_tradedays($B$3,A1310,A1309)-1)</f>
        <v/>
      </c>
      <c r="G1309" s="16" t="str">
        <f t="shared" si="56"/>
        <v/>
      </c>
      <c r="H1309" s="70" t="str">
        <f t="shared" si="57"/>
        <v/>
      </c>
    </row>
    <row r="1310" spans="1:8">
      <c r="A1310" s="2"/>
      <c r="B1310" s="12"/>
      <c r="C1310" s="12"/>
      <c r="E1310" t="str">
        <f>IF(LEN(D1310)=0,"",[1]!i_pq_tradedays($B$3,A1311,A1310)-1)</f>
        <v/>
      </c>
      <c r="G1310" s="16" t="str">
        <f t="shared" si="56"/>
        <v/>
      </c>
      <c r="H1310" s="70" t="str">
        <f t="shared" si="57"/>
        <v/>
      </c>
    </row>
    <row r="1311" spans="1:8">
      <c r="A1311" s="2"/>
      <c r="B1311" s="12"/>
      <c r="C1311" s="12"/>
      <c r="E1311" t="str">
        <f>IF(LEN(D1311)=0,"",[1]!i_pq_tradedays($B$3,A1312,A1311)-1)</f>
        <v/>
      </c>
      <c r="G1311" s="16" t="str">
        <f t="shared" si="56"/>
        <v/>
      </c>
      <c r="H1311" s="70" t="str">
        <f t="shared" si="57"/>
        <v/>
      </c>
    </row>
    <row r="1312" spans="1:8">
      <c r="A1312" s="2"/>
      <c r="B1312" s="12"/>
      <c r="C1312" s="12"/>
      <c r="E1312" t="str">
        <f>IF(LEN(D1312)=0,"",[1]!i_pq_tradedays($B$3,A1313,A1312)-1)</f>
        <v/>
      </c>
      <c r="G1312" s="16" t="str">
        <f t="shared" si="56"/>
        <v/>
      </c>
      <c r="H1312" s="70" t="str">
        <f t="shared" si="57"/>
        <v/>
      </c>
    </row>
    <row r="1313" spans="1:8">
      <c r="A1313" s="2"/>
      <c r="B1313" s="12"/>
      <c r="C1313" s="12"/>
      <c r="E1313" t="str">
        <f>IF(LEN(D1313)=0,"",[1]!i_pq_tradedays($B$3,A1314,A1313)-1)</f>
        <v/>
      </c>
      <c r="G1313" s="16" t="str">
        <f t="shared" si="56"/>
        <v/>
      </c>
      <c r="H1313" s="70" t="str">
        <f t="shared" si="57"/>
        <v/>
      </c>
    </row>
    <row r="1314" spans="1:8">
      <c r="A1314" s="2"/>
      <c r="B1314" s="12"/>
      <c r="C1314" s="12"/>
      <c r="E1314" t="str">
        <f>IF(LEN(D1314)=0,"",[1]!i_pq_tradedays($B$3,A1315,A1314)-1)</f>
        <v/>
      </c>
      <c r="G1314" s="16" t="str">
        <f t="shared" si="56"/>
        <v/>
      </c>
      <c r="H1314" s="70" t="str">
        <f t="shared" si="57"/>
        <v/>
      </c>
    </row>
    <row r="1315" spans="1:8">
      <c r="A1315" s="2"/>
      <c r="B1315" s="12"/>
      <c r="C1315" s="12"/>
      <c r="E1315" t="str">
        <f>IF(LEN(D1315)=0,"",[1]!i_pq_tradedays($B$3,A1316,A1315)-1)</f>
        <v/>
      </c>
      <c r="G1315" s="16" t="str">
        <f t="shared" si="56"/>
        <v/>
      </c>
      <c r="H1315" s="70" t="str">
        <f t="shared" si="57"/>
        <v/>
      </c>
    </row>
    <row r="1316" spans="1:8">
      <c r="A1316" s="2"/>
      <c r="B1316" s="12"/>
      <c r="C1316" s="12"/>
      <c r="E1316" t="str">
        <f>IF(LEN(D1316)=0,"",[1]!i_pq_tradedays($B$3,A1317,A1316)-1)</f>
        <v/>
      </c>
      <c r="G1316" s="16" t="str">
        <f t="shared" si="56"/>
        <v/>
      </c>
      <c r="H1316" s="70" t="str">
        <f t="shared" si="57"/>
        <v/>
      </c>
    </row>
    <row r="1317" spans="1:8">
      <c r="A1317" s="2"/>
      <c r="B1317" s="12"/>
      <c r="C1317" s="12"/>
      <c r="E1317" t="str">
        <f>IF(LEN(D1317)=0,"",[1]!i_pq_tradedays($B$3,A1318,A1317)-1)</f>
        <v/>
      </c>
      <c r="G1317" s="16" t="str">
        <f t="shared" si="56"/>
        <v/>
      </c>
      <c r="H1317" s="70" t="str">
        <f t="shared" si="57"/>
        <v/>
      </c>
    </row>
    <row r="1318" spans="1:8">
      <c r="A1318" s="2"/>
      <c r="B1318" s="12"/>
      <c r="C1318" s="12"/>
      <c r="E1318" t="str">
        <f>IF(LEN(D1318)=0,"",[1]!i_pq_tradedays($B$3,A1319,A1318)-1)</f>
        <v/>
      </c>
      <c r="G1318" s="16" t="str">
        <f t="shared" si="56"/>
        <v/>
      </c>
      <c r="H1318" s="70" t="str">
        <f t="shared" si="57"/>
        <v/>
      </c>
    </row>
    <row r="1319" spans="1:8">
      <c r="A1319" s="2"/>
      <c r="B1319" s="12"/>
      <c r="C1319" s="12"/>
      <c r="E1319" t="str">
        <f>IF(LEN(D1319)=0,"",[1]!i_pq_tradedays($B$3,A1320,A1319)-1)</f>
        <v/>
      </c>
      <c r="G1319" s="16" t="str">
        <f t="shared" si="56"/>
        <v/>
      </c>
      <c r="H1319" s="70" t="str">
        <f t="shared" si="57"/>
        <v/>
      </c>
    </row>
    <row r="1320" spans="1:8">
      <c r="A1320" s="2"/>
      <c r="B1320" s="12"/>
      <c r="C1320" s="12"/>
      <c r="E1320" t="str">
        <f>IF(LEN(D1320)=0,"",[1]!i_pq_tradedays($B$3,A1321,A1320)-1)</f>
        <v/>
      </c>
      <c r="G1320" s="16" t="str">
        <f t="shared" si="56"/>
        <v/>
      </c>
      <c r="H1320" s="70" t="str">
        <f t="shared" si="57"/>
        <v/>
      </c>
    </row>
    <row r="1321" spans="1:8">
      <c r="A1321" s="2"/>
      <c r="B1321" s="12"/>
      <c r="C1321" s="12"/>
      <c r="E1321" t="str">
        <f>IF(LEN(D1321)=0,"",[1]!i_pq_tradedays($B$3,A1322,A1321)-1)</f>
        <v/>
      </c>
      <c r="G1321" s="16" t="str">
        <f t="shared" si="56"/>
        <v/>
      </c>
      <c r="H1321" s="70" t="str">
        <f t="shared" si="57"/>
        <v/>
      </c>
    </row>
    <row r="1322" spans="1:8">
      <c r="A1322" s="2"/>
      <c r="B1322" s="12"/>
      <c r="C1322" s="12"/>
      <c r="E1322" t="str">
        <f>IF(LEN(D1322)=0,"",[1]!i_pq_tradedays($B$3,A1323,A1322)-1)</f>
        <v/>
      </c>
      <c r="G1322" s="16" t="str">
        <f t="shared" si="56"/>
        <v/>
      </c>
      <c r="H1322" s="70" t="str">
        <f t="shared" si="57"/>
        <v/>
      </c>
    </row>
    <row r="1323" spans="1:8">
      <c r="A1323" s="2"/>
      <c r="B1323" s="12"/>
      <c r="C1323" s="12"/>
      <c r="E1323" t="str">
        <f>IF(LEN(D1323)=0,"",[1]!i_pq_tradedays($B$3,A1324,A1323)-1)</f>
        <v/>
      </c>
      <c r="G1323" s="16" t="str">
        <f t="shared" si="56"/>
        <v/>
      </c>
      <c r="H1323" s="70" t="str">
        <f t="shared" si="57"/>
        <v/>
      </c>
    </row>
    <row r="1324" spans="1:8">
      <c r="A1324" s="2"/>
      <c r="B1324" s="12"/>
      <c r="C1324" s="12"/>
      <c r="E1324" t="str">
        <f>IF(LEN(D1324)=0,"",[1]!i_pq_tradedays($B$3,A1325,A1324)-1)</f>
        <v/>
      </c>
      <c r="G1324" s="16" t="str">
        <f t="shared" si="56"/>
        <v/>
      </c>
      <c r="H1324" s="70" t="str">
        <f t="shared" si="57"/>
        <v/>
      </c>
    </row>
    <row r="1325" spans="1:8">
      <c r="A1325" s="2"/>
      <c r="B1325" s="12"/>
      <c r="C1325" s="12"/>
      <c r="E1325" t="str">
        <f>IF(LEN(D1325)=0,"",[1]!i_pq_tradedays($B$3,A1326,A1325)-1)</f>
        <v/>
      </c>
      <c r="G1325" s="16" t="str">
        <f t="shared" si="56"/>
        <v/>
      </c>
      <c r="H1325" s="70" t="str">
        <f t="shared" si="57"/>
        <v/>
      </c>
    </row>
    <row r="1326" spans="1:8">
      <c r="A1326" s="2"/>
      <c r="B1326" s="12"/>
      <c r="C1326" s="12"/>
      <c r="E1326" t="str">
        <f>IF(LEN(D1326)=0,"",[1]!i_pq_tradedays($B$3,A1327,A1326)-1)</f>
        <v/>
      </c>
      <c r="G1326" s="16" t="str">
        <f t="shared" si="56"/>
        <v/>
      </c>
      <c r="H1326" s="70" t="str">
        <f t="shared" si="57"/>
        <v/>
      </c>
    </row>
    <row r="1327" spans="1:8">
      <c r="A1327" s="2"/>
      <c r="B1327" s="12"/>
      <c r="C1327" s="12"/>
      <c r="E1327" t="str">
        <f>IF(LEN(D1327)=0,"",[1]!i_pq_tradedays($B$3,A1328,A1327)-1)</f>
        <v/>
      </c>
      <c r="G1327" s="16" t="str">
        <f t="shared" si="56"/>
        <v/>
      </c>
      <c r="H1327" s="70" t="str">
        <f t="shared" si="57"/>
        <v/>
      </c>
    </row>
    <row r="1328" spans="1:8">
      <c r="A1328" s="2"/>
      <c r="B1328" s="12"/>
      <c r="C1328" s="12"/>
      <c r="E1328" t="str">
        <f>IF(LEN(D1328)=0,"",[1]!i_pq_tradedays($B$3,A1329,A1328)-1)</f>
        <v/>
      </c>
      <c r="G1328" s="16" t="str">
        <f t="shared" si="56"/>
        <v/>
      </c>
      <c r="H1328" s="70" t="str">
        <f t="shared" si="57"/>
        <v/>
      </c>
    </row>
    <row r="1329" spans="1:8">
      <c r="A1329" s="2"/>
      <c r="B1329" s="12"/>
      <c r="C1329" s="12"/>
      <c r="E1329" t="str">
        <f>IF(LEN(D1329)=0,"",[1]!i_pq_tradedays($B$3,A1330,A1329)-1)</f>
        <v/>
      </c>
      <c r="G1329" s="16" t="str">
        <f t="shared" si="56"/>
        <v/>
      </c>
      <c r="H1329" s="70" t="str">
        <f t="shared" si="57"/>
        <v/>
      </c>
    </row>
    <row r="1330" spans="1:8">
      <c r="A1330" s="2"/>
      <c r="B1330" s="12"/>
      <c r="C1330" s="12"/>
      <c r="E1330" t="str">
        <f>IF(LEN(D1330)=0,"",[1]!i_pq_tradedays($B$3,A1331,A1330)-1)</f>
        <v/>
      </c>
      <c r="G1330" s="16" t="str">
        <f t="shared" si="56"/>
        <v/>
      </c>
      <c r="H1330" s="70" t="str">
        <f t="shared" si="57"/>
        <v/>
      </c>
    </row>
    <row r="1331" spans="1:8">
      <c r="A1331" s="2"/>
      <c r="B1331" s="12"/>
      <c r="C1331" s="12"/>
      <c r="E1331" t="str">
        <f>IF(LEN(D1331)=0,"",[1]!i_pq_tradedays($B$3,A1332,A1331)-1)</f>
        <v/>
      </c>
      <c r="G1331" s="16" t="str">
        <f t="shared" si="56"/>
        <v/>
      </c>
      <c r="H1331" s="70" t="str">
        <f t="shared" si="57"/>
        <v/>
      </c>
    </row>
    <row r="1332" spans="1:8">
      <c r="A1332" s="2"/>
      <c r="B1332" s="12"/>
      <c r="C1332" s="12"/>
      <c r="E1332" t="str">
        <f>IF(LEN(D1332)=0,"",[1]!i_pq_tradedays($B$3,A1333,A1332)-1)</f>
        <v/>
      </c>
      <c r="G1332" s="16" t="str">
        <f t="shared" si="56"/>
        <v/>
      </c>
      <c r="H1332" s="70" t="str">
        <f t="shared" si="57"/>
        <v/>
      </c>
    </row>
    <row r="1333" spans="1:8">
      <c r="A1333" s="2"/>
      <c r="B1333" s="12"/>
      <c r="C1333" s="12"/>
      <c r="E1333" t="str">
        <f>IF(LEN(D1333)=0,"",[1]!i_pq_tradedays($B$3,A1334,A1333)-1)</f>
        <v/>
      </c>
      <c r="G1333" s="16" t="str">
        <f t="shared" ref="G1333:G1396" si="58">IF(LEN(D1333)=0,"",D1333/E1333)</f>
        <v/>
      </c>
      <c r="H1333" s="70" t="str">
        <f t="shared" ref="H1333:H1396" si="59">IF(LEN(D1333)=0,"",G1333/G1334-1)</f>
        <v/>
      </c>
    </row>
    <row r="1334" spans="1:8">
      <c r="A1334" s="2"/>
      <c r="B1334" s="12"/>
      <c r="C1334" s="12"/>
      <c r="E1334" t="str">
        <f>IF(LEN(D1334)=0,"",[1]!i_pq_tradedays($B$3,A1335,A1334)-1)</f>
        <v/>
      </c>
      <c r="G1334" s="16" t="str">
        <f t="shared" si="58"/>
        <v/>
      </c>
      <c r="H1334" s="70" t="str">
        <f t="shared" si="59"/>
        <v/>
      </c>
    </row>
    <row r="1335" spans="1:8">
      <c r="A1335" s="2"/>
      <c r="B1335" s="12"/>
      <c r="C1335" s="12"/>
      <c r="E1335" t="str">
        <f>IF(LEN(D1335)=0,"",[1]!i_pq_tradedays($B$3,A1336,A1335)-1)</f>
        <v/>
      </c>
      <c r="G1335" s="16" t="str">
        <f t="shared" si="58"/>
        <v/>
      </c>
      <c r="H1335" s="70" t="str">
        <f t="shared" si="59"/>
        <v/>
      </c>
    </row>
    <row r="1336" spans="1:8">
      <c r="A1336" s="2"/>
      <c r="B1336" s="12"/>
      <c r="C1336" s="12"/>
      <c r="E1336" t="str">
        <f>IF(LEN(D1336)=0,"",[1]!i_pq_tradedays($B$3,A1337,A1336)-1)</f>
        <v/>
      </c>
      <c r="G1336" s="16" t="str">
        <f t="shared" si="58"/>
        <v/>
      </c>
      <c r="H1336" s="70" t="str">
        <f t="shared" si="59"/>
        <v/>
      </c>
    </row>
    <row r="1337" spans="1:8">
      <c r="A1337" s="2"/>
      <c r="B1337" s="12"/>
      <c r="C1337" s="12"/>
      <c r="E1337" t="str">
        <f>IF(LEN(D1337)=0,"",[1]!i_pq_tradedays($B$3,A1338,A1337)-1)</f>
        <v/>
      </c>
      <c r="G1337" s="16" t="str">
        <f t="shared" si="58"/>
        <v/>
      </c>
      <c r="H1337" s="70" t="str">
        <f t="shared" si="59"/>
        <v/>
      </c>
    </row>
    <row r="1338" spans="1:8">
      <c r="A1338" s="2"/>
      <c r="B1338" s="12"/>
      <c r="C1338" s="12"/>
      <c r="E1338" t="str">
        <f>IF(LEN(D1338)=0,"",[1]!i_pq_tradedays($B$3,A1339,A1338)-1)</f>
        <v/>
      </c>
      <c r="G1338" s="16" t="str">
        <f t="shared" si="58"/>
        <v/>
      </c>
      <c r="H1338" s="70" t="str">
        <f t="shared" si="59"/>
        <v/>
      </c>
    </row>
    <row r="1339" spans="1:8">
      <c r="A1339" s="2"/>
      <c r="B1339" s="12"/>
      <c r="C1339" s="12"/>
      <c r="E1339" t="str">
        <f>IF(LEN(D1339)=0,"",[1]!i_pq_tradedays($B$3,A1340,A1339)-1)</f>
        <v/>
      </c>
      <c r="G1339" s="16" t="str">
        <f t="shared" si="58"/>
        <v/>
      </c>
      <c r="H1339" s="70" t="str">
        <f t="shared" si="59"/>
        <v/>
      </c>
    </row>
    <row r="1340" spans="1:8">
      <c r="A1340" s="2"/>
      <c r="B1340" s="12"/>
      <c r="C1340" s="12"/>
      <c r="E1340" t="str">
        <f>IF(LEN(D1340)=0,"",[1]!i_pq_tradedays($B$3,A1341,A1340)-1)</f>
        <v/>
      </c>
      <c r="G1340" s="16" t="str">
        <f t="shared" si="58"/>
        <v/>
      </c>
      <c r="H1340" s="70" t="str">
        <f t="shared" si="59"/>
        <v/>
      </c>
    </row>
    <row r="1341" spans="1:8">
      <c r="A1341" s="2"/>
      <c r="B1341" s="12"/>
      <c r="C1341" s="12"/>
      <c r="E1341" t="str">
        <f>IF(LEN(D1341)=0,"",[1]!i_pq_tradedays($B$3,A1342,A1341)-1)</f>
        <v/>
      </c>
      <c r="G1341" s="16" t="str">
        <f t="shared" si="58"/>
        <v/>
      </c>
      <c r="H1341" s="70" t="str">
        <f t="shared" si="59"/>
        <v/>
      </c>
    </row>
    <row r="1342" spans="1:8">
      <c r="A1342" s="2"/>
      <c r="B1342" s="12"/>
      <c r="C1342" s="12"/>
      <c r="E1342" t="str">
        <f>IF(LEN(D1342)=0,"",[1]!i_pq_tradedays($B$3,A1343,A1342)-1)</f>
        <v/>
      </c>
      <c r="G1342" s="16" t="str">
        <f t="shared" si="58"/>
        <v/>
      </c>
      <c r="H1342" s="70" t="str">
        <f t="shared" si="59"/>
        <v/>
      </c>
    </row>
    <row r="1343" spans="1:8">
      <c r="A1343" s="2"/>
      <c r="B1343" s="12"/>
      <c r="C1343" s="12"/>
      <c r="E1343" t="str">
        <f>IF(LEN(D1343)=0,"",[1]!i_pq_tradedays($B$3,A1344,A1343)-1)</f>
        <v/>
      </c>
      <c r="G1343" s="16" t="str">
        <f t="shared" si="58"/>
        <v/>
      </c>
      <c r="H1343" s="70" t="str">
        <f t="shared" si="59"/>
        <v/>
      </c>
    </row>
    <row r="1344" spans="1:8">
      <c r="A1344" s="2"/>
      <c r="B1344" s="12"/>
      <c r="C1344" s="12"/>
      <c r="E1344" t="str">
        <f>IF(LEN(D1344)=0,"",[1]!i_pq_tradedays($B$3,A1345,A1344)-1)</f>
        <v/>
      </c>
      <c r="G1344" s="16" t="str">
        <f t="shared" si="58"/>
        <v/>
      </c>
      <c r="H1344" s="70" t="str">
        <f t="shared" si="59"/>
        <v/>
      </c>
    </row>
    <row r="1345" spans="1:8">
      <c r="A1345" s="2"/>
      <c r="B1345" s="12"/>
      <c r="C1345" s="12"/>
      <c r="E1345" t="str">
        <f>IF(LEN(D1345)=0,"",[1]!i_pq_tradedays($B$3,A1346,A1345)-1)</f>
        <v/>
      </c>
      <c r="G1345" s="16" t="str">
        <f t="shared" si="58"/>
        <v/>
      </c>
      <c r="H1345" s="70" t="str">
        <f t="shared" si="59"/>
        <v/>
      </c>
    </row>
    <row r="1346" spans="1:8">
      <c r="A1346" s="2"/>
      <c r="B1346" s="12"/>
      <c r="C1346" s="12"/>
      <c r="E1346" t="str">
        <f>IF(LEN(D1346)=0,"",[1]!i_pq_tradedays($B$3,A1347,A1346)-1)</f>
        <v/>
      </c>
      <c r="G1346" s="16" t="str">
        <f t="shared" si="58"/>
        <v/>
      </c>
      <c r="H1346" s="70" t="str">
        <f t="shared" si="59"/>
        <v/>
      </c>
    </row>
    <row r="1347" spans="1:8">
      <c r="A1347" s="2"/>
      <c r="B1347" s="12"/>
      <c r="C1347" s="12"/>
      <c r="E1347" t="str">
        <f>IF(LEN(D1347)=0,"",[1]!i_pq_tradedays($B$3,A1348,A1347)-1)</f>
        <v/>
      </c>
      <c r="G1347" s="16" t="str">
        <f t="shared" si="58"/>
        <v/>
      </c>
      <c r="H1347" s="70" t="str">
        <f t="shared" si="59"/>
        <v/>
      </c>
    </row>
    <row r="1348" spans="1:8">
      <c r="A1348" s="2"/>
      <c r="B1348" s="12"/>
      <c r="C1348" s="12"/>
      <c r="E1348" t="str">
        <f>IF(LEN(D1348)=0,"",[1]!i_pq_tradedays($B$3,A1349,A1348)-1)</f>
        <v/>
      </c>
      <c r="G1348" s="16" t="str">
        <f t="shared" si="58"/>
        <v/>
      </c>
      <c r="H1348" s="70" t="str">
        <f t="shared" si="59"/>
        <v/>
      </c>
    </row>
    <row r="1349" spans="1:8">
      <c r="A1349" s="2"/>
      <c r="B1349" s="12"/>
      <c r="C1349" s="12"/>
      <c r="E1349" t="str">
        <f>IF(LEN(D1349)=0,"",[1]!i_pq_tradedays($B$3,A1350,A1349)-1)</f>
        <v/>
      </c>
      <c r="G1349" s="16" t="str">
        <f t="shared" si="58"/>
        <v/>
      </c>
      <c r="H1349" s="70" t="str">
        <f t="shared" si="59"/>
        <v/>
      </c>
    </row>
    <row r="1350" spans="1:8">
      <c r="A1350" s="2"/>
      <c r="B1350" s="12"/>
      <c r="C1350" s="12"/>
      <c r="E1350" t="str">
        <f>IF(LEN(D1350)=0,"",[1]!i_pq_tradedays($B$3,A1351,A1350)-1)</f>
        <v/>
      </c>
      <c r="G1350" s="16" t="str">
        <f t="shared" si="58"/>
        <v/>
      </c>
      <c r="H1350" s="70" t="str">
        <f t="shared" si="59"/>
        <v/>
      </c>
    </row>
    <row r="1351" spans="1:8">
      <c r="A1351" s="2"/>
      <c r="B1351" s="12"/>
      <c r="C1351" s="12"/>
      <c r="E1351" t="str">
        <f>IF(LEN(D1351)=0,"",[1]!i_pq_tradedays($B$3,A1352,A1351)-1)</f>
        <v/>
      </c>
      <c r="G1351" s="16" t="str">
        <f t="shared" si="58"/>
        <v/>
      </c>
      <c r="H1351" s="70" t="str">
        <f t="shared" si="59"/>
        <v/>
      </c>
    </row>
    <row r="1352" spans="1:8">
      <c r="A1352" s="2"/>
      <c r="B1352" s="12"/>
      <c r="C1352" s="12"/>
      <c r="E1352" t="str">
        <f>IF(LEN(D1352)=0,"",[1]!i_pq_tradedays($B$3,A1353,A1352)-1)</f>
        <v/>
      </c>
      <c r="G1352" s="16" t="str">
        <f t="shared" si="58"/>
        <v/>
      </c>
      <c r="H1352" s="70" t="str">
        <f t="shared" si="59"/>
        <v/>
      </c>
    </row>
    <row r="1353" spans="1:8">
      <c r="A1353" s="2"/>
      <c r="B1353" s="12"/>
      <c r="C1353" s="12"/>
      <c r="E1353" t="str">
        <f>IF(LEN(D1353)=0,"",[1]!i_pq_tradedays($B$3,A1354,A1353)-1)</f>
        <v/>
      </c>
      <c r="G1353" s="16" t="str">
        <f t="shared" si="58"/>
        <v/>
      </c>
      <c r="H1353" s="70" t="str">
        <f t="shared" si="59"/>
        <v/>
      </c>
    </row>
    <row r="1354" spans="1:8">
      <c r="A1354" s="2"/>
      <c r="B1354" s="12"/>
      <c r="C1354" s="12"/>
      <c r="E1354" t="str">
        <f>IF(LEN(D1354)=0,"",[1]!i_pq_tradedays($B$3,A1355,A1354)-1)</f>
        <v/>
      </c>
      <c r="G1354" s="16" t="str">
        <f t="shared" si="58"/>
        <v/>
      </c>
      <c r="H1354" s="70" t="str">
        <f t="shared" si="59"/>
        <v/>
      </c>
    </row>
    <row r="1355" spans="1:8">
      <c r="A1355" s="2"/>
      <c r="B1355" s="12"/>
      <c r="C1355" s="12"/>
      <c r="E1355" t="str">
        <f>IF(LEN(D1355)=0,"",[1]!i_pq_tradedays($B$3,A1356,A1355)-1)</f>
        <v/>
      </c>
      <c r="G1355" s="16" t="str">
        <f t="shared" si="58"/>
        <v/>
      </c>
      <c r="H1355" s="70" t="str">
        <f t="shared" si="59"/>
        <v/>
      </c>
    </row>
    <row r="1356" spans="1:8">
      <c r="A1356" s="2"/>
      <c r="B1356" s="12"/>
      <c r="C1356" s="12"/>
      <c r="E1356" t="str">
        <f>IF(LEN(D1356)=0,"",[1]!i_pq_tradedays($B$3,A1357,A1356)-1)</f>
        <v/>
      </c>
      <c r="G1356" s="16" t="str">
        <f t="shared" si="58"/>
        <v/>
      </c>
      <c r="H1356" s="70" t="str">
        <f t="shared" si="59"/>
        <v/>
      </c>
    </row>
    <row r="1357" spans="1:8">
      <c r="A1357" s="2"/>
      <c r="B1357" s="12"/>
      <c r="C1357" s="12"/>
      <c r="E1357" t="str">
        <f>IF(LEN(D1357)=0,"",[1]!i_pq_tradedays($B$3,A1358,A1357)-1)</f>
        <v/>
      </c>
      <c r="G1357" s="16" t="str">
        <f t="shared" si="58"/>
        <v/>
      </c>
      <c r="H1357" s="70" t="str">
        <f t="shared" si="59"/>
        <v/>
      </c>
    </row>
    <row r="1358" spans="1:8">
      <c r="A1358" s="2"/>
      <c r="B1358" s="12"/>
      <c r="C1358" s="12"/>
      <c r="E1358" t="str">
        <f>IF(LEN(D1358)=0,"",[1]!i_pq_tradedays($B$3,A1359,A1358)-1)</f>
        <v/>
      </c>
      <c r="G1358" s="16" t="str">
        <f t="shared" si="58"/>
        <v/>
      </c>
      <c r="H1358" s="70" t="str">
        <f t="shared" si="59"/>
        <v/>
      </c>
    </row>
    <row r="1359" spans="1:8">
      <c r="A1359" s="2"/>
      <c r="B1359" s="12"/>
      <c r="C1359" s="12"/>
      <c r="E1359" t="str">
        <f>IF(LEN(D1359)=0,"",[1]!i_pq_tradedays($B$3,A1360,A1359)-1)</f>
        <v/>
      </c>
      <c r="G1359" s="16" t="str">
        <f t="shared" si="58"/>
        <v/>
      </c>
      <c r="H1359" s="70" t="str">
        <f t="shared" si="59"/>
        <v/>
      </c>
    </row>
    <row r="1360" spans="1:8">
      <c r="A1360" s="2"/>
      <c r="B1360" s="12"/>
      <c r="C1360" s="12"/>
      <c r="E1360" t="str">
        <f>IF(LEN(D1360)=0,"",[1]!i_pq_tradedays($B$3,A1361,A1360)-1)</f>
        <v/>
      </c>
      <c r="G1360" s="16" t="str">
        <f t="shared" si="58"/>
        <v/>
      </c>
      <c r="H1360" s="70" t="str">
        <f t="shared" si="59"/>
        <v/>
      </c>
    </row>
    <row r="1361" spans="1:8">
      <c r="A1361" s="2"/>
      <c r="B1361" s="12"/>
      <c r="C1361" s="12"/>
      <c r="E1361" t="str">
        <f>IF(LEN(D1361)=0,"",[1]!i_pq_tradedays($B$3,A1362,A1361)-1)</f>
        <v/>
      </c>
      <c r="G1361" s="16" t="str">
        <f t="shared" si="58"/>
        <v/>
      </c>
      <c r="H1361" s="70" t="str">
        <f t="shared" si="59"/>
        <v/>
      </c>
    </row>
    <row r="1362" spans="1:8">
      <c r="A1362" s="2"/>
      <c r="B1362" s="12"/>
      <c r="C1362" s="12"/>
      <c r="E1362" t="str">
        <f>IF(LEN(D1362)=0,"",[1]!i_pq_tradedays($B$3,A1363,A1362)-1)</f>
        <v/>
      </c>
      <c r="G1362" s="16" t="str">
        <f t="shared" si="58"/>
        <v/>
      </c>
      <c r="H1362" s="70" t="str">
        <f t="shared" si="59"/>
        <v/>
      </c>
    </row>
    <row r="1363" spans="1:8">
      <c r="A1363" s="2"/>
      <c r="B1363" s="12"/>
      <c r="C1363" s="12"/>
      <c r="E1363" t="str">
        <f>IF(LEN(D1363)=0,"",[1]!i_pq_tradedays($B$3,A1364,A1363)-1)</f>
        <v/>
      </c>
      <c r="G1363" s="16" t="str">
        <f t="shared" si="58"/>
        <v/>
      </c>
      <c r="H1363" s="70" t="str">
        <f t="shared" si="59"/>
        <v/>
      </c>
    </row>
    <row r="1364" spans="1:8">
      <c r="A1364" s="2"/>
      <c r="B1364" s="12"/>
      <c r="C1364" s="12"/>
      <c r="E1364" t="str">
        <f>IF(LEN(D1364)=0,"",[1]!i_pq_tradedays($B$3,A1365,A1364)-1)</f>
        <v/>
      </c>
      <c r="G1364" s="16" t="str">
        <f t="shared" si="58"/>
        <v/>
      </c>
      <c r="H1364" s="70" t="str">
        <f t="shared" si="59"/>
        <v/>
      </c>
    </row>
    <row r="1365" spans="1:8">
      <c r="A1365" s="2"/>
      <c r="B1365" s="12"/>
      <c r="C1365" s="12"/>
      <c r="E1365" t="str">
        <f>IF(LEN(D1365)=0,"",[1]!i_pq_tradedays($B$3,A1366,A1365)-1)</f>
        <v/>
      </c>
      <c r="G1365" s="16" t="str">
        <f t="shared" si="58"/>
        <v/>
      </c>
      <c r="H1365" s="70" t="str">
        <f t="shared" si="59"/>
        <v/>
      </c>
    </row>
    <row r="1366" spans="1:8">
      <c r="A1366" s="2"/>
      <c r="B1366" s="12"/>
      <c r="C1366" s="12"/>
      <c r="E1366" t="str">
        <f>IF(LEN(D1366)=0,"",[1]!i_pq_tradedays($B$3,A1367,A1366)-1)</f>
        <v/>
      </c>
      <c r="G1366" s="16" t="str">
        <f t="shared" si="58"/>
        <v/>
      </c>
      <c r="H1366" s="70" t="str">
        <f t="shared" si="59"/>
        <v/>
      </c>
    </row>
    <row r="1367" spans="1:8">
      <c r="A1367" s="2"/>
      <c r="B1367" s="12"/>
      <c r="C1367" s="12"/>
      <c r="E1367" t="str">
        <f>IF(LEN(D1367)=0,"",[1]!i_pq_tradedays($B$3,A1368,A1367)-1)</f>
        <v/>
      </c>
      <c r="G1367" s="16" t="str">
        <f t="shared" si="58"/>
        <v/>
      </c>
      <c r="H1367" s="70" t="str">
        <f t="shared" si="59"/>
        <v/>
      </c>
    </row>
    <row r="1368" spans="1:8">
      <c r="A1368" s="2"/>
      <c r="B1368" s="12"/>
      <c r="C1368" s="12"/>
      <c r="E1368" t="str">
        <f>IF(LEN(D1368)=0,"",[1]!i_pq_tradedays($B$3,A1369,A1368)-1)</f>
        <v/>
      </c>
      <c r="G1368" s="16" t="str">
        <f t="shared" si="58"/>
        <v/>
      </c>
      <c r="H1368" s="70" t="str">
        <f t="shared" si="59"/>
        <v/>
      </c>
    </row>
    <row r="1369" spans="1:8">
      <c r="A1369" s="2"/>
      <c r="B1369" s="12"/>
      <c r="C1369" s="12"/>
      <c r="E1369" t="str">
        <f>IF(LEN(D1369)=0,"",[1]!i_pq_tradedays($B$3,A1370,A1369)-1)</f>
        <v/>
      </c>
      <c r="G1369" s="16" t="str">
        <f t="shared" si="58"/>
        <v/>
      </c>
      <c r="H1369" s="70" t="str">
        <f t="shared" si="59"/>
        <v/>
      </c>
    </row>
    <row r="1370" spans="1:8">
      <c r="A1370" s="2"/>
      <c r="B1370" s="12"/>
      <c r="C1370" s="12"/>
      <c r="E1370" t="str">
        <f>IF(LEN(D1370)=0,"",[1]!i_pq_tradedays($B$3,A1371,A1370)-1)</f>
        <v/>
      </c>
      <c r="G1370" s="16" t="str">
        <f t="shared" si="58"/>
        <v/>
      </c>
      <c r="H1370" s="70" t="str">
        <f t="shared" si="59"/>
        <v/>
      </c>
    </row>
    <row r="1371" spans="1:8">
      <c r="A1371" s="2"/>
      <c r="B1371" s="12"/>
      <c r="C1371" s="12"/>
      <c r="E1371" t="str">
        <f>IF(LEN(D1371)=0,"",[1]!i_pq_tradedays($B$3,A1372,A1371)-1)</f>
        <v/>
      </c>
      <c r="G1371" s="16" t="str">
        <f t="shared" si="58"/>
        <v/>
      </c>
      <c r="H1371" s="70" t="str">
        <f t="shared" si="59"/>
        <v/>
      </c>
    </row>
    <row r="1372" spans="1:8">
      <c r="A1372" s="2"/>
      <c r="B1372" s="12"/>
      <c r="C1372" s="12"/>
      <c r="E1372" t="str">
        <f>IF(LEN(D1372)=0,"",[1]!i_pq_tradedays($B$3,A1373,A1372)-1)</f>
        <v/>
      </c>
      <c r="G1372" s="16" t="str">
        <f t="shared" si="58"/>
        <v/>
      </c>
      <c r="H1372" s="70" t="str">
        <f t="shared" si="59"/>
        <v/>
      </c>
    </row>
    <row r="1373" spans="1:8">
      <c r="A1373" s="2"/>
      <c r="B1373" s="12"/>
      <c r="C1373" s="12"/>
      <c r="E1373" t="str">
        <f>IF(LEN(D1373)=0,"",[1]!i_pq_tradedays($B$3,A1374,A1373)-1)</f>
        <v/>
      </c>
      <c r="G1373" s="16" t="str">
        <f t="shared" si="58"/>
        <v/>
      </c>
      <c r="H1373" s="70" t="str">
        <f t="shared" si="59"/>
        <v/>
      </c>
    </row>
    <row r="1374" spans="1:8">
      <c r="A1374" s="2"/>
      <c r="B1374" s="12"/>
      <c r="C1374" s="12"/>
      <c r="E1374" t="str">
        <f>IF(LEN(D1374)=0,"",[1]!i_pq_tradedays($B$3,A1375,A1374)-1)</f>
        <v/>
      </c>
      <c r="G1374" s="16" t="str">
        <f t="shared" si="58"/>
        <v/>
      </c>
      <c r="H1374" s="70" t="str">
        <f t="shared" si="59"/>
        <v/>
      </c>
    </row>
    <row r="1375" spans="1:8">
      <c r="A1375" s="2"/>
      <c r="B1375" s="12"/>
      <c r="C1375" s="12"/>
      <c r="E1375" t="str">
        <f>IF(LEN(D1375)=0,"",[1]!i_pq_tradedays($B$3,A1376,A1375)-1)</f>
        <v/>
      </c>
      <c r="G1375" s="16" t="str">
        <f t="shared" si="58"/>
        <v/>
      </c>
      <c r="H1375" s="70" t="str">
        <f t="shared" si="59"/>
        <v/>
      </c>
    </row>
    <row r="1376" spans="1:8">
      <c r="A1376" s="2"/>
      <c r="B1376" s="12"/>
      <c r="C1376" s="12"/>
      <c r="E1376" t="str">
        <f>IF(LEN(D1376)=0,"",[1]!i_pq_tradedays($B$3,A1377,A1376)-1)</f>
        <v/>
      </c>
      <c r="G1376" s="16" t="str">
        <f t="shared" si="58"/>
        <v/>
      </c>
      <c r="H1376" s="70" t="str">
        <f t="shared" si="59"/>
        <v/>
      </c>
    </row>
    <row r="1377" spans="1:8">
      <c r="A1377" s="2"/>
      <c r="B1377" s="12"/>
      <c r="C1377" s="12"/>
      <c r="E1377" t="str">
        <f>IF(LEN(D1377)=0,"",[1]!i_pq_tradedays($B$3,A1378,A1377)-1)</f>
        <v/>
      </c>
      <c r="G1377" s="16" t="str">
        <f t="shared" si="58"/>
        <v/>
      </c>
      <c r="H1377" s="70" t="str">
        <f t="shared" si="59"/>
        <v/>
      </c>
    </row>
    <row r="1378" spans="1:8">
      <c r="A1378" s="2"/>
      <c r="B1378" s="12"/>
      <c r="C1378" s="12"/>
      <c r="E1378" t="str">
        <f>IF(LEN(D1378)=0,"",[1]!i_pq_tradedays($B$3,A1379,A1378)-1)</f>
        <v/>
      </c>
      <c r="G1378" s="16" t="str">
        <f t="shared" si="58"/>
        <v/>
      </c>
      <c r="H1378" s="70" t="str">
        <f t="shared" si="59"/>
        <v/>
      </c>
    </row>
    <row r="1379" spans="1:8">
      <c r="A1379" s="2"/>
      <c r="B1379" s="12"/>
      <c r="C1379" s="12"/>
      <c r="E1379" t="str">
        <f>IF(LEN(D1379)=0,"",[1]!i_pq_tradedays($B$3,A1380,A1379)-1)</f>
        <v/>
      </c>
      <c r="G1379" s="16" t="str">
        <f t="shared" si="58"/>
        <v/>
      </c>
      <c r="H1379" s="70" t="str">
        <f t="shared" si="59"/>
        <v/>
      </c>
    </row>
    <row r="1380" spans="1:8">
      <c r="A1380" s="2"/>
      <c r="B1380" s="12"/>
      <c r="C1380" s="12"/>
      <c r="E1380" t="str">
        <f>IF(LEN(D1380)=0,"",[1]!i_pq_tradedays($B$3,A1381,A1380)-1)</f>
        <v/>
      </c>
      <c r="G1380" s="16" t="str">
        <f t="shared" si="58"/>
        <v/>
      </c>
      <c r="H1380" s="70" t="str">
        <f t="shared" si="59"/>
        <v/>
      </c>
    </row>
    <row r="1381" spans="1:8">
      <c r="A1381" s="2"/>
      <c r="B1381" s="12"/>
      <c r="C1381" s="12"/>
      <c r="E1381" t="str">
        <f>IF(LEN(D1381)=0,"",[1]!i_pq_tradedays($B$3,A1382,A1381)-1)</f>
        <v/>
      </c>
      <c r="G1381" s="16" t="str">
        <f t="shared" si="58"/>
        <v/>
      </c>
      <c r="H1381" s="70" t="str">
        <f t="shared" si="59"/>
        <v/>
      </c>
    </row>
    <row r="1382" spans="1:8">
      <c r="A1382" s="2"/>
      <c r="B1382" s="12"/>
      <c r="C1382" s="12"/>
      <c r="E1382" t="str">
        <f>IF(LEN(D1382)=0,"",[1]!i_pq_tradedays($B$3,A1383,A1382)-1)</f>
        <v/>
      </c>
      <c r="G1382" s="16" t="str">
        <f t="shared" si="58"/>
        <v/>
      </c>
      <c r="H1382" s="70" t="str">
        <f t="shared" si="59"/>
        <v/>
      </c>
    </row>
    <row r="1383" spans="1:8">
      <c r="A1383" s="2"/>
      <c r="B1383" s="12"/>
      <c r="C1383" s="12"/>
      <c r="E1383" t="str">
        <f>IF(LEN(D1383)=0,"",[1]!i_pq_tradedays($B$3,A1384,A1383)-1)</f>
        <v/>
      </c>
      <c r="G1383" s="16" t="str">
        <f t="shared" si="58"/>
        <v/>
      </c>
      <c r="H1383" s="70" t="str">
        <f t="shared" si="59"/>
        <v/>
      </c>
    </row>
    <row r="1384" spans="1:8">
      <c r="A1384" s="2"/>
      <c r="B1384" s="12"/>
      <c r="C1384" s="12"/>
      <c r="E1384" t="str">
        <f>IF(LEN(D1384)=0,"",[1]!i_pq_tradedays($B$3,A1385,A1384)-1)</f>
        <v/>
      </c>
      <c r="G1384" s="16" t="str">
        <f t="shared" si="58"/>
        <v/>
      </c>
      <c r="H1384" s="70" t="str">
        <f t="shared" si="59"/>
        <v/>
      </c>
    </row>
    <row r="1385" spans="1:8">
      <c r="A1385" s="2"/>
      <c r="B1385" s="12"/>
      <c r="C1385" s="12"/>
      <c r="E1385" t="str">
        <f>IF(LEN(D1385)=0,"",[1]!i_pq_tradedays($B$3,A1386,A1385)-1)</f>
        <v/>
      </c>
      <c r="G1385" s="16" t="str">
        <f t="shared" si="58"/>
        <v/>
      </c>
      <c r="H1385" s="70" t="str">
        <f t="shared" si="59"/>
        <v/>
      </c>
    </row>
    <row r="1386" spans="1:8">
      <c r="A1386" s="2"/>
      <c r="B1386" s="12"/>
      <c r="C1386" s="12"/>
      <c r="E1386" t="str">
        <f>IF(LEN(D1386)=0,"",[1]!i_pq_tradedays($B$3,A1387,A1386)-1)</f>
        <v/>
      </c>
      <c r="G1386" s="16" t="str">
        <f t="shared" si="58"/>
        <v/>
      </c>
      <c r="H1386" s="70" t="str">
        <f t="shared" si="59"/>
        <v/>
      </c>
    </row>
    <row r="1387" spans="1:8">
      <c r="A1387" s="2"/>
      <c r="B1387" s="12"/>
      <c r="C1387" s="12"/>
      <c r="E1387" t="str">
        <f>IF(LEN(D1387)=0,"",[1]!i_pq_tradedays($B$3,A1388,A1387)-1)</f>
        <v/>
      </c>
      <c r="G1387" s="16" t="str">
        <f t="shared" si="58"/>
        <v/>
      </c>
      <c r="H1387" s="70" t="str">
        <f t="shared" si="59"/>
        <v/>
      </c>
    </row>
    <row r="1388" spans="1:8">
      <c r="A1388" s="2"/>
      <c r="B1388" s="12"/>
      <c r="C1388" s="12"/>
      <c r="E1388" t="str">
        <f>IF(LEN(D1388)=0,"",[1]!i_pq_tradedays($B$3,A1389,A1388)-1)</f>
        <v/>
      </c>
      <c r="G1388" s="16" t="str">
        <f t="shared" si="58"/>
        <v/>
      </c>
      <c r="H1388" s="70" t="str">
        <f t="shared" si="59"/>
        <v/>
      </c>
    </row>
    <row r="1389" spans="1:8">
      <c r="A1389" s="2"/>
      <c r="B1389" s="12"/>
      <c r="C1389" s="12"/>
      <c r="E1389" t="str">
        <f>IF(LEN(D1389)=0,"",[1]!i_pq_tradedays($B$3,A1390,A1389)-1)</f>
        <v/>
      </c>
      <c r="G1389" s="16" t="str">
        <f t="shared" si="58"/>
        <v/>
      </c>
      <c r="H1389" s="70" t="str">
        <f t="shared" si="59"/>
        <v/>
      </c>
    </row>
    <row r="1390" spans="1:8">
      <c r="A1390" s="2"/>
      <c r="B1390" s="12"/>
      <c r="C1390" s="12"/>
      <c r="E1390" t="str">
        <f>IF(LEN(D1390)=0,"",[1]!i_pq_tradedays($B$3,A1391,A1390)-1)</f>
        <v/>
      </c>
      <c r="G1390" s="16" t="str">
        <f t="shared" si="58"/>
        <v/>
      </c>
      <c r="H1390" s="70" t="str">
        <f t="shared" si="59"/>
        <v/>
      </c>
    </row>
    <row r="1391" spans="1:8">
      <c r="A1391" s="2"/>
      <c r="B1391" s="12"/>
      <c r="C1391" s="12"/>
      <c r="E1391" t="str">
        <f>IF(LEN(D1391)=0,"",[1]!i_pq_tradedays($B$3,A1392,A1391)-1)</f>
        <v/>
      </c>
      <c r="G1391" s="16" t="str">
        <f t="shared" si="58"/>
        <v/>
      </c>
      <c r="H1391" s="70" t="str">
        <f t="shared" si="59"/>
        <v/>
      </c>
    </row>
    <row r="1392" spans="1:8">
      <c r="A1392" s="2"/>
      <c r="B1392" s="12"/>
      <c r="C1392" s="12"/>
      <c r="E1392" t="str">
        <f>IF(LEN(D1392)=0,"",[1]!i_pq_tradedays($B$3,A1393,A1392)-1)</f>
        <v/>
      </c>
      <c r="G1392" s="16" t="str">
        <f t="shared" si="58"/>
        <v/>
      </c>
      <c r="H1392" s="70" t="str">
        <f t="shared" si="59"/>
        <v/>
      </c>
    </row>
    <row r="1393" spans="1:8">
      <c r="A1393" s="2"/>
      <c r="B1393" s="12"/>
      <c r="C1393" s="12"/>
      <c r="E1393" t="str">
        <f>IF(LEN(D1393)=0,"",[1]!i_pq_tradedays($B$3,A1394,A1393)-1)</f>
        <v/>
      </c>
      <c r="G1393" s="16" t="str">
        <f t="shared" si="58"/>
        <v/>
      </c>
      <c r="H1393" s="70" t="str">
        <f t="shared" si="59"/>
        <v/>
      </c>
    </row>
    <row r="1394" spans="1:8">
      <c r="A1394" s="2"/>
      <c r="B1394" s="12"/>
      <c r="C1394" s="12"/>
      <c r="E1394" t="str">
        <f>IF(LEN(D1394)=0,"",[1]!i_pq_tradedays($B$3,A1395,A1394)-1)</f>
        <v/>
      </c>
      <c r="G1394" s="16" t="str">
        <f t="shared" si="58"/>
        <v/>
      </c>
      <c r="H1394" s="70" t="str">
        <f t="shared" si="59"/>
        <v/>
      </c>
    </row>
    <row r="1395" spans="1:8">
      <c r="A1395" s="2"/>
      <c r="B1395" s="12"/>
      <c r="C1395" s="12"/>
      <c r="E1395" t="str">
        <f>IF(LEN(D1395)=0,"",[1]!i_pq_tradedays($B$3,A1396,A1395)-1)</f>
        <v/>
      </c>
      <c r="G1395" s="16" t="str">
        <f t="shared" si="58"/>
        <v/>
      </c>
      <c r="H1395" s="70" t="str">
        <f t="shared" si="59"/>
        <v/>
      </c>
    </row>
    <row r="1396" spans="1:8">
      <c r="A1396" s="2"/>
      <c r="B1396" s="12"/>
      <c r="C1396" s="12"/>
      <c r="E1396" t="str">
        <f>IF(LEN(D1396)=0,"",[1]!i_pq_tradedays($B$3,A1397,A1396)-1)</f>
        <v/>
      </c>
      <c r="G1396" s="16" t="str">
        <f t="shared" si="58"/>
        <v/>
      </c>
      <c r="H1396" s="70" t="str">
        <f t="shared" si="59"/>
        <v/>
      </c>
    </row>
    <row r="1397" spans="1:8">
      <c r="A1397" s="2"/>
      <c r="B1397" s="12"/>
      <c r="C1397" s="12"/>
      <c r="E1397" t="str">
        <f>IF(LEN(D1397)=0,"",[1]!i_pq_tradedays($B$3,A1398,A1397)-1)</f>
        <v/>
      </c>
      <c r="G1397" s="16" t="str">
        <f t="shared" ref="G1397:G1460" si="60">IF(LEN(D1397)=0,"",D1397/E1397)</f>
        <v/>
      </c>
      <c r="H1397" s="70" t="str">
        <f t="shared" ref="H1397:H1460" si="61">IF(LEN(D1397)=0,"",G1397/G1398-1)</f>
        <v/>
      </c>
    </row>
    <row r="1398" spans="1:8">
      <c r="A1398" s="2"/>
      <c r="B1398" s="12"/>
      <c r="C1398" s="12"/>
      <c r="E1398" t="str">
        <f>IF(LEN(D1398)=0,"",[1]!i_pq_tradedays($B$3,A1399,A1398)-1)</f>
        <v/>
      </c>
      <c r="G1398" s="16" t="str">
        <f t="shared" si="60"/>
        <v/>
      </c>
      <c r="H1398" s="70" t="str">
        <f t="shared" si="61"/>
        <v/>
      </c>
    </row>
    <row r="1399" spans="1:8">
      <c r="A1399" s="2"/>
      <c r="B1399" s="12"/>
      <c r="C1399" s="12"/>
      <c r="E1399" t="str">
        <f>IF(LEN(D1399)=0,"",[1]!i_pq_tradedays($B$3,A1400,A1399)-1)</f>
        <v/>
      </c>
      <c r="G1399" s="16" t="str">
        <f t="shared" si="60"/>
        <v/>
      </c>
      <c r="H1399" s="70" t="str">
        <f t="shared" si="61"/>
        <v/>
      </c>
    </row>
    <row r="1400" spans="1:8">
      <c r="A1400" s="2"/>
      <c r="B1400" s="12"/>
      <c r="C1400" s="12"/>
      <c r="E1400" t="str">
        <f>IF(LEN(D1400)=0,"",[1]!i_pq_tradedays($B$3,A1401,A1400)-1)</f>
        <v/>
      </c>
      <c r="G1400" s="16" t="str">
        <f t="shared" si="60"/>
        <v/>
      </c>
      <c r="H1400" s="70" t="str">
        <f t="shared" si="61"/>
        <v/>
      </c>
    </row>
    <row r="1401" spans="1:8">
      <c r="A1401" s="2"/>
      <c r="B1401" s="12"/>
      <c r="C1401" s="12"/>
      <c r="E1401" t="str">
        <f>IF(LEN(D1401)=0,"",[1]!i_pq_tradedays($B$3,A1402,A1401)-1)</f>
        <v/>
      </c>
      <c r="G1401" s="16" t="str">
        <f t="shared" si="60"/>
        <v/>
      </c>
      <c r="H1401" s="70" t="str">
        <f t="shared" si="61"/>
        <v/>
      </c>
    </row>
    <row r="1402" spans="1:8">
      <c r="A1402" s="2"/>
      <c r="B1402" s="12"/>
      <c r="C1402" s="12"/>
      <c r="E1402" t="str">
        <f>IF(LEN(D1402)=0,"",[1]!i_pq_tradedays($B$3,A1403,A1402)-1)</f>
        <v/>
      </c>
      <c r="G1402" s="16" t="str">
        <f t="shared" si="60"/>
        <v/>
      </c>
      <c r="H1402" s="70" t="str">
        <f t="shared" si="61"/>
        <v/>
      </c>
    </row>
    <row r="1403" spans="1:8">
      <c r="A1403" s="2"/>
      <c r="B1403" s="12"/>
      <c r="C1403" s="12"/>
      <c r="E1403" t="str">
        <f>IF(LEN(D1403)=0,"",[1]!i_pq_tradedays($B$3,A1404,A1403)-1)</f>
        <v/>
      </c>
      <c r="G1403" s="16" t="str">
        <f t="shared" si="60"/>
        <v/>
      </c>
      <c r="H1403" s="70" t="str">
        <f t="shared" si="61"/>
        <v/>
      </c>
    </row>
    <row r="1404" spans="1:8">
      <c r="A1404" s="2"/>
      <c r="B1404" s="12"/>
      <c r="C1404" s="12"/>
      <c r="E1404" t="str">
        <f>IF(LEN(D1404)=0,"",[1]!i_pq_tradedays($B$3,A1405,A1404)-1)</f>
        <v/>
      </c>
      <c r="G1404" s="16" t="str">
        <f t="shared" si="60"/>
        <v/>
      </c>
      <c r="H1404" s="70" t="str">
        <f t="shared" si="61"/>
        <v/>
      </c>
    </row>
    <row r="1405" spans="1:8">
      <c r="A1405" s="2"/>
      <c r="B1405" s="12"/>
      <c r="C1405" s="12"/>
      <c r="E1405" t="str">
        <f>IF(LEN(D1405)=0,"",[1]!i_pq_tradedays($B$3,A1406,A1405)-1)</f>
        <v/>
      </c>
      <c r="G1405" s="16" t="str">
        <f t="shared" si="60"/>
        <v/>
      </c>
      <c r="H1405" s="70" t="str">
        <f t="shared" si="61"/>
        <v/>
      </c>
    </row>
    <row r="1406" spans="1:8">
      <c r="A1406" s="2"/>
      <c r="B1406" s="12"/>
      <c r="C1406" s="12"/>
      <c r="E1406" t="str">
        <f>IF(LEN(D1406)=0,"",[1]!i_pq_tradedays($B$3,A1407,A1406)-1)</f>
        <v/>
      </c>
      <c r="G1406" s="16" t="str">
        <f t="shared" si="60"/>
        <v/>
      </c>
      <c r="H1406" s="70" t="str">
        <f t="shared" si="61"/>
        <v/>
      </c>
    </row>
    <row r="1407" spans="1:8">
      <c r="A1407" s="2"/>
      <c r="B1407" s="12"/>
      <c r="C1407" s="12"/>
      <c r="E1407" t="str">
        <f>IF(LEN(D1407)=0,"",[1]!i_pq_tradedays($B$3,A1408,A1407)-1)</f>
        <v/>
      </c>
      <c r="G1407" s="16" t="str">
        <f t="shared" si="60"/>
        <v/>
      </c>
      <c r="H1407" s="70" t="str">
        <f t="shared" si="61"/>
        <v/>
      </c>
    </row>
    <row r="1408" spans="1:8">
      <c r="A1408" s="2"/>
      <c r="B1408" s="12"/>
      <c r="C1408" s="12"/>
      <c r="E1408" t="str">
        <f>IF(LEN(D1408)=0,"",[1]!i_pq_tradedays($B$3,A1409,A1408)-1)</f>
        <v/>
      </c>
      <c r="G1408" s="16" t="str">
        <f t="shared" si="60"/>
        <v/>
      </c>
      <c r="H1408" s="70" t="str">
        <f t="shared" si="61"/>
        <v/>
      </c>
    </row>
    <row r="1409" spans="1:8">
      <c r="A1409" s="2"/>
      <c r="B1409" s="12"/>
      <c r="C1409" s="12"/>
      <c r="E1409" t="str">
        <f>IF(LEN(D1409)=0,"",[1]!i_pq_tradedays($B$3,A1410,A1409)-1)</f>
        <v/>
      </c>
      <c r="G1409" s="16" t="str">
        <f t="shared" si="60"/>
        <v/>
      </c>
      <c r="H1409" s="70" t="str">
        <f t="shared" si="61"/>
        <v/>
      </c>
    </row>
    <row r="1410" spans="1:8">
      <c r="A1410" s="2"/>
      <c r="B1410" s="12"/>
      <c r="C1410" s="12"/>
      <c r="E1410" t="str">
        <f>IF(LEN(D1410)=0,"",[1]!i_pq_tradedays($B$3,A1411,A1410)-1)</f>
        <v/>
      </c>
      <c r="G1410" s="16" t="str">
        <f t="shared" si="60"/>
        <v/>
      </c>
      <c r="H1410" s="70" t="str">
        <f t="shared" si="61"/>
        <v/>
      </c>
    </row>
    <row r="1411" spans="1:8">
      <c r="A1411" s="2"/>
      <c r="B1411" s="12"/>
      <c r="C1411" s="12"/>
      <c r="E1411" t="str">
        <f>IF(LEN(D1411)=0,"",[1]!i_pq_tradedays($B$3,A1412,A1411)-1)</f>
        <v/>
      </c>
      <c r="G1411" s="16" t="str">
        <f t="shared" si="60"/>
        <v/>
      </c>
      <c r="H1411" s="70" t="str">
        <f t="shared" si="61"/>
        <v/>
      </c>
    </row>
    <row r="1412" spans="1:8">
      <c r="A1412" s="2"/>
      <c r="B1412" s="12"/>
      <c r="C1412" s="12"/>
      <c r="E1412" t="str">
        <f>IF(LEN(D1412)=0,"",[1]!i_pq_tradedays($B$3,A1413,A1412)-1)</f>
        <v/>
      </c>
      <c r="G1412" s="16" t="str">
        <f t="shared" si="60"/>
        <v/>
      </c>
      <c r="H1412" s="70" t="str">
        <f t="shared" si="61"/>
        <v/>
      </c>
    </row>
    <row r="1413" spans="1:8">
      <c r="A1413" s="2"/>
      <c r="B1413" s="12"/>
      <c r="C1413" s="12"/>
      <c r="E1413" t="str">
        <f>IF(LEN(D1413)=0,"",[1]!i_pq_tradedays($B$3,A1414,A1413)-1)</f>
        <v/>
      </c>
      <c r="G1413" s="16" t="str">
        <f t="shared" si="60"/>
        <v/>
      </c>
      <c r="H1413" s="70" t="str">
        <f t="shared" si="61"/>
        <v/>
      </c>
    </row>
    <row r="1414" spans="1:8">
      <c r="A1414" s="2"/>
      <c r="B1414" s="12"/>
      <c r="C1414" s="12"/>
      <c r="E1414" t="str">
        <f>IF(LEN(D1414)=0,"",[1]!i_pq_tradedays($B$3,A1415,A1414)-1)</f>
        <v/>
      </c>
      <c r="G1414" s="16" t="str">
        <f t="shared" si="60"/>
        <v/>
      </c>
      <c r="H1414" s="70" t="str">
        <f t="shared" si="61"/>
        <v/>
      </c>
    </row>
    <row r="1415" spans="1:8">
      <c r="A1415" s="2"/>
      <c r="B1415" s="12"/>
      <c r="C1415" s="12"/>
      <c r="E1415" t="str">
        <f>IF(LEN(D1415)=0,"",[1]!i_pq_tradedays($B$3,A1416,A1415)-1)</f>
        <v/>
      </c>
      <c r="G1415" s="16" t="str">
        <f t="shared" si="60"/>
        <v/>
      </c>
      <c r="H1415" s="70" t="str">
        <f t="shared" si="61"/>
        <v/>
      </c>
    </row>
    <row r="1416" spans="1:8">
      <c r="A1416" s="2"/>
      <c r="B1416" s="12"/>
      <c r="C1416" s="12"/>
      <c r="E1416" t="str">
        <f>IF(LEN(D1416)=0,"",[1]!i_pq_tradedays($B$3,A1417,A1416)-1)</f>
        <v/>
      </c>
      <c r="G1416" s="16" t="str">
        <f t="shared" si="60"/>
        <v/>
      </c>
      <c r="H1416" s="70" t="str">
        <f t="shared" si="61"/>
        <v/>
      </c>
    </row>
    <row r="1417" spans="1:8">
      <c r="A1417" s="2"/>
      <c r="B1417" s="12"/>
      <c r="C1417" s="12"/>
      <c r="E1417" t="str">
        <f>IF(LEN(D1417)=0,"",[1]!i_pq_tradedays($B$3,A1418,A1417)-1)</f>
        <v/>
      </c>
      <c r="G1417" s="16" t="str">
        <f t="shared" si="60"/>
        <v/>
      </c>
      <c r="H1417" s="70" t="str">
        <f t="shared" si="61"/>
        <v/>
      </c>
    </row>
    <row r="1418" spans="1:8">
      <c r="A1418" s="2"/>
      <c r="B1418" s="12"/>
      <c r="C1418" s="12"/>
      <c r="E1418" t="str">
        <f>IF(LEN(D1418)=0,"",[1]!i_pq_tradedays($B$3,A1419,A1418)-1)</f>
        <v/>
      </c>
      <c r="G1418" s="16" t="str">
        <f t="shared" si="60"/>
        <v/>
      </c>
      <c r="H1418" s="70" t="str">
        <f t="shared" si="61"/>
        <v/>
      </c>
    </row>
    <row r="1419" spans="1:8">
      <c r="A1419" s="2"/>
      <c r="B1419" s="12"/>
      <c r="C1419" s="12"/>
      <c r="E1419" t="str">
        <f>IF(LEN(D1419)=0,"",[1]!i_pq_tradedays($B$3,A1420,A1419)-1)</f>
        <v/>
      </c>
      <c r="G1419" s="16" t="str">
        <f t="shared" si="60"/>
        <v/>
      </c>
      <c r="H1419" s="70" t="str">
        <f t="shared" si="61"/>
        <v/>
      </c>
    </row>
    <row r="1420" spans="1:8">
      <c r="A1420" s="2"/>
      <c r="B1420" s="12"/>
      <c r="C1420" s="12"/>
      <c r="E1420" t="str">
        <f>IF(LEN(D1420)=0,"",[1]!i_pq_tradedays($B$3,A1421,A1420)-1)</f>
        <v/>
      </c>
      <c r="G1420" s="16" t="str">
        <f t="shared" si="60"/>
        <v/>
      </c>
      <c r="H1420" s="70" t="str">
        <f t="shared" si="61"/>
        <v/>
      </c>
    </row>
    <row r="1421" spans="1:8">
      <c r="A1421" s="2"/>
      <c r="B1421" s="12"/>
      <c r="C1421" s="12"/>
      <c r="E1421" t="str">
        <f>IF(LEN(D1421)=0,"",[1]!i_pq_tradedays($B$3,A1422,A1421)-1)</f>
        <v/>
      </c>
      <c r="G1421" s="16" t="str">
        <f t="shared" si="60"/>
        <v/>
      </c>
      <c r="H1421" s="70" t="str">
        <f t="shared" si="61"/>
        <v/>
      </c>
    </row>
    <row r="1422" spans="1:8">
      <c r="A1422" s="2"/>
      <c r="B1422" s="12"/>
      <c r="C1422" s="12"/>
      <c r="E1422" t="str">
        <f>IF(LEN(D1422)=0,"",[1]!i_pq_tradedays($B$3,A1423,A1422)-1)</f>
        <v/>
      </c>
      <c r="G1422" s="16" t="str">
        <f t="shared" si="60"/>
        <v/>
      </c>
      <c r="H1422" s="70" t="str">
        <f t="shared" si="61"/>
        <v/>
      </c>
    </row>
    <row r="1423" spans="1:8">
      <c r="A1423" s="2"/>
      <c r="B1423" s="12"/>
      <c r="C1423" s="12"/>
      <c r="E1423" t="str">
        <f>IF(LEN(D1423)=0,"",[1]!i_pq_tradedays($B$3,A1424,A1423)-1)</f>
        <v/>
      </c>
      <c r="G1423" s="16" t="str">
        <f t="shared" si="60"/>
        <v/>
      </c>
      <c r="H1423" s="70" t="str">
        <f t="shared" si="61"/>
        <v/>
      </c>
    </row>
    <row r="1424" spans="1:8">
      <c r="A1424" s="2"/>
      <c r="B1424" s="12"/>
      <c r="C1424" s="12"/>
      <c r="E1424" t="str">
        <f>IF(LEN(D1424)=0,"",[1]!i_pq_tradedays($B$3,A1425,A1424)-1)</f>
        <v/>
      </c>
      <c r="G1424" s="16" t="str">
        <f t="shared" si="60"/>
        <v/>
      </c>
      <c r="H1424" s="70" t="str">
        <f t="shared" si="61"/>
        <v/>
      </c>
    </row>
    <row r="1425" spans="1:8">
      <c r="A1425" s="2"/>
      <c r="B1425" s="12"/>
      <c r="C1425" s="12"/>
      <c r="E1425" t="str">
        <f>IF(LEN(D1425)=0,"",[1]!i_pq_tradedays($B$3,A1426,A1425)-1)</f>
        <v/>
      </c>
      <c r="G1425" s="16" t="str">
        <f t="shared" si="60"/>
        <v/>
      </c>
      <c r="H1425" s="70" t="str">
        <f t="shared" si="61"/>
        <v/>
      </c>
    </row>
    <row r="1426" spans="1:8">
      <c r="A1426" s="2"/>
      <c r="B1426" s="12"/>
      <c r="C1426" s="12"/>
      <c r="E1426" t="str">
        <f>IF(LEN(D1426)=0,"",[1]!i_pq_tradedays($B$3,A1427,A1426)-1)</f>
        <v/>
      </c>
      <c r="G1426" s="16" t="str">
        <f t="shared" si="60"/>
        <v/>
      </c>
      <c r="H1426" s="70" t="str">
        <f t="shared" si="61"/>
        <v/>
      </c>
    </row>
    <row r="1427" spans="1:8">
      <c r="A1427" s="2"/>
      <c r="B1427" s="12"/>
      <c r="C1427" s="12"/>
      <c r="E1427" t="str">
        <f>IF(LEN(D1427)=0,"",[1]!i_pq_tradedays($B$3,A1428,A1427)-1)</f>
        <v/>
      </c>
      <c r="G1427" s="16" t="str">
        <f t="shared" si="60"/>
        <v/>
      </c>
      <c r="H1427" s="70" t="str">
        <f t="shared" si="61"/>
        <v/>
      </c>
    </row>
    <row r="1428" spans="1:8">
      <c r="A1428" s="2"/>
      <c r="B1428" s="12"/>
      <c r="C1428" s="12"/>
      <c r="E1428" t="str">
        <f>IF(LEN(D1428)=0,"",[1]!i_pq_tradedays($B$3,A1429,A1428)-1)</f>
        <v/>
      </c>
      <c r="G1428" s="16" t="str">
        <f t="shared" si="60"/>
        <v/>
      </c>
      <c r="H1428" s="70" t="str">
        <f t="shared" si="61"/>
        <v/>
      </c>
    </row>
    <row r="1429" spans="1:8">
      <c r="A1429" s="2"/>
      <c r="B1429" s="12"/>
      <c r="C1429" s="12"/>
      <c r="E1429" t="str">
        <f>IF(LEN(D1429)=0,"",[1]!i_pq_tradedays($B$3,A1430,A1429)-1)</f>
        <v/>
      </c>
      <c r="G1429" s="16" t="str">
        <f t="shared" si="60"/>
        <v/>
      </c>
      <c r="H1429" s="70" t="str">
        <f t="shared" si="61"/>
        <v/>
      </c>
    </row>
    <row r="1430" spans="1:8">
      <c r="A1430" s="2"/>
      <c r="B1430" s="12"/>
      <c r="C1430" s="12"/>
      <c r="E1430" t="str">
        <f>IF(LEN(D1430)=0,"",[1]!i_pq_tradedays($B$3,A1431,A1430)-1)</f>
        <v/>
      </c>
      <c r="G1430" s="16" t="str">
        <f t="shared" si="60"/>
        <v/>
      </c>
      <c r="H1430" s="70" t="str">
        <f t="shared" si="61"/>
        <v/>
      </c>
    </row>
    <row r="1431" spans="1:8">
      <c r="A1431" s="2"/>
      <c r="B1431" s="12"/>
      <c r="C1431" s="12"/>
      <c r="E1431" t="str">
        <f>IF(LEN(D1431)=0,"",[1]!i_pq_tradedays($B$3,A1432,A1431)-1)</f>
        <v/>
      </c>
      <c r="G1431" s="16" t="str">
        <f t="shared" si="60"/>
        <v/>
      </c>
      <c r="H1431" s="70" t="str">
        <f t="shared" si="61"/>
        <v/>
      </c>
    </row>
    <row r="1432" spans="1:8">
      <c r="A1432" s="2"/>
      <c r="B1432" s="12"/>
      <c r="C1432" s="12"/>
      <c r="E1432" t="str">
        <f>IF(LEN(D1432)=0,"",[1]!i_pq_tradedays($B$3,A1433,A1432)-1)</f>
        <v/>
      </c>
      <c r="G1432" s="16" t="str">
        <f t="shared" si="60"/>
        <v/>
      </c>
      <c r="H1432" s="70" t="str">
        <f t="shared" si="61"/>
        <v/>
      </c>
    </row>
    <row r="1433" spans="1:8">
      <c r="A1433" s="2"/>
      <c r="B1433" s="12"/>
      <c r="C1433" s="12"/>
      <c r="E1433" t="str">
        <f>IF(LEN(D1433)=0,"",[1]!i_pq_tradedays($B$3,A1434,A1433)-1)</f>
        <v/>
      </c>
      <c r="G1433" s="16" t="str">
        <f t="shared" si="60"/>
        <v/>
      </c>
      <c r="H1433" s="70" t="str">
        <f t="shared" si="61"/>
        <v/>
      </c>
    </row>
    <row r="1434" spans="1:8">
      <c r="A1434" s="2"/>
      <c r="B1434" s="12"/>
      <c r="C1434" s="12"/>
      <c r="E1434" t="str">
        <f>IF(LEN(D1434)=0,"",[1]!i_pq_tradedays($B$3,A1435,A1434)-1)</f>
        <v/>
      </c>
      <c r="G1434" s="16" t="str">
        <f t="shared" si="60"/>
        <v/>
      </c>
      <c r="H1434" s="70" t="str">
        <f t="shared" si="61"/>
        <v/>
      </c>
    </row>
    <row r="1435" spans="1:8">
      <c r="A1435" s="2"/>
      <c r="B1435" s="12"/>
      <c r="C1435" s="12"/>
      <c r="E1435" t="str">
        <f>IF(LEN(D1435)=0,"",[1]!i_pq_tradedays($B$3,A1436,A1435)-1)</f>
        <v/>
      </c>
      <c r="G1435" s="16" t="str">
        <f t="shared" si="60"/>
        <v/>
      </c>
      <c r="H1435" s="70" t="str">
        <f t="shared" si="61"/>
        <v/>
      </c>
    </row>
    <row r="1436" spans="1:8">
      <c r="A1436" s="2"/>
      <c r="B1436" s="12"/>
      <c r="C1436" s="12"/>
      <c r="E1436" t="str">
        <f>IF(LEN(D1436)=0,"",[1]!i_pq_tradedays($B$3,A1437,A1436)-1)</f>
        <v/>
      </c>
      <c r="G1436" s="16" t="str">
        <f t="shared" si="60"/>
        <v/>
      </c>
      <c r="H1436" s="70" t="str">
        <f t="shared" si="61"/>
        <v/>
      </c>
    </row>
    <row r="1437" spans="1:8">
      <c r="A1437" s="2"/>
      <c r="B1437" s="12"/>
      <c r="C1437" s="12"/>
      <c r="E1437" t="str">
        <f>IF(LEN(D1437)=0,"",[1]!i_pq_tradedays($B$3,A1438,A1437)-1)</f>
        <v/>
      </c>
      <c r="G1437" s="16" t="str">
        <f t="shared" si="60"/>
        <v/>
      </c>
      <c r="H1437" s="70" t="str">
        <f t="shared" si="61"/>
        <v/>
      </c>
    </row>
    <row r="1438" spans="1:8">
      <c r="A1438" s="2"/>
      <c r="B1438" s="12"/>
      <c r="C1438" s="12"/>
      <c r="E1438" t="str">
        <f>IF(LEN(D1438)=0,"",[1]!i_pq_tradedays($B$3,A1439,A1438)-1)</f>
        <v/>
      </c>
      <c r="G1438" s="16" t="str">
        <f t="shared" si="60"/>
        <v/>
      </c>
      <c r="H1438" s="70" t="str">
        <f t="shared" si="61"/>
        <v/>
      </c>
    </row>
    <row r="1439" spans="1:8">
      <c r="A1439" s="2"/>
      <c r="B1439" s="12"/>
      <c r="C1439" s="12"/>
      <c r="E1439" t="str">
        <f>IF(LEN(D1439)=0,"",[1]!i_pq_tradedays($B$3,A1440,A1439)-1)</f>
        <v/>
      </c>
      <c r="G1439" s="16" t="str">
        <f t="shared" si="60"/>
        <v/>
      </c>
      <c r="H1439" s="70" t="str">
        <f t="shared" si="61"/>
        <v/>
      </c>
    </row>
    <row r="1440" spans="1:8">
      <c r="A1440" s="2"/>
      <c r="B1440" s="12"/>
      <c r="C1440" s="12"/>
      <c r="E1440" t="str">
        <f>IF(LEN(D1440)=0,"",[1]!i_pq_tradedays($B$3,A1441,A1440)-1)</f>
        <v/>
      </c>
      <c r="G1440" s="16" t="str">
        <f t="shared" si="60"/>
        <v/>
      </c>
      <c r="H1440" s="70" t="str">
        <f t="shared" si="61"/>
        <v/>
      </c>
    </row>
    <row r="1441" spans="1:8">
      <c r="A1441" s="2"/>
      <c r="B1441" s="12"/>
      <c r="C1441" s="12"/>
      <c r="E1441" t="str">
        <f>IF(LEN(D1441)=0,"",[1]!i_pq_tradedays($B$3,A1442,A1441)-1)</f>
        <v/>
      </c>
      <c r="G1441" s="16" t="str">
        <f t="shared" si="60"/>
        <v/>
      </c>
      <c r="H1441" s="70" t="str">
        <f t="shared" si="61"/>
        <v/>
      </c>
    </row>
    <row r="1442" spans="1:8">
      <c r="A1442" s="2"/>
      <c r="B1442" s="12"/>
      <c r="C1442" s="12"/>
      <c r="E1442" t="str">
        <f>IF(LEN(D1442)=0,"",[1]!i_pq_tradedays($B$3,A1443,A1442)-1)</f>
        <v/>
      </c>
      <c r="G1442" s="16" t="str">
        <f t="shared" si="60"/>
        <v/>
      </c>
      <c r="H1442" s="70" t="str">
        <f t="shared" si="61"/>
        <v/>
      </c>
    </row>
    <row r="1443" spans="1:8">
      <c r="A1443" s="2"/>
      <c r="B1443" s="12"/>
      <c r="C1443" s="12"/>
      <c r="E1443" t="str">
        <f>IF(LEN(D1443)=0,"",[1]!i_pq_tradedays($B$3,A1444,A1443)-1)</f>
        <v/>
      </c>
      <c r="G1443" s="16" t="str">
        <f t="shared" si="60"/>
        <v/>
      </c>
      <c r="H1443" s="70" t="str">
        <f t="shared" si="61"/>
        <v/>
      </c>
    </row>
    <row r="1444" spans="1:8">
      <c r="A1444" s="2"/>
      <c r="B1444" s="12"/>
      <c r="C1444" s="12"/>
      <c r="E1444" t="str">
        <f>IF(LEN(D1444)=0,"",[1]!i_pq_tradedays($B$3,A1445,A1444)-1)</f>
        <v/>
      </c>
      <c r="G1444" s="16" t="str">
        <f t="shared" si="60"/>
        <v/>
      </c>
      <c r="H1444" s="70" t="str">
        <f t="shared" si="61"/>
        <v/>
      </c>
    </row>
    <row r="1445" spans="1:8">
      <c r="A1445" s="2"/>
      <c r="B1445" s="12"/>
      <c r="C1445" s="12"/>
      <c r="E1445" t="str">
        <f>IF(LEN(D1445)=0,"",[1]!i_pq_tradedays($B$3,A1446,A1445)-1)</f>
        <v/>
      </c>
      <c r="G1445" s="16" t="str">
        <f t="shared" si="60"/>
        <v/>
      </c>
      <c r="H1445" s="70" t="str">
        <f t="shared" si="61"/>
        <v/>
      </c>
    </row>
    <row r="1446" spans="1:8">
      <c r="A1446" s="2"/>
      <c r="B1446" s="12"/>
      <c r="C1446" s="12"/>
      <c r="E1446" t="str">
        <f>IF(LEN(D1446)=0,"",[1]!i_pq_tradedays($B$3,A1447,A1446)-1)</f>
        <v/>
      </c>
      <c r="G1446" s="16" t="str">
        <f t="shared" si="60"/>
        <v/>
      </c>
      <c r="H1446" s="70" t="str">
        <f t="shared" si="61"/>
        <v/>
      </c>
    </row>
    <row r="1447" spans="1:8">
      <c r="A1447" s="2"/>
      <c r="B1447" s="12"/>
      <c r="C1447" s="12"/>
      <c r="E1447" t="str">
        <f>IF(LEN(D1447)=0,"",[1]!i_pq_tradedays($B$3,A1448,A1447)-1)</f>
        <v/>
      </c>
      <c r="G1447" s="16" t="str">
        <f t="shared" si="60"/>
        <v/>
      </c>
      <c r="H1447" s="70" t="str">
        <f t="shared" si="61"/>
        <v/>
      </c>
    </row>
    <row r="1448" spans="1:8">
      <c r="A1448" s="2"/>
      <c r="B1448" s="12"/>
      <c r="C1448" s="12"/>
      <c r="E1448" t="str">
        <f>IF(LEN(D1448)=0,"",[1]!i_pq_tradedays($B$3,A1449,A1448)-1)</f>
        <v/>
      </c>
      <c r="G1448" s="16" t="str">
        <f t="shared" si="60"/>
        <v/>
      </c>
      <c r="H1448" s="70" t="str">
        <f t="shared" si="61"/>
        <v/>
      </c>
    </row>
    <row r="1449" spans="1:8">
      <c r="A1449" s="2"/>
      <c r="B1449" s="12"/>
      <c r="C1449" s="12"/>
      <c r="E1449" t="str">
        <f>IF(LEN(D1449)=0,"",[1]!i_pq_tradedays($B$3,A1450,A1449)-1)</f>
        <v/>
      </c>
      <c r="G1449" s="16" t="str">
        <f t="shared" si="60"/>
        <v/>
      </c>
      <c r="H1449" s="70" t="str">
        <f t="shared" si="61"/>
        <v/>
      </c>
    </row>
    <row r="1450" spans="1:8">
      <c r="A1450" s="2"/>
      <c r="B1450" s="12"/>
      <c r="C1450" s="12"/>
      <c r="E1450" t="str">
        <f>IF(LEN(D1450)=0,"",[1]!i_pq_tradedays($B$3,A1451,A1450)-1)</f>
        <v/>
      </c>
      <c r="G1450" s="16" t="str">
        <f t="shared" si="60"/>
        <v/>
      </c>
      <c r="H1450" s="70" t="str">
        <f t="shared" si="61"/>
        <v/>
      </c>
    </row>
    <row r="1451" spans="1:8">
      <c r="A1451" s="2"/>
      <c r="B1451" s="12"/>
      <c r="C1451" s="12"/>
      <c r="E1451" t="str">
        <f>IF(LEN(D1451)=0,"",[1]!i_pq_tradedays($B$3,A1452,A1451)-1)</f>
        <v/>
      </c>
      <c r="G1451" s="16" t="str">
        <f t="shared" si="60"/>
        <v/>
      </c>
      <c r="H1451" s="70" t="str">
        <f t="shared" si="61"/>
        <v/>
      </c>
    </row>
    <row r="1452" spans="1:8">
      <c r="A1452" s="2"/>
      <c r="B1452" s="12"/>
      <c r="C1452" s="12"/>
      <c r="E1452" t="str">
        <f>IF(LEN(D1452)=0,"",[1]!i_pq_tradedays($B$3,A1453,A1452)-1)</f>
        <v/>
      </c>
      <c r="G1452" s="16" t="str">
        <f t="shared" si="60"/>
        <v/>
      </c>
      <c r="H1452" s="70" t="str">
        <f t="shared" si="61"/>
        <v/>
      </c>
    </row>
    <row r="1453" spans="1:8">
      <c r="A1453" s="2"/>
      <c r="B1453" s="12"/>
      <c r="C1453" s="12"/>
      <c r="E1453" t="str">
        <f>IF(LEN(D1453)=0,"",[1]!i_pq_tradedays($B$3,A1454,A1453)-1)</f>
        <v/>
      </c>
      <c r="G1453" s="16" t="str">
        <f t="shared" si="60"/>
        <v/>
      </c>
      <c r="H1453" s="70" t="str">
        <f t="shared" si="61"/>
        <v/>
      </c>
    </row>
    <row r="1454" spans="1:8">
      <c r="A1454" s="2"/>
      <c r="B1454" s="12"/>
      <c r="C1454" s="12"/>
      <c r="E1454" t="str">
        <f>IF(LEN(D1454)=0,"",[1]!i_pq_tradedays($B$3,A1455,A1454)-1)</f>
        <v/>
      </c>
      <c r="G1454" s="16" t="str">
        <f t="shared" si="60"/>
        <v/>
      </c>
      <c r="H1454" s="70" t="str">
        <f t="shared" si="61"/>
        <v/>
      </c>
    </row>
    <row r="1455" spans="1:8">
      <c r="A1455" s="2"/>
      <c r="B1455" s="12"/>
      <c r="C1455" s="12"/>
      <c r="E1455" t="str">
        <f>IF(LEN(D1455)=0,"",[1]!i_pq_tradedays($B$3,A1456,A1455)-1)</f>
        <v/>
      </c>
      <c r="G1455" s="16" t="str">
        <f t="shared" si="60"/>
        <v/>
      </c>
      <c r="H1455" s="70" t="str">
        <f t="shared" si="61"/>
        <v/>
      </c>
    </row>
    <row r="1456" spans="1:8">
      <c r="A1456" s="2"/>
      <c r="B1456" s="12"/>
      <c r="C1456" s="12"/>
      <c r="E1456" t="str">
        <f>IF(LEN(D1456)=0,"",[1]!i_pq_tradedays($B$3,A1457,A1456)-1)</f>
        <v/>
      </c>
      <c r="G1456" s="16" t="str">
        <f t="shared" si="60"/>
        <v/>
      </c>
      <c r="H1456" s="70" t="str">
        <f t="shared" si="61"/>
        <v/>
      </c>
    </row>
    <row r="1457" spans="1:8">
      <c r="A1457" s="2"/>
      <c r="B1457" s="12"/>
      <c r="C1457" s="12"/>
      <c r="E1457" t="str">
        <f>IF(LEN(D1457)=0,"",[1]!i_pq_tradedays($B$3,A1458,A1457)-1)</f>
        <v/>
      </c>
      <c r="G1457" s="16" t="str">
        <f t="shared" si="60"/>
        <v/>
      </c>
      <c r="H1457" s="70" t="str">
        <f t="shared" si="61"/>
        <v/>
      </c>
    </row>
    <row r="1458" spans="1:8">
      <c r="A1458" s="2"/>
      <c r="B1458" s="12"/>
      <c r="C1458" s="12"/>
      <c r="E1458" t="str">
        <f>IF(LEN(D1458)=0,"",[1]!i_pq_tradedays($B$3,A1459,A1458)-1)</f>
        <v/>
      </c>
      <c r="G1458" s="16" t="str">
        <f t="shared" si="60"/>
        <v/>
      </c>
      <c r="H1458" s="70" t="str">
        <f t="shared" si="61"/>
        <v/>
      </c>
    </row>
    <row r="1459" spans="1:8">
      <c r="A1459" s="2"/>
      <c r="B1459" s="12"/>
      <c r="C1459" s="12"/>
      <c r="E1459" t="str">
        <f>IF(LEN(D1459)=0,"",[1]!i_pq_tradedays($B$3,A1460,A1459)-1)</f>
        <v/>
      </c>
      <c r="G1459" s="16" t="str">
        <f t="shared" si="60"/>
        <v/>
      </c>
      <c r="H1459" s="70" t="str">
        <f t="shared" si="61"/>
        <v/>
      </c>
    </row>
    <row r="1460" spans="1:8">
      <c r="A1460" s="2"/>
      <c r="B1460" s="12"/>
      <c r="C1460" s="12"/>
      <c r="E1460" t="str">
        <f>IF(LEN(D1460)=0,"",[1]!i_pq_tradedays($B$3,A1461,A1460)-1)</f>
        <v/>
      </c>
      <c r="G1460" s="16" t="str">
        <f t="shared" si="60"/>
        <v/>
      </c>
      <c r="H1460" s="70" t="str">
        <f t="shared" si="61"/>
        <v/>
      </c>
    </row>
    <row r="1461" spans="1:8">
      <c r="A1461" s="2"/>
      <c r="B1461" s="12"/>
      <c r="C1461" s="12"/>
      <c r="E1461" t="str">
        <f>IF(LEN(D1461)=0,"",[1]!i_pq_tradedays($B$3,A1462,A1461)-1)</f>
        <v/>
      </c>
      <c r="G1461" s="16" t="str">
        <f t="shared" ref="G1461:G1524" si="62">IF(LEN(D1461)=0,"",D1461/E1461)</f>
        <v/>
      </c>
      <c r="H1461" s="70" t="str">
        <f t="shared" ref="H1461:H1524" si="63">IF(LEN(D1461)=0,"",G1461/G1462-1)</f>
        <v/>
      </c>
    </row>
    <row r="1462" spans="1:8">
      <c r="A1462" s="2"/>
      <c r="B1462" s="12"/>
      <c r="C1462" s="12"/>
      <c r="E1462" t="str">
        <f>IF(LEN(D1462)=0,"",[1]!i_pq_tradedays($B$3,A1463,A1462)-1)</f>
        <v/>
      </c>
      <c r="G1462" s="16" t="str">
        <f t="shared" si="62"/>
        <v/>
      </c>
      <c r="H1462" s="70" t="str">
        <f t="shared" si="63"/>
        <v/>
      </c>
    </row>
    <row r="1463" spans="1:8">
      <c r="A1463" s="2"/>
      <c r="B1463" s="12"/>
      <c r="C1463" s="12"/>
      <c r="E1463" t="str">
        <f>IF(LEN(D1463)=0,"",[1]!i_pq_tradedays($B$3,A1464,A1463)-1)</f>
        <v/>
      </c>
      <c r="G1463" s="16" t="str">
        <f t="shared" si="62"/>
        <v/>
      </c>
      <c r="H1463" s="70" t="str">
        <f t="shared" si="63"/>
        <v/>
      </c>
    </row>
    <row r="1464" spans="1:8">
      <c r="A1464" s="2"/>
      <c r="B1464" s="12"/>
      <c r="C1464" s="12"/>
      <c r="E1464" t="str">
        <f>IF(LEN(D1464)=0,"",[1]!i_pq_tradedays($B$3,A1465,A1464)-1)</f>
        <v/>
      </c>
      <c r="G1464" s="16" t="str">
        <f t="shared" si="62"/>
        <v/>
      </c>
      <c r="H1464" s="70" t="str">
        <f t="shared" si="63"/>
        <v/>
      </c>
    </row>
    <row r="1465" spans="1:8">
      <c r="A1465" s="2"/>
      <c r="B1465" s="12"/>
      <c r="C1465" s="12"/>
      <c r="E1465" t="str">
        <f>IF(LEN(D1465)=0,"",[1]!i_pq_tradedays($B$3,A1466,A1465)-1)</f>
        <v/>
      </c>
      <c r="G1465" s="16" t="str">
        <f t="shared" si="62"/>
        <v/>
      </c>
      <c r="H1465" s="70" t="str">
        <f t="shared" si="63"/>
        <v/>
      </c>
    </row>
    <row r="1466" spans="1:8">
      <c r="A1466" s="2"/>
      <c r="B1466" s="12"/>
      <c r="C1466" s="12"/>
      <c r="E1466" t="str">
        <f>IF(LEN(D1466)=0,"",[1]!i_pq_tradedays($B$3,A1467,A1466)-1)</f>
        <v/>
      </c>
      <c r="G1466" s="16" t="str">
        <f t="shared" si="62"/>
        <v/>
      </c>
      <c r="H1466" s="70" t="str">
        <f t="shared" si="63"/>
        <v/>
      </c>
    </row>
    <row r="1467" spans="1:8">
      <c r="A1467" s="2"/>
      <c r="B1467" s="12"/>
      <c r="C1467" s="12"/>
      <c r="E1467" t="str">
        <f>IF(LEN(D1467)=0,"",[1]!i_pq_tradedays($B$3,A1468,A1467)-1)</f>
        <v/>
      </c>
      <c r="G1467" s="16" t="str">
        <f t="shared" si="62"/>
        <v/>
      </c>
      <c r="H1467" s="70" t="str">
        <f t="shared" si="63"/>
        <v/>
      </c>
    </row>
    <row r="1468" spans="1:8">
      <c r="A1468" s="2"/>
      <c r="B1468" s="12"/>
      <c r="C1468" s="12"/>
      <c r="E1468" t="str">
        <f>IF(LEN(D1468)=0,"",[1]!i_pq_tradedays($B$3,A1469,A1468)-1)</f>
        <v/>
      </c>
      <c r="G1468" s="16" t="str">
        <f t="shared" si="62"/>
        <v/>
      </c>
      <c r="H1468" s="70" t="str">
        <f t="shared" si="63"/>
        <v/>
      </c>
    </row>
    <row r="1469" spans="1:8">
      <c r="A1469" s="2"/>
      <c r="B1469" s="12"/>
      <c r="C1469" s="12"/>
      <c r="E1469" t="str">
        <f>IF(LEN(D1469)=0,"",[1]!i_pq_tradedays($B$3,A1470,A1469)-1)</f>
        <v/>
      </c>
      <c r="G1469" s="16" t="str">
        <f t="shared" si="62"/>
        <v/>
      </c>
      <c r="H1469" s="70" t="str">
        <f t="shared" si="63"/>
        <v/>
      </c>
    </row>
    <row r="1470" spans="1:8">
      <c r="A1470" s="2"/>
      <c r="B1470" s="12"/>
      <c r="C1470" s="12"/>
      <c r="E1470" t="str">
        <f>IF(LEN(D1470)=0,"",[1]!i_pq_tradedays($B$3,A1471,A1470)-1)</f>
        <v/>
      </c>
      <c r="G1470" s="16" t="str">
        <f t="shared" si="62"/>
        <v/>
      </c>
      <c r="H1470" s="70" t="str">
        <f t="shared" si="63"/>
        <v/>
      </c>
    </row>
    <row r="1471" spans="1:8">
      <c r="A1471" s="2"/>
      <c r="B1471" s="12"/>
      <c r="C1471" s="12"/>
      <c r="E1471" t="str">
        <f>IF(LEN(D1471)=0,"",[1]!i_pq_tradedays($B$3,A1472,A1471)-1)</f>
        <v/>
      </c>
      <c r="G1471" s="16" t="str">
        <f t="shared" si="62"/>
        <v/>
      </c>
      <c r="H1471" s="70" t="str">
        <f t="shared" si="63"/>
        <v/>
      </c>
    </row>
    <row r="1472" spans="1:8">
      <c r="A1472" s="2"/>
      <c r="B1472" s="12"/>
      <c r="C1472" s="12"/>
      <c r="E1472" t="str">
        <f>IF(LEN(D1472)=0,"",[1]!i_pq_tradedays($B$3,A1473,A1472)-1)</f>
        <v/>
      </c>
      <c r="G1472" s="16" t="str">
        <f t="shared" si="62"/>
        <v/>
      </c>
      <c r="H1472" s="70" t="str">
        <f t="shared" si="63"/>
        <v/>
      </c>
    </row>
    <row r="1473" spans="1:8">
      <c r="A1473" s="2"/>
      <c r="B1473" s="12"/>
      <c r="C1473" s="12"/>
      <c r="E1473" t="str">
        <f>IF(LEN(D1473)=0,"",[1]!i_pq_tradedays($B$3,A1474,A1473)-1)</f>
        <v/>
      </c>
      <c r="G1473" s="16" t="str">
        <f t="shared" si="62"/>
        <v/>
      </c>
      <c r="H1473" s="70" t="str">
        <f t="shared" si="63"/>
        <v/>
      </c>
    </row>
    <row r="1474" spans="1:8">
      <c r="A1474" s="2"/>
      <c r="B1474" s="12"/>
      <c r="C1474" s="12"/>
      <c r="E1474" t="str">
        <f>IF(LEN(D1474)=0,"",[1]!i_pq_tradedays($B$3,A1475,A1474)-1)</f>
        <v/>
      </c>
      <c r="G1474" s="16" t="str">
        <f t="shared" si="62"/>
        <v/>
      </c>
      <c r="H1474" s="70" t="str">
        <f t="shared" si="63"/>
        <v/>
      </c>
    </row>
    <row r="1475" spans="1:8">
      <c r="A1475" s="2"/>
      <c r="B1475" s="12"/>
      <c r="C1475" s="12"/>
      <c r="E1475" t="str">
        <f>IF(LEN(D1475)=0,"",[1]!i_pq_tradedays($B$3,A1476,A1475)-1)</f>
        <v/>
      </c>
      <c r="G1475" s="16" t="str">
        <f t="shared" si="62"/>
        <v/>
      </c>
      <c r="H1475" s="70" t="str">
        <f t="shared" si="63"/>
        <v/>
      </c>
    </row>
    <row r="1476" spans="1:8">
      <c r="A1476" s="2"/>
      <c r="B1476" s="12"/>
      <c r="C1476" s="12"/>
      <c r="E1476" t="str">
        <f>IF(LEN(D1476)=0,"",[1]!i_pq_tradedays($B$3,A1477,A1476)-1)</f>
        <v/>
      </c>
      <c r="G1476" s="16" t="str">
        <f t="shared" si="62"/>
        <v/>
      </c>
      <c r="H1476" s="70" t="str">
        <f t="shared" si="63"/>
        <v/>
      </c>
    </row>
    <row r="1477" spans="1:8">
      <c r="A1477" s="2"/>
      <c r="B1477" s="12"/>
      <c r="C1477" s="12"/>
      <c r="E1477" t="str">
        <f>IF(LEN(D1477)=0,"",[1]!i_pq_tradedays($B$3,A1478,A1477)-1)</f>
        <v/>
      </c>
      <c r="G1477" s="16" t="str">
        <f t="shared" si="62"/>
        <v/>
      </c>
      <c r="H1477" s="70" t="str">
        <f t="shared" si="63"/>
        <v/>
      </c>
    </row>
    <row r="1478" spans="1:8">
      <c r="A1478" s="2"/>
      <c r="B1478" s="12"/>
      <c r="C1478" s="12"/>
      <c r="E1478" t="str">
        <f>IF(LEN(D1478)=0,"",[1]!i_pq_tradedays($B$3,A1479,A1478)-1)</f>
        <v/>
      </c>
      <c r="G1478" s="16" t="str">
        <f t="shared" si="62"/>
        <v/>
      </c>
      <c r="H1478" s="70" t="str">
        <f t="shared" si="63"/>
        <v/>
      </c>
    </row>
    <row r="1479" spans="1:8">
      <c r="A1479" s="2"/>
      <c r="B1479" s="12"/>
      <c r="C1479" s="12"/>
      <c r="E1479" t="str">
        <f>IF(LEN(D1479)=0,"",[1]!i_pq_tradedays($B$3,A1480,A1479)-1)</f>
        <v/>
      </c>
      <c r="G1479" s="16" t="str">
        <f t="shared" si="62"/>
        <v/>
      </c>
      <c r="H1479" s="70" t="str">
        <f t="shared" si="63"/>
        <v/>
      </c>
    </row>
    <row r="1480" spans="1:8">
      <c r="A1480" s="2"/>
      <c r="B1480" s="12"/>
      <c r="C1480" s="12"/>
      <c r="E1480" t="str">
        <f>IF(LEN(D1480)=0,"",[1]!i_pq_tradedays($B$3,A1481,A1480)-1)</f>
        <v/>
      </c>
      <c r="G1480" s="16" t="str">
        <f t="shared" si="62"/>
        <v/>
      </c>
      <c r="H1480" s="70" t="str">
        <f t="shared" si="63"/>
        <v/>
      </c>
    </row>
    <row r="1481" spans="1:8">
      <c r="A1481" s="2"/>
      <c r="B1481" s="12"/>
      <c r="C1481" s="12"/>
      <c r="E1481" t="str">
        <f>IF(LEN(D1481)=0,"",[1]!i_pq_tradedays($B$3,A1482,A1481)-1)</f>
        <v/>
      </c>
      <c r="G1481" s="16" t="str">
        <f t="shared" si="62"/>
        <v/>
      </c>
      <c r="H1481" s="70" t="str">
        <f t="shared" si="63"/>
        <v/>
      </c>
    </row>
    <row r="1482" spans="1:8">
      <c r="A1482" s="2"/>
      <c r="B1482" s="12"/>
      <c r="C1482" s="12"/>
      <c r="E1482" t="str">
        <f>IF(LEN(D1482)=0,"",[1]!i_pq_tradedays($B$3,A1483,A1482)-1)</f>
        <v/>
      </c>
      <c r="G1482" s="16" t="str">
        <f t="shared" si="62"/>
        <v/>
      </c>
      <c r="H1482" s="70" t="str">
        <f t="shared" si="63"/>
        <v/>
      </c>
    </row>
    <row r="1483" spans="1:8">
      <c r="A1483" s="2"/>
      <c r="B1483" s="12"/>
      <c r="C1483" s="12"/>
      <c r="E1483" t="str">
        <f>IF(LEN(D1483)=0,"",[1]!i_pq_tradedays($B$3,A1484,A1483)-1)</f>
        <v/>
      </c>
      <c r="G1483" s="16" t="str">
        <f t="shared" si="62"/>
        <v/>
      </c>
      <c r="H1483" s="70" t="str">
        <f t="shared" si="63"/>
        <v/>
      </c>
    </row>
    <row r="1484" spans="1:8">
      <c r="A1484" s="2"/>
      <c r="B1484" s="12"/>
      <c r="C1484" s="12"/>
      <c r="E1484" t="str">
        <f>IF(LEN(D1484)=0,"",[1]!i_pq_tradedays($B$3,A1485,A1484)-1)</f>
        <v/>
      </c>
      <c r="G1484" s="16" t="str">
        <f t="shared" si="62"/>
        <v/>
      </c>
      <c r="H1484" s="70" t="str">
        <f t="shared" si="63"/>
        <v/>
      </c>
    </row>
    <row r="1485" spans="1:8">
      <c r="A1485" s="2"/>
      <c r="B1485" s="12"/>
      <c r="C1485" s="12"/>
      <c r="E1485" t="str">
        <f>IF(LEN(D1485)=0,"",[1]!i_pq_tradedays($B$3,A1486,A1485)-1)</f>
        <v/>
      </c>
      <c r="G1485" s="16" t="str">
        <f t="shared" si="62"/>
        <v/>
      </c>
      <c r="H1485" s="70" t="str">
        <f t="shared" si="63"/>
        <v/>
      </c>
    </row>
    <row r="1486" spans="1:8">
      <c r="A1486" s="2"/>
      <c r="B1486" s="12"/>
      <c r="C1486" s="12"/>
      <c r="E1486" t="str">
        <f>IF(LEN(D1486)=0,"",[1]!i_pq_tradedays($B$3,A1487,A1486)-1)</f>
        <v/>
      </c>
      <c r="G1486" s="16" t="str">
        <f t="shared" si="62"/>
        <v/>
      </c>
      <c r="H1486" s="70" t="str">
        <f t="shared" si="63"/>
        <v/>
      </c>
    </row>
    <row r="1487" spans="1:8">
      <c r="A1487" s="2"/>
      <c r="B1487" s="12"/>
      <c r="C1487" s="12"/>
      <c r="E1487" t="str">
        <f>IF(LEN(D1487)=0,"",[1]!i_pq_tradedays($B$3,A1488,A1487)-1)</f>
        <v/>
      </c>
      <c r="G1487" s="16" t="str">
        <f t="shared" si="62"/>
        <v/>
      </c>
      <c r="H1487" s="70" t="str">
        <f t="shared" si="63"/>
        <v/>
      </c>
    </row>
    <row r="1488" spans="1:8">
      <c r="A1488" s="2"/>
      <c r="B1488" s="12"/>
      <c r="C1488" s="12"/>
      <c r="E1488" t="str">
        <f>IF(LEN(D1488)=0,"",[1]!i_pq_tradedays($B$3,A1489,A1488)-1)</f>
        <v/>
      </c>
      <c r="G1488" s="16" t="str">
        <f t="shared" si="62"/>
        <v/>
      </c>
      <c r="H1488" s="70" t="str">
        <f t="shared" si="63"/>
        <v/>
      </c>
    </row>
    <row r="1489" spans="1:8">
      <c r="A1489" s="2"/>
      <c r="B1489" s="12"/>
      <c r="C1489" s="12"/>
      <c r="E1489" t="str">
        <f>IF(LEN(D1489)=0,"",[1]!i_pq_tradedays($B$3,A1490,A1489)-1)</f>
        <v/>
      </c>
      <c r="G1489" s="16" t="str">
        <f t="shared" si="62"/>
        <v/>
      </c>
      <c r="H1489" s="70" t="str">
        <f t="shared" si="63"/>
        <v/>
      </c>
    </row>
    <row r="1490" spans="1:8">
      <c r="A1490" s="2"/>
      <c r="B1490" s="12"/>
      <c r="C1490" s="12"/>
      <c r="E1490" t="str">
        <f>IF(LEN(D1490)=0,"",[1]!i_pq_tradedays($B$3,A1491,A1490)-1)</f>
        <v/>
      </c>
      <c r="G1490" s="16" t="str">
        <f t="shared" si="62"/>
        <v/>
      </c>
      <c r="H1490" s="70" t="str">
        <f t="shared" si="63"/>
        <v/>
      </c>
    </row>
    <row r="1491" spans="1:8">
      <c r="A1491" s="2"/>
      <c r="B1491" s="12"/>
      <c r="C1491" s="12"/>
      <c r="E1491" t="str">
        <f>IF(LEN(D1491)=0,"",[1]!i_pq_tradedays($B$3,A1492,A1491)-1)</f>
        <v/>
      </c>
      <c r="G1491" s="16" t="str">
        <f t="shared" si="62"/>
        <v/>
      </c>
      <c r="H1491" s="70" t="str">
        <f t="shared" si="63"/>
        <v/>
      </c>
    </row>
    <row r="1492" spans="1:8">
      <c r="A1492" s="2"/>
      <c r="B1492" s="12"/>
      <c r="C1492" s="12"/>
      <c r="E1492" t="str">
        <f>IF(LEN(D1492)=0,"",[1]!i_pq_tradedays($B$3,A1493,A1492)-1)</f>
        <v/>
      </c>
      <c r="G1492" s="16" t="str">
        <f t="shared" si="62"/>
        <v/>
      </c>
      <c r="H1492" s="70" t="str">
        <f t="shared" si="63"/>
        <v/>
      </c>
    </row>
    <row r="1493" spans="1:8">
      <c r="A1493" s="2"/>
      <c r="B1493" s="12"/>
      <c r="C1493" s="12"/>
      <c r="E1493" t="str">
        <f>IF(LEN(D1493)=0,"",[1]!i_pq_tradedays($B$3,A1494,A1493)-1)</f>
        <v/>
      </c>
      <c r="G1493" s="16" t="str">
        <f t="shared" si="62"/>
        <v/>
      </c>
      <c r="H1493" s="70" t="str">
        <f t="shared" si="63"/>
        <v/>
      </c>
    </row>
    <row r="1494" spans="1:8">
      <c r="A1494" s="2"/>
      <c r="B1494" s="12"/>
      <c r="C1494" s="12"/>
      <c r="E1494" t="str">
        <f>IF(LEN(D1494)=0,"",[1]!i_pq_tradedays($B$3,A1495,A1494)-1)</f>
        <v/>
      </c>
      <c r="G1494" s="16" t="str">
        <f t="shared" si="62"/>
        <v/>
      </c>
      <c r="H1494" s="70" t="str">
        <f t="shared" si="63"/>
        <v/>
      </c>
    </row>
    <row r="1495" spans="1:8">
      <c r="A1495" s="2"/>
      <c r="B1495" s="12"/>
      <c r="C1495" s="12"/>
      <c r="E1495" t="str">
        <f>IF(LEN(D1495)=0,"",[1]!i_pq_tradedays($B$3,A1496,A1495)-1)</f>
        <v/>
      </c>
      <c r="G1495" s="16" t="str">
        <f t="shared" si="62"/>
        <v/>
      </c>
      <c r="H1495" s="70" t="str">
        <f t="shared" si="63"/>
        <v/>
      </c>
    </row>
    <row r="1496" spans="1:8">
      <c r="A1496" s="2"/>
      <c r="B1496" s="12"/>
      <c r="C1496" s="12"/>
      <c r="E1496" t="str">
        <f>IF(LEN(D1496)=0,"",[1]!i_pq_tradedays($B$3,A1497,A1496)-1)</f>
        <v/>
      </c>
      <c r="G1496" s="16" t="str">
        <f t="shared" si="62"/>
        <v/>
      </c>
      <c r="H1496" s="70" t="str">
        <f t="shared" si="63"/>
        <v/>
      </c>
    </row>
    <row r="1497" spans="1:8">
      <c r="A1497" s="2"/>
      <c r="B1497" s="12"/>
      <c r="C1497" s="12"/>
      <c r="E1497" t="str">
        <f>IF(LEN(D1497)=0,"",[1]!i_pq_tradedays($B$3,A1498,A1497)-1)</f>
        <v/>
      </c>
      <c r="G1497" s="16" t="str">
        <f t="shared" si="62"/>
        <v/>
      </c>
      <c r="H1497" s="70" t="str">
        <f t="shared" si="63"/>
        <v/>
      </c>
    </row>
    <row r="1498" spans="1:8">
      <c r="A1498" s="2"/>
      <c r="B1498" s="12"/>
      <c r="C1498" s="12"/>
      <c r="E1498" t="str">
        <f>IF(LEN(D1498)=0,"",[1]!i_pq_tradedays($B$3,A1499,A1498)-1)</f>
        <v/>
      </c>
      <c r="G1498" s="16" t="str">
        <f t="shared" si="62"/>
        <v/>
      </c>
      <c r="H1498" s="70" t="str">
        <f t="shared" si="63"/>
        <v/>
      </c>
    </row>
    <row r="1499" spans="1:8">
      <c r="A1499" s="2"/>
      <c r="B1499" s="12"/>
      <c r="C1499" s="12"/>
      <c r="E1499" t="str">
        <f>IF(LEN(D1499)=0,"",[1]!i_pq_tradedays($B$3,A1500,A1499)-1)</f>
        <v/>
      </c>
      <c r="G1499" s="16" t="str">
        <f t="shared" si="62"/>
        <v/>
      </c>
      <c r="H1499" s="70" t="str">
        <f t="shared" si="63"/>
        <v/>
      </c>
    </row>
    <row r="1500" spans="1:8">
      <c r="A1500" s="2"/>
      <c r="B1500" s="12"/>
      <c r="C1500" s="12"/>
      <c r="E1500" t="str">
        <f>IF(LEN(D1500)=0,"",[1]!i_pq_tradedays($B$3,A1501,A1500)-1)</f>
        <v/>
      </c>
      <c r="G1500" s="16" t="str">
        <f t="shared" si="62"/>
        <v/>
      </c>
      <c r="H1500" s="70" t="str">
        <f t="shared" si="63"/>
        <v/>
      </c>
    </row>
    <row r="1501" spans="1:8">
      <c r="A1501" s="2"/>
      <c r="B1501" s="12"/>
      <c r="C1501" s="12"/>
      <c r="E1501" t="str">
        <f>IF(LEN(D1501)=0,"",[1]!i_pq_tradedays($B$3,A1502,A1501)-1)</f>
        <v/>
      </c>
      <c r="G1501" s="16" t="str">
        <f t="shared" si="62"/>
        <v/>
      </c>
      <c r="H1501" s="70" t="str">
        <f t="shared" si="63"/>
        <v/>
      </c>
    </row>
    <row r="1502" spans="1:8">
      <c r="A1502" s="2"/>
      <c r="B1502" s="12"/>
      <c r="C1502" s="12"/>
      <c r="E1502" t="str">
        <f>IF(LEN(D1502)=0,"",[1]!i_pq_tradedays($B$3,A1503,A1502)-1)</f>
        <v/>
      </c>
      <c r="G1502" s="16" t="str">
        <f t="shared" si="62"/>
        <v/>
      </c>
      <c r="H1502" s="70" t="str">
        <f t="shared" si="63"/>
        <v/>
      </c>
    </row>
    <row r="1503" spans="1:8">
      <c r="A1503" s="2"/>
      <c r="B1503" s="12"/>
      <c r="C1503" s="12"/>
      <c r="E1503" t="str">
        <f>IF(LEN(D1503)=0,"",[1]!i_pq_tradedays($B$3,A1504,A1503)-1)</f>
        <v/>
      </c>
      <c r="G1503" s="16" t="str">
        <f t="shared" si="62"/>
        <v/>
      </c>
      <c r="H1503" s="70" t="str">
        <f t="shared" si="63"/>
        <v/>
      </c>
    </row>
    <row r="1504" spans="1:8">
      <c r="A1504" s="2"/>
      <c r="B1504" s="12"/>
      <c r="C1504" s="12"/>
      <c r="E1504" t="str">
        <f>IF(LEN(D1504)=0,"",[1]!i_pq_tradedays($B$3,A1505,A1504)-1)</f>
        <v/>
      </c>
      <c r="G1504" s="16" t="str">
        <f t="shared" si="62"/>
        <v/>
      </c>
      <c r="H1504" s="70" t="str">
        <f t="shared" si="63"/>
        <v/>
      </c>
    </row>
    <row r="1505" spans="1:8">
      <c r="A1505" s="2"/>
      <c r="B1505" s="12"/>
      <c r="C1505" s="12"/>
      <c r="E1505" t="str">
        <f>IF(LEN(D1505)=0,"",[1]!i_pq_tradedays($B$3,A1506,A1505)-1)</f>
        <v/>
      </c>
      <c r="G1505" s="16" t="str">
        <f t="shared" si="62"/>
        <v/>
      </c>
      <c r="H1505" s="70" t="str">
        <f t="shared" si="63"/>
        <v/>
      </c>
    </row>
    <row r="1506" spans="1:8">
      <c r="A1506" s="2"/>
      <c r="B1506" s="12"/>
      <c r="C1506" s="12"/>
      <c r="E1506" t="str">
        <f>IF(LEN(D1506)=0,"",[1]!i_pq_tradedays($B$3,A1507,A1506)-1)</f>
        <v/>
      </c>
      <c r="G1506" s="16" t="str">
        <f t="shared" si="62"/>
        <v/>
      </c>
      <c r="H1506" s="70" t="str">
        <f t="shared" si="63"/>
        <v/>
      </c>
    </row>
    <row r="1507" spans="1:8">
      <c r="A1507" s="2"/>
      <c r="B1507" s="12"/>
      <c r="C1507" s="12"/>
      <c r="E1507" t="str">
        <f>IF(LEN(D1507)=0,"",[1]!i_pq_tradedays($B$3,A1508,A1507)-1)</f>
        <v/>
      </c>
      <c r="G1507" s="16" t="str">
        <f t="shared" si="62"/>
        <v/>
      </c>
      <c r="H1507" s="70" t="str">
        <f t="shared" si="63"/>
        <v/>
      </c>
    </row>
    <row r="1508" spans="1:8">
      <c r="A1508" s="2"/>
      <c r="B1508" s="12"/>
      <c r="C1508" s="12"/>
      <c r="E1508" t="str">
        <f>IF(LEN(D1508)=0,"",[1]!i_pq_tradedays($B$3,A1509,A1508)-1)</f>
        <v/>
      </c>
      <c r="G1508" s="16" t="str">
        <f t="shared" si="62"/>
        <v/>
      </c>
      <c r="H1508" s="70" t="str">
        <f t="shared" si="63"/>
        <v/>
      </c>
    </row>
    <row r="1509" spans="1:8">
      <c r="A1509" s="2"/>
      <c r="B1509" s="12"/>
      <c r="C1509" s="12"/>
      <c r="E1509" t="str">
        <f>IF(LEN(D1509)=0,"",[1]!i_pq_tradedays($B$3,A1510,A1509)-1)</f>
        <v/>
      </c>
      <c r="G1509" s="16" t="str">
        <f t="shared" si="62"/>
        <v/>
      </c>
      <c r="H1509" s="70" t="str">
        <f t="shared" si="63"/>
        <v/>
      </c>
    </row>
    <row r="1510" spans="1:8">
      <c r="A1510" s="2"/>
      <c r="B1510" s="12"/>
      <c r="C1510" s="12"/>
      <c r="E1510" t="str">
        <f>IF(LEN(D1510)=0,"",[1]!i_pq_tradedays($B$3,A1511,A1510)-1)</f>
        <v/>
      </c>
      <c r="G1510" s="16" t="str">
        <f t="shared" si="62"/>
        <v/>
      </c>
      <c r="H1510" s="70" t="str">
        <f t="shared" si="63"/>
        <v/>
      </c>
    </row>
    <row r="1511" spans="1:8">
      <c r="A1511" s="2"/>
      <c r="B1511" s="12"/>
      <c r="C1511" s="12"/>
      <c r="E1511" t="str">
        <f>IF(LEN(D1511)=0,"",[1]!i_pq_tradedays($B$3,A1512,A1511)-1)</f>
        <v/>
      </c>
      <c r="G1511" s="16" t="str">
        <f t="shared" si="62"/>
        <v/>
      </c>
      <c r="H1511" s="70" t="str">
        <f t="shared" si="63"/>
        <v/>
      </c>
    </row>
    <row r="1512" spans="1:8">
      <c r="A1512" s="2"/>
      <c r="B1512" s="12"/>
      <c r="C1512" s="12"/>
      <c r="E1512" t="str">
        <f>IF(LEN(D1512)=0,"",[1]!i_pq_tradedays($B$3,A1513,A1512)-1)</f>
        <v/>
      </c>
      <c r="G1512" s="16" t="str">
        <f t="shared" si="62"/>
        <v/>
      </c>
      <c r="H1512" s="70" t="str">
        <f t="shared" si="63"/>
        <v/>
      </c>
    </row>
    <row r="1513" spans="1:8">
      <c r="A1513" s="2"/>
      <c r="B1513" s="12"/>
      <c r="C1513" s="12"/>
      <c r="E1513" t="str">
        <f>IF(LEN(D1513)=0,"",[1]!i_pq_tradedays($B$3,A1514,A1513)-1)</f>
        <v/>
      </c>
      <c r="G1513" s="16" t="str">
        <f t="shared" si="62"/>
        <v/>
      </c>
      <c r="H1513" s="70" t="str">
        <f t="shared" si="63"/>
        <v/>
      </c>
    </row>
    <row r="1514" spans="1:8">
      <c r="A1514" s="2"/>
      <c r="B1514" s="12"/>
      <c r="C1514" s="12"/>
      <c r="E1514" t="str">
        <f>IF(LEN(D1514)=0,"",[1]!i_pq_tradedays($B$3,A1515,A1514)-1)</f>
        <v/>
      </c>
      <c r="G1514" s="16" t="str">
        <f t="shared" si="62"/>
        <v/>
      </c>
      <c r="H1514" s="70" t="str">
        <f t="shared" si="63"/>
        <v/>
      </c>
    </row>
    <row r="1515" spans="1:8">
      <c r="A1515" s="2"/>
      <c r="B1515" s="12"/>
      <c r="C1515" s="12"/>
      <c r="E1515" t="str">
        <f>IF(LEN(D1515)=0,"",[1]!i_pq_tradedays($B$3,A1516,A1515)-1)</f>
        <v/>
      </c>
      <c r="G1515" s="16" t="str">
        <f t="shared" si="62"/>
        <v/>
      </c>
      <c r="H1515" s="70" t="str">
        <f t="shared" si="63"/>
        <v/>
      </c>
    </row>
    <row r="1516" spans="1:8">
      <c r="A1516" s="2"/>
      <c r="B1516" s="12"/>
      <c r="C1516" s="12"/>
      <c r="E1516" t="str">
        <f>IF(LEN(D1516)=0,"",[1]!i_pq_tradedays($B$3,A1517,A1516)-1)</f>
        <v/>
      </c>
      <c r="G1516" s="16" t="str">
        <f t="shared" si="62"/>
        <v/>
      </c>
      <c r="H1516" s="70" t="str">
        <f t="shared" si="63"/>
        <v/>
      </c>
    </row>
    <row r="1517" spans="1:8">
      <c r="A1517" s="2"/>
      <c r="B1517" s="12"/>
      <c r="C1517" s="12"/>
      <c r="E1517" t="str">
        <f>IF(LEN(D1517)=0,"",[1]!i_pq_tradedays($B$3,A1518,A1517)-1)</f>
        <v/>
      </c>
      <c r="G1517" s="16" t="str">
        <f t="shared" si="62"/>
        <v/>
      </c>
      <c r="H1517" s="70" t="str">
        <f t="shared" si="63"/>
        <v/>
      </c>
    </row>
    <row r="1518" spans="1:8">
      <c r="A1518" s="2"/>
      <c r="B1518" s="12"/>
      <c r="C1518" s="12"/>
      <c r="E1518" t="str">
        <f>IF(LEN(D1518)=0,"",[1]!i_pq_tradedays($B$3,A1519,A1518)-1)</f>
        <v/>
      </c>
      <c r="G1518" s="16" t="str">
        <f t="shared" si="62"/>
        <v/>
      </c>
      <c r="H1518" s="70" t="str">
        <f t="shared" si="63"/>
        <v/>
      </c>
    </row>
    <row r="1519" spans="1:8">
      <c r="A1519" s="2"/>
      <c r="B1519" s="12"/>
      <c r="C1519" s="12"/>
      <c r="E1519" t="str">
        <f>IF(LEN(D1519)=0,"",[1]!i_pq_tradedays($B$3,A1520,A1519)-1)</f>
        <v/>
      </c>
      <c r="G1519" s="16" t="str">
        <f t="shared" si="62"/>
        <v/>
      </c>
      <c r="H1519" s="70" t="str">
        <f t="shared" si="63"/>
        <v/>
      </c>
    </row>
    <row r="1520" spans="1:8">
      <c r="A1520" s="2"/>
      <c r="B1520" s="12"/>
      <c r="C1520" s="12"/>
      <c r="E1520" t="str">
        <f>IF(LEN(D1520)=0,"",[1]!i_pq_tradedays($B$3,A1521,A1520)-1)</f>
        <v/>
      </c>
      <c r="G1520" s="16" t="str">
        <f t="shared" si="62"/>
        <v/>
      </c>
      <c r="H1520" s="70" t="str">
        <f t="shared" si="63"/>
        <v/>
      </c>
    </row>
    <row r="1521" spans="1:8">
      <c r="A1521" s="2"/>
      <c r="B1521" s="12"/>
      <c r="C1521" s="12"/>
      <c r="E1521" t="str">
        <f>IF(LEN(D1521)=0,"",[1]!i_pq_tradedays($B$3,A1522,A1521)-1)</f>
        <v/>
      </c>
      <c r="G1521" s="16" t="str">
        <f t="shared" si="62"/>
        <v/>
      </c>
      <c r="H1521" s="70" t="str">
        <f t="shared" si="63"/>
        <v/>
      </c>
    </row>
    <row r="1522" spans="1:8">
      <c r="A1522" s="2"/>
      <c r="B1522" s="12"/>
      <c r="C1522" s="12"/>
      <c r="E1522" t="str">
        <f>IF(LEN(D1522)=0,"",[1]!i_pq_tradedays($B$3,A1523,A1522)-1)</f>
        <v/>
      </c>
      <c r="G1522" s="16" t="str">
        <f t="shared" si="62"/>
        <v/>
      </c>
      <c r="H1522" s="70" t="str">
        <f t="shared" si="63"/>
        <v/>
      </c>
    </row>
    <row r="1523" spans="1:8">
      <c r="A1523" s="2"/>
      <c r="B1523" s="12"/>
      <c r="C1523" s="12"/>
      <c r="E1523" t="str">
        <f>IF(LEN(D1523)=0,"",[1]!i_pq_tradedays($B$3,A1524,A1523)-1)</f>
        <v/>
      </c>
      <c r="G1523" s="16" t="str">
        <f t="shared" si="62"/>
        <v/>
      </c>
      <c r="H1523" s="70" t="str">
        <f t="shared" si="63"/>
        <v/>
      </c>
    </row>
    <row r="1524" spans="1:8">
      <c r="A1524" s="2"/>
      <c r="B1524" s="12"/>
      <c r="C1524" s="12"/>
      <c r="E1524" t="str">
        <f>IF(LEN(D1524)=0,"",[1]!i_pq_tradedays($B$3,A1525,A1524)-1)</f>
        <v/>
      </c>
      <c r="G1524" s="16" t="str">
        <f t="shared" si="62"/>
        <v/>
      </c>
      <c r="H1524" s="70" t="str">
        <f t="shared" si="63"/>
        <v/>
      </c>
    </row>
    <row r="1525" spans="1:8">
      <c r="A1525" s="2"/>
      <c r="B1525" s="12"/>
      <c r="C1525" s="12"/>
      <c r="E1525" t="str">
        <f>IF(LEN(D1525)=0,"",[1]!i_pq_tradedays($B$3,A1526,A1525)-1)</f>
        <v/>
      </c>
      <c r="G1525" s="16" t="str">
        <f t="shared" ref="G1525:G1588" si="64">IF(LEN(D1525)=0,"",D1525/E1525)</f>
        <v/>
      </c>
      <c r="H1525" s="70" t="str">
        <f t="shared" ref="H1525:H1588" si="65">IF(LEN(D1525)=0,"",G1525/G1526-1)</f>
        <v/>
      </c>
    </row>
    <row r="1526" spans="1:8">
      <c r="A1526" s="2"/>
      <c r="B1526" s="12"/>
      <c r="C1526" s="12"/>
      <c r="E1526" t="str">
        <f>IF(LEN(D1526)=0,"",[1]!i_pq_tradedays($B$3,A1527,A1526)-1)</f>
        <v/>
      </c>
      <c r="G1526" s="16" t="str">
        <f t="shared" si="64"/>
        <v/>
      </c>
      <c r="H1526" s="70" t="str">
        <f t="shared" si="65"/>
        <v/>
      </c>
    </row>
    <row r="1527" spans="1:8">
      <c r="A1527" s="2"/>
      <c r="B1527" s="12"/>
      <c r="C1527" s="12"/>
      <c r="E1527" t="str">
        <f>IF(LEN(D1527)=0,"",[1]!i_pq_tradedays($B$3,A1528,A1527)-1)</f>
        <v/>
      </c>
      <c r="G1527" s="16" t="str">
        <f t="shared" si="64"/>
        <v/>
      </c>
      <c r="H1527" s="70" t="str">
        <f t="shared" si="65"/>
        <v/>
      </c>
    </row>
    <row r="1528" spans="1:8">
      <c r="A1528" s="2"/>
      <c r="B1528" s="12"/>
      <c r="C1528" s="12"/>
      <c r="E1528" t="str">
        <f>IF(LEN(D1528)=0,"",[1]!i_pq_tradedays($B$3,A1529,A1528)-1)</f>
        <v/>
      </c>
      <c r="G1528" s="16" t="str">
        <f t="shared" si="64"/>
        <v/>
      </c>
      <c r="H1528" s="70" t="str">
        <f t="shared" si="65"/>
        <v/>
      </c>
    </row>
    <row r="1529" spans="1:8">
      <c r="A1529" s="2"/>
      <c r="B1529" s="12"/>
      <c r="C1529" s="12"/>
      <c r="E1529" t="str">
        <f>IF(LEN(D1529)=0,"",[1]!i_pq_tradedays($B$3,A1530,A1529)-1)</f>
        <v/>
      </c>
      <c r="G1529" s="16" t="str">
        <f t="shared" si="64"/>
        <v/>
      </c>
      <c r="H1529" s="70" t="str">
        <f t="shared" si="65"/>
        <v/>
      </c>
    </row>
    <row r="1530" spans="1:8">
      <c r="A1530" s="2"/>
      <c r="B1530" s="12"/>
      <c r="C1530" s="12"/>
      <c r="E1530" t="str">
        <f>IF(LEN(D1530)=0,"",[1]!i_pq_tradedays($B$3,A1531,A1530)-1)</f>
        <v/>
      </c>
      <c r="G1530" s="16" t="str">
        <f t="shared" si="64"/>
        <v/>
      </c>
      <c r="H1530" s="70" t="str">
        <f t="shared" si="65"/>
        <v/>
      </c>
    </row>
    <row r="1531" spans="1:8">
      <c r="A1531" s="2"/>
      <c r="B1531" s="12"/>
      <c r="C1531" s="12"/>
      <c r="E1531" t="str">
        <f>IF(LEN(D1531)=0,"",[1]!i_pq_tradedays($B$3,A1532,A1531)-1)</f>
        <v/>
      </c>
      <c r="G1531" s="16" t="str">
        <f t="shared" si="64"/>
        <v/>
      </c>
      <c r="H1531" s="70" t="str">
        <f t="shared" si="65"/>
        <v/>
      </c>
    </row>
    <row r="1532" spans="1:8">
      <c r="A1532" s="2"/>
      <c r="B1532" s="12"/>
      <c r="C1532" s="12"/>
      <c r="E1532" t="str">
        <f>IF(LEN(D1532)=0,"",[1]!i_pq_tradedays($B$3,A1533,A1532)-1)</f>
        <v/>
      </c>
      <c r="G1532" s="16" t="str">
        <f t="shared" si="64"/>
        <v/>
      </c>
      <c r="H1532" s="70" t="str">
        <f t="shared" si="65"/>
        <v/>
      </c>
    </row>
    <row r="1533" spans="1:8">
      <c r="A1533" s="2"/>
      <c r="B1533" s="12"/>
      <c r="C1533" s="12"/>
      <c r="E1533" t="str">
        <f>IF(LEN(D1533)=0,"",[1]!i_pq_tradedays($B$3,A1534,A1533)-1)</f>
        <v/>
      </c>
      <c r="G1533" s="16" t="str">
        <f t="shared" si="64"/>
        <v/>
      </c>
      <c r="H1533" s="70" t="str">
        <f t="shared" si="65"/>
        <v/>
      </c>
    </row>
    <row r="1534" spans="1:8">
      <c r="A1534" s="2"/>
      <c r="B1534" s="12"/>
      <c r="C1534" s="12"/>
      <c r="E1534" t="str">
        <f>IF(LEN(D1534)=0,"",[1]!i_pq_tradedays($B$3,A1535,A1534)-1)</f>
        <v/>
      </c>
      <c r="G1534" s="16" t="str">
        <f t="shared" si="64"/>
        <v/>
      </c>
      <c r="H1534" s="70" t="str">
        <f t="shared" si="65"/>
        <v/>
      </c>
    </row>
    <row r="1535" spans="1:8">
      <c r="A1535" s="2"/>
      <c r="B1535" s="12"/>
      <c r="C1535" s="12"/>
      <c r="E1535" t="str">
        <f>IF(LEN(D1535)=0,"",[1]!i_pq_tradedays($B$3,A1536,A1535)-1)</f>
        <v/>
      </c>
      <c r="G1535" s="16" t="str">
        <f t="shared" si="64"/>
        <v/>
      </c>
      <c r="H1535" s="70" t="str">
        <f t="shared" si="65"/>
        <v/>
      </c>
    </row>
    <row r="1536" spans="1:8">
      <c r="A1536" s="2"/>
      <c r="B1536" s="12"/>
      <c r="C1536" s="12"/>
      <c r="E1536" t="str">
        <f>IF(LEN(D1536)=0,"",[1]!i_pq_tradedays($B$3,A1537,A1536)-1)</f>
        <v/>
      </c>
      <c r="G1536" s="16" t="str">
        <f t="shared" si="64"/>
        <v/>
      </c>
      <c r="H1536" s="70" t="str">
        <f t="shared" si="65"/>
        <v/>
      </c>
    </row>
    <row r="1537" spans="1:8">
      <c r="A1537" s="2"/>
      <c r="B1537" s="12"/>
      <c r="C1537" s="12"/>
      <c r="E1537" t="str">
        <f>IF(LEN(D1537)=0,"",[1]!i_pq_tradedays($B$3,A1538,A1537)-1)</f>
        <v/>
      </c>
      <c r="G1537" s="16" t="str">
        <f t="shared" si="64"/>
        <v/>
      </c>
      <c r="H1537" s="70" t="str">
        <f t="shared" si="65"/>
        <v/>
      </c>
    </row>
    <row r="1538" spans="1:8">
      <c r="A1538" s="2"/>
      <c r="B1538" s="12"/>
      <c r="C1538" s="12"/>
      <c r="E1538" t="str">
        <f>IF(LEN(D1538)=0,"",[1]!i_pq_tradedays($B$3,A1539,A1538)-1)</f>
        <v/>
      </c>
      <c r="G1538" s="16" t="str">
        <f t="shared" si="64"/>
        <v/>
      </c>
      <c r="H1538" s="70" t="str">
        <f t="shared" si="65"/>
        <v/>
      </c>
    </row>
    <row r="1539" spans="1:8">
      <c r="A1539" s="2"/>
      <c r="B1539" s="12"/>
      <c r="C1539" s="12"/>
      <c r="E1539" t="str">
        <f>IF(LEN(D1539)=0,"",[1]!i_pq_tradedays($B$3,A1540,A1539)-1)</f>
        <v/>
      </c>
      <c r="G1539" s="16" t="str">
        <f t="shared" si="64"/>
        <v/>
      </c>
      <c r="H1539" s="70" t="str">
        <f t="shared" si="65"/>
        <v/>
      </c>
    </row>
    <row r="1540" spans="1:8">
      <c r="A1540" s="2"/>
      <c r="B1540" s="12"/>
      <c r="C1540" s="12"/>
      <c r="E1540" t="str">
        <f>IF(LEN(D1540)=0,"",[1]!i_pq_tradedays($B$3,A1541,A1540)-1)</f>
        <v/>
      </c>
      <c r="G1540" s="16" t="str">
        <f t="shared" si="64"/>
        <v/>
      </c>
      <c r="H1540" s="70" t="str">
        <f t="shared" si="65"/>
        <v/>
      </c>
    </row>
    <row r="1541" spans="1:8">
      <c r="A1541" s="2"/>
      <c r="B1541" s="12"/>
      <c r="C1541" s="12"/>
      <c r="E1541" t="str">
        <f>IF(LEN(D1541)=0,"",[1]!i_pq_tradedays($B$3,A1542,A1541)-1)</f>
        <v/>
      </c>
      <c r="G1541" s="16" t="str">
        <f t="shared" si="64"/>
        <v/>
      </c>
      <c r="H1541" s="70" t="str">
        <f t="shared" si="65"/>
        <v/>
      </c>
    </row>
    <row r="1542" spans="1:8">
      <c r="A1542" s="2"/>
      <c r="B1542" s="12"/>
      <c r="C1542" s="12"/>
      <c r="E1542" t="str">
        <f>IF(LEN(D1542)=0,"",[1]!i_pq_tradedays($B$3,A1543,A1542)-1)</f>
        <v/>
      </c>
      <c r="G1542" s="16" t="str">
        <f t="shared" si="64"/>
        <v/>
      </c>
      <c r="H1542" s="70" t="str">
        <f t="shared" si="65"/>
        <v/>
      </c>
    </row>
    <row r="1543" spans="1:8">
      <c r="A1543" s="2"/>
      <c r="B1543" s="12"/>
      <c r="C1543" s="12"/>
      <c r="E1543" t="str">
        <f>IF(LEN(D1543)=0,"",[1]!i_pq_tradedays($B$3,A1544,A1543)-1)</f>
        <v/>
      </c>
      <c r="G1543" s="16" t="str">
        <f t="shared" si="64"/>
        <v/>
      </c>
      <c r="H1543" s="70" t="str">
        <f t="shared" si="65"/>
        <v/>
      </c>
    </row>
    <row r="1544" spans="1:8">
      <c r="A1544" s="2"/>
      <c r="B1544" s="12"/>
      <c r="C1544" s="12"/>
      <c r="E1544" t="str">
        <f>IF(LEN(D1544)=0,"",[1]!i_pq_tradedays($B$3,A1545,A1544)-1)</f>
        <v/>
      </c>
      <c r="G1544" s="16" t="str">
        <f t="shared" si="64"/>
        <v/>
      </c>
      <c r="H1544" s="70" t="str">
        <f t="shared" si="65"/>
        <v/>
      </c>
    </row>
    <row r="1545" spans="1:8">
      <c r="A1545" s="2"/>
      <c r="B1545" s="12"/>
      <c r="C1545" s="12"/>
      <c r="E1545" t="str">
        <f>IF(LEN(D1545)=0,"",[1]!i_pq_tradedays($B$3,A1546,A1545)-1)</f>
        <v/>
      </c>
      <c r="G1545" s="16" t="str">
        <f t="shared" si="64"/>
        <v/>
      </c>
      <c r="H1545" s="70" t="str">
        <f t="shared" si="65"/>
        <v/>
      </c>
    </row>
    <row r="1546" spans="1:8">
      <c r="A1546" s="2"/>
      <c r="B1546" s="12"/>
      <c r="C1546" s="12"/>
      <c r="E1546" t="str">
        <f>IF(LEN(D1546)=0,"",[1]!i_pq_tradedays($B$3,A1547,A1546)-1)</f>
        <v/>
      </c>
      <c r="G1546" s="16" t="str">
        <f t="shared" si="64"/>
        <v/>
      </c>
      <c r="H1546" s="70" t="str">
        <f t="shared" si="65"/>
        <v/>
      </c>
    </row>
    <row r="1547" spans="1:8">
      <c r="A1547" s="2"/>
      <c r="B1547" s="12"/>
      <c r="C1547" s="12"/>
      <c r="E1547" t="str">
        <f>IF(LEN(D1547)=0,"",[1]!i_pq_tradedays($B$3,A1548,A1547)-1)</f>
        <v/>
      </c>
      <c r="G1547" s="16" t="str">
        <f t="shared" si="64"/>
        <v/>
      </c>
      <c r="H1547" s="70" t="str">
        <f t="shared" si="65"/>
        <v/>
      </c>
    </row>
    <row r="1548" spans="1:8">
      <c r="A1548" s="2"/>
      <c r="B1548" s="12"/>
      <c r="C1548" s="12"/>
      <c r="E1548" t="str">
        <f>IF(LEN(D1548)=0,"",[1]!i_pq_tradedays($B$3,A1549,A1548)-1)</f>
        <v/>
      </c>
      <c r="G1548" s="16" t="str">
        <f t="shared" si="64"/>
        <v/>
      </c>
      <c r="H1548" s="70" t="str">
        <f t="shared" si="65"/>
        <v/>
      </c>
    </row>
    <row r="1549" spans="1:8">
      <c r="A1549" s="2"/>
      <c r="B1549" s="12"/>
      <c r="C1549" s="12"/>
      <c r="E1549" t="str">
        <f>IF(LEN(D1549)=0,"",[1]!i_pq_tradedays($B$3,A1550,A1549)-1)</f>
        <v/>
      </c>
      <c r="G1549" s="16" t="str">
        <f t="shared" si="64"/>
        <v/>
      </c>
      <c r="H1549" s="70" t="str">
        <f t="shared" si="65"/>
        <v/>
      </c>
    </row>
    <row r="1550" spans="1:8">
      <c r="A1550" s="2"/>
      <c r="B1550" s="12"/>
      <c r="C1550" s="12"/>
      <c r="E1550" t="str">
        <f>IF(LEN(D1550)=0,"",[1]!i_pq_tradedays($B$3,A1551,A1550)-1)</f>
        <v/>
      </c>
      <c r="G1550" s="16" t="str">
        <f t="shared" si="64"/>
        <v/>
      </c>
      <c r="H1550" s="70" t="str">
        <f t="shared" si="65"/>
        <v/>
      </c>
    </row>
    <row r="1551" spans="1:8">
      <c r="A1551" s="2"/>
      <c r="B1551" s="12"/>
      <c r="C1551" s="12"/>
      <c r="E1551" t="str">
        <f>IF(LEN(D1551)=0,"",[1]!i_pq_tradedays($B$3,A1552,A1551)-1)</f>
        <v/>
      </c>
      <c r="G1551" s="16" t="str">
        <f t="shared" si="64"/>
        <v/>
      </c>
      <c r="H1551" s="70" t="str">
        <f t="shared" si="65"/>
        <v/>
      </c>
    </row>
    <row r="1552" spans="1:8">
      <c r="A1552" s="2"/>
      <c r="B1552" s="12"/>
      <c r="C1552" s="12"/>
      <c r="E1552" t="str">
        <f>IF(LEN(D1552)=0,"",[1]!i_pq_tradedays($B$3,A1553,A1552)-1)</f>
        <v/>
      </c>
      <c r="G1552" s="16" t="str">
        <f t="shared" si="64"/>
        <v/>
      </c>
      <c r="H1552" s="70" t="str">
        <f t="shared" si="65"/>
        <v/>
      </c>
    </row>
    <row r="1553" spans="1:8">
      <c r="A1553" s="2"/>
      <c r="B1553" s="12"/>
      <c r="C1553" s="12"/>
      <c r="E1553" t="str">
        <f>IF(LEN(D1553)=0,"",[1]!i_pq_tradedays($B$3,A1554,A1553)-1)</f>
        <v/>
      </c>
      <c r="G1553" s="16" t="str">
        <f t="shared" si="64"/>
        <v/>
      </c>
      <c r="H1553" s="70" t="str">
        <f t="shared" si="65"/>
        <v/>
      </c>
    </row>
    <row r="1554" spans="1:8">
      <c r="A1554" s="2"/>
      <c r="B1554" s="12"/>
      <c r="C1554" s="12"/>
      <c r="E1554" t="str">
        <f>IF(LEN(D1554)=0,"",[1]!i_pq_tradedays($B$3,A1555,A1554)-1)</f>
        <v/>
      </c>
      <c r="G1554" s="16" t="str">
        <f t="shared" si="64"/>
        <v/>
      </c>
      <c r="H1554" s="70" t="str">
        <f t="shared" si="65"/>
        <v/>
      </c>
    </row>
    <row r="1555" spans="1:8">
      <c r="A1555" s="2"/>
      <c r="B1555" s="12"/>
      <c r="C1555" s="12"/>
      <c r="E1555" t="str">
        <f>IF(LEN(D1555)=0,"",[1]!i_pq_tradedays($B$3,A1556,A1555)-1)</f>
        <v/>
      </c>
      <c r="G1555" s="16" t="str">
        <f t="shared" si="64"/>
        <v/>
      </c>
      <c r="H1555" s="70" t="str">
        <f t="shared" si="65"/>
        <v/>
      </c>
    </row>
    <row r="1556" spans="1:8">
      <c r="A1556" s="2"/>
      <c r="B1556" s="12"/>
      <c r="C1556" s="12"/>
      <c r="E1556" t="str">
        <f>IF(LEN(D1556)=0,"",[1]!i_pq_tradedays($B$3,A1557,A1556)-1)</f>
        <v/>
      </c>
      <c r="G1556" s="16" t="str">
        <f t="shared" si="64"/>
        <v/>
      </c>
      <c r="H1556" s="70" t="str">
        <f t="shared" si="65"/>
        <v/>
      </c>
    </row>
    <row r="1557" spans="1:8">
      <c r="A1557" s="2"/>
      <c r="B1557" s="12"/>
      <c r="C1557" s="12"/>
      <c r="E1557" t="str">
        <f>IF(LEN(D1557)=0,"",[1]!i_pq_tradedays($B$3,A1558,A1557)-1)</f>
        <v/>
      </c>
      <c r="G1557" s="16" t="str">
        <f t="shared" si="64"/>
        <v/>
      </c>
      <c r="H1557" s="70" t="str">
        <f t="shared" si="65"/>
        <v/>
      </c>
    </row>
    <row r="1558" spans="1:8">
      <c r="A1558" s="2"/>
      <c r="B1558" s="12"/>
      <c r="C1558" s="12"/>
      <c r="E1558" t="str">
        <f>IF(LEN(D1558)=0,"",[1]!i_pq_tradedays($B$3,A1559,A1558)-1)</f>
        <v/>
      </c>
      <c r="G1558" s="16" t="str">
        <f t="shared" si="64"/>
        <v/>
      </c>
      <c r="H1558" s="70" t="str">
        <f t="shared" si="65"/>
        <v/>
      </c>
    </row>
    <row r="1559" spans="1:8">
      <c r="A1559" s="2"/>
      <c r="B1559" s="12"/>
      <c r="C1559" s="12"/>
      <c r="E1559" t="str">
        <f>IF(LEN(D1559)=0,"",[1]!i_pq_tradedays($B$3,A1560,A1559)-1)</f>
        <v/>
      </c>
      <c r="G1559" s="16" t="str">
        <f t="shared" si="64"/>
        <v/>
      </c>
      <c r="H1559" s="70" t="str">
        <f t="shared" si="65"/>
        <v/>
      </c>
    </row>
    <row r="1560" spans="1:8">
      <c r="A1560" s="2"/>
      <c r="B1560" s="12"/>
      <c r="C1560" s="12"/>
      <c r="E1560" t="str">
        <f>IF(LEN(D1560)=0,"",[1]!i_pq_tradedays($B$3,A1561,A1560)-1)</f>
        <v/>
      </c>
      <c r="G1560" s="16" t="str">
        <f t="shared" si="64"/>
        <v/>
      </c>
      <c r="H1560" s="70" t="str">
        <f t="shared" si="65"/>
        <v/>
      </c>
    </row>
    <row r="1561" spans="1:8">
      <c r="A1561" s="2"/>
      <c r="B1561" s="12"/>
      <c r="C1561" s="12"/>
      <c r="E1561" t="str">
        <f>IF(LEN(D1561)=0,"",[1]!i_pq_tradedays($B$3,A1562,A1561)-1)</f>
        <v/>
      </c>
      <c r="G1561" s="16" t="str">
        <f t="shared" si="64"/>
        <v/>
      </c>
      <c r="H1561" s="70" t="str">
        <f t="shared" si="65"/>
        <v/>
      </c>
    </row>
    <row r="1562" spans="1:8">
      <c r="A1562" s="2"/>
      <c r="B1562" s="12"/>
      <c r="C1562" s="12"/>
      <c r="E1562" t="str">
        <f>IF(LEN(D1562)=0,"",[1]!i_pq_tradedays($B$3,A1563,A1562)-1)</f>
        <v/>
      </c>
      <c r="G1562" s="16" t="str">
        <f t="shared" si="64"/>
        <v/>
      </c>
      <c r="H1562" s="70" t="str">
        <f t="shared" si="65"/>
        <v/>
      </c>
    </row>
    <row r="1563" spans="1:8">
      <c r="A1563" s="2"/>
      <c r="B1563" s="12"/>
      <c r="C1563" s="12"/>
      <c r="E1563" t="str">
        <f>IF(LEN(D1563)=0,"",[1]!i_pq_tradedays($B$3,A1564,A1563)-1)</f>
        <v/>
      </c>
      <c r="G1563" s="16" t="str">
        <f t="shared" si="64"/>
        <v/>
      </c>
      <c r="H1563" s="70" t="str">
        <f t="shared" si="65"/>
        <v/>
      </c>
    </row>
    <row r="1564" spans="1:8">
      <c r="A1564" s="2"/>
      <c r="B1564" s="12"/>
      <c r="C1564" s="12"/>
      <c r="E1564" t="str">
        <f>IF(LEN(D1564)=0,"",[1]!i_pq_tradedays($B$3,A1565,A1564)-1)</f>
        <v/>
      </c>
      <c r="G1564" s="16" t="str">
        <f t="shared" si="64"/>
        <v/>
      </c>
      <c r="H1564" s="70" t="str">
        <f t="shared" si="65"/>
        <v/>
      </c>
    </row>
    <row r="1565" spans="1:8">
      <c r="A1565" s="2"/>
      <c r="B1565" s="12"/>
      <c r="C1565" s="12"/>
      <c r="E1565" t="str">
        <f>IF(LEN(D1565)=0,"",[1]!i_pq_tradedays($B$3,A1566,A1565)-1)</f>
        <v/>
      </c>
      <c r="G1565" s="16" t="str">
        <f t="shared" si="64"/>
        <v/>
      </c>
      <c r="H1565" s="70" t="str">
        <f t="shared" si="65"/>
        <v/>
      </c>
    </row>
    <row r="1566" spans="1:8">
      <c r="A1566" s="2"/>
      <c r="B1566" s="12"/>
      <c r="C1566" s="12"/>
      <c r="E1566" t="str">
        <f>IF(LEN(D1566)=0,"",[1]!i_pq_tradedays($B$3,A1567,A1566)-1)</f>
        <v/>
      </c>
      <c r="G1566" s="16" t="str">
        <f t="shared" si="64"/>
        <v/>
      </c>
      <c r="H1566" s="70" t="str">
        <f t="shared" si="65"/>
        <v/>
      </c>
    </row>
    <row r="1567" spans="1:8">
      <c r="A1567" s="2"/>
      <c r="B1567" s="12"/>
      <c r="C1567" s="12"/>
      <c r="E1567" t="str">
        <f>IF(LEN(D1567)=0,"",[1]!i_pq_tradedays($B$3,A1568,A1567)-1)</f>
        <v/>
      </c>
      <c r="G1567" s="16" t="str">
        <f t="shared" si="64"/>
        <v/>
      </c>
      <c r="H1567" s="70" t="str">
        <f t="shared" si="65"/>
        <v/>
      </c>
    </row>
    <row r="1568" spans="1:8">
      <c r="A1568" s="2"/>
      <c r="B1568" s="12"/>
      <c r="C1568" s="12"/>
      <c r="E1568" t="str">
        <f>IF(LEN(D1568)=0,"",[1]!i_pq_tradedays($B$3,A1569,A1568)-1)</f>
        <v/>
      </c>
      <c r="G1568" s="16" t="str">
        <f t="shared" si="64"/>
        <v/>
      </c>
      <c r="H1568" s="70" t="str">
        <f t="shared" si="65"/>
        <v/>
      </c>
    </row>
    <row r="1569" spans="1:8">
      <c r="A1569" s="2"/>
      <c r="B1569" s="12"/>
      <c r="C1569" s="12"/>
      <c r="E1569" t="str">
        <f>IF(LEN(D1569)=0,"",[1]!i_pq_tradedays($B$3,A1570,A1569)-1)</f>
        <v/>
      </c>
      <c r="G1569" s="16" t="str">
        <f t="shared" si="64"/>
        <v/>
      </c>
      <c r="H1569" s="70" t="str">
        <f t="shared" si="65"/>
        <v/>
      </c>
    </row>
    <row r="1570" spans="1:8">
      <c r="A1570" s="2"/>
      <c r="B1570" s="12"/>
      <c r="C1570" s="12"/>
      <c r="E1570" t="str">
        <f>IF(LEN(D1570)=0,"",[1]!i_pq_tradedays($B$3,A1571,A1570)-1)</f>
        <v/>
      </c>
      <c r="G1570" s="16" t="str">
        <f t="shared" si="64"/>
        <v/>
      </c>
      <c r="H1570" s="70" t="str">
        <f t="shared" si="65"/>
        <v/>
      </c>
    </row>
    <row r="1571" spans="1:8">
      <c r="A1571" s="2"/>
      <c r="B1571" s="12"/>
      <c r="C1571" s="12"/>
      <c r="E1571" t="str">
        <f>IF(LEN(D1571)=0,"",[1]!i_pq_tradedays($B$3,A1572,A1571)-1)</f>
        <v/>
      </c>
      <c r="G1571" s="16" t="str">
        <f t="shared" si="64"/>
        <v/>
      </c>
      <c r="H1571" s="70" t="str">
        <f t="shared" si="65"/>
        <v/>
      </c>
    </row>
    <row r="1572" spans="1:8">
      <c r="A1572" s="2"/>
      <c r="B1572" s="12"/>
      <c r="C1572" s="12"/>
      <c r="E1572" t="str">
        <f>IF(LEN(D1572)=0,"",[1]!i_pq_tradedays($B$3,A1573,A1572)-1)</f>
        <v/>
      </c>
      <c r="G1572" s="16" t="str">
        <f t="shared" si="64"/>
        <v/>
      </c>
      <c r="H1572" s="70" t="str">
        <f t="shared" si="65"/>
        <v/>
      </c>
    </row>
    <row r="1573" spans="1:8">
      <c r="A1573" s="2"/>
      <c r="B1573" s="12"/>
      <c r="C1573" s="12"/>
      <c r="E1573" t="str">
        <f>IF(LEN(D1573)=0,"",[1]!i_pq_tradedays($B$3,A1574,A1573)-1)</f>
        <v/>
      </c>
      <c r="G1573" s="16" t="str">
        <f t="shared" si="64"/>
        <v/>
      </c>
      <c r="H1573" s="70" t="str">
        <f t="shared" si="65"/>
        <v/>
      </c>
    </row>
    <row r="1574" spans="1:8">
      <c r="A1574" s="2"/>
      <c r="B1574" s="12"/>
      <c r="C1574" s="12"/>
      <c r="E1574" t="str">
        <f>IF(LEN(D1574)=0,"",[1]!i_pq_tradedays($B$3,A1575,A1574)-1)</f>
        <v/>
      </c>
      <c r="G1574" s="16" t="str">
        <f t="shared" si="64"/>
        <v/>
      </c>
      <c r="H1574" s="70" t="str">
        <f t="shared" si="65"/>
        <v/>
      </c>
    </row>
    <row r="1575" spans="1:8">
      <c r="A1575" s="2"/>
      <c r="B1575" s="12"/>
      <c r="C1575" s="12"/>
      <c r="E1575" t="str">
        <f>IF(LEN(D1575)=0,"",[1]!i_pq_tradedays($B$3,A1576,A1575)-1)</f>
        <v/>
      </c>
      <c r="G1575" s="16" t="str">
        <f t="shared" si="64"/>
        <v/>
      </c>
      <c r="H1575" s="70" t="str">
        <f t="shared" si="65"/>
        <v/>
      </c>
    </row>
    <row r="1576" spans="1:8">
      <c r="A1576" s="2"/>
      <c r="B1576" s="12"/>
      <c r="C1576" s="12"/>
      <c r="E1576" t="str">
        <f>IF(LEN(D1576)=0,"",[1]!i_pq_tradedays($B$3,A1577,A1576)-1)</f>
        <v/>
      </c>
      <c r="G1576" s="16" t="str">
        <f t="shared" si="64"/>
        <v/>
      </c>
      <c r="H1576" s="70" t="str">
        <f t="shared" si="65"/>
        <v/>
      </c>
    </row>
    <row r="1577" spans="1:8">
      <c r="A1577" s="2"/>
      <c r="B1577" s="12"/>
      <c r="C1577" s="12"/>
      <c r="E1577" t="str">
        <f>IF(LEN(D1577)=0,"",[1]!i_pq_tradedays($B$3,A1578,A1577)-1)</f>
        <v/>
      </c>
      <c r="G1577" s="16" t="str">
        <f t="shared" si="64"/>
        <v/>
      </c>
      <c r="H1577" s="70" t="str">
        <f t="shared" si="65"/>
        <v/>
      </c>
    </row>
    <row r="1578" spans="1:8">
      <c r="A1578" s="2"/>
      <c r="B1578" s="12"/>
      <c r="C1578" s="12"/>
      <c r="E1578" t="str">
        <f>IF(LEN(D1578)=0,"",[1]!i_pq_tradedays($B$3,A1579,A1578)-1)</f>
        <v/>
      </c>
      <c r="G1578" s="16" t="str">
        <f t="shared" si="64"/>
        <v/>
      </c>
      <c r="H1578" s="70" t="str">
        <f t="shared" si="65"/>
        <v/>
      </c>
    </row>
    <row r="1579" spans="1:8">
      <c r="A1579" s="2"/>
      <c r="B1579" s="12"/>
      <c r="C1579" s="12"/>
      <c r="E1579" t="str">
        <f>IF(LEN(D1579)=0,"",[1]!i_pq_tradedays($B$3,A1580,A1579)-1)</f>
        <v/>
      </c>
      <c r="G1579" s="16" t="str">
        <f t="shared" si="64"/>
        <v/>
      </c>
      <c r="H1579" s="70" t="str">
        <f t="shared" si="65"/>
        <v/>
      </c>
    </row>
    <row r="1580" spans="1:8">
      <c r="A1580" s="2"/>
      <c r="B1580" s="12"/>
      <c r="C1580" s="12"/>
      <c r="E1580" t="str">
        <f>IF(LEN(D1580)=0,"",[1]!i_pq_tradedays($B$3,A1581,A1580)-1)</f>
        <v/>
      </c>
      <c r="G1580" s="16" t="str">
        <f t="shared" si="64"/>
        <v/>
      </c>
      <c r="H1580" s="70" t="str">
        <f t="shared" si="65"/>
        <v/>
      </c>
    </row>
    <row r="1581" spans="1:8">
      <c r="A1581" s="2"/>
      <c r="B1581" s="12"/>
      <c r="C1581" s="12"/>
      <c r="E1581" t="str">
        <f>IF(LEN(D1581)=0,"",[1]!i_pq_tradedays($B$3,A1582,A1581)-1)</f>
        <v/>
      </c>
      <c r="G1581" s="16" t="str">
        <f t="shared" si="64"/>
        <v/>
      </c>
      <c r="H1581" s="70" t="str">
        <f t="shared" si="65"/>
        <v/>
      </c>
    </row>
    <row r="1582" spans="1:8">
      <c r="A1582" s="2"/>
      <c r="B1582" s="12"/>
      <c r="C1582" s="12"/>
      <c r="E1582" t="str">
        <f>IF(LEN(D1582)=0,"",[1]!i_pq_tradedays($B$3,A1583,A1582)-1)</f>
        <v/>
      </c>
      <c r="G1582" s="16" t="str">
        <f t="shared" si="64"/>
        <v/>
      </c>
      <c r="H1582" s="70" t="str">
        <f t="shared" si="65"/>
        <v/>
      </c>
    </row>
    <row r="1583" spans="1:8">
      <c r="A1583" s="2"/>
      <c r="B1583" s="12"/>
      <c r="C1583" s="12"/>
      <c r="E1583" t="str">
        <f>IF(LEN(D1583)=0,"",[1]!i_pq_tradedays($B$3,A1584,A1583)-1)</f>
        <v/>
      </c>
      <c r="G1583" s="16" t="str">
        <f t="shared" si="64"/>
        <v/>
      </c>
      <c r="H1583" s="70" t="str">
        <f t="shared" si="65"/>
        <v/>
      </c>
    </row>
    <row r="1584" spans="1:8">
      <c r="A1584" s="2"/>
      <c r="B1584" s="12"/>
      <c r="C1584" s="12"/>
      <c r="E1584" t="str">
        <f>IF(LEN(D1584)=0,"",[1]!i_pq_tradedays($B$3,A1585,A1584)-1)</f>
        <v/>
      </c>
      <c r="G1584" s="16" t="str">
        <f t="shared" si="64"/>
        <v/>
      </c>
      <c r="H1584" s="70" t="str">
        <f t="shared" si="65"/>
        <v/>
      </c>
    </row>
    <row r="1585" spans="1:8">
      <c r="A1585" s="2"/>
      <c r="B1585" s="12"/>
      <c r="C1585" s="12"/>
      <c r="E1585" t="str">
        <f>IF(LEN(D1585)=0,"",[1]!i_pq_tradedays($B$3,A1586,A1585)-1)</f>
        <v/>
      </c>
      <c r="G1585" s="16" t="str">
        <f t="shared" si="64"/>
        <v/>
      </c>
      <c r="H1585" s="70" t="str">
        <f t="shared" si="65"/>
        <v/>
      </c>
    </row>
    <row r="1586" spans="1:8">
      <c r="A1586" s="2"/>
      <c r="B1586" s="12"/>
      <c r="C1586" s="12"/>
      <c r="E1586" t="str">
        <f>IF(LEN(D1586)=0,"",[1]!i_pq_tradedays($B$3,A1587,A1586)-1)</f>
        <v/>
      </c>
      <c r="G1586" s="16" t="str">
        <f t="shared" si="64"/>
        <v/>
      </c>
      <c r="H1586" s="70" t="str">
        <f t="shared" si="65"/>
        <v/>
      </c>
    </row>
    <row r="1587" spans="1:8">
      <c r="A1587" s="2"/>
      <c r="B1587" s="12"/>
      <c r="C1587" s="12"/>
      <c r="E1587" t="str">
        <f>IF(LEN(D1587)=0,"",[1]!i_pq_tradedays($B$3,A1588,A1587)-1)</f>
        <v/>
      </c>
      <c r="G1587" s="16" t="str">
        <f t="shared" si="64"/>
        <v/>
      </c>
      <c r="H1587" s="70" t="str">
        <f t="shared" si="65"/>
        <v/>
      </c>
    </row>
    <row r="1588" spans="1:8">
      <c r="A1588" s="2"/>
      <c r="B1588" s="12"/>
      <c r="C1588" s="12"/>
      <c r="E1588" t="str">
        <f>IF(LEN(D1588)=0,"",[1]!i_pq_tradedays($B$3,A1589,A1588)-1)</f>
        <v/>
      </c>
      <c r="G1588" s="16" t="str">
        <f t="shared" si="64"/>
        <v/>
      </c>
      <c r="H1588" s="70" t="str">
        <f t="shared" si="65"/>
        <v/>
      </c>
    </row>
    <row r="1589" spans="1:8">
      <c r="A1589" s="2"/>
      <c r="B1589" s="12"/>
      <c r="C1589" s="12"/>
      <c r="E1589" t="str">
        <f>IF(LEN(D1589)=0,"",[1]!i_pq_tradedays($B$3,A1590,A1589)-1)</f>
        <v/>
      </c>
      <c r="G1589" s="16" t="str">
        <f t="shared" ref="G1589:G1652" si="66">IF(LEN(D1589)=0,"",D1589/E1589)</f>
        <v/>
      </c>
      <c r="H1589" s="70" t="str">
        <f t="shared" ref="H1589:H1652" si="67">IF(LEN(D1589)=0,"",G1589/G1590-1)</f>
        <v/>
      </c>
    </row>
    <row r="1590" spans="1:8">
      <c r="A1590" s="2"/>
      <c r="B1590" s="12"/>
      <c r="C1590" s="12"/>
      <c r="E1590" t="str">
        <f>IF(LEN(D1590)=0,"",[1]!i_pq_tradedays($B$3,A1591,A1590)-1)</f>
        <v/>
      </c>
      <c r="G1590" s="16" t="str">
        <f t="shared" si="66"/>
        <v/>
      </c>
      <c r="H1590" s="70" t="str">
        <f t="shared" si="67"/>
        <v/>
      </c>
    </row>
    <row r="1591" spans="1:8">
      <c r="A1591" s="2"/>
      <c r="B1591" s="12"/>
      <c r="C1591" s="12"/>
      <c r="E1591" t="str">
        <f>IF(LEN(D1591)=0,"",[1]!i_pq_tradedays($B$3,A1592,A1591)-1)</f>
        <v/>
      </c>
      <c r="G1591" s="16" t="str">
        <f t="shared" si="66"/>
        <v/>
      </c>
      <c r="H1591" s="70" t="str">
        <f t="shared" si="67"/>
        <v/>
      </c>
    </row>
    <row r="1592" spans="1:8">
      <c r="A1592" s="2"/>
      <c r="B1592" s="12"/>
      <c r="C1592" s="12"/>
      <c r="E1592" t="str">
        <f>IF(LEN(D1592)=0,"",[1]!i_pq_tradedays($B$3,A1593,A1592)-1)</f>
        <v/>
      </c>
      <c r="G1592" s="16" t="str">
        <f t="shared" si="66"/>
        <v/>
      </c>
      <c r="H1592" s="70" t="str">
        <f t="shared" si="67"/>
        <v/>
      </c>
    </row>
    <row r="1593" spans="1:8">
      <c r="A1593" s="2"/>
      <c r="B1593" s="12"/>
      <c r="C1593" s="12"/>
      <c r="E1593" t="str">
        <f>IF(LEN(D1593)=0,"",[1]!i_pq_tradedays($B$3,A1594,A1593)-1)</f>
        <v/>
      </c>
      <c r="G1593" s="16" t="str">
        <f t="shared" si="66"/>
        <v/>
      </c>
      <c r="H1593" s="70" t="str">
        <f t="shared" si="67"/>
        <v/>
      </c>
    </row>
    <row r="1594" spans="1:8">
      <c r="A1594" s="2"/>
      <c r="B1594" s="12"/>
      <c r="C1594" s="12"/>
      <c r="E1594" t="str">
        <f>IF(LEN(D1594)=0,"",[1]!i_pq_tradedays($B$3,A1595,A1594)-1)</f>
        <v/>
      </c>
      <c r="G1594" s="16" t="str">
        <f t="shared" si="66"/>
        <v/>
      </c>
      <c r="H1594" s="70" t="str">
        <f t="shared" si="67"/>
        <v/>
      </c>
    </row>
    <row r="1595" spans="1:8">
      <c r="A1595" s="2"/>
      <c r="B1595" s="12"/>
      <c r="C1595" s="12"/>
      <c r="E1595" t="str">
        <f>IF(LEN(D1595)=0,"",[1]!i_pq_tradedays($B$3,A1596,A1595)-1)</f>
        <v/>
      </c>
      <c r="G1595" s="16" t="str">
        <f t="shared" si="66"/>
        <v/>
      </c>
      <c r="H1595" s="70" t="str">
        <f t="shared" si="67"/>
        <v/>
      </c>
    </row>
    <row r="1596" spans="1:8">
      <c r="A1596" s="2"/>
      <c r="B1596" s="12"/>
      <c r="C1596" s="12"/>
      <c r="E1596" t="str">
        <f>IF(LEN(D1596)=0,"",[1]!i_pq_tradedays($B$3,A1597,A1596)-1)</f>
        <v/>
      </c>
      <c r="G1596" s="16" t="str">
        <f t="shared" si="66"/>
        <v/>
      </c>
      <c r="H1596" s="70" t="str">
        <f t="shared" si="67"/>
        <v/>
      </c>
    </row>
    <row r="1597" spans="1:8">
      <c r="A1597" s="2"/>
      <c r="B1597" s="12"/>
      <c r="C1597" s="12"/>
      <c r="E1597" t="str">
        <f>IF(LEN(D1597)=0,"",[1]!i_pq_tradedays($B$3,A1598,A1597)-1)</f>
        <v/>
      </c>
      <c r="G1597" s="16" t="str">
        <f t="shared" si="66"/>
        <v/>
      </c>
      <c r="H1597" s="70" t="str">
        <f t="shared" si="67"/>
        <v/>
      </c>
    </row>
    <row r="1598" spans="1:8">
      <c r="A1598" s="2"/>
      <c r="B1598" s="12"/>
      <c r="C1598" s="12"/>
      <c r="E1598" t="str">
        <f>IF(LEN(D1598)=0,"",[1]!i_pq_tradedays($B$3,A1599,A1598)-1)</f>
        <v/>
      </c>
      <c r="G1598" s="16" t="str">
        <f t="shared" si="66"/>
        <v/>
      </c>
      <c r="H1598" s="70" t="str">
        <f t="shared" si="67"/>
        <v/>
      </c>
    </row>
    <row r="1599" spans="1:8">
      <c r="A1599" s="2"/>
      <c r="B1599" s="12"/>
      <c r="C1599" s="12"/>
      <c r="E1599" t="str">
        <f>IF(LEN(D1599)=0,"",[1]!i_pq_tradedays($B$3,A1600,A1599)-1)</f>
        <v/>
      </c>
      <c r="G1599" s="16" t="str">
        <f t="shared" si="66"/>
        <v/>
      </c>
      <c r="H1599" s="70" t="str">
        <f t="shared" si="67"/>
        <v/>
      </c>
    </row>
    <row r="1600" spans="1:8">
      <c r="A1600" s="2"/>
      <c r="B1600" s="12"/>
      <c r="C1600" s="12"/>
      <c r="E1600" t="str">
        <f>IF(LEN(D1600)=0,"",[1]!i_pq_tradedays($B$3,A1601,A1600)-1)</f>
        <v/>
      </c>
      <c r="G1600" s="16" t="str">
        <f t="shared" si="66"/>
        <v/>
      </c>
      <c r="H1600" s="70" t="str">
        <f t="shared" si="67"/>
        <v/>
      </c>
    </row>
    <row r="1601" spans="1:8">
      <c r="A1601" s="2"/>
      <c r="B1601" s="12"/>
      <c r="C1601" s="12"/>
      <c r="E1601" t="str">
        <f>IF(LEN(D1601)=0,"",[1]!i_pq_tradedays($B$3,A1602,A1601)-1)</f>
        <v/>
      </c>
      <c r="G1601" s="16" t="str">
        <f t="shared" si="66"/>
        <v/>
      </c>
      <c r="H1601" s="70" t="str">
        <f t="shared" si="67"/>
        <v/>
      </c>
    </row>
    <row r="1602" spans="1:8">
      <c r="A1602" s="2"/>
      <c r="B1602" s="12"/>
      <c r="C1602" s="12"/>
      <c r="E1602" t="str">
        <f>IF(LEN(D1602)=0,"",[1]!i_pq_tradedays($B$3,A1603,A1602)-1)</f>
        <v/>
      </c>
      <c r="G1602" s="16" t="str">
        <f t="shared" si="66"/>
        <v/>
      </c>
      <c r="H1602" s="70" t="str">
        <f t="shared" si="67"/>
        <v/>
      </c>
    </row>
    <row r="1603" spans="1:8">
      <c r="A1603" s="2"/>
      <c r="B1603" s="12"/>
      <c r="C1603" s="12"/>
      <c r="E1603" t="str">
        <f>IF(LEN(D1603)=0,"",[1]!i_pq_tradedays($B$3,A1604,A1603)-1)</f>
        <v/>
      </c>
      <c r="G1603" s="16" t="str">
        <f t="shared" si="66"/>
        <v/>
      </c>
      <c r="H1603" s="70" t="str">
        <f t="shared" si="67"/>
        <v/>
      </c>
    </row>
    <row r="1604" spans="1:8">
      <c r="A1604" s="2"/>
      <c r="B1604" s="12"/>
      <c r="C1604" s="12"/>
      <c r="E1604" t="str">
        <f>IF(LEN(D1604)=0,"",[1]!i_pq_tradedays($B$3,A1605,A1604)-1)</f>
        <v/>
      </c>
      <c r="G1604" s="16" t="str">
        <f t="shared" si="66"/>
        <v/>
      </c>
      <c r="H1604" s="70" t="str">
        <f t="shared" si="67"/>
        <v/>
      </c>
    </row>
    <row r="1605" spans="1:8">
      <c r="A1605" s="2"/>
      <c r="B1605" s="12"/>
      <c r="C1605" s="12"/>
      <c r="E1605" t="str">
        <f>IF(LEN(D1605)=0,"",[1]!i_pq_tradedays($B$3,A1606,A1605)-1)</f>
        <v/>
      </c>
      <c r="G1605" s="16" t="str">
        <f t="shared" si="66"/>
        <v/>
      </c>
      <c r="H1605" s="70" t="str">
        <f t="shared" si="67"/>
        <v/>
      </c>
    </row>
    <row r="1606" spans="1:8">
      <c r="A1606" s="2"/>
      <c r="B1606" s="12"/>
      <c r="C1606" s="12"/>
      <c r="E1606" t="str">
        <f>IF(LEN(D1606)=0,"",[1]!i_pq_tradedays($B$3,A1607,A1606)-1)</f>
        <v/>
      </c>
      <c r="G1606" s="16" t="str">
        <f t="shared" si="66"/>
        <v/>
      </c>
      <c r="H1606" s="70" t="str">
        <f t="shared" si="67"/>
        <v/>
      </c>
    </row>
    <row r="1607" spans="1:8">
      <c r="A1607" s="2"/>
      <c r="B1607" s="12"/>
      <c r="C1607" s="12"/>
      <c r="E1607" t="str">
        <f>IF(LEN(D1607)=0,"",[1]!i_pq_tradedays($B$3,A1608,A1607)-1)</f>
        <v/>
      </c>
      <c r="G1607" s="16" t="str">
        <f t="shared" si="66"/>
        <v/>
      </c>
      <c r="H1607" s="70" t="str">
        <f t="shared" si="67"/>
        <v/>
      </c>
    </row>
    <row r="1608" spans="1:8">
      <c r="A1608" s="2"/>
      <c r="B1608" s="12"/>
      <c r="C1608" s="12"/>
      <c r="E1608" t="str">
        <f>IF(LEN(D1608)=0,"",[1]!i_pq_tradedays($B$3,A1609,A1608)-1)</f>
        <v/>
      </c>
      <c r="G1608" s="16" t="str">
        <f t="shared" si="66"/>
        <v/>
      </c>
      <c r="H1608" s="70" t="str">
        <f t="shared" si="67"/>
        <v/>
      </c>
    </row>
    <row r="1609" spans="1:8">
      <c r="A1609" s="2"/>
      <c r="B1609" s="12"/>
      <c r="C1609" s="12"/>
      <c r="E1609" t="str">
        <f>IF(LEN(D1609)=0,"",[1]!i_pq_tradedays($B$3,A1610,A1609)-1)</f>
        <v/>
      </c>
      <c r="G1609" s="16" t="str">
        <f t="shared" si="66"/>
        <v/>
      </c>
      <c r="H1609" s="70" t="str">
        <f t="shared" si="67"/>
        <v/>
      </c>
    </row>
    <row r="1610" spans="1:8">
      <c r="A1610" s="2"/>
      <c r="B1610" s="12"/>
      <c r="C1610" s="12"/>
      <c r="E1610" t="str">
        <f>IF(LEN(D1610)=0,"",[1]!i_pq_tradedays($B$3,A1611,A1610)-1)</f>
        <v/>
      </c>
      <c r="G1610" s="16" t="str">
        <f t="shared" si="66"/>
        <v/>
      </c>
      <c r="H1610" s="70" t="str">
        <f t="shared" si="67"/>
        <v/>
      </c>
    </row>
    <row r="1611" spans="1:8">
      <c r="A1611" s="2"/>
      <c r="B1611" s="12"/>
      <c r="C1611" s="12"/>
      <c r="E1611" t="str">
        <f>IF(LEN(D1611)=0,"",[1]!i_pq_tradedays($B$3,A1612,A1611)-1)</f>
        <v/>
      </c>
      <c r="G1611" s="16" t="str">
        <f t="shared" si="66"/>
        <v/>
      </c>
      <c r="H1611" s="70" t="str">
        <f t="shared" si="67"/>
        <v/>
      </c>
    </row>
    <row r="1612" spans="1:8">
      <c r="A1612" s="2"/>
      <c r="B1612" s="12"/>
      <c r="C1612" s="12"/>
      <c r="E1612" t="str">
        <f>IF(LEN(D1612)=0,"",[1]!i_pq_tradedays($B$3,A1613,A1612)-1)</f>
        <v/>
      </c>
      <c r="G1612" s="16" t="str">
        <f t="shared" si="66"/>
        <v/>
      </c>
      <c r="H1612" s="70" t="str">
        <f t="shared" si="67"/>
        <v/>
      </c>
    </row>
    <row r="1613" spans="1:8">
      <c r="A1613" s="2"/>
      <c r="B1613" s="12"/>
      <c r="C1613" s="12"/>
      <c r="E1613" t="str">
        <f>IF(LEN(D1613)=0,"",[1]!i_pq_tradedays($B$3,A1614,A1613)-1)</f>
        <v/>
      </c>
      <c r="G1613" s="16" t="str">
        <f t="shared" si="66"/>
        <v/>
      </c>
      <c r="H1613" s="70" t="str">
        <f t="shared" si="67"/>
        <v/>
      </c>
    </row>
    <row r="1614" spans="1:8">
      <c r="A1614" s="2"/>
      <c r="B1614" s="12"/>
      <c r="C1614" s="12"/>
      <c r="E1614" t="str">
        <f>IF(LEN(D1614)=0,"",[1]!i_pq_tradedays($B$3,A1615,A1614)-1)</f>
        <v/>
      </c>
      <c r="G1614" s="16" t="str">
        <f t="shared" si="66"/>
        <v/>
      </c>
      <c r="H1614" s="70" t="str">
        <f t="shared" si="67"/>
        <v/>
      </c>
    </row>
    <row r="1615" spans="1:8">
      <c r="A1615" s="2"/>
      <c r="B1615" s="12"/>
      <c r="C1615" s="12"/>
      <c r="E1615" t="str">
        <f>IF(LEN(D1615)=0,"",[1]!i_pq_tradedays($B$3,A1616,A1615)-1)</f>
        <v/>
      </c>
      <c r="G1615" s="16" t="str">
        <f t="shared" si="66"/>
        <v/>
      </c>
      <c r="H1615" s="70" t="str">
        <f t="shared" si="67"/>
        <v/>
      </c>
    </row>
    <row r="1616" spans="1:8">
      <c r="A1616" s="2"/>
      <c r="B1616" s="12"/>
      <c r="C1616" s="12"/>
      <c r="E1616" t="str">
        <f>IF(LEN(D1616)=0,"",[1]!i_pq_tradedays($B$3,A1617,A1616)-1)</f>
        <v/>
      </c>
      <c r="G1616" s="16" t="str">
        <f t="shared" si="66"/>
        <v/>
      </c>
      <c r="H1616" s="70" t="str">
        <f t="shared" si="67"/>
        <v/>
      </c>
    </row>
    <row r="1617" spans="1:8">
      <c r="A1617" s="2"/>
      <c r="B1617" s="12"/>
      <c r="C1617" s="12"/>
      <c r="E1617" t="str">
        <f>IF(LEN(D1617)=0,"",[1]!i_pq_tradedays($B$3,A1618,A1617)-1)</f>
        <v/>
      </c>
      <c r="G1617" s="16" t="str">
        <f t="shared" si="66"/>
        <v/>
      </c>
      <c r="H1617" s="70" t="str">
        <f t="shared" si="67"/>
        <v/>
      </c>
    </row>
    <row r="1618" spans="1:8">
      <c r="A1618" s="2"/>
      <c r="B1618" s="12"/>
      <c r="C1618" s="12"/>
      <c r="E1618" t="str">
        <f>IF(LEN(D1618)=0,"",[1]!i_pq_tradedays($B$3,A1619,A1618)-1)</f>
        <v/>
      </c>
      <c r="G1618" s="16" t="str">
        <f t="shared" si="66"/>
        <v/>
      </c>
      <c r="H1618" s="70" t="str">
        <f t="shared" si="67"/>
        <v/>
      </c>
    </row>
    <row r="1619" spans="1:8">
      <c r="A1619" s="2"/>
      <c r="B1619" s="12"/>
      <c r="C1619" s="12"/>
      <c r="E1619" t="str">
        <f>IF(LEN(D1619)=0,"",[1]!i_pq_tradedays($B$3,A1620,A1619)-1)</f>
        <v/>
      </c>
      <c r="G1619" s="16" t="str">
        <f t="shared" si="66"/>
        <v/>
      </c>
      <c r="H1619" s="70" t="str">
        <f t="shared" si="67"/>
        <v/>
      </c>
    </row>
    <row r="1620" spans="1:8">
      <c r="A1620" s="2"/>
      <c r="B1620" s="12"/>
      <c r="C1620" s="12"/>
      <c r="E1620" t="str">
        <f>IF(LEN(D1620)=0,"",[1]!i_pq_tradedays($B$3,A1621,A1620)-1)</f>
        <v/>
      </c>
      <c r="G1620" s="16" t="str">
        <f t="shared" si="66"/>
        <v/>
      </c>
      <c r="H1620" s="70" t="str">
        <f t="shared" si="67"/>
        <v/>
      </c>
    </row>
    <row r="1621" spans="1:8">
      <c r="A1621" s="2"/>
      <c r="B1621" s="12"/>
      <c r="C1621" s="12"/>
      <c r="E1621" t="str">
        <f>IF(LEN(D1621)=0,"",[1]!i_pq_tradedays($B$3,A1622,A1621)-1)</f>
        <v/>
      </c>
      <c r="G1621" s="16" t="str">
        <f t="shared" si="66"/>
        <v/>
      </c>
      <c r="H1621" s="70" t="str">
        <f t="shared" si="67"/>
        <v/>
      </c>
    </row>
    <row r="1622" spans="1:8">
      <c r="A1622" s="2"/>
      <c r="B1622" s="12"/>
      <c r="C1622" s="12"/>
      <c r="E1622" t="str">
        <f>IF(LEN(D1622)=0,"",[1]!i_pq_tradedays($B$3,A1623,A1622)-1)</f>
        <v/>
      </c>
      <c r="G1622" s="16" t="str">
        <f t="shared" si="66"/>
        <v/>
      </c>
      <c r="H1622" s="70" t="str">
        <f t="shared" si="67"/>
        <v/>
      </c>
    </row>
    <row r="1623" spans="1:8">
      <c r="A1623" s="2"/>
      <c r="B1623" s="12"/>
      <c r="C1623" s="12"/>
      <c r="E1623" t="str">
        <f>IF(LEN(D1623)=0,"",[1]!i_pq_tradedays($B$3,A1624,A1623)-1)</f>
        <v/>
      </c>
      <c r="G1623" s="16" t="str">
        <f t="shared" si="66"/>
        <v/>
      </c>
      <c r="H1623" s="70" t="str">
        <f t="shared" si="67"/>
        <v/>
      </c>
    </row>
    <row r="1624" spans="1:8">
      <c r="A1624" s="2"/>
      <c r="B1624" s="12"/>
      <c r="C1624" s="12"/>
      <c r="E1624" t="str">
        <f>IF(LEN(D1624)=0,"",[1]!i_pq_tradedays($B$3,A1625,A1624)-1)</f>
        <v/>
      </c>
      <c r="G1624" s="16" t="str">
        <f t="shared" si="66"/>
        <v/>
      </c>
      <c r="H1624" s="70" t="str">
        <f t="shared" si="67"/>
        <v/>
      </c>
    </row>
    <row r="1625" spans="1:8">
      <c r="A1625" s="2"/>
      <c r="B1625" s="12"/>
      <c r="C1625" s="12"/>
      <c r="E1625" t="str">
        <f>IF(LEN(D1625)=0,"",[1]!i_pq_tradedays($B$3,A1626,A1625)-1)</f>
        <v/>
      </c>
      <c r="G1625" s="16" t="str">
        <f t="shared" si="66"/>
        <v/>
      </c>
      <c r="H1625" s="70" t="str">
        <f t="shared" si="67"/>
        <v/>
      </c>
    </row>
    <row r="1626" spans="1:8">
      <c r="A1626" s="2"/>
      <c r="B1626" s="12"/>
      <c r="C1626" s="12"/>
      <c r="E1626" t="str">
        <f>IF(LEN(D1626)=0,"",[1]!i_pq_tradedays($B$3,A1627,A1626)-1)</f>
        <v/>
      </c>
      <c r="G1626" s="16" t="str">
        <f t="shared" si="66"/>
        <v/>
      </c>
      <c r="H1626" s="70" t="str">
        <f t="shared" si="67"/>
        <v/>
      </c>
    </row>
    <row r="1627" spans="1:8">
      <c r="A1627" s="2"/>
      <c r="B1627" s="12"/>
      <c r="C1627" s="12"/>
      <c r="E1627" t="str">
        <f>IF(LEN(D1627)=0,"",[1]!i_pq_tradedays($B$3,A1628,A1627)-1)</f>
        <v/>
      </c>
      <c r="G1627" s="16" t="str">
        <f t="shared" si="66"/>
        <v/>
      </c>
      <c r="H1627" s="70" t="str">
        <f t="shared" si="67"/>
        <v/>
      </c>
    </row>
    <row r="1628" spans="1:8">
      <c r="A1628" s="2"/>
      <c r="B1628" s="12"/>
      <c r="C1628" s="12"/>
      <c r="E1628" t="str">
        <f>IF(LEN(D1628)=0,"",[1]!i_pq_tradedays($B$3,A1629,A1628)-1)</f>
        <v/>
      </c>
      <c r="G1628" s="16" t="str">
        <f t="shared" si="66"/>
        <v/>
      </c>
      <c r="H1628" s="70" t="str">
        <f t="shared" si="67"/>
        <v/>
      </c>
    </row>
    <row r="1629" spans="1:8">
      <c r="A1629" s="2"/>
      <c r="B1629" s="12"/>
      <c r="C1629" s="12"/>
      <c r="E1629" t="str">
        <f>IF(LEN(D1629)=0,"",[1]!i_pq_tradedays($B$3,A1630,A1629)-1)</f>
        <v/>
      </c>
      <c r="G1629" s="16" t="str">
        <f t="shared" si="66"/>
        <v/>
      </c>
      <c r="H1629" s="70" t="str">
        <f t="shared" si="67"/>
        <v/>
      </c>
    </row>
    <row r="1630" spans="1:8">
      <c r="A1630" s="2"/>
      <c r="B1630" s="12"/>
      <c r="C1630" s="12"/>
      <c r="E1630" t="str">
        <f>IF(LEN(D1630)=0,"",[1]!i_pq_tradedays($B$3,A1631,A1630)-1)</f>
        <v/>
      </c>
      <c r="G1630" s="16" t="str">
        <f t="shared" si="66"/>
        <v/>
      </c>
      <c r="H1630" s="70" t="str">
        <f t="shared" si="67"/>
        <v/>
      </c>
    </row>
    <row r="1631" spans="1:8">
      <c r="A1631" s="2"/>
      <c r="B1631" s="12"/>
      <c r="C1631" s="12"/>
      <c r="E1631" t="str">
        <f>IF(LEN(D1631)=0,"",[1]!i_pq_tradedays($B$3,A1632,A1631)-1)</f>
        <v/>
      </c>
      <c r="G1631" s="16" t="str">
        <f t="shared" si="66"/>
        <v/>
      </c>
      <c r="H1631" s="70" t="str">
        <f t="shared" si="67"/>
        <v/>
      </c>
    </row>
    <row r="1632" spans="1:8">
      <c r="A1632" s="2"/>
      <c r="B1632" s="12"/>
      <c r="C1632" s="12"/>
      <c r="E1632" t="str">
        <f>IF(LEN(D1632)=0,"",[1]!i_pq_tradedays($B$3,A1633,A1632)-1)</f>
        <v/>
      </c>
      <c r="G1632" s="16" t="str">
        <f t="shared" si="66"/>
        <v/>
      </c>
      <c r="H1632" s="70" t="str">
        <f t="shared" si="67"/>
        <v/>
      </c>
    </row>
    <row r="1633" spans="1:8">
      <c r="A1633" s="2"/>
      <c r="B1633" s="12"/>
      <c r="C1633" s="12"/>
      <c r="E1633" t="str">
        <f>IF(LEN(D1633)=0,"",[1]!i_pq_tradedays($B$3,A1634,A1633)-1)</f>
        <v/>
      </c>
      <c r="G1633" s="16" t="str">
        <f t="shared" si="66"/>
        <v/>
      </c>
      <c r="H1633" s="70" t="str">
        <f t="shared" si="67"/>
        <v/>
      </c>
    </row>
    <row r="1634" spans="1:8">
      <c r="A1634" s="2"/>
      <c r="B1634" s="12"/>
      <c r="C1634" s="12"/>
      <c r="E1634" t="str">
        <f>IF(LEN(D1634)=0,"",[1]!i_pq_tradedays($B$3,A1635,A1634)-1)</f>
        <v/>
      </c>
      <c r="G1634" s="16" t="str">
        <f t="shared" si="66"/>
        <v/>
      </c>
      <c r="H1634" s="70" t="str">
        <f t="shared" si="67"/>
        <v/>
      </c>
    </row>
    <row r="1635" spans="1:8">
      <c r="A1635" s="2"/>
      <c r="B1635" s="12"/>
      <c r="C1635" s="12"/>
      <c r="E1635" t="str">
        <f>IF(LEN(D1635)=0,"",[1]!i_pq_tradedays($B$3,A1636,A1635)-1)</f>
        <v/>
      </c>
      <c r="G1635" s="16" t="str">
        <f t="shared" si="66"/>
        <v/>
      </c>
      <c r="H1635" s="70" t="str">
        <f t="shared" si="67"/>
        <v/>
      </c>
    </row>
    <row r="1636" spans="1:8">
      <c r="A1636" s="2"/>
      <c r="B1636" s="12"/>
      <c r="C1636" s="12"/>
      <c r="E1636" t="str">
        <f>IF(LEN(D1636)=0,"",[1]!i_pq_tradedays($B$3,A1637,A1636)-1)</f>
        <v/>
      </c>
      <c r="G1636" s="16" t="str">
        <f t="shared" si="66"/>
        <v/>
      </c>
      <c r="H1636" s="70" t="str">
        <f t="shared" si="67"/>
        <v/>
      </c>
    </row>
    <row r="1637" spans="1:8">
      <c r="A1637" s="2"/>
      <c r="B1637" s="12"/>
      <c r="C1637" s="12"/>
      <c r="E1637" t="str">
        <f>IF(LEN(D1637)=0,"",[1]!i_pq_tradedays($B$3,A1638,A1637)-1)</f>
        <v/>
      </c>
      <c r="G1637" s="16" t="str">
        <f t="shared" si="66"/>
        <v/>
      </c>
      <c r="H1637" s="70" t="str">
        <f t="shared" si="67"/>
        <v/>
      </c>
    </row>
    <row r="1638" spans="1:8">
      <c r="A1638" s="2"/>
      <c r="B1638" s="12"/>
      <c r="C1638" s="12"/>
      <c r="E1638" t="str">
        <f>IF(LEN(D1638)=0,"",[1]!i_pq_tradedays($B$3,A1639,A1638)-1)</f>
        <v/>
      </c>
      <c r="G1638" s="16" t="str">
        <f t="shared" si="66"/>
        <v/>
      </c>
      <c r="H1638" s="70" t="str">
        <f t="shared" si="67"/>
        <v/>
      </c>
    </row>
    <row r="1639" spans="1:8">
      <c r="A1639" s="2"/>
      <c r="B1639" s="12"/>
      <c r="C1639" s="12"/>
      <c r="E1639" t="str">
        <f>IF(LEN(D1639)=0,"",[1]!i_pq_tradedays($B$3,A1640,A1639)-1)</f>
        <v/>
      </c>
      <c r="G1639" s="16" t="str">
        <f t="shared" si="66"/>
        <v/>
      </c>
      <c r="H1639" s="70" t="str">
        <f t="shared" si="67"/>
        <v/>
      </c>
    </row>
    <row r="1640" spans="1:8">
      <c r="A1640" s="2"/>
      <c r="B1640" s="12"/>
      <c r="C1640" s="12"/>
      <c r="E1640" t="str">
        <f>IF(LEN(D1640)=0,"",[1]!i_pq_tradedays($B$3,A1641,A1640)-1)</f>
        <v/>
      </c>
      <c r="G1640" s="16" t="str">
        <f t="shared" si="66"/>
        <v/>
      </c>
      <c r="H1640" s="70" t="str">
        <f t="shared" si="67"/>
        <v/>
      </c>
    </row>
    <row r="1641" spans="1:8">
      <c r="A1641" s="2"/>
      <c r="B1641" s="12"/>
      <c r="C1641" s="12"/>
      <c r="E1641" t="str">
        <f>IF(LEN(D1641)=0,"",[1]!i_pq_tradedays($B$3,A1642,A1641)-1)</f>
        <v/>
      </c>
      <c r="G1641" s="16" t="str">
        <f t="shared" si="66"/>
        <v/>
      </c>
      <c r="H1641" s="70" t="str">
        <f t="shared" si="67"/>
        <v/>
      </c>
    </row>
    <row r="1642" spans="1:8">
      <c r="A1642" s="2"/>
      <c r="B1642" s="12"/>
      <c r="C1642" s="12"/>
      <c r="E1642" t="str">
        <f>IF(LEN(D1642)=0,"",[1]!i_pq_tradedays($B$3,A1643,A1642)-1)</f>
        <v/>
      </c>
      <c r="G1642" s="16" t="str">
        <f t="shared" si="66"/>
        <v/>
      </c>
      <c r="H1642" s="70" t="str">
        <f t="shared" si="67"/>
        <v/>
      </c>
    </row>
    <row r="1643" spans="1:8">
      <c r="A1643" s="2"/>
      <c r="B1643" s="12"/>
      <c r="C1643" s="12"/>
      <c r="E1643" t="str">
        <f>IF(LEN(D1643)=0,"",[1]!i_pq_tradedays($B$3,A1644,A1643)-1)</f>
        <v/>
      </c>
      <c r="G1643" s="16" t="str">
        <f t="shared" si="66"/>
        <v/>
      </c>
      <c r="H1643" s="70" t="str">
        <f t="shared" si="67"/>
        <v/>
      </c>
    </row>
    <row r="1644" spans="1:8">
      <c r="A1644" s="2"/>
      <c r="B1644" s="12"/>
      <c r="C1644" s="12"/>
      <c r="E1644" t="str">
        <f>IF(LEN(D1644)=0,"",[1]!i_pq_tradedays($B$3,A1645,A1644)-1)</f>
        <v/>
      </c>
      <c r="G1644" s="16" t="str">
        <f t="shared" si="66"/>
        <v/>
      </c>
      <c r="H1644" s="70" t="str">
        <f t="shared" si="67"/>
        <v/>
      </c>
    </row>
    <row r="1645" spans="1:8">
      <c r="A1645" s="2"/>
      <c r="B1645" s="12"/>
      <c r="C1645" s="12"/>
      <c r="E1645" t="str">
        <f>IF(LEN(D1645)=0,"",[1]!i_pq_tradedays($B$3,A1646,A1645)-1)</f>
        <v/>
      </c>
      <c r="G1645" s="16" t="str">
        <f t="shared" si="66"/>
        <v/>
      </c>
      <c r="H1645" s="70" t="str">
        <f t="shared" si="67"/>
        <v/>
      </c>
    </row>
    <row r="1646" spans="1:8">
      <c r="A1646" s="2"/>
      <c r="B1646" s="12"/>
      <c r="C1646" s="12"/>
      <c r="E1646" t="str">
        <f>IF(LEN(D1646)=0,"",[1]!i_pq_tradedays($B$3,A1647,A1646)-1)</f>
        <v/>
      </c>
      <c r="G1646" s="16" t="str">
        <f t="shared" si="66"/>
        <v/>
      </c>
      <c r="H1646" s="70" t="str">
        <f t="shared" si="67"/>
        <v/>
      </c>
    </row>
    <row r="1647" spans="1:8">
      <c r="A1647" s="2"/>
      <c r="B1647" s="12"/>
      <c r="C1647" s="12"/>
      <c r="E1647" t="str">
        <f>IF(LEN(D1647)=0,"",[1]!i_pq_tradedays($B$3,A1648,A1647)-1)</f>
        <v/>
      </c>
      <c r="G1647" s="16" t="str">
        <f t="shared" si="66"/>
        <v/>
      </c>
      <c r="H1647" s="70" t="str">
        <f t="shared" si="67"/>
        <v/>
      </c>
    </row>
    <row r="1648" spans="1:8">
      <c r="A1648" s="2"/>
      <c r="B1648" s="12"/>
      <c r="C1648" s="12"/>
      <c r="E1648" t="str">
        <f>IF(LEN(D1648)=0,"",[1]!i_pq_tradedays($B$3,A1649,A1648)-1)</f>
        <v/>
      </c>
      <c r="G1648" s="16" t="str">
        <f t="shared" si="66"/>
        <v/>
      </c>
      <c r="H1648" s="70" t="str">
        <f t="shared" si="67"/>
        <v/>
      </c>
    </row>
    <row r="1649" spans="1:8">
      <c r="A1649" s="2"/>
      <c r="B1649" s="12"/>
      <c r="C1649" s="12"/>
      <c r="E1649" t="str">
        <f>IF(LEN(D1649)=0,"",[1]!i_pq_tradedays($B$3,A1650,A1649)-1)</f>
        <v/>
      </c>
      <c r="G1649" s="16" t="str">
        <f t="shared" si="66"/>
        <v/>
      </c>
      <c r="H1649" s="70" t="str">
        <f t="shared" si="67"/>
        <v/>
      </c>
    </row>
    <row r="1650" spans="1:8">
      <c r="A1650" s="2"/>
      <c r="B1650" s="12"/>
      <c r="C1650" s="12"/>
      <c r="E1650" t="str">
        <f>IF(LEN(D1650)=0,"",[1]!i_pq_tradedays($B$3,A1651,A1650)-1)</f>
        <v/>
      </c>
      <c r="G1650" s="16" t="str">
        <f t="shared" si="66"/>
        <v/>
      </c>
      <c r="H1650" s="70" t="str">
        <f t="shared" si="67"/>
        <v/>
      </c>
    </row>
    <row r="1651" spans="1:8">
      <c r="A1651" s="2"/>
      <c r="B1651" s="12"/>
      <c r="C1651" s="12"/>
      <c r="E1651" t="str">
        <f>IF(LEN(D1651)=0,"",[1]!i_pq_tradedays($B$3,A1652,A1651)-1)</f>
        <v/>
      </c>
      <c r="G1651" s="16" t="str">
        <f t="shared" si="66"/>
        <v/>
      </c>
      <c r="H1651" s="70" t="str">
        <f t="shared" si="67"/>
        <v/>
      </c>
    </row>
    <row r="1652" spans="1:8">
      <c r="A1652" s="2"/>
      <c r="B1652" s="12"/>
      <c r="C1652" s="12"/>
      <c r="E1652" t="str">
        <f>IF(LEN(D1652)=0,"",[1]!i_pq_tradedays($B$3,A1653,A1652)-1)</f>
        <v/>
      </c>
      <c r="G1652" s="16" t="str">
        <f t="shared" si="66"/>
        <v/>
      </c>
      <c r="H1652" s="70" t="str">
        <f t="shared" si="67"/>
        <v/>
      </c>
    </row>
    <row r="1653" spans="1:8">
      <c r="A1653" s="2"/>
      <c r="B1653" s="12"/>
      <c r="C1653" s="12"/>
      <c r="E1653" t="str">
        <f>IF(LEN(D1653)=0,"",[1]!i_pq_tradedays($B$3,A1654,A1653)-1)</f>
        <v/>
      </c>
      <c r="G1653" s="16" t="str">
        <f t="shared" ref="G1653:G1716" si="68">IF(LEN(D1653)=0,"",D1653/E1653)</f>
        <v/>
      </c>
      <c r="H1653" s="70" t="str">
        <f t="shared" ref="H1653:H1716" si="69">IF(LEN(D1653)=0,"",G1653/G1654-1)</f>
        <v/>
      </c>
    </row>
    <row r="1654" spans="1:8">
      <c r="A1654" s="2"/>
      <c r="B1654" s="12"/>
      <c r="C1654" s="12"/>
      <c r="E1654" t="str">
        <f>IF(LEN(D1654)=0,"",[1]!i_pq_tradedays($B$3,A1655,A1654)-1)</f>
        <v/>
      </c>
      <c r="G1654" s="16" t="str">
        <f t="shared" si="68"/>
        <v/>
      </c>
      <c r="H1654" s="70" t="str">
        <f t="shared" si="69"/>
        <v/>
      </c>
    </row>
    <row r="1655" spans="1:8">
      <c r="A1655" s="2"/>
      <c r="B1655" s="12"/>
      <c r="C1655" s="12"/>
      <c r="E1655" t="str">
        <f>IF(LEN(D1655)=0,"",[1]!i_pq_tradedays($B$3,A1656,A1655)-1)</f>
        <v/>
      </c>
      <c r="G1655" s="16" t="str">
        <f t="shared" si="68"/>
        <v/>
      </c>
      <c r="H1655" s="70" t="str">
        <f t="shared" si="69"/>
        <v/>
      </c>
    </row>
    <row r="1656" spans="1:8">
      <c r="A1656" s="2"/>
      <c r="B1656" s="12"/>
      <c r="C1656" s="12"/>
      <c r="E1656" t="str">
        <f>IF(LEN(D1656)=0,"",[1]!i_pq_tradedays($B$3,A1657,A1656)-1)</f>
        <v/>
      </c>
      <c r="G1656" s="16" t="str">
        <f t="shared" si="68"/>
        <v/>
      </c>
      <c r="H1656" s="70" t="str">
        <f t="shared" si="69"/>
        <v/>
      </c>
    </row>
    <row r="1657" spans="1:8">
      <c r="A1657" s="2"/>
      <c r="B1657" s="12"/>
      <c r="C1657" s="12"/>
      <c r="E1657" t="str">
        <f>IF(LEN(D1657)=0,"",[1]!i_pq_tradedays($B$3,A1658,A1657)-1)</f>
        <v/>
      </c>
      <c r="G1657" s="16" t="str">
        <f t="shared" si="68"/>
        <v/>
      </c>
      <c r="H1657" s="70" t="str">
        <f t="shared" si="69"/>
        <v/>
      </c>
    </row>
    <row r="1658" spans="1:8">
      <c r="A1658" s="2"/>
      <c r="B1658" s="12"/>
      <c r="C1658" s="12"/>
      <c r="E1658" t="str">
        <f>IF(LEN(D1658)=0,"",[1]!i_pq_tradedays($B$3,A1659,A1658)-1)</f>
        <v/>
      </c>
      <c r="G1658" s="16" t="str">
        <f t="shared" si="68"/>
        <v/>
      </c>
      <c r="H1658" s="70" t="str">
        <f t="shared" si="69"/>
        <v/>
      </c>
    </row>
    <row r="1659" spans="1:8">
      <c r="A1659" s="2"/>
      <c r="B1659" s="12"/>
      <c r="C1659" s="12"/>
      <c r="E1659" t="str">
        <f>IF(LEN(D1659)=0,"",[1]!i_pq_tradedays($B$3,A1660,A1659)-1)</f>
        <v/>
      </c>
      <c r="G1659" s="16" t="str">
        <f t="shared" si="68"/>
        <v/>
      </c>
      <c r="H1659" s="70" t="str">
        <f t="shared" si="69"/>
        <v/>
      </c>
    </row>
    <row r="1660" spans="1:8">
      <c r="A1660" s="2"/>
      <c r="B1660" s="12"/>
      <c r="C1660" s="12"/>
      <c r="E1660" t="str">
        <f>IF(LEN(D1660)=0,"",[1]!i_pq_tradedays($B$3,A1661,A1660)-1)</f>
        <v/>
      </c>
      <c r="G1660" s="16" t="str">
        <f t="shared" si="68"/>
        <v/>
      </c>
      <c r="H1660" s="70" t="str">
        <f t="shared" si="69"/>
        <v/>
      </c>
    </row>
    <row r="1661" spans="1:8">
      <c r="A1661" s="2"/>
      <c r="B1661" s="12"/>
      <c r="C1661" s="12"/>
      <c r="E1661" t="str">
        <f>IF(LEN(D1661)=0,"",[1]!i_pq_tradedays($B$3,A1662,A1661)-1)</f>
        <v/>
      </c>
      <c r="G1661" s="16" t="str">
        <f t="shared" si="68"/>
        <v/>
      </c>
      <c r="H1661" s="70" t="str">
        <f t="shared" si="69"/>
        <v/>
      </c>
    </row>
    <row r="1662" spans="1:8">
      <c r="A1662" s="2"/>
      <c r="B1662" s="12"/>
      <c r="C1662" s="12"/>
      <c r="E1662" t="str">
        <f>IF(LEN(D1662)=0,"",[1]!i_pq_tradedays($B$3,A1663,A1662)-1)</f>
        <v/>
      </c>
      <c r="G1662" s="16" t="str">
        <f t="shared" si="68"/>
        <v/>
      </c>
      <c r="H1662" s="70" t="str">
        <f t="shared" si="69"/>
        <v/>
      </c>
    </row>
    <row r="1663" spans="1:8">
      <c r="A1663" s="2"/>
      <c r="B1663" s="12"/>
      <c r="C1663" s="12"/>
      <c r="E1663" t="str">
        <f>IF(LEN(D1663)=0,"",[1]!i_pq_tradedays($B$3,A1664,A1663)-1)</f>
        <v/>
      </c>
      <c r="G1663" s="16" t="str">
        <f t="shared" si="68"/>
        <v/>
      </c>
      <c r="H1663" s="70" t="str">
        <f t="shared" si="69"/>
        <v/>
      </c>
    </row>
    <row r="1664" spans="1:8">
      <c r="A1664" s="2"/>
      <c r="B1664" s="12"/>
      <c r="C1664" s="12"/>
      <c r="E1664" t="str">
        <f>IF(LEN(D1664)=0,"",[1]!i_pq_tradedays($B$3,A1665,A1664)-1)</f>
        <v/>
      </c>
      <c r="G1664" s="16" t="str">
        <f t="shared" si="68"/>
        <v/>
      </c>
      <c r="H1664" s="70" t="str">
        <f t="shared" si="69"/>
        <v/>
      </c>
    </row>
    <row r="1665" spans="1:8">
      <c r="A1665" s="2"/>
      <c r="B1665" s="12"/>
      <c r="C1665" s="12"/>
      <c r="E1665" t="str">
        <f>IF(LEN(D1665)=0,"",[1]!i_pq_tradedays($B$3,A1666,A1665)-1)</f>
        <v/>
      </c>
      <c r="G1665" s="16" t="str">
        <f t="shared" si="68"/>
        <v/>
      </c>
      <c r="H1665" s="70" t="str">
        <f t="shared" si="69"/>
        <v/>
      </c>
    </row>
    <row r="1666" spans="1:8">
      <c r="A1666" s="2"/>
      <c r="B1666" s="12"/>
      <c r="C1666" s="12"/>
      <c r="E1666" t="str">
        <f>IF(LEN(D1666)=0,"",[1]!i_pq_tradedays($B$3,A1667,A1666)-1)</f>
        <v/>
      </c>
      <c r="G1666" s="16" t="str">
        <f t="shared" si="68"/>
        <v/>
      </c>
      <c r="H1666" s="70" t="str">
        <f t="shared" si="69"/>
        <v/>
      </c>
    </row>
    <row r="1667" spans="1:8">
      <c r="A1667" s="2"/>
      <c r="B1667" s="12"/>
      <c r="C1667" s="12"/>
      <c r="E1667" t="str">
        <f>IF(LEN(D1667)=0,"",[1]!i_pq_tradedays($B$3,A1668,A1667)-1)</f>
        <v/>
      </c>
      <c r="G1667" s="16" t="str">
        <f t="shared" si="68"/>
        <v/>
      </c>
      <c r="H1667" s="70" t="str">
        <f t="shared" si="69"/>
        <v/>
      </c>
    </row>
    <row r="1668" spans="1:8">
      <c r="A1668" s="2"/>
      <c r="B1668" s="12"/>
      <c r="C1668" s="12"/>
      <c r="E1668" t="str">
        <f>IF(LEN(D1668)=0,"",[1]!i_pq_tradedays($B$3,A1669,A1668)-1)</f>
        <v/>
      </c>
      <c r="G1668" s="16" t="str">
        <f t="shared" si="68"/>
        <v/>
      </c>
      <c r="H1668" s="70" t="str">
        <f t="shared" si="69"/>
        <v/>
      </c>
    </row>
    <row r="1669" spans="1:8">
      <c r="A1669" s="2"/>
      <c r="B1669" s="12"/>
      <c r="C1669" s="12"/>
      <c r="E1669" t="str">
        <f>IF(LEN(D1669)=0,"",[1]!i_pq_tradedays($B$3,A1670,A1669)-1)</f>
        <v/>
      </c>
      <c r="G1669" s="16" t="str">
        <f t="shared" si="68"/>
        <v/>
      </c>
      <c r="H1669" s="70" t="str">
        <f t="shared" si="69"/>
        <v/>
      </c>
    </row>
    <row r="1670" spans="1:8">
      <c r="A1670" s="2"/>
      <c r="B1670" s="12"/>
      <c r="C1670" s="12"/>
      <c r="E1670" t="str">
        <f>IF(LEN(D1670)=0,"",[1]!i_pq_tradedays($B$3,A1671,A1670)-1)</f>
        <v/>
      </c>
      <c r="G1670" s="16" t="str">
        <f t="shared" si="68"/>
        <v/>
      </c>
      <c r="H1670" s="70" t="str">
        <f t="shared" si="69"/>
        <v/>
      </c>
    </row>
    <row r="1671" spans="1:8">
      <c r="A1671" s="2"/>
      <c r="B1671" s="12"/>
      <c r="C1671" s="12"/>
      <c r="E1671" t="str">
        <f>IF(LEN(D1671)=0,"",[1]!i_pq_tradedays($B$3,A1672,A1671)-1)</f>
        <v/>
      </c>
      <c r="G1671" s="16" t="str">
        <f t="shared" si="68"/>
        <v/>
      </c>
      <c r="H1671" s="70" t="str">
        <f t="shared" si="69"/>
        <v/>
      </c>
    </row>
    <row r="1672" spans="1:8">
      <c r="A1672" s="2"/>
      <c r="B1672" s="12"/>
      <c r="C1672" s="12"/>
      <c r="E1672" t="str">
        <f>IF(LEN(D1672)=0,"",[1]!i_pq_tradedays($B$3,A1673,A1672)-1)</f>
        <v/>
      </c>
      <c r="G1672" s="16" t="str">
        <f t="shared" si="68"/>
        <v/>
      </c>
      <c r="H1672" s="70" t="str">
        <f t="shared" si="69"/>
        <v/>
      </c>
    </row>
    <row r="1673" spans="1:8">
      <c r="A1673" s="2"/>
      <c r="B1673" s="12"/>
      <c r="C1673" s="12"/>
      <c r="E1673" t="str">
        <f>IF(LEN(D1673)=0,"",[1]!i_pq_tradedays($B$3,A1674,A1673)-1)</f>
        <v/>
      </c>
      <c r="G1673" s="16" t="str">
        <f t="shared" si="68"/>
        <v/>
      </c>
      <c r="H1673" s="70" t="str">
        <f t="shared" si="69"/>
        <v/>
      </c>
    </row>
    <row r="1674" spans="1:8">
      <c r="A1674" s="2"/>
      <c r="B1674" s="12"/>
      <c r="C1674" s="12"/>
      <c r="E1674" t="str">
        <f>IF(LEN(D1674)=0,"",[1]!i_pq_tradedays($B$3,A1675,A1674)-1)</f>
        <v/>
      </c>
      <c r="G1674" s="16" t="str">
        <f t="shared" si="68"/>
        <v/>
      </c>
      <c r="H1674" s="70" t="str">
        <f t="shared" si="69"/>
        <v/>
      </c>
    </row>
    <row r="1675" spans="1:8">
      <c r="A1675" s="2"/>
      <c r="B1675" s="12"/>
      <c r="C1675" s="12"/>
      <c r="E1675" t="str">
        <f>IF(LEN(D1675)=0,"",[1]!i_pq_tradedays($B$3,A1676,A1675)-1)</f>
        <v/>
      </c>
      <c r="G1675" s="16" t="str">
        <f t="shared" si="68"/>
        <v/>
      </c>
      <c r="H1675" s="70" t="str">
        <f t="shared" si="69"/>
        <v/>
      </c>
    </row>
    <row r="1676" spans="1:8">
      <c r="A1676" s="2"/>
      <c r="B1676" s="12"/>
      <c r="C1676" s="12"/>
      <c r="E1676" t="str">
        <f>IF(LEN(D1676)=0,"",[1]!i_pq_tradedays($B$3,A1677,A1676)-1)</f>
        <v/>
      </c>
      <c r="G1676" s="16" t="str">
        <f t="shared" si="68"/>
        <v/>
      </c>
      <c r="H1676" s="70" t="str">
        <f t="shared" si="69"/>
        <v/>
      </c>
    </row>
    <row r="1677" spans="1:8">
      <c r="A1677" s="2"/>
      <c r="B1677" s="12"/>
      <c r="C1677" s="12"/>
      <c r="E1677" t="str">
        <f>IF(LEN(D1677)=0,"",[1]!i_pq_tradedays($B$3,A1678,A1677)-1)</f>
        <v/>
      </c>
      <c r="G1677" s="16" t="str">
        <f t="shared" si="68"/>
        <v/>
      </c>
      <c r="H1677" s="70" t="str">
        <f t="shared" si="69"/>
        <v/>
      </c>
    </row>
    <row r="1678" spans="1:8">
      <c r="A1678" s="2"/>
      <c r="B1678" s="12"/>
      <c r="C1678" s="12"/>
      <c r="E1678" t="str">
        <f>IF(LEN(D1678)=0,"",[1]!i_pq_tradedays($B$3,A1679,A1678)-1)</f>
        <v/>
      </c>
      <c r="G1678" s="16" t="str">
        <f t="shared" si="68"/>
        <v/>
      </c>
      <c r="H1678" s="70" t="str">
        <f t="shared" si="69"/>
        <v/>
      </c>
    </row>
    <row r="1679" spans="1:8">
      <c r="A1679" s="2"/>
      <c r="B1679" s="12"/>
      <c r="C1679" s="12"/>
      <c r="E1679" t="str">
        <f>IF(LEN(D1679)=0,"",[1]!i_pq_tradedays($B$3,A1680,A1679)-1)</f>
        <v/>
      </c>
      <c r="G1679" s="16" t="str">
        <f t="shared" si="68"/>
        <v/>
      </c>
      <c r="H1679" s="70" t="str">
        <f t="shared" si="69"/>
        <v/>
      </c>
    </row>
    <row r="1680" spans="1:8">
      <c r="A1680" s="2"/>
      <c r="B1680" s="12"/>
      <c r="C1680" s="12"/>
      <c r="E1680" t="str">
        <f>IF(LEN(D1680)=0,"",[1]!i_pq_tradedays($B$3,A1681,A1680)-1)</f>
        <v/>
      </c>
      <c r="G1680" s="16" t="str">
        <f t="shared" si="68"/>
        <v/>
      </c>
      <c r="H1680" s="70" t="str">
        <f t="shared" si="69"/>
        <v/>
      </c>
    </row>
    <row r="1681" spans="1:8">
      <c r="A1681" s="2"/>
      <c r="B1681" s="12"/>
      <c r="C1681" s="12"/>
      <c r="E1681" t="str">
        <f>IF(LEN(D1681)=0,"",[1]!i_pq_tradedays($B$3,A1682,A1681)-1)</f>
        <v/>
      </c>
      <c r="G1681" s="16" t="str">
        <f t="shared" si="68"/>
        <v/>
      </c>
      <c r="H1681" s="70" t="str">
        <f t="shared" si="69"/>
        <v/>
      </c>
    </row>
    <row r="1682" spans="1:8">
      <c r="A1682" s="2"/>
      <c r="B1682" s="12"/>
      <c r="C1682" s="12"/>
      <c r="E1682" t="str">
        <f>IF(LEN(D1682)=0,"",[1]!i_pq_tradedays($B$3,A1683,A1682)-1)</f>
        <v/>
      </c>
      <c r="G1682" s="16" t="str">
        <f t="shared" si="68"/>
        <v/>
      </c>
      <c r="H1682" s="70" t="str">
        <f t="shared" si="69"/>
        <v/>
      </c>
    </row>
    <row r="1683" spans="1:8">
      <c r="A1683" s="2"/>
      <c r="B1683" s="12"/>
      <c r="C1683" s="12"/>
      <c r="E1683" t="str">
        <f>IF(LEN(D1683)=0,"",[1]!i_pq_tradedays($B$3,A1684,A1683)-1)</f>
        <v/>
      </c>
      <c r="G1683" s="16" t="str">
        <f t="shared" si="68"/>
        <v/>
      </c>
      <c r="H1683" s="70" t="str">
        <f t="shared" si="69"/>
        <v/>
      </c>
    </row>
    <row r="1684" spans="1:8">
      <c r="A1684" s="2"/>
      <c r="B1684" s="12"/>
      <c r="C1684" s="12"/>
      <c r="E1684" t="str">
        <f>IF(LEN(D1684)=0,"",[1]!i_pq_tradedays($B$3,A1685,A1684)-1)</f>
        <v/>
      </c>
      <c r="G1684" s="16" t="str">
        <f t="shared" si="68"/>
        <v/>
      </c>
      <c r="H1684" s="70" t="str">
        <f t="shared" si="69"/>
        <v/>
      </c>
    </row>
    <row r="1685" spans="1:8">
      <c r="A1685" s="2"/>
      <c r="B1685" s="12"/>
      <c r="C1685" s="12"/>
      <c r="E1685" t="str">
        <f>IF(LEN(D1685)=0,"",[1]!i_pq_tradedays($B$3,A1686,A1685)-1)</f>
        <v/>
      </c>
      <c r="G1685" s="16" t="str">
        <f t="shared" si="68"/>
        <v/>
      </c>
      <c r="H1685" s="70" t="str">
        <f t="shared" si="69"/>
        <v/>
      </c>
    </row>
    <row r="1686" spans="1:8">
      <c r="A1686" s="2"/>
      <c r="B1686" s="12"/>
      <c r="C1686" s="12"/>
      <c r="E1686" t="str">
        <f>IF(LEN(D1686)=0,"",[1]!i_pq_tradedays($B$3,A1687,A1686)-1)</f>
        <v/>
      </c>
      <c r="G1686" s="16" t="str">
        <f t="shared" si="68"/>
        <v/>
      </c>
      <c r="H1686" s="70" t="str">
        <f t="shared" si="69"/>
        <v/>
      </c>
    </row>
    <row r="1687" spans="1:8">
      <c r="A1687" s="2"/>
      <c r="B1687" s="12"/>
      <c r="C1687" s="12"/>
      <c r="E1687" t="str">
        <f>IF(LEN(D1687)=0,"",[1]!i_pq_tradedays($B$3,A1688,A1687)-1)</f>
        <v/>
      </c>
      <c r="G1687" s="16" t="str">
        <f t="shared" si="68"/>
        <v/>
      </c>
      <c r="H1687" s="70" t="str">
        <f t="shared" si="69"/>
        <v/>
      </c>
    </row>
    <row r="1688" spans="1:8">
      <c r="A1688" s="2"/>
      <c r="B1688" s="12"/>
      <c r="C1688" s="12"/>
      <c r="E1688" t="str">
        <f>IF(LEN(D1688)=0,"",[1]!i_pq_tradedays($B$3,A1689,A1688)-1)</f>
        <v/>
      </c>
      <c r="G1688" s="16" t="str">
        <f t="shared" si="68"/>
        <v/>
      </c>
      <c r="H1688" s="70" t="str">
        <f t="shared" si="69"/>
        <v/>
      </c>
    </row>
    <row r="1689" spans="1:8">
      <c r="A1689" s="2"/>
      <c r="B1689" s="12"/>
      <c r="C1689" s="12"/>
      <c r="E1689" t="str">
        <f>IF(LEN(D1689)=0,"",[1]!i_pq_tradedays($B$3,A1690,A1689)-1)</f>
        <v/>
      </c>
      <c r="G1689" s="16" t="str">
        <f t="shared" si="68"/>
        <v/>
      </c>
      <c r="H1689" s="70" t="str">
        <f t="shared" si="69"/>
        <v/>
      </c>
    </row>
    <row r="1690" spans="1:8">
      <c r="A1690" s="2"/>
      <c r="B1690" s="12"/>
      <c r="C1690" s="12"/>
      <c r="E1690" t="str">
        <f>IF(LEN(D1690)=0,"",[1]!i_pq_tradedays($B$3,A1691,A1690)-1)</f>
        <v/>
      </c>
      <c r="G1690" s="16" t="str">
        <f t="shared" si="68"/>
        <v/>
      </c>
      <c r="H1690" s="70" t="str">
        <f t="shared" si="69"/>
        <v/>
      </c>
    </row>
    <row r="1691" spans="1:8">
      <c r="A1691" s="2"/>
      <c r="B1691" s="12"/>
      <c r="C1691" s="12"/>
      <c r="E1691" t="str">
        <f>IF(LEN(D1691)=0,"",[1]!i_pq_tradedays($B$3,A1692,A1691)-1)</f>
        <v/>
      </c>
      <c r="G1691" s="16" t="str">
        <f t="shared" si="68"/>
        <v/>
      </c>
      <c r="H1691" s="70" t="str">
        <f t="shared" si="69"/>
        <v/>
      </c>
    </row>
    <row r="1692" spans="1:8">
      <c r="A1692" s="2"/>
      <c r="B1692" s="12"/>
      <c r="C1692" s="12"/>
      <c r="E1692" t="str">
        <f>IF(LEN(D1692)=0,"",[1]!i_pq_tradedays($B$3,A1693,A1692)-1)</f>
        <v/>
      </c>
      <c r="G1692" s="16" t="str">
        <f t="shared" si="68"/>
        <v/>
      </c>
      <c r="H1692" s="70" t="str">
        <f t="shared" si="69"/>
        <v/>
      </c>
    </row>
    <row r="1693" spans="1:8">
      <c r="A1693" s="2"/>
      <c r="B1693" s="12"/>
      <c r="C1693" s="12"/>
      <c r="E1693" t="str">
        <f>IF(LEN(D1693)=0,"",[1]!i_pq_tradedays($B$3,A1694,A1693)-1)</f>
        <v/>
      </c>
      <c r="G1693" s="16" t="str">
        <f t="shared" si="68"/>
        <v/>
      </c>
      <c r="H1693" s="70" t="str">
        <f t="shared" si="69"/>
        <v/>
      </c>
    </row>
    <row r="1694" spans="1:8">
      <c r="A1694" s="2"/>
      <c r="B1694" s="12"/>
      <c r="C1694" s="12"/>
      <c r="E1694" t="str">
        <f>IF(LEN(D1694)=0,"",[1]!i_pq_tradedays($B$3,A1695,A1694)-1)</f>
        <v/>
      </c>
      <c r="G1694" s="16" t="str">
        <f t="shared" si="68"/>
        <v/>
      </c>
      <c r="H1694" s="70" t="str">
        <f t="shared" si="69"/>
        <v/>
      </c>
    </row>
    <row r="1695" spans="1:8">
      <c r="A1695" s="2"/>
      <c r="B1695" s="12"/>
      <c r="C1695" s="12"/>
      <c r="E1695" t="str">
        <f>IF(LEN(D1695)=0,"",[1]!i_pq_tradedays($B$3,A1696,A1695)-1)</f>
        <v/>
      </c>
      <c r="G1695" s="16" t="str">
        <f t="shared" si="68"/>
        <v/>
      </c>
      <c r="H1695" s="70" t="str">
        <f t="shared" si="69"/>
        <v/>
      </c>
    </row>
    <row r="1696" spans="1:8">
      <c r="A1696" s="2"/>
      <c r="B1696" s="12"/>
      <c r="C1696" s="12"/>
      <c r="E1696" t="str">
        <f>IF(LEN(D1696)=0,"",[1]!i_pq_tradedays($B$3,A1697,A1696)-1)</f>
        <v/>
      </c>
      <c r="G1696" s="16" t="str">
        <f t="shared" si="68"/>
        <v/>
      </c>
      <c r="H1696" s="70" t="str">
        <f t="shared" si="69"/>
        <v/>
      </c>
    </row>
    <row r="1697" spans="1:8">
      <c r="A1697" s="2"/>
      <c r="B1697" s="12"/>
      <c r="C1697" s="12"/>
      <c r="E1697" t="str">
        <f>IF(LEN(D1697)=0,"",[1]!i_pq_tradedays($B$3,A1698,A1697)-1)</f>
        <v/>
      </c>
      <c r="G1697" s="16" t="str">
        <f t="shared" si="68"/>
        <v/>
      </c>
      <c r="H1697" s="70" t="str">
        <f t="shared" si="69"/>
        <v/>
      </c>
    </row>
    <row r="1698" spans="1:8">
      <c r="A1698" s="2"/>
      <c r="B1698" s="12"/>
      <c r="C1698" s="12"/>
      <c r="E1698" t="str">
        <f>IF(LEN(D1698)=0,"",[1]!i_pq_tradedays($B$3,A1699,A1698)-1)</f>
        <v/>
      </c>
      <c r="G1698" s="16" t="str">
        <f t="shared" si="68"/>
        <v/>
      </c>
      <c r="H1698" s="70" t="str">
        <f t="shared" si="69"/>
        <v/>
      </c>
    </row>
    <row r="1699" spans="1:8">
      <c r="A1699" s="2"/>
      <c r="B1699" s="12"/>
      <c r="C1699" s="12"/>
      <c r="E1699" t="str">
        <f>IF(LEN(D1699)=0,"",[1]!i_pq_tradedays($B$3,A1700,A1699)-1)</f>
        <v/>
      </c>
      <c r="G1699" s="16" t="str">
        <f t="shared" si="68"/>
        <v/>
      </c>
      <c r="H1699" s="70" t="str">
        <f t="shared" si="69"/>
        <v/>
      </c>
    </row>
    <row r="1700" spans="1:8">
      <c r="A1700" s="2"/>
      <c r="B1700" s="12"/>
      <c r="C1700" s="12"/>
      <c r="E1700" t="str">
        <f>IF(LEN(D1700)=0,"",[1]!i_pq_tradedays($B$3,A1701,A1700)-1)</f>
        <v/>
      </c>
      <c r="G1700" s="16" t="str">
        <f t="shared" si="68"/>
        <v/>
      </c>
      <c r="H1700" s="70" t="str">
        <f t="shared" si="69"/>
        <v/>
      </c>
    </row>
    <row r="1701" spans="1:8">
      <c r="A1701" s="2"/>
      <c r="B1701" s="12"/>
      <c r="C1701" s="12"/>
      <c r="E1701" t="str">
        <f>IF(LEN(D1701)=0,"",[1]!i_pq_tradedays($B$3,A1702,A1701)-1)</f>
        <v/>
      </c>
      <c r="G1701" s="16" t="str">
        <f t="shared" si="68"/>
        <v/>
      </c>
      <c r="H1701" s="70" t="str">
        <f t="shared" si="69"/>
        <v/>
      </c>
    </row>
    <row r="1702" spans="1:8">
      <c r="A1702" s="2"/>
      <c r="B1702" s="12"/>
      <c r="C1702" s="12"/>
      <c r="E1702" t="str">
        <f>IF(LEN(D1702)=0,"",[1]!i_pq_tradedays($B$3,A1703,A1702)-1)</f>
        <v/>
      </c>
      <c r="G1702" s="16" t="str">
        <f t="shared" si="68"/>
        <v/>
      </c>
      <c r="H1702" s="70" t="str">
        <f t="shared" si="69"/>
        <v/>
      </c>
    </row>
    <row r="1703" spans="1:8">
      <c r="A1703" s="2"/>
      <c r="B1703" s="12"/>
      <c r="C1703" s="12"/>
      <c r="E1703" t="str">
        <f>IF(LEN(D1703)=0,"",[1]!i_pq_tradedays($B$3,A1704,A1703)-1)</f>
        <v/>
      </c>
      <c r="G1703" s="16" t="str">
        <f t="shared" si="68"/>
        <v/>
      </c>
      <c r="H1703" s="70" t="str">
        <f t="shared" si="69"/>
        <v/>
      </c>
    </row>
    <row r="1704" spans="1:8">
      <c r="A1704" s="2"/>
      <c r="B1704" s="12"/>
      <c r="C1704" s="12"/>
      <c r="E1704" t="str">
        <f>IF(LEN(D1704)=0,"",[1]!i_pq_tradedays($B$3,A1705,A1704)-1)</f>
        <v/>
      </c>
      <c r="G1704" s="16" t="str">
        <f t="shared" si="68"/>
        <v/>
      </c>
      <c r="H1704" s="70" t="str">
        <f t="shared" si="69"/>
        <v/>
      </c>
    </row>
    <row r="1705" spans="1:8">
      <c r="A1705" s="2"/>
      <c r="B1705" s="12"/>
      <c r="C1705" s="12"/>
      <c r="E1705" t="str">
        <f>IF(LEN(D1705)=0,"",[1]!i_pq_tradedays($B$3,A1706,A1705)-1)</f>
        <v/>
      </c>
      <c r="G1705" s="16" t="str">
        <f t="shared" si="68"/>
        <v/>
      </c>
      <c r="H1705" s="70" t="str">
        <f t="shared" si="69"/>
        <v/>
      </c>
    </row>
    <row r="1706" spans="1:8">
      <c r="A1706" s="2"/>
      <c r="B1706" s="12"/>
      <c r="C1706" s="12"/>
      <c r="E1706" t="str">
        <f>IF(LEN(D1706)=0,"",[1]!i_pq_tradedays($B$3,A1707,A1706)-1)</f>
        <v/>
      </c>
      <c r="G1706" s="16" t="str">
        <f t="shared" si="68"/>
        <v/>
      </c>
      <c r="H1706" s="70" t="str">
        <f t="shared" si="69"/>
        <v/>
      </c>
    </row>
    <row r="1707" spans="1:8">
      <c r="A1707" s="2"/>
      <c r="B1707" s="12"/>
      <c r="C1707" s="12"/>
      <c r="E1707" t="str">
        <f>IF(LEN(D1707)=0,"",[1]!i_pq_tradedays($B$3,A1708,A1707)-1)</f>
        <v/>
      </c>
      <c r="G1707" s="16" t="str">
        <f t="shared" si="68"/>
        <v/>
      </c>
      <c r="H1707" s="70" t="str">
        <f t="shared" si="69"/>
        <v/>
      </c>
    </row>
    <row r="1708" spans="1:8">
      <c r="A1708" s="2"/>
      <c r="B1708" s="12"/>
      <c r="C1708" s="12"/>
      <c r="E1708" t="str">
        <f>IF(LEN(D1708)=0,"",[1]!i_pq_tradedays($B$3,A1709,A1708)-1)</f>
        <v/>
      </c>
      <c r="G1708" s="16" t="str">
        <f t="shared" si="68"/>
        <v/>
      </c>
      <c r="H1708" s="70" t="str">
        <f t="shared" si="69"/>
        <v/>
      </c>
    </row>
    <row r="1709" spans="1:8">
      <c r="A1709" s="2"/>
      <c r="B1709" s="12"/>
      <c r="C1709" s="12"/>
      <c r="E1709" t="str">
        <f>IF(LEN(D1709)=0,"",[1]!i_pq_tradedays($B$3,A1710,A1709)-1)</f>
        <v/>
      </c>
      <c r="G1709" s="16" t="str">
        <f t="shared" si="68"/>
        <v/>
      </c>
      <c r="H1709" s="70" t="str">
        <f t="shared" si="69"/>
        <v/>
      </c>
    </row>
    <row r="1710" spans="1:8">
      <c r="A1710" s="2"/>
      <c r="B1710" s="12"/>
      <c r="C1710" s="12"/>
      <c r="E1710" t="str">
        <f>IF(LEN(D1710)=0,"",[1]!i_pq_tradedays($B$3,A1711,A1710)-1)</f>
        <v/>
      </c>
      <c r="G1710" s="16" t="str">
        <f t="shared" si="68"/>
        <v/>
      </c>
      <c r="H1710" s="70" t="str">
        <f t="shared" si="69"/>
        <v/>
      </c>
    </row>
    <row r="1711" spans="1:8">
      <c r="A1711" s="2"/>
      <c r="B1711" s="12"/>
      <c r="C1711" s="12"/>
      <c r="E1711" t="str">
        <f>IF(LEN(D1711)=0,"",[1]!i_pq_tradedays($B$3,A1712,A1711)-1)</f>
        <v/>
      </c>
      <c r="G1711" s="16" t="str">
        <f t="shared" si="68"/>
        <v/>
      </c>
      <c r="H1711" s="70" t="str">
        <f t="shared" si="69"/>
        <v/>
      </c>
    </row>
    <row r="1712" spans="1:8">
      <c r="A1712" s="2"/>
      <c r="B1712" s="12"/>
      <c r="C1712" s="12"/>
      <c r="E1712" t="str">
        <f>IF(LEN(D1712)=0,"",[1]!i_pq_tradedays($B$3,A1713,A1712)-1)</f>
        <v/>
      </c>
      <c r="G1712" s="16" t="str">
        <f t="shared" si="68"/>
        <v/>
      </c>
      <c r="H1712" s="70" t="str">
        <f t="shared" si="69"/>
        <v/>
      </c>
    </row>
    <row r="1713" spans="1:8">
      <c r="A1713" s="2"/>
      <c r="B1713" s="12"/>
      <c r="C1713" s="12"/>
      <c r="E1713" t="str">
        <f>IF(LEN(D1713)=0,"",[1]!i_pq_tradedays($B$3,A1714,A1713)-1)</f>
        <v/>
      </c>
      <c r="G1713" s="16" t="str">
        <f t="shared" si="68"/>
        <v/>
      </c>
      <c r="H1713" s="70" t="str">
        <f t="shared" si="69"/>
        <v/>
      </c>
    </row>
    <row r="1714" spans="1:8">
      <c r="A1714" s="2"/>
      <c r="B1714" s="12"/>
      <c r="C1714" s="12"/>
      <c r="E1714" t="str">
        <f>IF(LEN(D1714)=0,"",[1]!i_pq_tradedays($B$3,A1715,A1714)-1)</f>
        <v/>
      </c>
      <c r="G1714" s="16" t="str">
        <f t="shared" si="68"/>
        <v/>
      </c>
      <c r="H1714" s="70" t="str">
        <f t="shared" si="69"/>
        <v/>
      </c>
    </row>
    <row r="1715" spans="1:8">
      <c r="A1715" s="2"/>
      <c r="B1715" s="12"/>
      <c r="C1715" s="12"/>
      <c r="E1715" t="str">
        <f>IF(LEN(D1715)=0,"",[1]!i_pq_tradedays($B$3,A1716,A1715)-1)</f>
        <v/>
      </c>
      <c r="G1715" s="16" t="str">
        <f t="shared" si="68"/>
        <v/>
      </c>
      <c r="H1715" s="70" t="str">
        <f t="shared" si="69"/>
        <v/>
      </c>
    </row>
    <row r="1716" spans="1:8">
      <c r="A1716" s="2"/>
      <c r="B1716" s="12"/>
      <c r="C1716" s="12"/>
      <c r="E1716" t="str">
        <f>IF(LEN(D1716)=0,"",[1]!i_pq_tradedays($B$3,A1717,A1716)-1)</f>
        <v/>
      </c>
      <c r="G1716" s="16" t="str">
        <f t="shared" si="68"/>
        <v/>
      </c>
      <c r="H1716" s="70" t="str">
        <f t="shared" si="69"/>
        <v/>
      </c>
    </row>
    <row r="1717" spans="1:8">
      <c r="A1717" s="2"/>
      <c r="B1717" s="12"/>
      <c r="C1717" s="12"/>
      <c r="E1717" t="str">
        <f>IF(LEN(D1717)=0,"",[1]!i_pq_tradedays($B$3,A1718,A1717)-1)</f>
        <v/>
      </c>
      <c r="G1717" s="16" t="str">
        <f t="shared" ref="G1717:G1780" si="70">IF(LEN(D1717)=0,"",D1717/E1717)</f>
        <v/>
      </c>
      <c r="H1717" s="70" t="str">
        <f t="shared" ref="H1717:H1780" si="71">IF(LEN(D1717)=0,"",G1717/G1718-1)</f>
        <v/>
      </c>
    </row>
    <row r="1718" spans="1:8">
      <c r="A1718" s="2"/>
      <c r="B1718" s="12"/>
      <c r="C1718" s="12"/>
      <c r="E1718" t="str">
        <f>IF(LEN(D1718)=0,"",[1]!i_pq_tradedays($B$3,A1719,A1718)-1)</f>
        <v/>
      </c>
      <c r="G1718" s="16" t="str">
        <f t="shared" si="70"/>
        <v/>
      </c>
      <c r="H1718" s="70" t="str">
        <f t="shared" si="71"/>
        <v/>
      </c>
    </row>
    <row r="1719" spans="1:8">
      <c r="A1719" s="2"/>
      <c r="B1719" s="12"/>
      <c r="C1719" s="12"/>
      <c r="E1719" t="str">
        <f>IF(LEN(D1719)=0,"",[1]!i_pq_tradedays($B$3,A1720,A1719)-1)</f>
        <v/>
      </c>
      <c r="G1719" s="16" t="str">
        <f t="shared" si="70"/>
        <v/>
      </c>
      <c r="H1719" s="70" t="str">
        <f t="shared" si="71"/>
        <v/>
      </c>
    </row>
    <row r="1720" spans="1:8">
      <c r="A1720" s="2"/>
      <c r="B1720" s="12"/>
      <c r="C1720" s="12"/>
      <c r="E1720" t="str">
        <f>IF(LEN(D1720)=0,"",[1]!i_pq_tradedays($B$3,A1721,A1720)-1)</f>
        <v/>
      </c>
      <c r="G1720" s="16" t="str">
        <f t="shared" si="70"/>
        <v/>
      </c>
      <c r="H1720" s="70" t="str">
        <f t="shared" si="71"/>
        <v/>
      </c>
    </row>
    <row r="1721" spans="1:8">
      <c r="A1721" s="2"/>
      <c r="B1721" s="12"/>
      <c r="C1721" s="12"/>
      <c r="E1721" t="str">
        <f>IF(LEN(D1721)=0,"",[1]!i_pq_tradedays($B$3,A1722,A1721)-1)</f>
        <v/>
      </c>
      <c r="G1721" s="16" t="str">
        <f t="shared" si="70"/>
        <v/>
      </c>
      <c r="H1721" s="70" t="str">
        <f t="shared" si="71"/>
        <v/>
      </c>
    </row>
    <row r="1722" spans="1:8">
      <c r="A1722" s="2"/>
      <c r="B1722" s="12"/>
      <c r="C1722" s="12"/>
      <c r="E1722" t="str">
        <f>IF(LEN(D1722)=0,"",[1]!i_pq_tradedays($B$3,A1723,A1722)-1)</f>
        <v/>
      </c>
      <c r="G1722" s="16" t="str">
        <f t="shared" si="70"/>
        <v/>
      </c>
      <c r="H1722" s="70" t="str">
        <f t="shared" si="71"/>
        <v/>
      </c>
    </row>
    <row r="1723" spans="1:8">
      <c r="A1723" s="2"/>
      <c r="B1723" s="12"/>
      <c r="C1723" s="12"/>
      <c r="E1723" t="str">
        <f>IF(LEN(D1723)=0,"",[1]!i_pq_tradedays($B$3,A1724,A1723)-1)</f>
        <v/>
      </c>
      <c r="G1723" s="16" t="str">
        <f t="shared" si="70"/>
        <v/>
      </c>
      <c r="H1723" s="70" t="str">
        <f t="shared" si="71"/>
        <v/>
      </c>
    </row>
    <row r="1724" spans="1:8">
      <c r="A1724" s="2"/>
      <c r="B1724" s="12"/>
      <c r="C1724" s="12"/>
      <c r="E1724" t="str">
        <f>IF(LEN(D1724)=0,"",[1]!i_pq_tradedays($B$3,A1725,A1724)-1)</f>
        <v/>
      </c>
      <c r="G1724" s="16" t="str">
        <f t="shared" si="70"/>
        <v/>
      </c>
      <c r="H1724" s="70" t="str">
        <f t="shared" si="71"/>
        <v/>
      </c>
    </row>
    <row r="1725" spans="1:8">
      <c r="A1725" s="2"/>
      <c r="B1725" s="12"/>
      <c r="C1725" s="12"/>
      <c r="E1725" t="str">
        <f>IF(LEN(D1725)=0,"",[1]!i_pq_tradedays($B$3,A1726,A1725)-1)</f>
        <v/>
      </c>
      <c r="G1725" s="16" t="str">
        <f t="shared" si="70"/>
        <v/>
      </c>
      <c r="H1725" s="70" t="str">
        <f t="shared" si="71"/>
        <v/>
      </c>
    </row>
    <row r="1726" spans="1:8">
      <c r="A1726" s="2"/>
      <c r="B1726" s="12"/>
      <c r="C1726" s="12"/>
      <c r="E1726" t="str">
        <f>IF(LEN(D1726)=0,"",[1]!i_pq_tradedays($B$3,A1727,A1726)-1)</f>
        <v/>
      </c>
      <c r="G1726" s="16" t="str">
        <f t="shared" si="70"/>
        <v/>
      </c>
      <c r="H1726" s="70" t="str">
        <f t="shared" si="71"/>
        <v/>
      </c>
    </row>
    <row r="1727" spans="1:8">
      <c r="A1727" s="2"/>
      <c r="B1727" s="12"/>
      <c r="C1727" s="12"/>
      <c r="E1727" t="str">
        <f>IF(LEN(D1727)=0,"",[1]!i_pq_tradedays($B$3,A1728,A1727)-1)</f>
        <v/>
      </c>
      <c r="G1727" s="16" t="str">
        <f t="shared" si="70"/>
        <v/>
      </c>
      <c r="H1727" s="70" t="str">
        <f t="shared" si="71"/>
        <v/>
      </c>
    </row>
    <row r="1728" spans="1:8">
      <c r="A1728" s="2"/>
      <c r="B1728" s="12"/>
      <c r="C1728" s="12"/>
      <c r="E1728" t="str">
        <f>IF(LEN(D1728)=0,"",[1]!i_pq_tradedays($B$3,A1729,A1728)-1)</f>
        <v/>
      </c>
      <c r="G1728" s="16" t="str">
        <f t="shared" si="70"/>
        <v/>
      </c>
      <c r="H1728" s="70" t="str">
        <f t="shared" si="71"/>
        <v/>
      </c>
    </row>
    <row r="1729" spans="1:8">
      <c r="A1729" s="2"/>
      <c r="B1729" s="12"/>
      <c r="C1729" s="12"/>
      <c r="E1729" t="str">
        <f>IF(LEN(D1729)=0,"",[1]!i_pq_tradedays($B$3,A1730,A1729)-1)</f>
        <v/>
      </c>
      <c r="G1729" s="16" t="str">
        <f t="shared" si="70"/>
        <v/>
      </c>
      <c r="H1729" s="70" t="str">
        <f t="shared" si="71"/>
        <v/>
      </c>
    </row>
    <row r="1730" spans="1:8">
      <c r="A1730" s="2"/>
      <c r="B1730" s="12"/>
      <c r="C1730" s="12"/>
      <c r="E1730" t="str">
        <f>IF(LEN(D1730)=0,"",[1]!i_pq_tradedays($B$3,A1731,A1730)-1)</f>
        <v/>
      </c>
      <c r="G1730" s="16" t="str">
        <f t="shared" si="70"/>
        <v/>
      </c>
      <c r="H1730" s="70" t="str">
        <f t="shared" si="71"/>
        <v/>
      </c>
    </row>
    <row r="1731" spans="1:8">
      <c r="A1731" s="2"/>
      <c r="B1731" s="12"/>
      <c r="C1731" s="12"/>
      <c r="E1731" t="str">
        <f>IF(LEN(D1731)=0,"",[1]!i_pq_tradedays($B$3,A1732,A1731)-1)</f>
        <v/>
      </c>
      <c r="G1731" s="16" t="str">
        <f t="shared" si="70"/>
        <v/>
      </c>
      <c r="H1731" s="70" t="str">
        <f t="shared" si="71"/>
        <v/>
      </c>
    </row>
    <row r="1732" spans="1:8">
      <c r="A1732" s="2"/>
      <c r="B1732" s="12"/>
      <c r="C1732" s="12"/>
      <c r="E1732" t="str">
        <f>IF(LEN(D1732)=0,"",[1]!i_pq_tradedays($B$3,A1733,A1732)-1)</f>
        <v/>
      </c>
      <c r="G1732" s="16" t="str">
        <f t="shared" si="70"/>
        <v/>
      </c>
      <c r="H1732" s="70" t="str">
        <f t="shared" si="71"/>
        <v/>
      </c>
    </row>
    <row r="1733" spans="1:8">
      <c r="A1733" s="2"/>
      <c r="B1733" s="12"/>
      <c r="C1733" s="12"/>
      <c r="E1733" t="str">
        <f>IF(LEN(D1733)=0,"",[1]!i_pq_tradedays($B$3,A1734,A1733)-1)</f>
        <v/>
      </c>
      <c r="G1733" s="16" t="str">
        <f t="shared" si="70"/>
        <v/>
      </c>
      <c r="H1733" s="70" t="str">
        <f t="shared" si="71"/>
        <v/>
      </c>
    </row>
    <row r="1734" spans="1:8">
      <c r="A1734" s="2"/>
      <c r="B1734" s="12"/>
      <c r="C1734" s="12"/>
      <c r="E1734" t="str">
        <f>IF(LEN(D1734)=0,"",[1]!i_pq_tradedays($B$3,A1735,A1734)-1)</f>
        <v/>
      </c>
      <c r="G1734" s="16" t="str">
        <f t="shared" si="70"/>
        <v/>
      </c>
      <c r="H1734" s="70" t="str">
        <f t="shared" si="71"/>
        <v/>
      </c>
    </row>
    <row r="1735" spans="1:8">
      <c r="A1735" s="2"/>
      <c r="B1735" s="12"/>
      <c r="C1735" s="12"/>
      <c r="E1735" t="str">
        <f>IF(LEN(D1735)=0,"",[1]!i_pq_tradedays($B$3,A1736,A1735)-1)</f>
        <v/>
      </c>
      <c r="G1735" s="16" t="str">
        <f t="shared" si="70"/>
        <v/>
      </c>
      <c r="H1735" s="70" t="str">
        <f t="shared" si="71"/>
        <v/>
      </c>
    </row>
    <row r="1736" spans="1:8">
      <c r="A1736" s="2"/>
      <c r="B1736" s="12"/>
      <c r="C1736" s="12"/>
      <c r="E1736" t="str">
        <f>IF(LEN(D1736)=0,"",[1]!i_pq_tradedays($B$3,A1737,A1736)-1)</f>
        <v/>
      </c>
      <c r="G1736" s="16" t="str">
        <f t="shared" si="70"/>
        <v/>
      </c>
      <c r="H1736" s="70" t="str">
        <f t="shared" si="71"/>
        <v/>
      </c>
    </row>
    <row r="1737" spans="1:8">
      <c r="A1737" s="2"/>
      <c r="B1737" s="12"/>
      <c r="C1737" s="12"/>
      <c r="E1737" t="str">
        <f>IF(LEN(D1737)=0,"",[1]!i_pq_tradedays($B$3,A1738,A1737)-1)</f>
        <v/>
      </c>
      <c r="G1737" s="16" t="str">
        <f t="shared" si="70"/>
        <v/>
      </c>
      <c r="H1737" s="70" t="str">
        <f t="shared" si="71"/>
        <v/>
      </c>
    </row>
    <row r="1738" spans="1:8">
      <c r="A1738" s="2"/>
      <c r="B1738" s="12"/>
      <c r="C1738" s="12"/>
      <c r="E1738" t="str">
        <f>IF(LEN(D1738)=0,"",[1]!i_pq_tradedays($B$3,A1739,A1738)-1)</f>
        <v/>
      </c>
      <c r="G1738" s="16" t="str">
        <f t="shared" si="70"/>
        <v/>
      </c>
      <c r="H1738" s="70" t="str">
        <f t="shared" si="71"/>
        <v/>
      </c>
    </row>
    <row r="1739" spans="1:8">
      <c r="A1739" s="2"/>
      <c r="B1739" s="12"/>
      <c r="C1739" s="12"/>
      <c r="E1739" t="str">
        <f>IF(LEN(D1739)=0,"",[1]!i_pq_tradedays($B$3,A1740,A1739)-1)</f>
        <v/>
      </c>
      <c r="G1739" s="16" t="str">
        <f t="shared" si="70"/>
        <v/>
      </c>
      <c r="H1739" s="70" t="str">
        <f t="shared" si="71"/>
        <v/>
      </c>
    </row>
    <row r="1740" spans="1:8">
      <c r="A1740" s="2"/>
      <c r="B1740" s="12"/>
      <c r="C1740" s="12"/>
      <c r="E1740" t="str">
        <f>IF(LEN(D1740)=0,"",[1]!i_pq_tradedays($B$3,A1741,A1740)-1)</f>
        <v/>
      </c>
      <c r="G1740" s="16" t="str">
        <f t="shared" si="70"/>
        <v/>
      </c>
      <c r="H1740" s="70" t="str">
        <f t="shared" si="71"/>
        <v/>
      </c>
    </row>
    <row r="1741" spans="1:8">
      <c r="A1741" s="2"/>
      <c r="B1741" s="12"/>
      <c r="C1741" s="12"/>
      <c r="E1741" t="str">
        <f>IF(LEN(D1741)=0,"",[1]!i_pq_tradedays($B$3,A1742,A1741)-1)</f>
        <v/>
      </c>
      <c r="G1741" s="16" t="str">
        <f t="shared" si="70"/>
        <v/>
      </c>
      <c r="H1741" s="70" t="str">
        <f t="shared" si="71"/>
        <v/>
      </c>
    </row>
    <row r="1742" spans="1:8">
      <c r="A1742" s="2"/>
      <c r="B1742" s="12"/>
      <c r="C1742" s="12"/>
      <c r="E1742" t="str">
        <f>IF(LEN(D1742)=0,"",[1]!i_pq_tradedays($B$3,A1743,A1742)-1)</f>
        <v/>
      </c>
      <c r="G1742" s="16" t="str">
        <f t="shared" si="70"/>
        <v/>
      </c>
      <c r="H1742" s="70" t="str">
        <f t="shared" si="71"/>
        <v/>
      </c>
    </row>
    <row r="1743" spans="1:8">
      <c r="A1743" s="2"/>
      <c r="B1743" s="12"/>
      <c r="C1743" s="12"/>
      <c r="E1743" t="str">
        <f>IF(LEN(D1743)=0,"",[1]!i_pq_tradedays($B$3,A1744,A1743)-1)</f>
        <v/>
      </c>
      <c r="G1743" s="16" t="str">
        <f t="shared" si="70"/>
        <v/>
      </c>
      <c r="H1743" s="70" t="str">
        <f t="shared" si="71"/>
        <v/>
      </c>
    </row>
    <row r="1744" spans="1:8">
      <c r="A1744" s="2"/>
      <c r="B1744" s="12"/>
      <c r="C1744" s="12"/>
      <c r="E1744" t="str">
        <f>IF(LEN(D1744)=0,"",[1]!i_pq_tradedays($B$3,A1745,A1744)-1)</f>
        <v/>
      </c>
      <c r="G1744" s="16" t="str">
        <f t="shared" si="70"/>
        <v/>
      </c>
      <c r="H1744" s="70" t="str">
        <f t="shared" si="71"/>
        <v/>
      </c>
    </row>
    <row r="1745" spans="1:8">
      <c r="A1745" s="2"/>
      <c r="B1745" s="12"/>
      <c r="C1745" s="12"/>
      <c r="E1745" t="str">
        <f>IF(LEN(D1745)=0,"",[1]!i_pq_tradedays($B$3,A1746,A1745)-1)</f>
        <v/>
      </c>
      <c r="G1745" s="16" t="str">
        <f t="shared" si="70"/>
        <v/>
      </c>
      <c r="H1745" s="70" t="str">
        <f t="shared" si="71"/>
        <v/>
      </c>
    </row>
    <row r="1746" spans="1:8">
      <c r="A1746" s="2"/>
      <c r="B1746" s="12"/>
      <c r="C1746" s="12"/>
      <c r="E1746" t="str">
        <f>IF(LEN(D1746)=0,"",[1]!i_pq_tradedays($B$3,A1747,A1746)-1)</f>
        <v/>
      </c>
      <c r="G1746" s="16" t="str">
        <f t="shared" si="70"/>
        <v/>
      </c>
      <c r="H1746" s="70" t="str">
        <f t="shared" si="71"/>
        <v/>
      </c>
    </row>
    <row r="1747" spans="1:8">
      <c r="A1747" s="2"/>
      <c r="B1747" s="12"/>
      <c r="C1747" s="12"/>
      <c r="E1747" t="str">
        <f>IF(LEN(D1747)=0,"",[1]!i_pq_tradedays($B$3,A1748,A1747)-1)</f>
        <v/>
      </c>
      <c r="G1747" s="16" t="str">
        <f t="shared" si="70"/>
        <v/>
      </c>
      <c r="H1747" s="70" t="str">
        <f t="shared" si="71"/>
        <v/>
      </c>
    </row>
    <row r="1748" spans="1:8">
      <c r="A1748" s="2"/>
      <c r="B1748" s="12"/>
      <c r="C1748" s="12"/>
      <c r="E1748" t="str">
        <f>IF(LEN(D1748)=0,"",[1]!i_pq_tradedays($B$3,A1749,A1748)-1)</f>
        <v/>
      </c>
      <c r="G1748" s="16" t="str">
        <f t="shared" si="70"/>
        <v/>
      </c>
      <c r="H1748" s="70" t="str">
        <f t="shared" si="71"/>
        <v/>
      </c>
    </row>
    <row r="1749" spans="1:8">
      <c r="A1749" s="2"/>
      <c r="B1749" s="12"/>
      <c r="C1749" s="12"/>
      <c r="E1749" t="str">
        <f>IF(LEN(D1749)=0,"",[1]!i_pq_tradedays($B$3,A1750,A1749)-1)</f>
        <v/>
      </c>
      <c r="G1749" s="16" t="str">
        <f t="shared" si="70"/>
        <v/>
      </c>
      <c r="H1749" s="70" t="str">
        <f t="shared" si="71"/>
        <v/>
      </c>
    </row>
    <row r="1750" spans="1:8">
      <c r="A1750" s="2"/>
      <c r="B1750" s="12"/>
      <c r="C1750" s="12"/>
      <c r="E1750" t="str">
        <f>IF(LEN(D1750)=0,"",[1]!i_pq_tradedays($B$3,A1751,A1750)-1)</f>
        <v/>
      </c>
      <c r="G1750" s="16" t="str">
        <f t="shared" si="70"/>
        <v/>
      </c>
      <c r="H1750" s="70" t="str">
        <f t="shared" si="71"/>
        <v/>
      </c>
    </row>
    <row r="1751" spans="1:8">
      <c r="A1751" s="2"/>
      <c r="B1751" s="12"/>
      <c r="C1751" s="12"/>
      <c r="E1751" t="str">
        <f>IF(LEN(D1751)=0,"",[1]!i_pq_tradedays($B$3,A1752,A1751)-1)</f>
        <v/>
      </c>
      <c r="G1751" s="16" t="str">
        <f t="shared" si="70"/>
        <v/>
      </c>
      <c r="H1751" s="70" t="str">
        <f t="shared" si="71"/>
        <v/>
      </c>
    </row>
    <row r="1752" spans="1:8">
      <c r="A1752" s="2"/>
      <c r="B1752" s="12"/>
      <c r="C1752" s="12"/>
      <c r="E1752" t="str">
        <f>IF(LEN(D1752)=0,"",[1]!i_pq_tradedays($B$3,A1753,A1752)-1)</f>
        <v/>
      </c>
      <c r="G1752" s="16" t="str">
        <f t="shared" si="70"/>
        <v/>
      </c>
      <c r="H1752" s="70" t="str">
        <f t="shared" si="71"/>
        <v/>
      </c>
    </row>
    <row r="1753" spans="1:8">
      <c r="A1753" s="2"/>
      <c r="B1753" s="12"/>
      <c r="C1753" s="12"/>
      <c r="E1753" t="str">
        <f>IF(LEN(D1753)=0,"",[1]!i_pq_tradedays($B$3,A1754,A1753)-1)</f>
        <v/>
      </c>
      <c r="G1753" s="16" t="str">
        <f t="shared" si="70"/>
        <v/>
      </c>
      <c r="H1753" s="70" t="str">
        <f t="shared" si="71"/>
        <v/>
      </c>
    </row>
    <row r="1754" spans="1:8">
      <c r="A1754" s="2"/>
      <c r="B1754" s="12"/>
      <c r="C1754" s="12"/>
      <c r="E1754" t="str">
        <f>IF(LEN(D1754)=0,"",[1]!i_pq_tradedays($B$3,A1755,A1754)-1)</f>
        <v/>
      </c>
      <c r="G1754" s="16" t="str">
        <f t="shared" si="70"/>
        <v/>
      </c>
      <c r="H1754" s="70" t="str">
        <f t="shared" si="71"/>
        <v/>
      </c>
    </row>
    <row r="1755" spans="1:8">
      <c r="A1755" s="2"/>
      <c r="B1755" s="12"/>
      <c r="C1755" s="12"/>
      <c r="E1755" t="str">
        <f>IF(LEN(D1755)=0,"",[1]!i_pq_tradedays($B$3,A1756,A1755)-1)</f>
        <v/>
      </c>
      <c r="G1755" s="16" t="str">
        <f t="shared" si="70"/>
        <v/>
      </c>
      <c r="H1755" s="70" t="str">
        <f t="shared" si="71"/>
        <v/>
      </c>
    </row>
    <row r="1756" spans="1:8">
      <c r="A1756" s="2"/>
      <c r="B1756" s="12"/>
      <c r="C1756" s="12"/>
      <c r="E1756" t="str">
        <f>IF(LEN(D1756)=0,"",[1]!i_pq_tradedays($B$3,A1757,A1756)-1)</f>
        <v/>
      </c>
      <c r="G1756" s="16" t="str">
        <f t="shared" si="70"/>
        <v/>
      </c>
      <c r="H1756" s="70" t="str">
        <f t="shared" si="71"/>
        <v/>
      </c>
    </row>
    <row r="1757" spans="1:8">
      <c r="A1757" s="2"/>
      <c r="B1757" s="12"/>
      <c r="C1757" s="12"/>
      <c r="E1757" t="str">
        <f>IF(LEN(D1757)=0,"",[1]!i_pq_tradedays($B$3,A1758,A1757)-1)</f>
        <v/>
      </c>
      <c r="G1757" s="16" t="str">
        <f t="shared" si="70"/>
        <v/>
      </c>
      <c r="H1757" s="70" t="str">
        <f t="shared" si="71"/>
        <v/>
      </c>
    </row>
    <row r="1758" spans="1:8">
      <c r="A1758" s="2"/>
      <c r="B1758" s="12"/>
      <c r="C1758" s="12"/>
      <c r="E1758" t="str">
        <f>IF(LEN(D1758)=0,"",[1]!i_pq_tradedays($B$3,A1759,A1758)-1)</f>
        <v/>
      </c>
      <c r="G1758" s="16" t="str">
        <f t="shared" si="70"/>
        <v/>
      </c>
      <c r="H1758" s="70" t="str">
        <f t="shared" si="71"/>
        <v/>
      </c>
    </row>
    <row r="1759" spans="1:8">
      <c r="A1759" s="2"/>
      <c r="B1759" s="12"/>
      <c r="C1759" s="12"/>
      <c r="E1759" t="str">
        <f>IF(LEN(D1759)=0,"",[1]!i_pq_tradedays($B$3,A1760,A1759)-1)</f>
        <v/>
      </c>
      <c r="G1759" s="16" t="str">
        <f t="shared" si="70"/>
        <v/>
      </c>
      <c r="H1759" s="70" t="str">
        <f t="shared" si="71"/>
        <v/>
      </c>
    </row>
    <row r="1760" spans="1:8">
      <c r="A1760" s="2"/>
      <c r="B1760" s="12"/>
      <c r="C1760" s="12"/>
      <c r="E1760" t="str">
        <f>IF(LEN(D1760)=0,"",[1]!i_pq_tradedays($B$3,A1761,A1760)-1)</f>
        <v/>
      </c>
      <c r="G1760" s="16" t="str">
        <f t="shared" si="70"/>
        <v/>
      </c>
      <c r="H1760" s="70" t="str">
        <f t="shared" si="71"/>
        <v/>
      </c>
    </row>
    <row r="1761" spans="1:8">
      <c r="A1761" s="2"/>
      <c r="B1761" s="12"/>
      <c r="C1761" s="12"/>
      <c r="E1761" t="str">
        <f>IF(LEN(D1761)=0,"",[1]!i_pq_tradedays($B$3,A1762,A1761)-1)</f>
        <v/>
      </c>
      <c r="G1761" s="16" t="str">
        <f t="shared" si="70"/>
        <v/>
      </c>
      <c r="H1761" s="70" t="str">
        <f t="shared" si="71"/>
        <v/>
      </c>
    </row>
    <row r="1762" spans="1:8">
      <c r="A1762" s="2"/>
      <c r="B1762" s="12"/>
      <c r="C1762" s="12"/>
      <c r="E1762" t="str">
        <f>IF(LEN(D1762)=0,"",[1]!i_pq_tradedays($B$3,A1763,A1762)-1)</f>
        <v/>
      </c>
      <c r="G1762" s="16" t="str">
        <f t="shared" si="70"/>
        <v/>
      </c>
      <c r="H1762" s="70" t="str">
        <f t="shared" si="71"/>
        <v/>
      </c>
    </row>
    <row r="1763" spans="1:8">
      <c r="A1763" s="2"/>
      <c r="B1763" s="12"/>
      <c r="C1763" s="12"/>
      <c r="E1763" t="str">
        <f>IF(LEN(D1763)=0,"",[1]!i_pq_tradedays($B$3,A1764,A1763)-1)</f>
        <v/>
      </c>
      <c r="G1763" s="16" t="str">
        <f t="shared" si="70"/>
        <v/>
      </c>
      <c r="H1763" s="70" t="str">
        <f t="shared" si="71"/>
        <v/>
      </c>
    </row>
    <row r="1764" spans="1:8">
      <c r="A1764" s="2"/>
      <c r="B1764" s="12"/>
      <c r="C1764" s="12"/>
      <c r="E1764" t="str">
        <f>IF(LEN(D1764)=0,"",[1]!i_pq_tradedays($B$3,A1765,A1764)-1)</f>
        <v/>
      </c>
      <c r="G1764" s="16" t="str">
        <f t="shared" si="70"/>
        <v/>
      </c>
      <c r="H1764" s="70" t="str">
        <f t="shared" si="71"/>
        <v/>
      </c>
    </row>
    <row r="1765" spans="1:8">
      <c r="A1765" s="2"/>
      <c r="B1765" s="12"/>
      <c r="C1765" s="12"/>
      <c r="E1765" t="str">
        <f>IF(LEN(D1765)=0,"",[1]!i_pq_tradedays($B$3,A1766,A1765)-1)</f>
        <v/>
      </c>
      <c r="G1765" s="16" t="str">
        <f t="shared" si="70"/>
        <v/>
      </c>
      <c r="H1765" s="70" t="str">
        <f t="shared" si="71"/>
        <v/>
      </c>
    </row>
    <row r="1766" spans="1:8">
      <c r="A1766" s="2"/>
      <c r="B1766" s="12"/>
      <c r="C1766" s="12"/>
      <c r="E1766" t="str">
        <f>IF(LEN(D1766)=0,"",[1]!i_pq_tradedays($B$3,A1767,A1766)-1)</f>
        <v/>
      </c>
      <c r="G1766" s="16" t="str">
        <f t="shared" si="70"/>
        <v/>
      </c>
      <c r="H1766" s="70" t="str">
        <f t="shared" si="71"/>
        <v/>
      </c>
    </row>
    <row r="1767" spans="1:8">
      <c r="A1767" s="2"/>
      <c r="B1767" s="12"/>
      <c r="C1767" s="12"/>
      <c r="E1767" t="str">
        <f>IF(LEN(D1767)=0,"",[1]!i_pq_tradedays($B$3,A1768,A1767)-1)</f>
        <v/>
      </c>
      <c r="G1767" s="16" t="str">
        <f t="shared" si="70"/>
        <v/>
      </c>
      <c r="H1767" s="70" t="str">
        <f t="shared" si="71"/>
        <v/>
      </c>
    </row>
    <row r="1768" spans="1:8">
      <c r="A1768" s="2"/>
      <c r="B1768" s="12"/>
      <c r="C1768" s="12"/>
      <c r="E1768" t="str">
        <f>IF(LEN(D1768)=0,"",[1]!i_pq_tradedays($B$3,A1769,A1768)-1)</f>
        <v/>
      </c>
      <c r="G1768" s="16" t="str">
        <f t="shared" si="70"/>
        <v/>
      </c>
      <c r="H1768" s="70" t="str">
        <f t="shared" si="71"/>
        <v/>
      </c>
    </row>
    <row r="1769" spans="1:8">
      <c r="A1769" s="2"/>
      <c r="B1769" s="12"/>
      <c r="C1769" s="12"/>
      <c r="E1769" t="str">
        <f>IF(LEN(D1769)=0,"",[1]!i_pq_tradedays($B$3,A1770,A1769)-1)</f>
        <v/>
      </c>
      <c r="G1769" s="16" t="str">
        <f t="shared" si="70"/>
        <v/>
      </c>
      <c r="H1769" s="70" t="str">
        <f t="shared" si="71"/>
        <v/>
      </c>
    </row>
    <row r="1770" spans="1:8">
      <c r="A1770" s="2"/>
      <c r="B1770" s="12"/>
      <c r="C1770" s="12"/>
      <c r="E1770" t="str">
        <f>IF(LEN(D1770)=0,"",[1]!i_pq_tradedays($B$3,A1771,A1770)-1)</f>
        <v/>
      </c>
      <c r="G1770" s="16" t="str">
        <f t="shared" si="70"/>
        <v/>
      </c>
      <c r="H1770" s="70" t="str">
        <f t="shared" si="71"/>
        <v/>
      </c>
    </row>
    <row r="1771" spans="1:8">
      <c r="A1771" s="2"/>
      <c r="B1771" s="12"/>
      <c r="C1771" s="12"/>
      <c r="E1771" t="str">
        <f>IF(LEN(D1771)=0,"",[1]!i_pq_tradedays($B$3,A1772,A1771)-1)</f>
        <v/>
      </c>
      <c r="G1771" s="16" t="str">
        <f t="shared" si="70"/>
        <v/>
      </c>
      <c r="H1771" s="70" t="str">
        <f t="shared" si="71"/>
        <v/>
      </c>
    </row>
    <row r="1772" spans="1:8">
      <c r="A1772" s="2"/>
      <c r="B1772" s="12"/>
      <c r="C1772" s="12"/>
      <c r="E1772" t="str">
        <f>IF(LEN(D1772)=0,"",[1]!i_pq_tradedays($B$3,A1773,A1772)-1)</f>
        <v/>
      </c>
      <c r="G1772" s="16" t="str">
        <f t="shared" si="70"/>
        <v/>
      </c>
      <c r="H1772" s="70" t="str">
        <f t="shared" si="71"/>
        <v/>
      </c>
    </row>
    <row r="1773" spans="1:8">
      <c r="A1773" s="2"/>
      <c r="B1773" s="12"/>
      <c r="C1773" s="12"/>
      <c r="E1773" t="str">
        <f>IF(LEN(D1773)=0,"",[1]!i_pq_tradedays($B$3,A1774,A1773)-1)</f>
        <v/>
      </c>
      <c r="G1773" s="16" t="str">
        <f t="shared" si="70"/>
        <v/>
      </c>
      <c r="H1773" s="70" t="str">
        <f t="shared" si="71"/>
        <v/>
      </c>
    </row>
    <row r="1774" spans="1:8">
      <c r="A1774" s="2"/>
      <c r="B1774" s="12"/>
      <c r="C1774" s="12"/>
      <c r="E1774" t="str">
        <f>IF(LEN(D1774)=0,"",[1]!i_pq_tradedays($B$3,A1775,A1774)-1)</f>
        <v/>
      </c>
      <c r="G1774" s="16" t="str">
        <f t="shared" si="70"/>
        <v/>
      </c>
      <c r="H1774" s="70" t="str">
        <f t="shared" si="71"/>
        <v/>
      </c>
    </row>
    <row r="1775" spans="1:8">
      <c r="A1775" s="2"/>
      <c r="B1775" s="12"/>
      <c r="C1775" s="12"/>
      <c r="E1775" t="str">
        <f>IF(LEN(D1775)=0,"",[1]!i_pq_tradedays($B$3,A1776,A1775)-1)</f>
        <v/>
      </c>
      <c r="G1775" s="16" t="str">
        <f t="shared" si="70"/>
        <v/>
      </c>
      <c r="H1775" s="70" t="str">
        <f t="shared" si="71"/>
        <v/>
      </c>
    </row>
    <row r="1776" spans="1:8">
      <c r="A1776" s="2"/>
      <c r="B1776" s="12"/>
      <c r="C1776" s="12"/>
      <c r="E1776" t="str">
        <f>IF(LEN(D1776)=0,"",[1]!i_pq_tradedays($B$3,A1777,A1776)-1)</f>
        <v/>
      </c>
      <c r="G1776" s="16" t="str">
        <f t="shared" si="70"/>
        <v/>
      </c>
      <c r="H1776" s="70" t="str">
        <f t="shared" si="71"/>
        <v/>
      </c>
    </row>
    <row r="1777" spans="1:8">
      <c r="A1777" s="2"/>
      <c r="B1777" s="12"/>
      <c r="C1777" s="12"/>
      <c r="E1777" t="str">
        <f>IF(LEN(D1777)=0,"",[1]!i_pq_tradedays($B$3,A1778,A1777)-1)</f>
        <v/>
      </c>
      <c r="G1777" s="16" t="str">
        <f t="shared" si="70"/>
        <v/>
      </c>
      <c r="H1777" s="70" t="str">
        <f t="shared" si="71"/>
        <v/>
      </c>
    </row>
    <row r="1778" spans="1:8">
      <c r="A1778" s="2"/>
      <c r="B1778" s="12"/>
      <c r="C1778" s="12"/>
      <c r="E1778" t="str">
        <f>IF(LEN(D1778)=0,"",[1]!i_pq_tradedays($B$3,A1779,A1778)-1)</f>
        <v/>
      </c>
      <c r="G1778" s="16" t="str">
        <f t="shared" si="70"/>
        <v/>
      </c>
      <c r="H1778" s="70" t="str">
        <f t="shared" si="71"/>
        <v/>
      </c>
    </row>
    <row r="1779" spans="1:8">
      <c r="A1779" s="2"/>
      <c r="B1779" s="12"/>
      <c r="C1779" s="12"/>
      <c r="E1779" t="str">
        <f>IF(LEN(D1779)=0,"",[1]!i_pq_tradedays($B$3,A1780,A1779)-1)</f>
        <v/>
      </c>
      <c r="G1779" s="16" t="str">
        <f t="shared" si="70"/>
        <v/>
      </c>
      <c r="H1779" s="70" t="str">
        <f t="shared" si="71"/>
        <v/>
      </c>
    </row>
    <row r="1780" spans="1:8">
      <c r="A1780" s="2"/>
      <c r="B1780" s="12"/>
      <c r="C1780" s="12"/>
      <c r="E1780" t="str">
        <f>IF(LEN(D1780)=0,"",[1]!i_pq_tradedays($B$3,A1781,A1780)-1)</f>
        <v/>
      </c>
      <c r="G1780" s="16" t="str">
        <f t="shared" si="70"/>
        <v/>
      </c>
      <c r="H1780" s="70" t="str">
        <f t="shared" si="71"/>
        <v/>
      </c>
    </row>
    <row r="1781" spans="1:8">
      <c r="A1781" s="2"/>
      <c r="B1781" s="12"/>
      <c r="C1781" s="12"/>
      <c r="E1781" t="str">
        <f>IF(LEN(D1781)=0,"",[1]!i_pq_tradedays($B$3,A1782,A1781)-1)</f>
        <v/>
      </c>
      <c r="G1781" s="16" t="str">
        <f t="shared" ref="G1781:G1844" si="72">IF(LEN(D1781)=0,"",D1781/E1781)</f>
        <v/>
      </c>
      <c r="H1781" s="70" t="str">
        <f t="shared" ref="H1781:H1844" si="73">IF(LEN(D1781)=0,"",G1781/G1782-1)</f>
        <v/>
      </c>
    </row>
    <row r="1782" spans="1:8">
      <c r="A1782" s="2"/>
      <c r="B1782" s="12"/>
      <c r="C1782" s="12"/>
      <c r="E1782" t="str">
        <f>IF(LEN(D1782)=0,"",[1]!i_pq_tradedays($B$3,A1783,A1782)-1)</f>
        <v/>
      </c>
      <c r="G1782" s="16" t="str">
        <f t="shared" si="72"/>
        <v/>
      </c>
      <c r="H1782" s="70" t="str">
        <f t="shared" si="73"/>
        <v/>
      </c>
    </row>
    <row r="1783" spans="1:8">
      <c r="A1783" s="2"/>
      <c r="B1783" s="12"/>
      <c r="C1783" s="12"/>
      <c r="E1783" t="str">
        <f>IF(LEN(D1783)=0,"",[1]!i_pq_tradedays($B$3,A1784,A1783)-1)</f>
        <v/>
      </c>
      <c r="G1783" s="16" t="str">
        <f t="shared" si="72"/>
        <v/>
      </c>
      <c r="H1783" s="70" t="str">
        <f t="shared" si="73"/>
        <v/>
      </c>
    </row>
    <row r="1784" spans="1:8">
      <c r="A1784" s="2"/>
      <c r="B1784" s="12"/>
      <c r="C1784" s="12"/>
      <c r="E1784" t="str">
        <f>IF(LEN(D1784)=0,"",[1]!i_pq_tradedays($B$3,A1785,A1784)-1)</f>
        <v/>
      </c>
      <c r="G1784" s="16" t="str">
        <f t="shared" si="72"/>
        <v/>
      </c>
      <c r="H1784" s="70" t="str">
        <f t="shared" si="73"/>
        <v/>
      </c>
    </row>
    <row r="1785" spans="1:8">
      <c r="A1785" s="2"/>
      <c r="B1785" s="12"/>
      <c r="C1785" s="12"/>
      <c r="E1785" t="str">
        <f>IF(LEN(D1785)=0,"",[1]!i_pq_tradedays($B$3,A1786,A1785)-1)</f>
        <v/>
      </c>
      <c r="G1785" s="16" t="str">
        <f t="shared" si="72"/>
        <v/>
      </c>
      <c r="H1785" s="70" t="str">
        <f t="shared" si="73"/>
        <v/>
      </c>
    </row>
    <row r="1786" spans="1:8">
      <c r="A1786" s="2"/>
      <c r="B1786" s="12"/>
      <c r="C1786" s="12"/>
      <c r="E1786" t="str">
        <f>IF(LEN(D1786)=0,"",[1]!i_pq_tradedays($B$3,A1787,A1786)-1)</f>
        <v/>
      </c>
      <c r="G1786" s="16" t="str">
        <f t="shared" si="72"/>
        <v/>
      </c>
      <c r="H1786" s="70" t="str">
        <f t="shared" si="73"/>
        <v/>
      </c>
    </row>
    <row r="1787" spans="1:8">
      <c r="A1787" s="2"/>
      <c r="B1787" s="12"/>
      <c r="C1787" s="12"/>
      <c r="E1787" t="str">
        <f>IF(LEN(D1787)=0,"",[1]!i_pq_tradedays($B$3,A1788,A1787)-1)</f>
        <v/>
      </c>
      <c r="G1787" s="16" t="str">
        <f t="shared" si="72"/>
        <v/>
      </c>
      <c r="H1787" s="70" t="str">
        <f t="shared" si="73"/>
        <v/>
      </c>
    </row>
    <row r="1788" spans="1:8">
      <c r="A1788" s="2"/>
      <c r="B1788" s="12"/>
      <c r="C1788" s="12"/>
      <c r="E1788" t="str">
        <f>IF(LEN(D1788)=0,"",[1]!i_pq_tradedays($B$3,A1789,A1788)-1)</f>
        <v/>
      </c>
      <c r="G1788" s="16" t="str">
        <f t="shared" si="72"/>
        <v/>
      </c>
      <c r="H1788" s="70" t="str">
        <f t="shared" si="73"/>
        <v/>
      </c>
    </row>
    <row r="1789" spans="1:8">
      <c r="A1789" s="2"/>
      <c r="B1789" s="12"/>
      <c r="C1789" s="12"/>
      <c r="E1789" t="str">
        <f>IF(LEN(D1789)=0,"",[1]!i_pq_tradedays($B$3,A1790,A1789)-1)</f>
        <v/>
      </c>
      <c r="G1789" s="16" t="str">
        <f t="shared" si="72"/>
        <v/>
      </c>
      <c r="H1789" s="70" t="str">
        <f t="shared" si="73"/>
        <v/>
      </c>
    </row>
    <row r="1790" spans="1:8">
      <c r="A1790" s="2"/>
      <c r="B1790" s="12"/>
      <c r="C1790" s="12"/>
      <c r="E1790" t="str">
        <f>IF(LEN(D1790)=0,"",[1]!i_pq_tradedays($B$3,A1791,A1790)-1)</f>
        <v/>
      </c>
      <c r="G1790" s="16" t="str">
        <f t="shared" si="72"/>
        <v/>
      </c>
      <c r="H1790" s="70" t="str">
        <f t="shared" si="73"/>
        <v/>
      </c>
    </row>
    <row r="1791" spans="1:8">
      <c r="A1791" s="2"/>
      <c r="B1791" s="12"/>
      <c r="C1791" s="12"/>
      <c r="E1791" t="str">
        <f>IF(LEN(D1791)=0,"",[1]!i_pq_tradedays($B$3,A1792,A1791)-1)</f>
        <v/>
      </c>
      <c r="G1791" s="16" t="str">
        <f t="shared" si="72"/>
        <v/>
      </c>
      <c r="H1791" s="70" t="str">
        <f t="shared" si="73"/>
        <v/>
      </c>
    </row>
    <row r="1792" spans="1:8">
      <c r="A1792" s="2"/>
      <c r="B1792" s="12"/>
      <c r="C1792" s="12"/>
      <c r="E1792" t="str">
        <f>IF(LEN(D1792)=0,"",[1]!i_pq_tradedays($B$3,A1793,A1792)-1)</f>
        <v/>
      </c>
      <c r="G1792" s="16" t="str">
        <f t="shared" si="72"/>
        <v/>
      </c>
      <c r="H1792" s="70" t="str">
        <f t="shared" si="73"/>
        <v/>
      </c>
    </row>
    <row r="1793" spans="1:8">
      <c r="A1793" s="2"/>
      <c r="B1793" s="12"/>
      <c r="C1793" s="12"/>
      <c r="E1793" t="str">
        <f>IF(LEN(D1793)=0,"",[1]!i_pq_tradedays($B$3,A1794,A1793)-1)</f>
        <v/>
      </c>
      <c r="G1793" s="16" t="str">
        <f t="shared" si="72"/>
        <v/>
      </c>
      <c r="H1793" s="70" t="str">
        <f t="shared" si="73"/>
        <v/>
      </c>
    </row>
    <row r="1794" spans="1:8">
      <c r="A1794" s="2"/>
      <c r="B1794" s="12"/>
      <c r="C1794" s="12"/>
      <c r="E1794" t="str">
        <f>IF(LEN(D1794)=0,"",[1]!i_pq_tradedays($B$3,A1795,A1794)-1)</f>
        <v/>
      </c>
      <c r="G1794" s="16" t="str">
        <f t="shared" si="72"/>
        <v/>
      </c>
      <c r="H1794" s="70" t="str">
        <f t="shared" si="73"/>
        <v/>
      </c>
    </row>
    <row r="1795" spans="1:8">
      <c r="A1795" s="2"/>
      <c r="B1795" s="12"/>
      <c r="C1795" s="12"/>
      <c r="E1795" t="str">
        <f>IF(LEN(D1795)=0,"",[1]!i_pq_tradedays($B$3,A1796,A1795)-1)</f>
        <v/>
      </c>
      <c r="G1795" s="16" t="str">
        <f t="shared" si="72"/>
        <v/>
      </c>
      <c r="H1795" s="70" t="str">
        <f t="shared" si="73"/>
        <v/>
      </c>
    </row>
    <row r="1796" spans="1:8">
      <c r="A1796" s="2"/>
      <c r="B1796" s="12"/>
      <c r="C1796" s="12"/>
      <c r="E1796" t="str">
        <f>IF(LEN(D1796)=0,"",[1]!i_pq_tradedays($B$3,A1797,A1796)-1)</f>
        <v/>
      </c>
      <c r="G1796" s="16" t="str">
        <f t="shared" si="72"/>
        <v/>
      </c>
      <c r="H1796" s="70" t="str">
        <f t="shared" si="73"/>
        <v/>
      </c>
    </row>
    <row r="1797" spans="1:8">
      <c r="A1797" s="2"/>
      <c r="B1797" s="12"/>
      <c r="C1797" s="12"/>
      <c r="E1797" t="str">
        <f>IF(LEN(D1797)=0,"",[1]!i_pq_tradedays($B$3,A1798,A1797)-1)</f>
        <v/>
      </c>
      <c r="G1797" s="16" t="str">
        <f t="shared" si="72"/>
        <v/>
      </c>
      <c r="H1797" s="70" t="str">
        <f t="shared" si="73"/>
        <v/>
      </c>
    </row>
    <row r="1798" spans="1:8">
      <c r="A1798" s="2"/>
      <c r="B1798" s="12"/>
      <c r="C1798" s="12"/>
      <c r="E1798" t="str">
        <f>IF(LEN(D1798)=0,"",[1]!i_pq_tradedays($B$3,A1799,A1798)-1)</f>
        <v/>
      </c>
      <c r="G1798" s="16" t="str">
        <f t="shared" si="72"/>
        <v/>
      </c>
      <c r="H1798" s="70" t="str">
        <f t="shared" si="73"/>
        <v/>
      </c>
    </row>
    <row r="1799" spans="1:8">
      <c r="A1799" s="2"/>
      <c r="B1799" s="12"/>
      <c r="C1799" s="12"/>
      <c r="E1799" t="str">
        <f>IF(LEN(D1799)=0,"",[1]!i_pq_tradedays($B$3,A1800,A1799)-1)</f>
        <v/>
      </c>
      <c r="G1799" s="16" t="str">
        <f t="shared" si="72"/>
        <v/>
      </c>
      <c r="H1799" s="70" t="str">
        <f t="shared" si="73"/>
        <v/>
      </c>
    </row>
    <row r="1800" spans="1:8">
      <c r="A1800" s="2"/>
      <c r="B1800" s="12"/>
      <c r="C1800" s="12"/>
      <c r="E1800" t="str">
        <f>IF(LEN(D1800)=0,"",[1]!i_pq_tradedays($B$3,A1801,A1800)-1)</f>
        <v/>
      </c>
      <c r="G1800" s="16" t="str">
        <f t="shared" si="72"/>
        <v/>
      </c>
      <c r="H1800" s="70" t="str">
        <f t="shared" si="73"/>
        <v/>
      </c>
    </row>
    <row r="1801" spans="1:8">
      <c r="A1801" s="2"/>
      <c r="B1801" s="12"/>
      <c r="C1801" s="12"/>
      <c r="E1801" t="str">
        <f>IF(LEN(D1801)=0,"",[1]!i_pq_tradedays($B$3,A1802,A1801)-1)</f>
        <v/>
      </c>
      <c r="G1801" s="16" t="str">
        <f t="shared" si="72"/>
        <v/>
      </c>
      <c r="H1801" s="70" t="str">
        <f t="shared" si="73"/>
        <v/>
      </c>
    </row>
    <row r="1802" spans="1:8">
      <c r="A1802" s="2"/>
      <c r="B1802" s="12"/>
      <c r="C1802" s="12"/>
      <c r="E1802" t="str">
        <f>IF(LEN(D1802)=0,"",[1]!i_pq_tradedays($B$3,A1803,A1802)-1)</f>
        <v/>
      </c>
      <c r="G1802" s="16" t="str">
        <f t="shared" si="72"/>
        <v/>
      </c>
      <c r="H1802" s="70" t="str">
        <f t="shared" si="73"/>
        <v/>
      </c>
    </row>
    <row r="1803" spans="1:8">
      <c r="A1803" s="2"/>
      <c r="B1803" s="12"/>
      <c r="C1803" s="12"/>
      <c r="E1803" t="str">
        <f>IF(LEN(D1803)=0,"",[1]!i_pq_tradedays($B$3,A1804,A1803)-1)</f>
        <v/>
      </c>
      <c r="G1803" s="16" t="str">
        <f t="shared" si="72"/>
        <v/>
      </c>
      <c r="H1803" s="70" t="str">
        <f t="shared" si="73"/>
        <v/>
      </c>
    </row>
    <row r="1804" spans="1:8">
      <c r="A1804" s="2"/>
      <c r="B1804" s="12"/>
      <c r="C1804" s="12"/>
      <c r="E1804" t="str">
        <f>IF(LEN(D1804)=0,"",[1]!i_pq_tradedays($B$3,A1805,A1804)-1)</f>
        <v/>
      </c>
      <c r="G1804" s="16" t="str">
        <f t="shared" si="72"/>
        <v/>
      </c>
      <c r="H1804" s="70" t="str">
        <f t="shared" si="73"/>
        <v/>
      </c>
    </row>
    <row r="1805" spans="1:8">
      <c r="A1805" s="2"/>
      <c r="B1805" s="12"/>
      <c r="C1805" s="12"/>
      <c r="E1805" t="str">
        <f>IF(LEN(D1805)=0,"",[1]!i_pq_tradedays($B$3,A1806,A1805)-1)</f>
        <v/>
      </c>
      <c r="G1805" s="16" t="str">
        <f t="shared" si="72"/>
        <v/>
      </c>
      <c r="H1805" s="70" t="str">
        <f t="shared" si="73"/>
        <v/>
      </c>
    </row>
    <row r="1806" spans="1:8">
      <c r="A1806" s="2"/>
      <c r="B1806" s="12"/>
      <c r="C1806" s="12"/>
      <c r="E1806" t="str">
        <f>IF(LEN(D1806)=0,"",[1]!i_pq_tradedays($B$3,A1807,A1806)-1)</f>
        <v/>
      </c>
      <c r="G1806" s="16" t="str">
        <f t="shared" si="72"/>
        <v/>
      </c>
      <c r="H1806" s="70" t="str">
        <f t="shared" si="73"/>
        <v/>
      </c>
    </row>
    <row r="1807" spans="1:8">
      <c r="A1807" s="2"/>
      <c r="B1807" s="12"/>
      <c r="C1807" s="12"/>
      <c r="E1807" t="str">
        <f>IF(LEN(D1807)=0,"",[1]!i_pq_tradedays($B$3,A1808,A1807)-1)</f>
        <v/>
      </c>
      <c r="G1807" s="16" t="str">
        <f t="shared" si="72"/>
        <v/>
      </c>
      <c r="H1807" s="70" t="str">
        <f t="shared" si="73"/>
        <v/>
      </c>
    </row>
    <row r="1808" spans="1:8">
      <c r="A1808" s="2"/>
      <c r="B1808" s="12"/>
      <c r="C1808" s="12"/>
      <c r="E1808" t="str">
        <f>IF(LEN(D1808)=0,"",[1]!i_pq_tradedays($B$3,A1809,A1808)-1)</f>
        <v/>
      </c>
      <c r="G1808" s="16" t="str">
        <f t="shared" si="72"/>
        <v/>
      </c>
      <c r="H1808" s="70" t="str">
        <f t="shared" si="73"/>
        <v/>
      </c>
    </row>
    <row r="1809" spans="1:8">
      <c r="A1809" s="2"/>
      <c r="B1809" s="12"/>
      <c r="C1809" s="12"/>
      <c r="E1809" t="str">
        <f>IF(LEN(D1809)=0,"",[1]!i_pq_tradedays($B$3,A1810,A1809)-1)</f>
        <v/>
      </c>
      <c r="G1809" s="16" t="str">
        <f t="shared" si="72"/>
        <v/>
      </c>
      <c r="H1809" s="70" t="str">
        <f t="shared" si="73"/>
        <v/>
      </c>
    </row>
    <row r="1810" spans="1:8">
      <c r="A1810" s="2"/>
      <c r="B1810" s="12"/>
      <c r="C1810" s="12"/>
      <c r="E1810" t="str">
        <f>IF(LEN(D1810)=0,"",[1]!i_pq_tradedays($B$3,A1811,A1810)-1)</f>
        <v/>
      </c>
      <c r="G1810" s="16" t="str">
        <f t="shared" si="72"/>
        <v/>
      </c>
      <c r="H1810" s="70" t="str">
        <f t="shared" si="73"/>
        <v/>
      </c>
    </row>
    <row r="1811" spans="1:8">
      <c r="A1811" s="2"/>
      <c r="B1811" s="12"/>
      <c r="C1811" s="12"/>
      <c r="E1811" t="str">
        <f>IF(LEN(D1811)=0,"",[1]!i_pq_tradedays($B$3,A1812,A1811)-1)</f>
        <v/>
      </c>
      <c r="G1811" s="16" t="str">
        <f t="shared" si="72"/>
        <v/>
      </c>
      <c r="H1811" s="70" t="str">
        <f t="shared" si="73"/>
        <v/>
      </c>
    </row>
    <row r="1812" spans="1:8">
      <c r="A1812" s="2"/>
      <c r="B1812" s="12"/>
      <c r="C1812" s="12"/>
      <c r="E1812" t="str">
        <f>IF(LEN(D1812)=0,"",[1]!i_pq_tradedays($B$3,A1813,A1812)-1)</f>
        <v/>
      </c>
      <c r="G1812" s="16" t="str">
        <f t="shared" si="72"/>
        <v/>
      </c>
      <c r="H1812" s="70" t="str">
        <f t="shared" si="73"/>
        <v/>
      </c>
    </row>
    <row r="1813" spans="1:8">
      <c r="A1813" s="2"/>
      <c r="B1813" s="12"/>
      <c r="C1813" s="12"/>
      <c r="E1813" t="str">
        <f>IF(LEN(D1813)=0,"",[1]!i_pq_tradedays($B$3,A1814,A1813)-1)</f>
        <v/>
      </c>
      <c r="G1813" s="16" t="str">
        <f t="shared" si="72"/>
        <v/>
      </c>
      <c r="H1813" s="70" t="str">
        <f t="shared" si="73"/>
        <v/>
      </c>
    </row>
    <row r="1814" spans="1:8">
      <c r="A1814" s="2"/>
      <c r="B1814" s="12"/>
      <c r="C1814" s="12"/>
      <c r="E1814" t="str">
        <f>IF(LEN(D1814)=0,"",[1]!i_pq_tradedays($B$3,A1815,A1814)-1)</f>
        <v/>
      </c>
      <c r="G1814" s="16" t="str">
        <f t="shared" si="72"/>
        <v/>
      </c>
      <c r="H1814" s="70" t="str">
        <f t="shared" si="73"/>
        <v/>
      </c>
    </row>
    <row r="1815" spans="1:8">
      <c r="A1815" s="2"/>
      <c r="B1815" s="12"/>
      <c r="C1815" s="12"/>
      <c r="E1815" t="str">
        <f>IF(LEN(D1815)=0,"",[1]!i_pq_tradedays($B$3,A1816,A1815)-1)</f>
        <v/>
      </c>
      <c r="G1815" s="16" t="str">
        <f t="shared" si="72"/>
        <v/>
      </c>
      <c r="H1815" s="70" t="str">
        <f t="shared" si="73"/>
        <v/>
      </c>
    </row>
    <row r="1816" spans="1:8">
      <c r="A1816" s="2"/>
      <c r="B1816" s="12"/>
      <c r="C1816" s="12"/>
      <c r="E1816" t="str">
        <f>IF(LEN(D1816)=0,"",[1]!i_pq_tradedays($B$3,A1817,A1816)-1)</f>
        <v/>
      </c>
      <c r="G1816" s="16" t="str">
        <f t="shared" si="72"/>
        <v/>
      </c>
      <c r="H1816" s="70" t="str">
        <f t="shared" si="73"/>
        <v/>
      </c>
    </row>
    <row r="1817" spans="1:8">
      <c r="A1817" s="2"/>
      <c r="B1817" s="12"/>
      <c r="C1817" s="12"/>
      <c r="E1817" t="str">
        <f>IF(LEN(D1817)=0,"",[1]!i_pq_tradedays($B$3,A1818,A1817)-1)</f>
        <v/>
      </c>
      <c r="G1817" s="16" t="str">
        <f t="shared" si="72"/>
        <v/>
      </c>
      <c r="H1817" s="70" t="str">
        <f t="shared" si="73"/>
        <v/>
      </c>
    </row>
    <row r="1818" spans="1:8">
      <c r="A1818" s="2"/>
      <c r="B1818" s="12"/>
      <c r="C1818" s="12"/>
      <c r="E1818" t="str">
        <f>IF(LEN(D1818)=0,"",[1]!i_pq_tradedays($B$3,A1819,A1818)-1)</f>
        <v/>
      </c>
      <c r="G1818" s="16" t="str">
        <f t="shared" si="72"/>
        <v/>
      </c>
      <c r="H1818" s="70" t="str">
        <f t="shared" si="73"/>
        <v/>
      </c>
    </row>
    <row r="1819" spans="1:8">
      <c r="A1819" s="2"/>
      <c r="B1819" s="12"/>
      <c r="C1819" s="12"/>
      <c r="E1819" t="str">
        <f>IF(LEN(D1819)=0,"",[1]!i_pq_tradedays($B$3,A1820,A1819)-1)</f>
        <v/>
      </c>
      <c r="G1819" s="16" t="str">
        <f t="shared" si="72"/>
        <v/>
      </c>
      <c r="H1819" s="70" t="str">
        <f t="shared" si="73"/>
        <v/>
      </c>
    </row>
    <row r="1820" spans="1:8">
      <c r="A1820" s="2"/>
      <c r="B1820" s="12"/>
      <c r="C1820" s="12"/>
      <c r="E1820" t="str">
        <f>IF(LEN(D1820)=0,"",[1]!i_pq_tradedays($B$3,A1821,A1820)-1)</f>
        <v/>
      </c>
      <c r="G1820" s="16" t="str">
        <f t="shared" si="72"/>
        <v/>
      </c>
      <c r="H1820" s="70" t="str">
        <f t="shared" si="73"/>
        <v/>
      </c>
    </row>
    <row r="1821" spans="1:8">
      <c r="A1821" s="2"/>
      <c r="B1821" s="12"/>
      <c r="C1821" s="12"/>
      <c r="E1821" t="str">
        <f>IF(LEN(D1821)=0,"",[1]!i_pq_tradedays($B$3,A1822,A1821)-1)</f>
        <v/>
      </c>
      <c r="G1821" s="16" t="str">
        <f t="shared" si="72"/>
        <v/>
      </c>
      <c r="H1821" s="70" t="str">
        <f t="shared" si="73"/>
        <v/>
      </c>
    </row>
    <row r="1822" spans="1:8">
      <c r="A1822" s="2"/>
      <c r="B1822" s="12"/>
      <c r="C1822" s="12"/>
      <c r="E1822" t="str">
        <f>IF(LEN(D1822)=0,"",[1]!i_pq_tradedays($B$3,A1823,A1822)-1)</f>
        <v/>
      </c>
      <c r="G1822" s="16" t="str">
        <f t="shared" si="72"/>
        <v/>
      </c>
      <c r="H1822" s="70" t="str">
        <f t="shared" si="73"/>
        <v/>
      </c>
    </row>
    <row r="1823" spans="1:8">
      <c r="A1823" s="2"/>
      <c r="B1823" s="12"/>
      <c r="C1823" s="12"/>
      <c r="E1823" t="str">
        <f>IF(LEN(D1823)=0,"",[1]!i_pq_tradedays($B$3,A1824,A1823)-1)</f>
        <v/>
      </c>
      <c r="G1823" s="16" t="str">
        <f t="shared" si="72"/>
        <v/>
      </c>
      <c r="H1823" s="70" t="str">
        <f t="shared" si="73"/>
        <v/>
      </c>
    </row>
    <row r="1824" spans="1:8">
      <c r="A1824" s="2"/>
      <c r="B1824" s="12"/>
      <c r="C1824" s="12"/>
      <c r="E1824" t="str">
        <f>IF(LEN(D1824)=0,"",[1]!i_pq_tradedays($B$3,A1825,A1824)-1)</f>
        <v/>
      </c>
      <c r="G1824" s="16" t="str">
        <f t="shared" si="72"/>
        <v/>
      </c>
      <c r="H1824" s="70" t="str">
        <f t="shared" si="73"/>
        <v/>
      </c>
    </row>
    <row r="1825" spans="1:8">
      <c r="A1825" s="2"/>
      <c r="B1825" s="12"/>
      <c r="C1825" s="12"/>
      <c r="E1825" t="str">
        <f>IF(LEN(D1825)=0,"",[1]!i_pq_tradedays($B$3,A1826,A1825)-1)</f>
        <v/>
      </c>
      <c r="G1825" s="16" t="str">
        <f t="shared" si="72"/>
        <v/>
      </c>
      <c r="H1825" s="70" t="str">
        <f t="shared" si="73"/>
        <v/>
      </c>
    </row>
    <row r="1826" spans="1:8">
      <c r="A1826" s="2"/>
      <c r="B1826" s="12"/>
      <c r="C1826" s="12"/>
      <c r="E1826" t="str">
        <f>IF(LEN(D1826)=0,"",[1]!i_pq_tradedays($B$3,A1827,A1826)-1)</f>
        <v/>
      </c>
      <c r="G1826" s="16" t="str">
        <f t="shared" si="72"/>
        <v/>
      </c>
      <c r="H1826" s="70" t="str">
        <f t="shared" si="73"/>
        <v/>
      </c>
    </row>
    <row r="1827" spans="1:8">
      <c r="A1827" s="2"/>
      <c r="B1827" s="12"/>
      <c r="C1827" s="12"/>
      <c r="E1827" t="str">
        <f>IF(LEN(D1827)=0,"",[1]!i_pq_tradedays($B$3,A1828,A1827)-1)</f>
        <v/>
      </c>
      <c r="G1827" s="16" t="str">
        <f t="shared" si="72"/>
        <v/>
      </c>
      <c r="H1827" s="70" t="str">
        <f t="shared" si="73"/>
        <v/>
      </c>
    </row>
    <row r="1828" spans="1:8">
      <c r="A1828" s="2"/>
      <c r="B1828" s="12"/>
      <c r="C1828" s="12"/>
      <c r="E1828" t="str">
        <f>IF(LEN(D1828)=0,"",[1]!i_pq_tradedays($B$3,A1829,A1828)-1)</f>
        <v/>
      </c>
      <c r="G1828" s="16" t="str">
        <f t="shared" si="72"/>
        <v/>
      </c>
      <c r="H1828" s="70" t="str">
        <f t="shared" si="73"/>
        <v/>
      </c>
    </row>
    <row r="1829" spans="1:8">
      <c r="A1829" s="2"/>
      <c r="B1829" s="12"/>
      <c r="C1829" s="12"/>
      <c r="E1829" t="str">
        <f>IF(LEN(D1829)=0,"",[1]!i_pq_tradedays($B$3,A1830,A1829)-1)</f>
        <v/>
      </c>
      <c r="G1829" s="16" t="str">
        <f t="shared" si="72"/>
        <v/>
      </c>
      <c r="H1829" s="70" t="str">
        <f t="shared" si="73"/>
        <v/>
      </c>
    </row>
    <row r="1830" spans="1:8">
      <c r="A1830" s="2"/>
      <c r="B1830" s="12"/>
      <c r="C1830" s="12"/>
      <c r="E1830" t="str">
        <f>IF(LEN(D1830)=0,"",[1]!i_pq_tradedays($B$3,A1831,A1830)-1)</f>
        <v/>
      </c>
      <c r="G1830" s="16" t="str">
        <f t="shared" si="72"/>
        <v/>
      </c>
      <c r="H1830" s="70" t="str">
        <f t="shared" si="73"/>
        <v/>
      </c>
    </row>
    <row r="1831" spans="1:8">
      <c r="A1831" s="2"/>
      <c r="B1831" s="12"/>
      <c r="C1831" s="12"/>
      <c r="E1831" t="str">
        <f>IF(LEN(D1831)=0,"",[1]!i_pq_tradedays($B$3,A1832,A1831)-1)</f>
        <v/>
      </c>
      <c r="G1831" s="16" t="str">
        <f t="shared" si="72"/>
        <v/>
      </c>
      <c r="H1831" s="70" t="str">
        <f t="shared" si="73"/>
        <v/>
      </c>
    </row>
    <row r="1832" spans="1:8">
      <c r="A1832" s="2"/>
      <c r="B1832" s="12"/>
      <c r="C1832" s="12"/>
      <c r="E1832" t="str">
        <f>IF(LEN(D1832)=0,"",[1]!i_pq_tradedays($B$3,A1833,A1832)-1)</f>
        <v/>
      </c>
      <c r="G1832" s="16" t="str">
        <f t="shared" si="72"/>
        <v/>
      </c>
      <c r="H1832" s="70" t="str">
        <f t="shared" si="73"/>
        <v/>
      </c>
    </row>
    <row r="1833" spans="1:8">
      <c r="A1833" s="2"/>
      <c r="B1833" s="12"/>
      <c r="C1833" s="12"/>
      <c r="E1833" t="str">
        <f>IF(LEN(D1833)=0,"",[1]!i_pq_tradedays($B$3,A1834,A1833)-1)</f>
        <v/>
      </c>
      <c r="G1833" s="16" t="str">
        <f t="shared" si="72"/>
        <v/>
      </c>
      <c r="H1833" s="70" t="str">
        <f t="shared" si="73"/>
        <v/>
      </c>
    </row>
    <row r="1834" spans="1:8">
      <c r="A1834" s="2"/>
      <c r="B1834" s="12"/>
      <c r="C1834" s="12"/>
      <c r="E1834" t="str">
        <f>IF(LEN(D1834)=0,"",[1]!i_pq_tradedays($B$3,A1835,A1834)-1)</f>
        <v/>
      </c>
      <c r="G1834" s="16" t="str">
        <f t="shared" si="72"/>
        <v/>
      </c>
      <c r="H1834" s="70" t="str">
        <f t="shared" si="73"/>
        <v/>
      </c>
    </row>
    <row r="1835" spans="1:8">
      <c r="A1835" s="2"/>
      <c r="B1835" s="12"/>
      <c r="C1835" s="12"/>
      <c r="E1835" t="str">
        <f>IF(LEN(D1835)=0,"",[1]!i_pq_tradedays($B$3,A1836,A1835)-1)</f>
        <v/>
      </c>
      <c r="G1835" s="16" t="str">
        <f t="shared" si="72"/>
        <v/>
      </c>
      <c r="H1835" s="70" t="str">
        <f t="shared" si="73"/>
        <v/>
      </c>
    </row>
    <row r="1836" spans="1:8">
      <c r="A1836" s="2"/>
      <c r="B1836" s="12"/>
      <c r="C1836" s="12"/>
      <c r="E1836" t="str">
        <f>IF(LEN(D1836)=0,"",[1]!i_pq_tradedays($B$3,A1837,A1836)-1)</f>
        <v/>
      </c>
      <c r="G1836" s="16" t="str">
        <f t="shared" si="72"/>
        <v/>
      </c>
      <c r="H1836" s="70" t="str">
        <f t="shared" si="73"/>
        <v/>
      </c>
    </row>
    <row r="1837" spans="1:8">
      <c r="A1837" s="2"/>
      <c r="B1837" s="12"/>
      <c r="C1837" s="12"/>
      <c r="E1837" t="str">
        <f>IF(LEN(D1837)=0,"",[1]!i_pq_tradedays($B$3,A1838,A1837)-1)</f>
        <v/>
      </c>
      <c r="G1837" s="16" t="str">
        <f t="shared" si="72"/>
        <v/>
      </c>
      <c r="H1837" s="70" t="str">
        <f t="shared" si="73"/>
        <v/>
      </c>
    </row>
    <row r="1838" spans="1:8">
      <c r="A1838" s="2"/>
      <c r="B1838" s="12"/>
      <c r="C1838" s="12"/>
      <c r="E1838" t="str">
        <f>IF(LEN(D1838)=0,"",[1]!i_pq_tradedays($B$3,A1839,A1838)-1)</f>
        <v/>
      </c>
      <c r="G1838" s="16" t="str">
        <f t="shared" si="72"/>
        <v/>
      </c>
      <c r="H1838" s="70" t="str">
        <f t="shared" si="73"/>
        <v/>
      </c>
    </row>
    <row r="1839" spans="1:8">
      <c r="A1839" s="2"/>
      <c r="B1839" s="12"/>
      <c r="C1839" s="12"/>
      <c r="E1839" t="str">
        <f>IF(LEN(D1839)=0,"",[1]!i_pq_tradedays($B$3,A1840,A1839)-1)</f>
        <v/>
      </c>
      <c r="G1839" s="16" t="str">
        <f t="shared" si="72"/>
        <v/>
      </c>
      <c r="H1839" s="70" t="str">
        <f t="shared" si="73"/>
        <v/>
      </c>
    </row>
    <row r="1840" spans="1:8">
      <c r="A1840" s="2"/>
      <c r="B1840" s="12"/>
      <c r="C1840" s="12"/>
      <c r="E1840" t="str">
        <f>IF(LEN(D1840)=0,"",[1]!i_pq_tradedays($B$3,A1841,A1840)-1)</f>
        <v/>
      </c>
      <c r="G1840" s="16" t="str">
        <f t="shared" si="72"/>
        <v/>
      </c>
      <c r="H1840" s="70" t="str">
        <f t="shared" si="73"/>
        <v/>
      </c>
    </row>
    <row r="1841" spans="1:8">
      <c r="A1841" s="2"/>
      <c r="B1841" s="12"/>
      <c r="C1841" s="12"/>
      <c r="E1841" t="str">
        <f>IF(LEN(D1841)=0,"",[1]!i_pq_tradedays($B$3,A1842,A1841)-1)</f>
        <v/>
      </c>
      <c r="G1841" s="16" t="str">
        <f t="shared" si="72"/>
        <v/>
      </c>
      <c r="H1841" s="70" t="str">
        <f t="shared" si="73"/>
        <v/>
      </c>
    </row>
    <row r="1842" spans="1:8">
      <c r="A1842" s="2"/>
      <c r="B1842" s="12"/>
      <c r="C1842" s="12"/>
      <c r="E1842" t="str">
        <f>IF(LEN(D1842)=0,"",[1]!i_pq_tradedays($B$3,A1843,A1842)-1)</f>
        <v/>
      </c>
      <c r="G1842" s="16" t="str">
        <f t="shared" si="72"/>
        <v/>
      </c>
      <c r="H1842" s="70" t="str">
        <f t="shared" si="73"/>
        <v/>
      </c>
    </row>
    <row r="1843" spans="1:8">
      <c r="A1843" s="2"/>
      <c r="B1843" s="12"/>
      <c r="C1843" s="12"/>
      <c r="E1843" t="str">
        <f>IF(LEN(D1843)=0,"",[1]!i_pq_tradedays($B$3,A1844,A1843)-1)</f>
        <v/>
      </c>
      <c r="G1843" s="16" t="str">
        <f t="shared" si="72"/>
        <v/>
      </c>
      <c r="H1843" s="70" t="str">
        <f t="shared" si="73"/>
        <v/>
      </c>
    </row>
    <row r="1844" spans="1:8">
      <c r="A1844" s="2"/>
      <c r="B1844" s="12"/>
      <c r="C1844" s="12"/>
      <c r="E1844" t="str">
        <f>IF(LEN(D1844)=0,"",[1]!i_pq_tradedays($B$3,A1845,A1844)-1)</f>
        <v/>
      </c>
      <c r="G1844" s="16" t="str">
        <f t="shared" si="72"/>
        <v/>
      </c>
      <c r="H1844" s="70" t="str">
        <f t="shared" si="73"/>
        <v/>
      </c>
    </row>
    <row r="1845" spans="1:8">
      <c r="A1845" s="2"/>
      <c r="B1845" s="12"/>
      <c r="C1845" s="12"/>
      <c r="E1845" t="str">
        <f>IF(LEN(D1845)=0,"",[1]!i_pq_tradedays($B$3,A1846,A1845)-1)</f>
        <v/>
      </c>
      <c r="G1845" s="16" t="str">
        <f t="shared" ref="G1845:G1908" si="74">IF(LEN(D1845)=0,"",D1845/E1845)</f>
        <v/>
      </c>
      <c r="H1845" s="70" t="str">
        <f t="shared" ref="H1845:H1908" si="75">IF(LEN(D1845)=0,"",G1845/G1846-1)</f>
        <v/>
      </c>
    </row>
    <row r="1846" spans="1:8">
      <c r="A1846" s="2"/>
      <c r="B1846" s="12"/>
      <c r="C1846" s="12"/>
      <c r="E1846" t="str">
        <f>IF(LEN(D1846)=0,"",[1]!i_pq_tradedays($B$3,A1847,A1846)-1)</f>
        <v/>
      </c>
      <c r="G1846" s="16" t="str">
        <f t="shared" si="74"/>
        <v/>
      </c>
      <c r="H1846" s="70" t="str">
        <f t="shared" si="75"/>
        <v/>
      </c>
    </row>
    <row r="1847" spans="1:8">
      <c r="A1847" s="2"/>
      <c r="B1847" s="12"/>
      <c r="C1847" s="12"/>
      <c r="E1847" t="str">
        <f>IF(LEN(D1847)=0,"",[1]!i_pq_tradedays($B$3,A1848,A1847)-1)</f>
        <v/>
      </c>
      <c r="G1847" s="16" t="str">
        <f t="shared" si="74"/>
        <v/>
      </c>
      <c r="H1847" s="70" t="str">
        <f t="shared" si="75"/>
        <v/>
      </c>
    </row>
    <row r="1848" spans="1:8">
      <c r="A1848" s="2"/>
      <c r="B1848" s="12"/>
      <c r="C1848" s="12"/>
      <c r="E1848" t="str">
        <f>IF(LEN(D1848)=0,"",[1]!i_pq_tradedays($B$3,A1849,A1848)-1)</f>
        <v/>
      </c>
      <c r="G1848" s="16" t="str">
        <f t="shared" si="74"/>
        <v/>
      </c>
      <c r="H1848" s="70" t="str">
        <f t="shared" si="75"/>
        <v/>
      </c>
    </row>
    <row r="1849" spans="1:8">
      <c r="A1849" s="2"/>
      <c r="B1849" s="12"/>
      <c r="C1849" s="12"/>
      <c r="E1849" t="str">
        <f>IF(LEN(D1849)=0,"",[1]!i_pq_tradedays($B$3,A1850,A1849)-1)</f>
        <v/>
      </c>
      <c r="G1849" s="16" t="str">
        <f t="shared" si="74"/>
        <v/>
      </c>
      <c r="H1849" s="70" t="str">
        <f t="shared" si="75"/>
        <v/>
      </c>
    </row>
    <row r="1850" spans="1:8">
      <c r="A1850" s="2"/>
      <c r="B1850" s="12"/>
      <c r="C1850" s="12"/>
      <c r="E1850" t="str">
        <f>IF(LEN(D1850)=0,"",[1]!i_pq_tradedays($B$3,A1851,A1850)-1)</f>
        <v/>
      </c>
      <c r="G1850" s="16" t="str">
        <f t="shared" si="74"/>
        <v/>
      </c>
      <c r="H1850" s="70" t="str">
        <f t="shared" si="75"/>
        <v/>
      </c>
    </row>
    <row r="1851" spans="1:8">
      <c r="A1851" s="2"/>
      <c r="B1851" s="12"/>
      <c r="C1851" s="12"/>
      <c r="E1851" t="str">
        <f>IF(LEN(D1851)=0,"",[1]!i_pq_tradedays($B$3,A1852,A1851)-1)</f>
        <v/>
      </c>
      <c r="G1851" s="16" t="str">
        <f t="shared" si="74"/>
        <v/>
      </c>
      <c r="H1851" s="70" t="str">
        <f t="shared" si="75"/>
        <v/>
      </c>
    </row>
    <row r="1852" spans="1:8">
      <c r="A1852" s="2"/>
      <c r="B1852" s="12"/>
      <c r="C1852" s="12"/>
      <c r="E1852" t="str">
        <f>IF(LEN(D1852)=0,"",[1]!i_pq_tradedays($B$3,A1853,A1852)-1)</f>
        <v/>
      </c>
      <c r="G1852" s="16" t="str">
        <f t="shared" si="74"/>
        <v/>
      </c>
      <c r="H1852" s="70" t="str">
        <f t="shared" si="75"/>
        <v/>
      </c>
    </row>
    <row r="1853" spans="1:8">
      <c r="A1853" s="2"/>
      <c r="B1853" s="12"/>
      <c r="C1853" s="12"/>
      <c r="E1853" t="str">
        <f>IF(LEN(D1853)=0,"",[1]!i_pq_tradedays($B$3,A1854,A1853)-1)</f>
        <v/>
      </c>
      <c r="G1853" s="16" t="str">
        <f t="shared" si="74"/>
        <v/>
      </c>
      <c r="H1853" s="70" t="str">
        <f t="shared" si="75"/>
        <v/>
      </c>
    </row>
    <row r="1854" spans="1:8">
      <c r="A1854" s="2"/>
      <c r="B1854" s="12"/>
      <c r="C1854" s="12"/>
      <c r="E1854" t="str">
        <f>IF(LEN(D1854)=0,"",[1]!i_pq_tradedays($B$3,A1855,A1854)-1)</f>
        <v/>
      </c>
      <c r="G1854" s="16" t="str">
        <f t="shared" si="74"/>
        <v/>
      </c>
      <c r="H1854" s="70" t="str">
        <f t="shared" si="75"/>
        <v/>
      </c>
    </row>
    <row r="1855" spans="1:8">
      <c r="A1855" s="2"/>
      <c r="B1855" s="12"/>
      <c r="C1855" s="12"/>
      <c r="E1855" t="str">
        <f>IF(LEN(D1855)=0,"",[1]!i_pq_tradedays($B$3,A1856,A1855)-1)</f>
        <v/>
      </c>
      <c r="G1855" s="16" t="str">
        <f t="shared" si="74"/>
        <v/>
      </c>
      <c r="H1855" s="70" t="str">
        <f t="shared" si="75"/>
        <v/>
      </c>
    </row>
    <row r="1856" spans="1:8">
      <c r="A1856" s="2"/>
      <c r="B1856" s="12"/>
      <c r="C1856" s="12"/>
      <c r="E1856" t="str">
        <f>IF(LEN(D1856)=0,"",[1]!i_pq_tradedays($B$3,A1857,A1856)-1)</f>
        <v/>
      </c>
      <c r="G1856" s="16" t="str">
        <f t="shared" si="74"/>
        <v/>
      </c>
      <c r="H1856" s="70" t="str">
        <f t="shared" si="75"/>
        <v/>
      </c>
    </row>
    <row r="1857" spans="1:8">
      <c r="A1857" s="2"/>
      <c r="B1857" s="12"/>
      <c r="C1857" s="12"/>
      <c r="E1857" t="str">
        <f>IF(LEN(D1857)=0,"",[1]!i_pq_tradedays($B$3,A1858,A1857)-1)</f>
        <v/>
      </c>
      <c r="G1857" s="16" t="str">
        <f t="shared" si="74"/>
        <v/>
      </c>
      <c r="H1857" s="70" t="str">
        <f t="shared" si="75"/>
        <v/>
      </c>
    </row>
    <row r="1858" spans="1:8">
      <c r="A1858" s="2"/>
      <c r="B1858" s="12"/>
      <c r="C1858" s="12"/>
      <c r="E1858" t="str">
        <f>IF(LEN(D1858)=0,"",[1]!i_pq_tradedays($B$3,A1859,A1858)-1)</f>
        <v/>
      </c>
      <c r="G1858" s="16" t="str">
        <f t="shared" si="74"/>
        <v/>
      </c>
      <c r="H1858" s="70" t="str">
        <f t="shared" si="75"/>
        <v/>
      </c>
    </row>
    <row r="1859" spans="1:8">
      <c r="A1859" s="2"/>
      <c r="B1859" s="12"/>
      <c r="C1859" s="12"/>
      <c r="E1859" t="str">
        <f>IF(LEN(D1859)=0,"",[1]!i_pq_tradedays($B$3,A1860,A1859)-1)</f>
        <v/>
      </c>
      <c r="G1859" s="16" t="str">
        <f t="shared" si="74"/>
        <v/>
      </c>
      <c r="H1859" s="70" t="str">
        <f t="shared" si="75"/>
        <v/>
      </c>
    </row>
    <row r="1860" spans="1:8">
      <c r="A1860" s="2"/>
      <c r="B1860" s="12"/>
      <c r="C1860" s="12"/>
      <c r="E1860" t="str">
        <f>IF(LEN(D1860)=0,"",[1]!i_pq_tradedays($B$3,A1861,A1860)-1)</f>
        <v/>
      </c>
      <c r="G1860" s="16" t="str">
        <f t="shared" si="74"/>
        <v/>
      </c>
      <c r="H1860" s="70" t="str">
        <f t="shared" si="75"/>
        <v/>
      </c>
    </row>
    <row r="1861" spans="1:8">
      <c r="A1861" s="2"/>
      <c r="B1861" s="12"/>
      <c r="C1861" s="12"/>
      <c r="E1861" t="str">
        <f>IF(LEN(D1861)=0,"",[1]!i_pq_tradedays($B$3,A1862,A1861)-1)</f>
        <v/>
      </c>
      <c r="G1861" s="16" t="str">
        <f t="shared" si="74"/>
        <v/>
      </c>
      <c r="H1861" s="70" t="str">
        <f t="shared" si="75"/>
        <v/>
      </c>
    </row>
    <row r="1862" spans="1:8">
      <c r="A1862" s="2"/>
      <c r="B1862" s="12"/>
      <c r="C1862" s="12"/>
      <c r="E1862" t="str">
        <f>IF(LEN(D1862)=0,"",[1]!i_pq_tradedays($B$3,A1863,A1862)-1)</f>
        <v/>
      </c>
      <c r="G1862" s="16" t="str">
        <f t="shared" si="74"/>
        <v/>
      </c>
      <c r="H1862" s="70" t="str">
        <f t="shared" si="75"/>
        <v/>
      </c>
    </row>
    <row r="1863" spans="1:8">
      <c r="A1863" s="2"/>
      <c r="B1863" s="12"/>
      <c r="C1863" s="12"/>
      <c r="E1863" t="str">
        <f>IF(LEN(D1863)=0,"",[1]!i_pq_tradedays($B$3,A1864,A1863)-1)</f>
        <v/>
      </c>
      <c r="G1863" s="16" t="str">
        <f t="shared" si="74"/>
        <v/>
      </c>
      <c r="H1863" s="70" t="str">
        <f t="shared" si="75"/>
        <v/>
      </c>
    </row>
    <row r="1864" spans="1:8">
      <c r="A1864" s="2"/>
      <c r="B1864" s="12"/>
      <c r="C1864" s="12"/>
      <c r="E1864" t="str">
        <f>IF(LEN(D1864)=0,"",[1]!i_pq_tradedays($B$3,A1865,A1864)-1)</f>
        <v/>
      </c>
      <c r="G1864" s="16" t="str">
        <f t="shared" si="74"/>
        <v/>
      </c>
      <c r="H1864" s="70" t="str">
        <f t="shared" si="75"/>
        <v/>
      </c>
    </row>
    <row r="1865" spans="1:8">
      <c r="A1865" s="2"/>
      <c r="B1865" s="12"/>
      <c r="C1865" s="12"/>
      <c r="E1865" t="str">
        <f>IF(LEN(D1865)=0,"",[1]!i_pq_tradedays($B$3,A1866,A1865)-1)</f>
        <v/>
      </c>
      <c r="G1865" s="16" t="str">
        <f t="shared" si="74"/>
        <v/>
      </c>
      <c r="H1865" s="70" t="str">
        <f t="shared" si="75"/>
        <v/>
      </c>
    </row>
    <row r="1866" spans="1:8">
      <c r="A1866" s="2"/>
      <c r="B1866" s="12"/>
      <c r="C1866" s="12"/>
      <c r="E1866" t="str">
        <f>IF(LEN(D1866)=0,"",[1]!i_pq_tradedays($B$3,A1867,A1866)-1)</f>
        <v/>
      </c>
      <c r="G1866" s="16" t="str">
        <f t="shared" si="74"/>
        <v/>
      </c>
      <c r="H1866" s="70" t="str">
        <f t="shared" si="75"/>
        <v/>
      </c>
    </row>
    <row r="1867" spans="1:8">
      <c r="A1867" s="2"/>
      <c r="B1867" s="12"/>
      <c r="C1867" s="12"/>
      <c r="E1867" t="str">
        <f>IF(LEN(D1867)=0,"",[1]!i_pq_tradedays($B$3,A1868,A1867)-1)</f>
        <v/>
      </c>
      <c r="G1867" s="16" t="str">
        <f t="shared" si="74"/>
        <v/>
      </c>
      <c r="H1867" s="70" t="str">
        <f t="shared" si="75"/>
        <v/>
      </c>
    </row>
    <row r="1868" spans="1:8">
      <c r="A1868" s="2"/>
      <c r="B1868" s="12"/>
      <c r="C1868" s="12"/>
      <c r="E1868" t="str">
        <f>IF(LEN(D1868)=0,"",[1]!i_pq_tradedays($B$3,A1869,A1868)-1)</f>
        <v/>
      </c>
      <c r="G1868" s="16" t="str">
        <f t="shared" si="74"/>
        <v/>
      </c>
      <c r="H1868" s="70" t="str">
        <f t="shared" si="75"/>
        <v/>
      </c>
    </row>
    <row r="1869" spans="1:8">
      <c r="A1869" s="2"/>
      <c r="B1869" s="12"/>
      <c r="C1869" s="12"/>
      <c r="E1869" t="str">
        <f>IF(LEN(D1869)=0,"",[1]!i_pq_tradedays($B$3,A1870,A1869)-1)</f>
        <v/>
      </c>
      <c r="G1869" s="16" t="str">
        <f t="shared" si="74"/>
        <v/>
      </c>
      <c r="H1869" s="70" t="str">
        <f t="shared" si="75"/>
        <v/>
      </c>
    </row>
    <row r="1870" spans="1:8">
      <c r="A1870" s="2"/>
      <c r="B1870" s="12"/>
      <c r="C1870" s="12"/>
      <c r="E1870" t="str">
        <f>IF(LEN(D1870)=0,"",[1]!i_pq_tradedays($B$3,A1871,A1870)-1)</f>
        <v/>
      </c>
      <c r="G1870" s="16" t="str">
        <f t="shared" si="74"/>
        <v/>
      </c>
      <c r="H1870" s="70" t="str">
        <f t="shared" si="75"/>
        <v/>
      </c>
    </row>
    <row r="1871" spans="1:8">
      <c r="A1871" s="2"/>
      <c r="B1871" s="12"/>
      <c r="C1871" s="12"/>
      <c r="E1871" t="str">
        <f>IF(LEN(D1871)=0,"",[1]!i_pq_tradedays($B$3,A1872,A1871)-1)</f>
        <v/>
      </c>
      <c r="G1871" s="16" t="str">
        <f t="shared" si="74"/>
        <v/>
      </c>
      <c r="H1871" s="70" t="str">
        <f t="shared" si="75"/>
        <v/>
      </c>
    </row>
    <row r="1872" spans="1:8">
      <c r="A1872" s="2"/>
      <c r="B1872" s="12"/>
      <c r="C1872" s="12"/>
      <c r="E1872" t="str">
        <f>IF(LEN(D1872)=0,"",[1]!i_pq_tradedays($B$3,A1873,A1872)-1)</f>
        <v/>
      </c>
      <c r="G1872" s="16" t="str">
        <f t="shared" si="74"/>
        <v/>
      </c>
      <c r="H1872" s="70" t="str">
        <f t="shared" si="75"/>
        <v/>
      </c>
    </row>
    <row r="1873" spans="1:8">
      <c r="A1873" s="2"/>
      <c r="B1873" s="12"/>
      <c r="C1873" s="12"/>
      <c r="E1873" t="str">
        <f>IF(LEN(D1873)=0,"",[1]!i_pq_tradedays($B$3,A1874,A1873)-1)</f>
        <v/>
      </c>
      <c r="G1873" s="16" t="str">
        <f t="shared" si="74"/>
        <v/>
      </c>
      <c r="H1873" s="70" t="str">
        <f t="shared" si="75"/>
        <v/>
      </c>
    </row>
    <row r="1874" spans="1:8">
      <c r="A1874" s="2"/>
      <c r="B1874" s="12"/>
      <c r="C1874" s="12"/>
      <c r="E1874" t="str">
        <f>IF(LEN(D1874)=0,"",[1]!i_pq_tradedays($B$3,A1875,A1874)-1)</f>
        <v/>
      </c>
      <c r="G1874" s="16" t="str">
        <f t="shared" si="74"/>
        <v/>
      </c>
      <c r="H1874" s="70" t="str">
        <f t="shared" si="75"/>
        <v/>
      </c>
    </row>
    <row r="1875" spans="1:8">
      <c r="A1875" s="2"/>
      <c r="B1875" s="12"/>
      <c r="C1875" s="12"/>
      <c r="E1875" t="str">
        <f>IF(LEN(D1875)=0,"",[1]!i_pq_tradedays($B$3,A1876,A1875)-1)</f>
        <v/>
      </c>
      <c r="G1875" s="16" t="str">
        <f t="shared" si="74"/>
        <v/>
      </c>
      <c r="H1875" s="70" t="str">
        <f t="shared" si="75"/>
        <v/>
      </c>
    </row>
    <row r="1876" spans="1:8">
      <c r="A1876" s="2"/>
      <c r="B1876" s="12"/>
      <c r="C1876" s="12"/>
      <c r="E1876" t="str">
        <f>IF(LEN(D1876)=0,"",[1]!i_pq_tradedays($B$3,A1877,A1876)-1)</f>
        <v/>
      </c>
      <c r="G1876" s="16" t="str">
        <f t="shared" si="74"/>
        <v/>
      </c>
      <c r="H1876" s="70" t="str">
        <f t="shared" si="75"/>
        <v/>
      </c>
    </row>
    <row r="1877" spans="1:8">
      <c r="A1877" s="2"/>
      <c r="B1877" s="12"/>
      <c r="C1877" s="12"/>
      <c r="E1877" t="str">
        <f>IF(LEN(D1877)=0,"",[1]!i_pq_tradedays($B$3,A1878,A1877)-1)</f>
        <v/>
      </c>
      <c r="G1877" s="16" t="str">
        <f t="shared" si="74"/>
        <v/>
      </c>
      <c r="H1877" s="70" t="str">
        <f t="shared" si="75"/>
        <v/>
      </c>
    </row>
    <row r="1878" spans="1:8">
      <c r="A1878" s="2"/>
      <c r="B1878" s="12"/>
      <c r="C1878" s="12"/>
      <c r="E1878" t="str">
        <f>IF(LEN(D1878)=0,"",[1]!i_pq_tradedays($B$3,A1879,A1878)-1)</f>
        <v/>
      </c>
      <c r="G1878" s="16" t="str">
        <f t="shared" si="74"/>
        <v/>
      </c>
      <c r="H1878" s="70" t="str">
        <f t="shared" si="75"/>
        <v/>
      </c>
    </row>
    <row r="1879" spans="1:8">
      <c r="A1879" s="2"/>
      <c r="B1879" s="12"/>
      <c r="C1879" s="12"/>
      <c r="E1879" t="str">
        <f>IF(LEN(D1879)=0,"",[1]!i_pq_tradedays($B$3,A1880,A1879)-1)</f>
        <v/>
      </c>
      <c r="G1879" s="16" t="str">
        <f t="shared" si="74"/>
        <v/>
      </c>
      <c r="H1879" s="70" t="str">
        <f t="shared" si="75"/>
        <v/>
      </c>
    </row>
    <row r="1880" spans="1:8">
      <c r="A1880" s="2"/>
      <c r="B1880" s="12"/>
      <c r="C1880" s="12"/>
      <c r="E1880" t="str">
        <f>IF(LEN(D1880)=0,"",[1]!i_pq_tradedays($B$3,A1881,A1880)-1)</f>
        <v/>
      </c>
      <c r="G1880" s="16" t="str">
        <f t="shared" si="74"/>
        <v/>
      </c>
      <c r="H1880" s="70" t="str">
        <f t="shared" si="75"/>
        <v/>
      </c>
    </row>
    <row r="1881" spans="1:8">
      <c r="A1881" s="2"/>
      <c r="B1881" s="12"/>
      <c r="C1881" s="12"/>
      <c r="E1881" t="str">
        <f>IF(LEN(D1881)=0,"",[1]!i_pq_tradedays($B$3,A1882,A1881)-1)</f>
        <v/>
      </c>
      <c r="G1881" s="16" t="str">
        <f t="shared" si="74"/>
        <v/>
      </c>
      <c r="H1881" s="70" t="str">
        <f t="shared" si="75"/>
        <v/>
      </c>
    </row>
    <row r="1882" spans="1:8">
      <c r="A1882" s="2"/>
      <c r="B1882" s="12"/>
      <c r="C1882" s="12"/>
      <c r="E1882" t="str">
        <f>IF(LEN(D1882)=0,"",[1]!i_pq_tradedays($B$3,A1883,A1882)-1)</f>
        <v/>
      </c>
      <c r="G1882" s="16" t="str">
        <f t="shared" si="74"/>
        <v/>
      </c>
      <c r="H1882" s="70" t="str">
        <f t="shared" si="75"/>
        <v/>
      </c>
    </row>
    <row r="1883" spans="1:8">
      <c r="A1883" s="2"/>
      <c r="B1883" s="12"/>
      <c r="C1883" s="12"/>
      <c r="E1883" t="str">
        <f>IF(LEN(D1883)=0,"",[1]!i_pq_tradedays($B$3,A1884,A1883)-1)</f>
        <v/>
      </c>
      <c r="G1883" s="16" t="str">
        <f t="shared" si="74"/>
        <v/>
      </c>
      <c r="H1883" s="70" t="str">
        <f t="shared" si="75"/>
        <v/>
      </c>
    </row>
    <row r="1884" spans="1:8">
      <c r="A1884" s="2"/>
      <c r="B1884" s="12"/>
      <c r="C1884" s="12"/>
      <c r="E1884" t="str">
        <f>IF(LEN(D1884)=0,"",[1]!i_pq_tradedays($B$3,A1885,A1884)-1)</f>
        <v/>
      </c>
      <c r="G1884" s="16" t="str">
        <f t="shared" si="74"/>
        <v/>
      </c>
      <c r="H1884" s="70" t="str">
        <f t="shared" si="75"/>
        <v/>
      </c>
    </row>
    <row r="1885" spans="1:8">
      <c r="A1885" s="2"/>
      <c r="B1885" s="12"/>
      <c r="C1885" s="12"/>
      <c r="E1885" t="str">
        <f>IF(LEN(D1885)=0,"",[1]!i_pq_tradedays($B$3,A1886,A1885)-1)</f>
        <v/>
      </c>
      <c r="G1885" s="16" t="str">
        <f t="shared" si="74"/>
        <v/>
      </c>
      <c r="H1885" s="70" t="str">
        <f t="shared" si="75"/>
        <v/>
      </c>
    </row>
    <row r="1886" spans="1:8">
      <c r="A1886" s="2"/>
      <c r="B1886" s="12"/>
      <c r="C1886" s="12"/>
      <c r="E1886" t="str">
        <f>IF(LEN(D1886)=0,"",[1]!i_pq_tradedays($B$3,A1887,A1886)-1)</f>
        <v/>
      </c>
      <c r="G1886" s="16" t="str">
        <f t="shared" si="74"/>
        <v/>
      </c>
      <c r="H1886" s="70" t="str">
        <f t="shared" si="75"/>
        <v/>
      </c>
    </row>
    <row r="1887" spans="1:8">
      <c r="A1887" s="2"/>
      <c r="B1887" s="12"/>
      <c r="C1887" s="12"/>
      <c r="E1887" t="str">
        <f>IF(LEN(D1887)=0,"",[1]!i_pq_tradedays($B$3,A1888,A1887)-1)</f>
        <v/>
      </c>
      <c r="G1887" s="16" t="str">
        <f t="shared" si="74"/>
        <v/>
      </c>
      <c r="H1887" s="70" t="str">
        <f t="shared" si="75"/>
        <v/>
      </c>
    </row>
    <row r="1888" spans="1:8">
      <c r="A1888" s="2"/>
      <c r="B1888" s="12"/>
      <c r="C1888" s="12"/>
      <c r="E1888" t="str">
        <f>IF(LEN(D1888)=0,"",[1]!i_pq_tradedays($B$3,A1889,A1888)-1)</f>
        <v/>
      </c>
      <c r="G1888" s="16" t="str">
        <f t="shared" si="74"/>
        <v/>
      </c>
      <c r="H1888" s="70" t="str">
        <f t="shared" si="75"/>
        <v/>
      </c>
    </row>
    <row r="1889" spans="1:8">
      <c r="A1889" s="2"/>
      <c r="B1889" s="12"/>
      <c r="C1889" s="12"/>
      <c r="E1889" t="str">
        <f>IF(LEN(D1889)=0,"",[1]!i_pq_tradedays($B$3,A1890,A1889)-1)</f>
        <v/>
      </c>
      <c r="G1889" s="16" t="str">
        <f t="shared" si="74"/>
        <v/>
      </c>
      <c r="H1889" s="70" t="str">
        <f t="shared" si="75"/>
        <v/>
      </c>
    </row>
    <row r="1890" spans="1:8">
      <c r="A1890" s="2"/>
      <c r="B1890" s="12"/>
      <c r="C1890" s="12"/>
      <c r="E1890" t="str">
        <f>IF(LEN(D1890)=0,"",[1]!i_pq_tradedays($B$3,A1891,A1890)-1)</f>
        <v/>
      </c>
      <c r="G1890" s="16" t="str">
        <f t="shared" si="74"/>
        <v/>
      </c>
      <c r="H1890" s="70" t="str">
        <f t="shared" si="75"/>
        <v/>
      </c>
    </row>
    <row r="1891" spans="1:8">
      <c r="A1891" s="2"/>
      <c r="B1891" s="12"/>
      <c r="C1891" s="12"/>
      <c r="E1891" t="str">
        <f>IF(LEN(D1891)=0,"",[1]!i_pq_tradedays($B$3,A1892,A1891)-1)</f>
        <v/>
      </c>
      <c r="G1891" s="16" t="str">
        <f t="shared" si="74"/>
        <v/>
      </c>
      <c r="H1891" s="70" t="str">
        <f t="shared" si="75"/>
        <v/>
      </c>
    </row>
    <row r="1892" spans="1:8">
      <c r="A1892" s="2"/>
      <c r="B1892" s="12"/>
      <c r="C1892" s="12"/>
      <c r="E1892" t="str">
        <f>IF(LEN(D1892)=0,"",[1]!i_pq_tradedays($B$3,A1893,A1892)-1)</f>
        <v/>
      </c>
      <c r="G1892" s="16" t="str">
        <f t="shared" si="74"/>
        <v/>
      </c>
      <c r="H1892" s="70" t="str">
        <f t="shared" si="75"/>
        <v/>
      </c>
    </row>
    <row r="1893" spans="1:8">
      <c r="A1893" s="2"/>
      <c r="B1893" s="12"/>
      <c r="C1893" s="12"/>
      <c r="E1893" t="str">
        <f>IF(LEN(D1893)=0,"",[1]!i_pq_tradedays($B$3,A1894,A1893)-1)</f>
        <v/>
      </c>
      <c r="G1893" s="16" t="str">
        <f t="shared" si="74"/>
        <v/>
      </c>
      <c r="H1893" s="70" t="str">
        <f t="shared" si="75"/>
        <v/>
      </c>
    </row>
    <row r="1894" spans="1:8">
      <c r="A1894" s="2"/>
      <c r="B1894" s="12"/>
      <c r="C1894" s="12"/>
      <c r="E1894" t="str">
        <f>IF(LEN(D1894)=0,"",[1]!i_pq_tradedays($B$3,A1895,A1894)-1)</f>
        <v/>
      </c>
      <c r="G1894" s="16" t="str">
        <f t="shared" si="74"/>
        <v/>
      </c>
      <c r="H1894" s="70" t="str">
        <f t="shared" si="75"/>
        <v/>
      </c>
    </row>
    <row r="1895" spans="1:8">
      <c r="A1895" s="2"/>
      <c r="B1895" s="12"/>
      <c r="C1895" s="12"/>
      <c r="E1895" t="str">
        <f>IF(LEN(D1895)=0,"",[1]!i_pq_tradedays($B$3,A1896,A1895)-1)</f>
        <v/>
      </c>
      <c r="G1895" s="16" t="str">
        <f t="shared" si="74"/>
        <v/>
      </c>
      <c r="H1895" s="70" t="str">
        <f t="shared" si="75"/>
        <v/>
      </c>
    </row>
    <row r="1896" spans="1:8">
      <c r="A1896" s="2"/>
      <c r="B1896" s="12"/>
      <c r="C1896" s="12"/>
      <c r="E1896" t="str">
        <f>IF(LEN(D1896)=0,"",[1]!i_pq_tradedays($B$3,A1897,A1896)-1)</f>
        <v/>
      </c>
      <c r="G1896" s="16" t="str">
        <f t="shared" si="74"/>
        <v/>
      </c>
      <c r="H1896" s="70" t="str">
        <f t="shared" si="75"/>
        <v/>
      </c>
    </row>
    <row r="1897" spans="1:8">
      <c r="A1897" s="2"/>
      <c r="B1897" s="12"/>
      <c r="C1897" s="12"/>
      <c r="E1897" t="str">
        <f>IF(LEN(D1897)=0,"",[1]!i_pq_tradedays($B$3,A1898,A1897)-1)</f>
        <v/>
      </c>
      <c r="G1897" s="16" t="str">
        <f t="shared" si="74"/>
        <v/>
      </c>
      <c r="H1897" s="70" t="str">
        <f t="shared" si="75"/>
        <v/>
      </c>
    </row>
    <row r="1898" spans="1:8">
      <c r="A1898" s="2"/>
      <c r="B1898" s="12"/>
      <c r="C1898" s="12"/>
      <c r="E1898" t="str">
        <f>IF(LEN(D1898)=0,"",[1]!i_pq_tradedays($B$3,A1899,A1898)-1)</f>
        <v/>
      </c>
      <c r="G1898" s="16" t="str">
        <f t="shared" si="74"/>
        <v/>
      </c>
      <c r="H1898" s="70" t="str">
        <f t="shared" si="75"/>
        <v/>
      </c>
    </row>
    <row r="1899" spans="1:8">
      <c r="A1899" s="2"/>
      <c r="B1899" s="12"/>
      <c r="C1899" s="12"/>
      <c r="E1899" t="str">
        <f>IF(LEN(D1899)=0,"",[1]!i_pq_tradedays($B$3,A1900,A1899)-1)</f>
        <v/>
      </c>
      <c r="G1899" s="16" t="str">
        <f t="shared" si="74"/>
        <v/>
      </c>
      <c r="H1899" s="70" t="str">
        <f t="shared" si="75"/>
        <v/>
      </c>
    </row>
    <row r="1900" spans="1:8">
      <c r="A1900" s="2"/>
      <c r="B1900" s="12"/>
      <c r="C1900" s="12"/>
      <c r="E1900" t="str">
        <f>IF(LEN(D1900)=0,"",[1]!i_pq_tradedays($B$3,A1901,A1900)-1)</f>
        <v/>
      </c>
      <c r="G1900" s="16" t="str">
        <f t="shared" si="74"/>
        <v/>
      </c>
      <c r="H1900" s="70" t="str">
        <f t="shared" si="75"/>
        <v/>
      </c>
    </row>
    <row r="1901" spans="1:8">
      <c r="A1901" s="2"/>
      <c r="B1901" s="12"/>
      <c r="C1901" s="12"/>
      <c r="E1901" t="str">
        <f>IF(LEN(D1901)=0,"",[1]!i_pq_tradedays($B$3,A1902,A1901)-1)</f>
        <v/>
      </c>
      <c r="G1901" s="16" t="str">
        <f t="shared" si="74"/>
        <v/>
      </c>
      <c r="H1901" s="70" t="str">
        <f t="shared" si="75"/>
        <v/>
      </c>
    </row>
    <row r="1902" spans="1:8">
      <c r="A1902" s="2"/>
      <c r="B1902" s="12"/>
      <c r="C1902" s="12"/>
      <c r="E1902" t="str">
        <f>IF(LEN(D1902)=0,"",[1]!i_pq_tradedays($B$3,A1903,A1902)-1)</f>
        <v/>
      </c>
      <c r="G1902" s="16" t="str">
        <f t="shared" si="74"/>
        <v/>
      </c>
      <c r="H1902" s="70" t="str">
        <f t="shared" si="75"/>
        <v/>
      </c>
    </row>
    <row r="1903" spans="1:8">
      <c r="A1903" s="2"/>
      <c r="B1903" s="12"/>
      <c r="C1903" s="12"/>
      <c r="E1903" t="str">
        <f>IF(LEN(D1903)=0,"",[1]!i_pq_tradedays($B$3,A1904,A1903)-1)</f>
        <v/>
      </c>
      <c r="G1903" s="16" t="str">
        <f t="shared" si="74"/>
        <v/>
      </c>
      <c r="H1903" s="70" t="str">
        <f t="shared" si="75"/>
        <v/>
      </c>
    </row>
    <row r="1904" spans="1:8">
      <c r="A1904" s="2"/>
      <c r="B1904" s="12"/>
      <c r="C1904" s="12"/>
      <c r="E1904" t="str">
        <f>IF(LEN(D1904)=0,"",[1]!i_pq_tradedays($B$3,A1905,A1904)-1)</f>
        <v/>
      </c>
      <c r="G1904" s="16" t="str">
        <f t="shared" si="74"/>
        <v/>
      </c>
      <c r="H1904" s="70" t="str">
        <f t="shared" si="75"/>
        <v/>
      </c>
    </row>
    <row r="1905" spans="1:8">
      <c r="A1905" s="2"/>
      <c r="B1905" s="12"/>
      <c r="C1905" s="12"/>
      <c r="E1905" t="str">
        <f>IF(LEN(D1905)=0,"",[1]!i_pq_tradedays($B$3,A1906,A1905)-1)</f>
        <v/>
      </c>
      <c r="G1905" s="16" t="str">
        <f t="shared" si="74"/>
        <v/>
      </c>
      <c r="H1905" s="70" t="str">
        <f t="shared" si="75"/>
        <v/>
      </c>
    </row>
    <row r="1906" spans="1:8">
      <c r="A1906" s="2"/>
      <c r="B1906" s="12"/>
      <c r="C1906" s="12"/>
      <c r="E1906" t="str">
        <f>IF(LEN(D1906)=0,"",[1]!i_pq_tradedays($B$3,A1907,A1906)-1)</f>
        <v/>
      </c>
      <c r="G1906" s="16" t="str">
        <f t="shared" si="74"/>
        <v/>
      </c>
      <c r="H1906" s="70" t="str">
        <f t="shared" si="75"/>
        <v/>
      </c>
    </row>
    <row r="1907" spans="1:8">
      <c r="A1907" s="2"/>
      <c r="B1907" s="12"/>
      <c r="C1907" s="12"/>
      <c r="E1907" t="str">
        <f>IF(LEN(D1907)=0,"",[1]!i_pq_tradedays($B$3,A1908,A1907)-1)</f>
        <v/>
      </c>
      <c r="G1907" s="16" t="str">
        <f t="shared" si="74"/>
        <v/>
      </c>
      <c r="H1907" s="70" t="str">
        <f t="shared" si="75"/>
        <v/>
      </c>
    </row>
    <row r="1908" spans="1:8">
      <c r="A1908" s="2"/>
      <c r="B1908" s="12"/>
      <c r="C1908" s="12"/>
      <c r="E1908" t="str">
        <f>IF(LEN(D1908)=0,"",[1]!i_pq_tradedays($B$3,A1909,A1908)-1)</f>
        <v/>
      </c>
      <c r="G1908" s="16" t="str">
        <f t="shared" si="74"/>
        <v/>
      </c>
      <c r="H1908" s="70" t="str">
        <f t="shared" si="75"/>
        <v/>
      </c>
    </row>
    <row r="1909" spans="1:8">
      <c r="A1909" s="2"/>
      <c r="B1909" s="12"/>
      <c r="C1909" s="12"/>
      <c r="E1909" t="str">
        <f>IF(LEN(D1909)=0,"",[1]!i_pq_tradedays($B$3,A1910,A1909)-1)</f>
        <v/>
      </c>
      <c r="G1909" s="16" t="str">
        <f t="shared" ref="G1909:G1972" si="76">IF(LEN(D1909)=0,"",D1909/E1909)</f>
        <v/>
      </c>
      <c r="H1909" s="70" t="str">
        <f t="shared" ref="H1909:H1972" si="77">IF(LEN(D1909)=0,"",G1909/G1910-1)</f>
        <v/>
      </c>
    </row>
    <row r="1910" spans="1:8">
      <c r="A1910" s="2"/>
      <c r="B1910" s="12"/>
      <c r="C1910" s="12"/>
      <c r="E1910" t="str">
        <f>IF(LEN(D1910)=0,"",[1]!i_pq_tradedays($B$3,A1911,A1910)-1)</f>
        <v/>
      </c>
      <c r="G1910" s="16" t="str">
        <f t="shared" si="76"/>
        <v/>
      </c>
      <c r="H1910" s="70" t="str">
        <f t="shared" si="77"/>
        <v/>
      </c>
    </row>
    <row r="1911" spans="1:8">
      <c r="A1911" s="2"/>
      <c r="B1911" s="12"/>
      <c r="C1911" s="12"/>
      <c r="E1911" t="str">
        <f>IF(LEN(D1911)=0,"",[1]!i_pq_tradedays($B$3,A1912,A1911)-1)</f>
        <v/>
      </c>
      <c r="G1911" s="16" t="str">
        <f t="shared" si="76"/>
        <v/>
      </c>
      <c r="H1911" s="70" t="str">
        <f t="shared" si="77"/>
        <v/>
      </c>
    </row>
    <row r="1912" spans="1:8">
      <c r="A1912" s="2"/>
      <c r="B1912" s="12"/>
      <c r="C1912" s="12"/>
      <c r="E1912" t="str">
        <f>IF(LEN(D1912)=0,"",[1]!i_pq_tradedays($B$3,A1913,A1912)-1)</f>
        <v/>
      </c>
      <c r="G1912" s="16" t="str">
        <f t="shared" si="76"/>
        <v/>
      </c>
      <c r="H1912" s="70" t="str">
        <f t="shared" si="77"/>
        <v/>
      </c>
    </row>
    <row r="1913" spans="1:8">
      <c r="A1913" s="2"/>
      <c r="B1913" s="12"/>
      <c r="C1913" s="12"/>
      <c r="E1913" t="str">
        <f>IF(LEN(D1913)=0,"",[1]!i_pq_tradedays($B$3,A1914,A1913)-1)</f>
        <v/>
      </c>
      <c r="G1913" s="16" t="str">
        <f t="shared" si="76"/>
        <v/>
      </c>
      <c r="H1913" s="70" t="str">
        <f t="shared" si="77"/>
        <v/>
      </c>
    </row>
    <row r="1914" spans="1:8">
      <c r="A1914" s="2"/>
      <c r="B1914" s="12"/>
      <c r="C1914" s="12"/>
      <c r="E1914" t="str">
        <f>IF(LEN(D1914)=0,"",[1]!i_pq_tradedays($B$3,A1915,A1914)-1)</f>
        <v/>
      </c>
      <c r="G1914" s="16" t="str">
        <f t="shared" si="76"/>
        <v/>
      </c>
      <c r="H1914" s="70" t="str">
        <f t="shared" si="77"/>
        <v/>
      </c>
    </row>
    <row r="1915" spans="1:8">
      <c r="A1915" s="2"/>
      <c r="B1915" s="12"/>
      <c r="C1915" s="12"/>
      <c r="E1915" t="str">
        <f>IF(LEN(D1915)=0,"",[1]!i_pq_tradedays($B$3,A1916,A1915)-1)</f>
        <v/>
      </c>
      <c r="G1915" s="16" t="str">
        <f t="shared" si="76"/>
        <v/>
      </c>
      <c r="H1915" s="70" t="str">
        <f t="shared" si="77"/>
        <v/>
      </c>
    </row>
    <row r="1916" spans="1:8">
      <c r="A1916" s="2"/>
      <c r="B1916" s="12"/>
      <c r="C1916" s="12"/>
      <c r="E1916" t="str">
        <f>IF(LEN(D1916)=0,"",[1]!i_pq_tradedays($B$3,A1917,A1916)-1)</f>
        <v/>
      </c>
      <c r="G1916" s="16" t="str">
        <f t="shared" si="76"/>
        <v/>
      </c>
      <c r="H1916" s="70" t="str">
        <f t="shared" si="77"/>
        <v/>
      </c>
    </row>
    <row r="1917" spans="1:8">
      <c r="A1917" s="2"/>
      <c r="B1917" s="12"/>
      <c r="C1917" s="12"/>
      <c r="E1917" t="str">
        <f>IF(LEN(D1917)=0,"",[1]!i_pq_tradedays($B$3,A1918,A1917)-1)</f>
        <v/>
      </c>
      <c r="G1917" s="16" t="str">
        <f t="shared" si="76"/>
        <v/>
      </c>
      <c r="H1917" s="70" t="str">
        <f t="shared" si="77"/>
        <v/>
      </c>
    </row>
    <row r="1918" spans="1:8">
      <c r="A1918" s="2"/>
      <c r="B1918" s="12"/>
      <c r="C1918" s="12"/>
      <c r="E1918" t="str">
        <f>IF(LEN(D1918)=0,"",[1]!i_pq_tradedays($B$3,A1919,A1918)-1)</f>
        <v/>
      </c>
      <c r="G1918" s="16" t="str">
        <f t="shared" si="76"/>
        <v/>
      </c>
      <c r="H1918" s="70" t="str">
        <f t="shared" si="77"/>
        <v/>
      </c>
    </row>
    <row r="1919" spans="1:8">
      <c r="A1919" s="2"/>
      <c r="B1919" s="12"/>
      <c r="C1919" s="12"/>
      <c r="E1919" t="str">
        <f>IF(LEN(D1919)=0,"",[1]!i_pq_tradedays($B$3,A1920,A1919)-1)</f>
        <v/>
      </c>
      <c r="G1919" s="16" t="str">
        <f t="shared" si="76"/>
        <v/>
      </c>
      <c r="H1919" s="70" t="str">
        <f t="shared" si="77"/>
        <v/>
      </c>
    </row>
    <row r="1920" spans="1:8">
      <c r="A1920" s="2"/>
      <c r="B1920" s="12"/>
      <c r="C1920" s="12"/>
      <c r="E1920" t="str">
        <f>IF(LEN(D1920)=0,"",[1]!i_pq_tradedays($B$3,A1921,A1920)-1)</f>
        <v/>
      </c>
      <c r="G1920" s="16" t="str">
        <f t="shared" si="76"/>
        <v/>
      </c>
      <c r="H1920" s="70" t="str">
        <f t="shared" si="77"/>
        <v/>
      </c>
    </row>
    <row r="1921" spans="1:8">
      <c r="A1921" s="2"/>
      <c r="B1921" s="12"/>
      <c r="C1921" s="12"/>
      <c r="E1921" t="str">
        <f>IF(LEN(D1921)=0,"",[1]!i_pq_tradedays($B$3,A1922,A1921)-1)</f>
        <v/>
      </c>
      <c r="G1921" s="16" t="str">
        <f t="shared" si="76"/>
        <v/>
      </c>
      <c r="H1921" s="70" t="str">
        <f t="shared" si="77"/>
        <v/>
      </c>
    </row>
    <row r="1922" spans="1:8">
      <c r="A1922" s="2"/>
      <c r="B1922" s="12"/>
      <c r="C1922" s="12"/>
      <c r="E1922" t="str">
        <f>IF(LEN(D1922)=0,"",[1]!i_pq_tradedays($B$3,A1923,A1922)-1)</f>
        <v/>
      </c>
      <c r="G1922" s="16" t="str">
        <f t="shared" si="76"/>
        <v/>
      </c>
      <c r="H1922" s="70" t="str">
        <f t="shared" si="77"/>
        <v/>
      </c>
    </row>
    <row r="1923" spans="1:8">
      <c r="A1923" s="2"/>
      <c r="B1923" s="12"/>
      <c r="C1923" s="12"/>
      <c r="E1923" t="str">
        <f>IF(LEN(D1923)=0,"",[1]!i_pq_tradedays($B$3,A1924,A1923)-1)</f>
        <v/>
      </c>
      <c r="G1923" s="16" t="str">
        <f t="shared" si="76"/>
        <v/>
      </c>
      <c r="H1923" s="70" t="str">
        <f t="shared" si="77"/>
        <v/>
      </c>
    </row>
    <row r="1924" spans="1:8">
      <c r="A1924" s="2"/>
      <c r="B1924" s="12"/>
      <c r="C1924" s="12"/>
      <c r="E1924" t="str">
        <f>IF(LEN(D1924)=0,"",[1]!i_pq_tradedays($B$3,A1925,A1924)-1)</f>
        <v/>
      </c>
      <c r="G1924" s="16" t="str">
        <f t="shared" si="76"/>
        <v/>
      </c>
      <c r="H1924" s="70" t="str">
        <f t="shared" si="77"/>
        <v/>
      </c>
    </row>
    <row r="1925" spans="1:8">
      <c r="A1925" s="2"/>
      <c r="B1925" s="12"/>
      <c r="C1925" s="12"/>
      <c r="E1925" t="str">
        <f>IF(LEN(D1925)=0,"",[1]!i_pq_tradedays($B$3,A1926,A1925)-1)</f>
        <v/>
      </c>
      <c r="G1925" s="16" t="str">
        <f t="shared" si="76"/>
        <v/>
      </c>
      <c r="H1925" s="70" t="str">
        <f t="shared" si="77"/>
        <v/>
      </c>
    </row>
    <row r="1926" spans="1:8">
      <c r="A1926" s="2"/>
      <c r="B1926" s="12"/>
      <c r="C1926" s="12"/>
      <c r="E1926" t="str">
        <f>IF(LEN(D1926)=0,"",[1]!i_pq_tradedays($B$3,A1927,A1926)-1)</f>
        <v/>
      </c>
      <c r="G1926" s="16" t="str">
        <f t="shared" si="76"/>
        <v/>
      </c>
      <c r="H1926" s="70" t="str">
        <f t="shared" si="77"/>
        <v/>
      </c>
    </row>
    <row r="1927" spans="1:8">
      <c r="A1927" s="2"/>
      <c r="B1927" s="12"/>
      <c r="C1927" s="12"/>
      <c r="E1927" t="str">
        <f>IF(LEN(D1927)=0,"",[1]!i_pq_tradedays($B$3,A1928,A1927)-1)</f>
        <v/>
      </c>
      <c r="G1927" s="16" t="str">
        <f t="shared" si="76"/>
        <v/>
      </c>
      <c r="H1927" s="70" t="str">
        <f t="shared" si="77"/>
        <v/>
      </c>
    </row>
    <row r="1928" spans="1:8">
      <c r="A1928" s="2"/>
      <c r="B1928" s="12"/>
      <c r="C1928" s="12"/>
      <c r="E1928" t="str">
        <f>IF(LEN(D1928)=0,"",[1]!i_pq_tradedays($B$3,A1929,A1928)-1)</f>
        <v/>
      </c>
      <c r="G1928" s="16" t="str">
        <f t="shared" si="76"/>
        <v/>
      </c>
      <c r="H1928" s="70" t="str">
        <f t="shared" si="77"/>
        <v/>
      </c>
    </row>
    <row r="1929" spans="1:8">
      <c r="A1929" s="2"/>
      <c r="B1929" s="12"/>
      <c r="C1929" s="12"/>
      <c r="E1929" t="str">
        <f>IF(LEN(D1929)=0,"",[1]!i_pq_tradedays($B$3,A1930,A1929)-1)</f>
        <v/>
      </c>
      <c r="G1929" s="16" t="str">
        <f t="shared" si="76"/>
        <v/>
      </c>
      <c r="H1929" s="70" t="str">
        <f t="shared" si="77"/>
        <v/>
      </c>
    </row>
    <row r="1930" spans="1:8">
      <c r="A1930" s="2"/>
      <c r="B1930" s="12"/>
      <c r="C1930" s="12"/>
      <c r="E1930" t="str">
        <f>IF(LEN(D1930)=0,"",[1]!i_pq_tradedays($B$3,A1931,A1930)-1)</f>
        <v/>
      </c>
      <c r="G1930" s="16" t="str">
        <f t="shared" si="76"/>
        <v/>
      </c>
      <c r="H1930" s="70" t="str">
        <f t="shared" si="77"/>
        <v/>
      </c>
    </row>
    <row r="1931" spans="1:8">
      <c r="A1931" s="2"/>
      <c r="B1931" s="12"/>
      <c r="C1931" s="12"/>
      <c r="E1931" t="str">
        <f>IF(LEN(D1931)=0,"",[1]!i_pq_tradedays($B$3,A1932,A1931)-1)</f>
        <v/>
      </c>
      <c r="G1931" s="16" t="str">
        <f t="shared" si="76"/>
        <v/>
      </c>
      <c r="H1931" s="70" t="str">
        <f t="shared" si="77"/>
        <v/>
      </c>
    </row>
    <row r="1932" spans="1:8">
      <c r="A1932" s="2"/>
      <c r="B1932" s="12"/>
      <c r="C1932" s="12"/>
      <c r="E1932" t="str">
        <f>IF(LEN(D1932)=0,"",[1]!i_pq_tradedays($B$3,A1933,A1932)-1)</f>
        <v/>
      </c>
      <c r="G1932" s="16" t="str">
        <f t="shared" si="76"/>
        <v/>
      </c>
      <c r="H1932" s="70" t="str">
        <f t="shared" si="77"/>
        <v/>
      </c>
    </row>
    <row r="1933" spans="1:8">
      <c r="A1933" s="2"/>
      <c r="B1933" s="12"/>
      <c r="C1933" s="12"/>
      <c r="E1933" t="str">
        <f>IF(LEN(D1933)=0,"",[1]!i_pq_tradedays($B$3,A1934,A1933)-1)</f>
        <v/>
      </c>
      <c r="G1933" s="16" t="str">
        <f t="shared" si="76"/>
        <v/>
      </c>
      <c r="H1933" s="70" t="str">
        <f t="shared" si="77"/>
        <v/>
      </c>
    </row>
    <row r="1934" spans="1:8">
      <c r="A1934" s="2"/>
      <c r="B1934" s="12"/>
      <c r="C1934" s="12"/>
      <c r="E1934" t="str">
        <f>IF(LEN(D1934)=0,"",[1]!i_pq_tradedays($B$3,A1935,A1934)-1)</f>
        <v/>
      </c>
      <c r="G1934" s="16" t="str">
        <f t="shared" si="76"/>
        <v/>
      </c>
      <c r="H1934" s="70" t="str">
        <f t="shared" si="77"/>
        <v/>
      </c>
    </row>
    <row r="1935" spans="1:8">
      <c r="A1935" s="2"/>
      <c r="B1935" s="12"/>
      <c r="C1935" s="12"/>
      <c r="E1935" t="str">
        <f>IF(LEN(D1935)=0,"",[1]!i_pq_tradedays($B$3,A1936,A1935)-1)</f>
        <v/>
      </c>
      <c r="G1935" s="16" t="str">
        <f t="shared" si="76"/>
        <v/>
      </c>
      <c r="H1935" s="70" t="str">
        <f t="shared" si="77"/>
        <v/>
      </c>
    </row>
    <row r="1936" spans="1:8">
      <c r="A1936" s="2"/>
      <c r="B1936" s="12"/>
      <c r="C1936" s="12"/>
      <c r="E1936" t="str">
        <f>IF(LEN(D1936)=0,"",[1]!i_pq_tradedays($B$3,A1937,A1936)-1)</f>
        <v/>
      </c>
      <c r="G1936" s="16" t="str">
        <f t="shared" si="76"/>
        <v/>
      </c>
      <c r="H1936" s="70" t="str">
        <f t="shared" si="77"/>
        <v/>
      </c>
    </row>
    <row r="1937" spans="1:8">
      <c r="A1937" s="2"/>
      <c r="B1937" s="12"/>
      <c r="C1937" s="12"/>
      <c r="E1937" t="str">
        <f>IF(LEN(D1937)=0,"",[1]!i_pq_tradedays($B$3,A1938,A1937)-1)</f>
        <v/>
      </c>
      <c r="G1937" s="16" t="str">
        <f t="shared" si="76"/>
        <v/>
      </c>
      <c r="H1937" s="70" t="str">
        <f t="shared" si="77"/>
        <v/>
      </c>
    </row>
    <row r="1938" spans="1:8">
      <c r="A1938" s="2"/>
      <c r="B1938" s="12"/>
      <c r="C1938" s="12"/>
      <c r="E1938" t="str">
        <f>IF(LEN(D1938)=0,"",[1]!i_pq_tradedays($B$3,A1939,A1938)-1)</f>
        <v/>
      </c>
      <c r="G1938" s="16" t="str">
        <f t="shared" si="76"/>
        <v/>
      </c>
      <c r="H1938" s="70" t="str">
        <f t="shared" si="77"/>
        <v/>
      </c>
    </row>
    <row r="1939" spans="1:8">
      <c r="A1939" s="2"/>
      <c r="B1939" s="12"/>
      <c r="C1939" s="12"/>
      <c r="E1939" t="str">
        <f>IF(LEN(D1939)=0,"",[1]!i_pq_tradedays($B$3,A1940,A1939)-1)</f>
        <v/>
      </c>
      <c r="G1939" s="16" t="str">
        <f t="shared" si="76"/>
        <v/>
      </c>
      <c r="H1939" s="70" t="str">
        <f t="shared" si="77"/>
        <v/>
      </c>
    </row>
    <row r="1940" spans="1:8">
      <c r="A1940" s="2"/>
      <c r="B1940" s="12"/>
      <c r="C1940" s="12"/>
      <c r="E1940" t="str">
        <f>IF(LEN(D1940)=0,"",[1]!i_pq_tradedays($B$3,A1941,A1940)-1)</f>
        <v/>
      </c>
      <c r="G1940" s="16" t="str">
        <f t="shared" si="76"/>
        <v/>
      </c>
      <c r="H1940" s="70" t="str">
        <f t="shared" si="77"/>
        <v/>
      </c>
    </row>
    <row r="1941" spans="1:8">
      <c r="A1941" s="2"/>
      <c r="B1941" s="12"/>
      <c r="C1941" s="12"/>
      <c r="E1941" t="str">
        <f>IF(LEN(D1941)=0,"",[1]!i_pq_tradedays($B$3,A1942,A1941)-1)</f>
        <v/>
      </c>
      <c r="G1941" s="16" t="str">
        <f t="shared" si="76"/>
        <v/>
      </c>
      <c r="H1941" s="70" t="str">
        <f t="shared" si="77"/>
        <v/>
      </c>
    </row>
    <row r="1942" spans="1:8">
      <c r="A1942" s="2"/>
      <c r="B1942" s="12"/>
      <c r="C1942" s="12"/>
      <c r="E1942" t="str">
        <f>IF(LEN(D1942)=0,"",[1]!i_pq_tradedays($B$3,A1943,A1942)-1)</f>
        <v/>
      </c>
      <c r="G1942" s="16" t="str">
        <f t="shared" si="76"/>
        <v/>
      </c>
      <c r="H1942" s="70" t="str">
        <f t="shared" si="77"/>
        <v/>
      </c>
    </row>
    <row r="1943" spans="1:8">
      <c r="A1943" s="2"/>
      <c r="B1943" s="12"/>
      <c r="C1943" s="12"/>
      <c r="E1943" t="str">
        <f>IF(LEN(D1943)=0,"",[1]!i_pq_tradedays($B$3,A1944,A1943)-1)</f>
        <v/>
      </c>
      <c r="G1943" s="16" t="str">
        <f t="shared" si="76"/>
        <v/>
      </c>
      <c r="H1943" s="70" t="str">
        <f t="shared" si="77"/>
        <v/>
      </c>
    </row>
    <row r="1944" spans="1:8">
      <c r="A1944" s="2"/>
      <c r="B1944" s="12"/>
      <c r="C1944" s="12"/>
      <c r="E1944" t="str">
        <f>IF(LEN(D1944)=0,"",[1]!i_pq_tradedays($B$3,A1945,A1944)-1)</f>
        <v/>
      </c>
      <c r="G1944" s="16" t="str">
        <f t="shared" si="76"/>
        <v/>
      </c>
      <c r="H1944" s="70" t="str">
        <f t="shared" si="77"/>
        <v/>
      </c>
    </row>
    <row r="1945" spans="1:8">
      <c r="A1945" s="2"/>
      <c r="B1945" s="12"/>
      <c r="C1945" s="12"/>
      <c r="E1945" t="str">
        <f>IF(LEN(D1945)=0,"",[1]!i_pq_tradedays($B$3,A1946,A1945)-1)</f>
        <v/>
      </c>
      <c r="G1945" s="16" t="str">
        <f t="shared" si="76"/>
        <v/>
      </c>
      <c r="H1945" s="70" t="str">
        <f t="shared" si="77"/>
        <v/>
      </c>
    </row>
    <row r="1946" spans="1:8">
      <c r="A1946" s="2"/>
      <c r="B1946" s="12"/>
      <c r="C1946" s="12"/>
      <c r="E1946" t="str">
        <f>IF(LEN(D1946)=0,"",[1]!i_pq_tradedays($B$3,A1947,A1946)-1)</f>
        <v/>
      </c>
      <c r="G1946" s="16" t="str">
        <f t="shared" si="76"/>
        <v/>
      </c>
      <c r="H1946" s="70" t="str">
        <f t="shared" si="77"/>
        <v/>
      </c>
    </row>
    <row r="1947" spans="1:8">
      <c r="A1947" s="2"/>
      <c r="B1947" s="12"/>
      <c r="C1947" s="12"/>
      <c r="E1947" t="str">
        <f>IF(LEN(D1947)=0,"",[1]!i_pq_tradedays($B$3,A1948,A1947)-1)</f>
        <v/>
      </c>
      <c r="G1947" s="16" t="str">
        <f t="shared" si="76"/>
        <v/>
      </c>
      <c r="H1947" s="70" t="str">
        <f t="shared" si="77"/>
        <v/>
      </c>
    </row>
    <row r="1948" spans="1:8">
      <c r="A1948" s="2"/>
      <c r="B1948" s="12"/>
      <c r="C1948" s="12"/>
      <c r="E1948" t="str">
        <f>IF(LEN(D1948)=0,"",[1]!i_pq_tradedays($B$3,A1949,A1948)-1)</f>
        <v/>
      </c>
      <c r="G1948" s="16" t="str">
        <f t="shared" si="76"/>
        <v/>
      </c>
      <c r="H1948" s="70" t="str">
        <f t="shared" si="77"/>
        <v/>
      </c>
    </row>
    <row r="1949" spans="1:8">
      <c r="A1949" s="2"/>
      <c r="B1949" s="12"/>
      <c r="C1949" s="12"/>
      <c r="E1949" t="str">
        <f>IF(LEN(D1949)=0,"",[1]!i_pq_tradedays($B$3,A1950,A1949)-1)</f>
        <v/>
      </c>
      <c r="G1949" s="16" t="str">
        <f t="shared" si="76"/>
        <v/>
      </c>
      <c r="H1949" s="70" t="str">
        <f t="shared" si="77"/>
        <v/>
      </c>
    </row>
    <row r="1950" spans="1:8">
      <c r="A1950" s="2"/>
      <c r="B1950" s="12"/>
      <c r="C1950" s="12"/>
      <c r="E1950" t="str">
        <f>IF(LEN(D1950)=0,"",[1]!i_pq_tradedays($B$3,A1951,A1950)-1)</f>
        <v/>
      </c>
      <c r="G1950" s="16" t="str">
        <f t="shared" si="76"/>
        <v/>
      </c>
      <c r="H1950" s="70" t="str">
        <f t="shared" si="77"/>
        <v/>
      </c>
    </row>
    <row r="1951" spans="1:8">
      <c r="A1951" s="2"/>
      <c r="B1951" s="12"/>
      <c r="C1951" s="12"/>
      <c r="E1951" t="str">
        <f>IF(LEN(D1951)=0,"",[1]!i_pq_tradedays($B$3,A1952,A1951)-1)</f>
        <v/>
      </c>
      <c r="G1951" s="16" t="str">
        <f t="shared" si="76"/>
        <v/>
      </c>
      <c r="H1951" s="70" t="str">
        <f t="shared" si="77"/>
        <v/>
      </c>
    </row>
    <row r="1952" spans="1:8">
      <c r="A1952" s="2"/>
      <c r="B1952" s="12"/>
      <c r="C1952" s="12"/>
      <c r="E1952" t="str">
        <f>IF(LEN(D1952)=0,"",[1]!i_pq_tradedays($B$3,A1953,A1952)-1)</f>
        <v/>
      </c>
      <c r="G1952" s="16" t="str">
        <f t="shared" si="76"/>
        <v/>
      </c>
      <c r="H1952" s="70" t="str">
        <f t="shared" si="77"/>
        <v/>
      </c>
    </row>
    <row r="1953" spans="1:8">
      <c r="A1953" s="2"/>
      <c r="B1953" s="12"/>
      <c r="C1953" s="12"/>
      <c r="E1953" t="str">
        <f>IF(LEN(D1953)=0,"",[1]!i_pq_tradedays($B$3,A1954,A1953)-1)</f>
        <v/>
      </c>
      <c r="G1953" s="16" t="str">
        <f t="shared" si="76"/>
        <v/>
      </c>
      <c r="H1953" s="70" t="str">
        <f t="shared" si="77"/>
        <v/>
      </c>
    </row>
    <row r="1954" spans="1:8">
      <c r="A1954" s="2"/>
      <c r="B1954" s="12"/>
      <c r="C1954" s="12"/>
      <c r="E1954" t="str">
        <f>IF(LEN(D1954)=0,"",[1]!i_pq_tradedays($B$3,A1955,A1954)-1)</f>
        <v/>
      </c>
      <c r="G1954" s="16" t="str">
        <f t="shared" si="76"/>
        <v/>
      </c>
      <c r="H1954" s="70" t="str">
        <f t="shared" si="77"/>
        <v/>
      </c>
    </row>
    <row r="1955" spans="1:8">
      <c r="A1955" s="2"/>
      <c r="B1955" s="12"/>
      <c r="C1955" s="12"/>
      <c r="E1955" t="str">
        <f>IF(LEN(D1955)=0,"",[1]!i_pq_tradedays($B$3,A1956,A1955)-1)</f>
        <v/>
      </c>
      <c r="G1955" s="16" t="str">
        <f t="shared" si="76"/>
        <v/>
      </c>
      <c r="H1955" s="70" t="str">
        <f t="shared" si="77"/>
        <v/>
      </c>
    </row>
    <row r="1956" spans="1:8">
      <c r="A1956" s="2"/>
      <c r="B1956" s="12"/>
      <c r="C1956" s="12"/>
      <c r="E1956" t="str">
        <f>IF(LEN(D1956)=0,"",[1]!i_pq_tradedays($B$3,A1957,A1956)-1)</f>
        <v/>
      </c>
      <c r="G1956" s="16" t="str">
        <f t="shared" si="76"/>
        <v/>
      </c>
      <c r="H1956" s="70" t="str">
        <f t="shared" si="77"/>
        <v/>
      </c>
    </row>
    <row r="1957" spans="1:8">
      <c r="A1957" s="2"/>
      <c r="B1957" s="12"/>
      <c r="C1957" s="12"/>
      <c r="E1957" t="str">
        <f>IF(LEN(D1957)=0,"",[1]!i_pq_tradedays($B$3,A1958,A1957)-1)</f>
        <v/>
      </c>
      <c r="G1957" s="16" t="str">
        <f t="shared" si="76"/>
        <v/>
      </c>
      <c r="H1957" s="70" t="str">
        <f t="shared" si="77"/>
        <v/>
      </c>
    </row>
    <row r="1958" spans="1:8">
      <c r="A1958" s="2"/>
      <c r="B1958" s="12"/>
      <c r="C1958" s="12"/>
      <c r="E1958" t="str">
        <f>IF(LEN(D1958)=0,"",[1]!i_pq_tradedays($B$3,A1959,A1958)-1)</f>
        <v/>
      </c>
      <c r="G1958" s="16" t="str">
        <f t="shared" si="76"/>
        <v/>
      </c>
      <c r="H1958" s="70" t="str">
        <f t="shared" si="77"/>
        <v/>
      </c>
    </row>
    <row r="1959" spans="1:8">
      <c r="A1959" s="2"/>
      <c r="B1959" s="12"/>
      <c r="C1959" s="12"/>
      <c r="E1959" t="str">
        <f>IF(LEN(D1959)=0,"",[1]!i_pq_tradedays($B$3,A1960,A1959)-1)</f>
        <v/>
      </c>
      <c r="G1959" s="16" t="str">
        <f t="shared" si="76"/>
        <v/>
      </c>
      <c r="H1959" s="70" t="str">
        <f t="shared" si="77"/>
        <v/>
      </c>
    </row>
    <row r="1960" spans="1:8">
      <c r="A1960" s="2"/>
      <c r="B1960" s="12"/>
      <c r="C1960" s="12"/>
      <c r="E1960" t="str">
        <f>IF(LEN(D1960)=0,"",[1]!i_pq_tradedays($B$3,A1961,A1960)-1)</f>
        <v/>
      </c>
      <c r="G1960" s="16" t="str">
        <f t="shared" si="76"/>
        <v/>
      </c>
      <c r="H1960" s="70" t="str">
        <f t="shared" si="77"/>
        <v/>
      </c>
    </row>
    <row r="1961" spans="1:8">
      <c r="A1961" s="2"/>
      <c r="B1961" s="12"/>
      <c r="C1961" s="12"/>
      <c r="E1961" t="str">
        <f>IF(LEN(D1961)=0,"",[1]!i_pq_tradedays($B$3,A1962,A1961)-1)</f>
        <v/>
      </c>
      <c r="G1961" s="16" t="str">
        <f t="shared" si="76"/>
        <v/>
      </c>
      <c r="H1961" s="70" t="str">
        <f t="shared" si="77"/>
        <v/>
      </c>
    </row>
    <row r="1962" spans="1:8">
      <c r="A1962" s="2"/>
      <c r="B1962" s="12"/>
      <c r="C1962" s="12"/>
      <c r="E1962" t="str">
        <f>IF(LEN(D1962)=0,"",[1]!i_pq_tradedays($B$3,A1963,A1962)-1)</f>
        <v/>
      </c>
      <c r="G1962" s="16" t="str">
        <f t="shared" si="76"/>
        <v/>
      </c>
      <c r="H1962" s="70" t="str">
        <f t="shared" si="77"/>
        <v/>
      </c>
    </row>
    <row r="1963" spans="1:8">
      <c r="A1963" s="2"/>
      <c r="B1963" s="12"/>
      <c r="C1963" s="12"/>
      <c r="E1963" t="str">
        <f>IF(LEN(D1963)=0,"",[1]!i_pq_tradedays($B$3,A1964,A1963)-1)</f>
        <v/>
      </c>
      <c r="G1963" s="16" t="str">
        <f t="shared" si="76"/>
        <v/>
      </c>
      <c r="H1963" s="70" t="str">
        <f t="shared" si="77"/>
        <v/>
      </c>
    </row>
    <row r="1964" spans="1:8">
      <c r="A1964" s="2"/>
      <c r="B1964" s="12"/>
      <c r="C1964" s="12"/>
      <c r="E1964" t="str">
        <f>IF(LEN(D1964)=0,"",[1]!i_pq_tradedays($B$3,A1965,A1964)-1)</f>
        <v/>
      </c>
      <c r="G1964" s="16" t="str">
        <f t="shared" si="76"/>
        <v/>
      </c>
      <c r="H1964" s="70" t="str">
        <f t="shared" si="77"/>
        <v/>
      </c>
    </row>
    <row r="1965" spans="1:8">
      <c r="A1965" s="2"/>
      <c r="B1965" s="12"/>
      <c r="C1965" s="12"/>
      <c r="E1965" t="str">
        <f>IF(LEN(D1965)=0,"",[1]!i_pq_tradedays($B$3,A1966,A1965)-1)</f>
        <v/>
      </c>
      <c r="G1965" s="16" t="str">
        <f t="shared" si="76"/>
        <v/>
      </c>
      <c r="H1965" s="70" t="str">
        <f t="shared" si="77"/>
        <v/>
      </c>
    </row>
    <row r="1966" spans="1:8">
      <c r="A1966" s="2"/>
      <c r="B1966" s="12"/>
      <c r="C1966" s="12"/>
      <c r="E1966" t="str">
        <f>IF(LEN(D1966)=0,"",[1]!i_pq_tradedays($B$3,A1967,A1966)-1)</f>
        <v/>
      </c>
      <c r="G1966" s="16" t="str">
        <f t="shared" si="76"/>
        <v/>
      </c>
      <c r="H1966" s="70" t="str">
        <f t="shared" si="77"/>
        <v/>
      </c>
    </row>
    <row r="1967" spans="1:8">
      <c r="A1967" s="2"/>
      <c r="B1967" s="12"/>
      <c r="C1967" s="12"/>
      <c r="E1967" t="str">
        <f>IF(LEN(D1967)=0,"",[1]!i_pq_tradedays($B$3,A1968,A1967)-1)</f>
        <v/>
      </c>
      <c r="G1967" s="16" t="str">
        <f t="shared" si="76"/>
        <v/>
      </c>
      <c r="H1967" s="70" t="str">
        <f t="shared" si="77"/>
        <v/>
      </c>
    </row>
    <row r="1968" spans="1:8">
      <c r="A1968" s="2"/>
      <c r="B1968" s="12"/>
      <c r="C1968" s="12"/>
      <c r="E1968" t="str">
        <f>IF(LEN(D1968)=0,"",[1]!i_pq_tradedays($B$3,A1969,A1968)-1)</f>
        <v/>
      </c>
      <c r="G1968" s="16" t="str">
        <f t="shared" si="76"/>
        <v/>
      </c>
      <c r="H1968" s="70" t="str">
        <f t="shared" si="77"/>
        <v/>
      </c>
    </row>
    <row r="1969" spans="1:8">
      <c r="A1969" s="2"/>
      <c r="B1969" s="12"/>
      <c r="C1969" s="12"/>
      <c r="E1969" t="str">
        <f>IF(LEN(D1969)=0,"",[1]!i_pq_tradedays($B$3,A1970,A1969)-1)</f>
        <v/>
      </c>
      <c r="G1969" s="16" t="str">
        <f t="shared" si="76"/>
        <v/>
      </c>
      <c r="H1969" s="70" t="str">
        <f t="shared" si="77"/>
        <v/>
      </c>
    </row>
    <row r="1970" spans="1:8">
      <c r="A1970" s="2"/>
      <c r="B1970" s="12"/>
      <c r="C1970" s="12"/>
      <c r="E1970" t="str">
        <f>IF(LEN(D1970)=0,"",[1]!i_pq_tradedays($B$3,A1971,A1970)-1)</f>
        <v/>
      </c>
      <c r="G1970" s="16" t="str">
        <f t="shared" si="76"/>
        <v/>
      </c>
      <c r="H1970" s="70" t="str">
        <f t="shared" si="77"/>
        <v/>
      </c>
    </row>
    <row r="1971" spans="1:8">
      <c r="A1971" s="2"/>
      <c r="B1971" s="12"/>
      <c r="C1971" s="12"/>
      <c r="E1971" t="str">
        <f>IF(LEN(D1971)=0,"",[1]!i_pq_tradedays($B$3,A1972,A1971)-1)</f>
        <v/>
      </c>
      <c r="G1971" s="16" t="str">
        <f t="shared" si="76"/>
        <v/>
      </c>
      <c r="H1971" s="70" t="str">
        <f t="shared" si="77"/>
        <v/>
      </c>
    </row>
    <row r="1972" spans="1:8">
      <c r="A1972" s="2"/>
      <c r="B1972" s="12"/>
      <c r="C1972" s="12"/>
      <c r="E1972" t="str">
        <f>IF(LEN(D1972)=0,"",[1]!i_pq_tradedays($B$3,A1973,A1972)-1)</f>
        <v/>
      </c>
      <c r="G1972" s="16" t="str">
        <f t="shared" si="76"/>
        <v/>
      </c>
      <c r="H1972" s="70" t="str">
        <f t="shared" si="77"/>
        <v/>
      </c>
    </row>
    <row r="1973" spans="1:8">
      <c r="A1973" s="2"/>
      <c r="B1973" s="12"/>
      <c r="C1973" s="12"/>
      <c r="E1973" t="str">
        <f>IF(LEN(D1973)=0,"",[1]!i_pq_tradedays($B$3,A1974,A1973)-1)</f>
        <v/>
      </c>
      <c r="G1973" s="16" t="str">
        <f t="shared" ref="G1973:G2036" si="78">IF(LEN(D1973)=0,"",D1973/E1973)</f>
        <v/>
      </c>
      <c r="H1973" s="70" t="str">
        <f t="shared" ref="H1973:H2036" si="79">IF(LEN(D1973)=0,"",G1973/G1974-1)</f>
        <v/>
      </c>
    </row>
    <row r="1974" spans="1:8">
      <c r="A1974" s="2"/>
      <c r="B1974" s="12"/>
      <c r="C1974" s="12"/>
      <c r="E1974" t="str">
        <f>IF(LEN(D1974)=0,"",[1]!i_pq_tradedays($B$3,A1975,A1974)-1)</f>
        <v/>
      </c>
      <c r="G1974" s="16" t="str">
        <f t="shared" si="78"/>
        <v/>
      </c>
      <c r="H1974" s="70" t="str">
        <f t="shared" si="79"/>
        <v/>
      </c>
    </row>
    <row r="1975" spans="1:8">
      <c r="A1975" s="2"/>
      <c r="B1975" s="12"/>
      <c r="C1975" s="12"/>
      <c r="E1975" t="str">
        <f>IF(LEN(D1975)=0,"",[1]!i_pq_tradedays($B$3,A1976,A1975)-1)</f>
        <v/>
      </c>
      <c r="G1975" s="16" t="str">
        <f t="shared" si="78"/>
        <v/>
      </c>
      <c r="H1975" s="70" t="str">
        <f t="shared" si="79"/>
        <v/>
      </c>
    </row>
    <row r="1976" spans="1:8">
      <c r="A1976" s="2"/>
      <c r="B1976" s="12"/>
      <c r="C1976" s="12"/>
      <c r="E1976" t="str">
        <f>IF(LEN(D1976)=0,"",[1]!i_pq_tradedays($B$3,A1977,A1976)-1)</f>
        <v/>
      </c>
      <c r="G1976" s="16" t="str">
        <f t="shared" si="78"/>
        <v/>
      </c>
      <c r="H1976" s="70" t="str">
        <f t="shared" si="79"/>
        <v/>
      </c>
    </row>
    <row r="1977" spans="1:8">
      <c r="A1977" s="2"/>
      <c r="B1977" s="12"/>
      <c r="C1977" s="12"/>
      <c r="E1977" t="str">
        <f>IF(LEN(D1977)=0,"",[1]!i_pq_tradedays($B$3,A1978,A1977)-1)</f>
        <v/>
      </c>
      <c r="G1977" s="16" t="str">
        <f t="shared" si="78"/>
        <v/>
      </c>
      <c r="H1977" s="70" t="str">
        <f t="shared" si="79"/>
        <v/>
      </c>
    </row>
    <row r="1978" spans="1:8">
      <c r="A1978" s="2"/>
      <c r="B1978" s="12"/>
      <c r="C1978" s="12"/>
      <c r="E1978" t="str">
        <f>IF(LEN(D1978)=0,"",[1]!i_pq_tradedays($B$3,A1979,A1978)-1)</f>
        <v/>
      </c>
      <c r="G1978" s="16" t="str">
        <f t="shared" si="78"/>
        <v/>
      </c>
      <c r="H1978" s="70" t="str">
        <f t="shared" si="79"/>
        <v/>
      </c>
    </row>
    <row r="1979" spans="1:8">
      <c r="A1979" s="2"/>
      <c r="B1979" s="12"/>
      <c r="C1979" s="12"/>
      <c r="E1979" t="str">
        <f>IF(LEN(D1979)=0,"",[1]!i_pq_tradedays($B$3,A1980,A1979)-1)</f>
        <v/>
      </c>
      <c r="G1979" s="16" t="str">
        <f t="shared" si="78"/>
        <v/>
      </c>
      <c r="H1979" s="70" t="str">
        <f t="shared" si="79"/>
        <v/>
      </c>
    </row>
    <row r="1980" spans="1:8">
      <c r="A1980" s="2"/>
      <c r="B1980" s="12"/>
      <c r="C1980" s="12"/>
      <c r="E1980" t="str">
        <f>IF(LEN(D1980)=0,"",[1]!i_pq_tradedays($B$3,A1981,A1980)-1)</f>
        <v/>
      </c>
      <c r="G1980" s="16" t="str">
        <f t="shared" si="78"/>
        <v/>
      </c>
      <c r="H1980" s="70" t="str">
        <f t="shared" si="79"/>
        <v/>
      </c>
    </row>
    <row r="1981" spans="1:8">
      <c r="A1981" s="2"/>
      <c r="B1981" s="12"/>
      <c r="C1981" s="12"/>
      <c r="E1981" t="str">
        <f>IF(LEN(D1981)=0,"",[1]!i_pq_tradedays($B$3,A1982,A1981)-1)</f>
        <v/>
      </c>
      <c r="G1981" s="16" t="str">
        <f t="shared" si="78"/>
        <v/>
      </c>
      <c r="H1981" s="70" t="str">
        <f t="shared" si="79"/>
        <v/>
      </c>
    </row>
    <row r="1982" spans="1:8">
      <c r="A1982" s="2"/>
      <c r="B1982" s="12"/>
      <c r="C1982" s="12"/>
      <c r="E1982" t="str">
        <f>IF(LEN(D1982)=0,"",[1]!i_pq_tradedays($B$3,A1983,A1982)-1)</f>
        <v/>
      </c>
      <c r="G1982" s="16" t="str">
        <f t="shared" si="78"/>
        <v/>
      </c>
      <c r="H1982" s="70" t="str">
        <f t="shared" si="79"/>
        <v/>
      </c>
    </row>
    <row r="1983" spans="1:8">
      <c r="A1983" s="2"/>
      <c r="B1983" s="12"/>
      <c r="C1983" s="12"/>
      <c r="E1983" t="str">
        <f>IF(LEN(D1983)=0,"",[1]!i_pq_tradedays($B$3,A1984,A1983)-1)</f>
        <v/>
      </c>
      <c r="G1983" s="16" t="str">
        <f t="shared" si="78"/>
        <v/>
      </c>
      <c r="H1983" s="70" t="str">
        <f t="shared" si="79"/>
        <v/>
      </c>
    </row>
    <row r="1984" spans="1:8">
      <c r="A1984" s="2"/>
      <c r="B1984" s="12"/>
      <c r="C1984" s="12"/>
      <c r="E1984" t="str">
        <f>IF(LEN(D1984)=0,"",[1]!i_pq_tradedays($B$3,A1985,A1984)-1)</f>
        <v/>
      </c>
      <c r="G1984" s="16" t="str">
        <f t="shared" si="78"/>
        <v/>
      </c>
      <c r="H1984" s="70" t="str">
        <f t="shared" si="79"/>
        <v/>
      </c>
    </row>
    <row r="1985" spans="1:8">
      <c r="A1985" s="2"/>
      <c r="B1985" s="12"/>
      <c r="C1985" s="12"/>
      <c r="E1985" t="str">
        <f>IF(LEN(D1985)=0,"",[1]!i_pq_tradedays($B$3,A1986,A1985)-1)</f>
        <v/>
      </c>
      <c r="G1985" s="16" t="str">
        <f t="shared" si="78"/>
        <v/>
      </c>
      <c r="H1985" s="70" t="str">
        <f t="shared" si="79"/>
        <v/>
      </c>
    </row>
    <row r="1986" spans="1:8">
      <c r="A1986" s="2"/>
      <c r="B1986" s="12"/>
      <c r="C1986" s="12"/>
      <c r="E1986" t="str">
        <f>IF(LEN(D1986)=0,"",[1]!i_pq_tradedays($B$3,A1987,A1986)-1)</f>
        <v/>
      </c>
      <c r="G1986" s="16" t="str">
        <f t="shared" si="78"/>
        <v/>
      </c>
      <c r="H1986" s="70" t="str">
        <f t="shared" si="79"/>
        <v/>
      </c>
    </row>
    <row r="1987" spans="1:8">
      <c r="A1987" s="2"/>
      <c r="B1987" s="12"/>
      <c r="C1987" s="12"/>
      <c r="E1987" t="str">
        <f>IF(LEN(D1987)=0,"",[1]!i_pq_tradedays($B$3,A1988,A1987)-1)</f>
        <v/>
      </c>
      <c r="G1987" s="16" t="str">
        <f t="shared" si="78"/>
        <v/>
      </c>
      <c r="H1987" s="70" t="str">
        <f t="shared" si="79"/>
        <v/>
      </c>
    </row>
    <row r="1988" spans="1:8">
      <c r="A1988" s="2"/>
      <c r="B1988" s="12"/>
      <c r="C1988" s="12"/>
      <c r="E1988" t="str">
        <f>IF(LEN(D1988)=0,"",[1]!i_pq_tradedays($B$3,A1989,A1988)-1)</f>
        <v/>
      </c>
      <c r="G1988" s="16" t="str">
        <f t="shared" si="78"/>
        <v/>
      </c>
      <c r="H1988" s="70" t="str">
        <f t="shared" si="79"/>
        <v/>
      </c>
    </row>
    <row r="1989" spans="1:8">
      <c r="A1989" s="2"/>
      <c r="B1989" s="12"/>
      <c r="C1989" s="12"/>
      <c r="E1989" t="str">
        <f>IF(LEN(D1989)=0,"",[1]!i_pq_tradedays($B$3,A1990,A1989)-1)</f>
        <v/>
      </c>
      <c r="G1989" s="16" t="str">
        <f t="shared" si="78"/>
        <v/>
      </c>
      <c r="H1989" s="70" t="str">
        <f t="shared" si="79"/>
        <v/>
      </c>
    </row>
    <row r="1990" spans="1:8">
      <c r="A1990" s="2"/>
      <c r="B1990" s="12"/>
      <c r="C1990" s="12"/>
      <c r="E1990" t="str">
        <f>IF(LEN(D1990)=0,"",[1]!i_pq_tradedays($B$3,A1991,A1990)-1)</f>
        <v/>
      </c>
      <c r="G1990" s="16" t="str">
        <f t="shared" si="78"/>
        <v/>
      </c>
      <c r="H1990" s="70" t="str">
        <f t="shared" si="79"/>
        <v/>
      </c>
    </row>
    <row r="1991" spans="1:8">
      <c r="A1991" s="2"/>
      <c r="B1991" s="12"/>
      <c r="C1991" s="12"/>
      <c r="E1991" t="str">
        <f>IF(LEN(D1991)=0,"",[1]!i_pq_tradedays($B$3,A1992,A1991)-1)</f>
        <v/>
      </c>
      <c r="G1991" s="16" t="str">
        <f t="shared" si="78"/>
        <v/>
      </c>
      <c r="H1991" s="70" t="str">
        <f t="shared" si="79"/>
        <v/>
      </c>
    </row>
    <row r="1992" spans="1:8">
      <c r="A1992" s="2"/>
      <c r="B1992" s="12"/>
      <c r="C1992" s="12"/>
      <c r="E1992" t="str">
        <f>IF(LEN(D1992)=0,"",[1]!i_pq_tradedays($B$3,A1993,A1992)-1)</f>
        <v/>
      </c>
      <c r="G1992" s="16" t="str">
        <f t="shared" si="78"/>
        <v/>
      </c>
      <c r="H1992" s="70" t="str">
        <f t="shared" si="79"/>
        <v/>
      </c>
    </row>
    <row r="1993" spans="1:8">
      <c r="A1993" s="2"/>
      <c r="B1993" s="12"/>
      <c r="C1993" s="12"/>
      <c r="E1993" t="str">
        <f>IF(LEN(D1993)=0,"",[1]!i_pq_tradedays($B$3,A1994,A1993)-1)</f>
        <v/>
      </c>
      <c r="G1993" s="16" t="str">
        <f t="shared" si="78"/>
        <v/>
      </c>
      <c r="H1993" s="70" t="str">
        <f t="shared" si="79"/>
        <v/>
      </c>
    </row>
    <row r="1994" spans="1:8">
      <c r="A1994" s="2"/>
      <c r="B1994" s="12"/>
      <c r="C1994" s="12"/>
      <c r="E1994" t="str">
        <f>IF(LEN(D1994)=0,"",[1]!i_pq_tradedays($B$3,A1995,A1994)-1)</f>
        <v/>
      </c>
      <c r="G1994" s="16" t="str">
        <f t="shared" si="78"/>
        <v/>
      </c>
      <c r="H1994" s="70" t="str">
        <f t="shared" si="79"/>
        <v/>
      </c>
    </row>
    <row r="1995" spans="1:8">
      <c r="A1995" s="2"/>
      <c r="B1995" s="12"/>
      <c r="C1995" s="12"/>
      <c r="E1995" t="str">
        <f>IF(LEN(D1995)=0,"",[1]!i_pq_tradedays($B$3,A1996,A1995)-1)</f>
        <v/>
      </c>
      <c r="G1995" s="16" t="str">
        <f t="shared" si="78"/>
        <v/>
      </c>
      <c r="H1995" s="70" t="str">
        <f t="shared" si="79"/>
        <v/>
      </c>
    </row>
    <row r="1996" spans="1:8">
      <c r="A1996" s="2"/>
      <c r="B1996" s="12"/>
      <c r="C1996" s="12"/>
      <c r="E1996" t="str">
        <f>IF(LEN(D1996)=0,"",[1]!i_pq_tradedays($B$3,A1997,A1996)-1)</f>
        <v/>
      </c>
      <c r="G1996" s="16" t="str">
        <f t="shared" si="78"/>
        <v/>
      </c>
      <c r="H1996" s="70" t="str">
        <f t="shared" si="79"/>
        <v/>
      </c>
    </row>
    <row r="1997" spans="1:8">
      <c r="A1997" s="2"/>
      <c r="B1997" s="12"/>
      <c r="C1997" s="12"/>
      <c r="E1997" t="str">
        <f>IF(LEN(D1997)=0,"",[1]!i_pq_tradedays($B$3,A1998,A1997)-1)</f>
        <v/>
      </c>
      <c r="G1997" s="16" t="str">
        <f t="shared" si="78"/>
        <v/>
      </c>
      <c r="H1997" s="70" t="str">
        <f t="shared" si="79"/>
        <v/>
      </c>
    </row>
    <row r="1998" spans="1:8">
      <c r="A1998" s="2"/>
      <c r="B1998" s="12"/>
      <c r="C1998" s="12"/>
      <c r="E1998" t="str">
        <f>IF(LEN(D1998)=0,"",[1]!i_pq_tradedays($B$3,A1999,A1998)-1)</f>
        <v/>
      </c>
      <c r="G1998" s="16" t="str">
        <f t="shared" si="78"/>
        <v/>
      </c>
      <c r="H1998" s="70" t="str">
        <f t="shared" si="79"/>
        <v/>
      </c>
    </row>
    <row r="1999" spans="1:8">
      <c r="A1999" s="2"/>
      <c r="B1999" s="12"/>
      <c r="C1999" s="12"/>
      <c r="E1999" t="str">
        <f>IF(LEN(D1999)=0,"",[1]!i_pq_tradedays($B$3,A2000,A1999)-1)</f>
        <v/>
      </c>
      <c r="G1999" s="16" t="str">
        <f t="shared" si="78"/>
        <v/>
      </c>
      <c r="H1999" s="70" t="str">
        <f t="shared" si="79"/>
        <v/>
      </c>
    </row>
    <row r="2000" spans="1:8">
      <c r="A2000" s="2"/>
      <c r="B2000" s="12"/>
      <c r="C2000" s="12"/>
      <c r="E2000" t="str">
        <f>IF(LEN(D2000)=0,"",[1]!i_pq_tradedays($B$3,A2001,A2000)-1)</f>
        <v/>
      </c>
      <c r="G2000" s="16" t="str">
        <f t="shared" si="78"/>
        <v/>
      </c>
      <c r="H2000" s="70" t="str">
        <f t="shared" si="79"/>
        <v/>
      </c>
    </row>
    <row r="2001" spans="1:8">
      <c r="A2001" s="2"/>
      <c r="B2001" s="12"/>
      <c r="C2001" s="12"/>
      <c r="E2001" t="str">
        <f>IF(LEN(D2001)=0,"",[1]!i_pq_tradedays($B$3,A2002,A2001)-1)</f>
        <v/>
      </c>
      <c r="G2001" s="16" t="str">
        <f t="shared" si="78"/>
        <v/>
      </c>
      <c r="H2001" s="70" t="str">
        <f t="shared" si="79"/>
        <v/>
      </c>
    </row>
    <row r="2002" spans="1:8">
      <c r="A2002" s="2"/>
      <c r="B2002" s="12"/>
      <c r="C2002" s="12"/>
      <c r="E2002" t="str">
        <f>IF(LEN(D2002)=0,"",[1]!i_pq_tradedays($B$3,A2003,A2002)-1)</f>
        <v/>
      </c>
      <c r="G2002" s="16" t="str">
        <f t="shared" si="78"/>
        <v/>
      </c>
      <c r="H2002" s="70" t="str">
        <f t="shared" si="79"/>
        <v/>
      </c>
    </row>
    <row r="2003" spans="1:8">
      <c r="A2003" s="2"/>
      <c r="B2003" s="12"/>
      <c r="C2003" s="12"/>
      <c r="E2003" t="str">
        <f>IF(LEN(D2003)=0,"",[1]!i_pq_tradedays($B$3,A2004,A2003)-1)</f>
        <v/>
      </c>
      <c r="G2003" s="16" t="str">
        <f t="shared" si="78"/>
        <v/>
      </c>
      <c r="H2003" s="70" t="str">
        <f t="shared" si="79"/>
        <v/>
      </c>
    </row>
    <row r="2004" spans="1:8">
      <c r="A2004" s="2"/>
      <c r="B2004" s="12"/>
      <c r="C2004" s="12"/>
      <c r="E2004" t="str">
        <f>IF(LEN(D2004)=0,"",[1]!i_pq_tradedays($B$3,A2005,A2004)-1)</f>
        <v/>
      </c>
      <c r="G2004" s="16" t="str">
        <f t="shared" si="78"/>
        <v/>
      </c>
      <c r="H2004" s="70" t="str">
        <f t="shared" si="79"/>
        <v/>
      </c>
    </row>
    <row r="2005" spans="1:8">
      <c r="A2005" s="2"/>
      <c r="B2005" s="12"/>
      <c r="C2005" s="12"/>
      <c r="E2005" t="str">
        <f>IF(LEN(D2005)=0,"",[1]!i_pq_tradedays($B$3,A2006,A2005)-1)</f>
        <v/>
      </c>
      <c r="G2005" s="16" t="str">
        <f t="shared" si="78"/>
        <v/>
      </c>
      <c r="H2005" s="70" t="str">
        <f t="shared" si="79"/>
        <v/>
      </c>
    </row>
    <row r="2006" spans="1:8">
      <c r="A2006" s="2"/>
      <c r="B2006" s="12"/>
      <c r="C2006" s="12"/>
      <c r="E2006" t="str">
        <f>IF(LEN(D2006)=0,"",[1]!i_pq_tradedays($B$3,A2007,A2006)-1)</f>
        <v/>
      </c>
      <c r="G2006" s="16" t="str">
        <f t="shared" si="78"/>
        <v/>
      </c>
      <c r="H2006" s="70" t="str">
        <f t="shared" si="79"/>
        <v/>
      </c>
    </row>
    <row r="2007" spans="1:8">
      <c r="A2007" s="2"/>
      <c r="B2007" s="12"/>
      <c r="C2007" s="12"/>
      <c r="E2007" t="str">
        <f>IF(LEN(D2007)=0,"",[1]!i_pq_tradedays($B$3,A2008,A2007)-1)</f>
        <v/>
      </c>
      <c r="G2007" s="16" t="str">
        <f t="shared" si="78"/>
        <v/>
      </c>
      <c r="H2007" s="70" t="str">
        <f t="shared" si="79"/>
        <v/>
      </c>
    </row>
    <row r="2008" spans="1:8">
      <c r="A2008" s="2"/>
      <c r="B2008" s="12"/>
      <c r="C2008" s="12"/>
      <c r="E2008" t="str">
        <f>IF(LEN(D2008)=0,"",[1]!i_pq_tradedays($B$3,A2009,A2008)-1)</f>
        <v/>
      </c>
      <c r="G2008" s="16" t="str">
        <f t="shared" si="78"/>
        <v/>
      </c>
      <c r="H2008" s="70" t="str">
        <f t="shared" si="79"/>
        <v/>
      </c>
    </row>
    <row r="2009" spans="1:8">
      <c r="A2009" s="2"/>
      <c r="B2009" s="12"/>
      <c r="C2009" s="12"/>
      <c r="E2009" t="str">
        <f>IF(LEN(D2009)=0,"",[1]!i_pq_tradedays($B$3,A2010,A2009)-1)</f>
        <v/>
      </c>
      <c r="G2009" s="16" t="str">
        <f t="shared" si="78"/>
        <v/>
      </c>
      <c r="H2009" s="70" t="str">
        <f t="shared" si="79"/>
        <v/>
      </c>
    </row>
    <row r="2010" spans="1:8">
      <c r="A2010" s="2"/>
      <c r="B2010" s="12"/>
      <c r="C2010" s="12"/>
      <c r="E2010" t="str">
        <f>IF(LEN(D2010)=0,"",[1]!i_pq_tradedays($B$3,A2011,A2010)-1)</f>
        <v/>
      </c>
      <c r="G2010" s="16" t="str">
        <f t="shared" si="78"/>
        <v/>
      </c>
      <c r="H2010" s="70" t="str">
        <f t="shared" si="79"/>
        <v/>
      </c>
    </row>
    <row r="2011" spans="1:8">
      <c r="A2011" s="2"/>
      <c r="B2011" s="12"/>
      <c r="C2011" s="12"/>
      <c r="E2011" t="str">
        <f>IF(LEN(D2011)=0,"",[1]!i_pq_tradedays($B$3,A2012,A2011)-1)</f>
        <v/>
      </c>
      <c r="G2011" s="16" t="str">
        <f t="shared" si="78"/>
        <v/>
      </c>
      <c r="H2011" s="70" t="str">
        <f t="shared" si="79"/>
        <v/>
      </c>
    </row>
    <row r="2012" spans="1:8">
      <c r="A2012" s="2"/>
      <c r="B2012" s="12"/>
      <c r="C2012" s="12"/>
      <c r="E2012" t="str">
        <f>IF(LEN(D2012)=0,"",[1]!i_pq_tradedays($B$3,A2013,A2012)-1)</f>
        <v/>
      </c>
      <c r="G2012" s="16" t="str">
        <f t="shared" si="78"/>
        <v/>
      </c>
      <c r="H2012" s="70" t="str">
        <f t="shared" si="79"/>
        <v/>
      </c>
    </row>
    <row r="2013" spans="1:8">
      <c r="A2013" s="2"/>
      <c r="B2013" s="12"/>
      <c r="C2013" s="12"/>
      <c r="E2013" t="str">
        <f>IF(LEN(D2013)=0,"",[1]!i_pq_tradedays($B$3,A2014,A2013)-1)</f>
        <v/>
      </c>
      <c r="G2013" s="16" t="str">
        <f t="shared" si="78"/>
        <v/>
      </c>
      <c r="H2013" s="70" t="str">
        <f t="shared" si="79"/>
        <v/>
      </c>
    </row>
    <row r="2014" spans="1:8">
      <c r="A2014" s="2"/>
      <c r="B2014" s="12"/>
      <c r="C2014" s="12"/>
      <c r="E2014" t="str">
        <f>IF(LEN(D2014)=0,"",[1]!i_pq_tradedays($B$3,A2015,A2014)-1)</f>
        <v/>
      </c>
      <c r="G2014" s="16" t="str">
        <f t="shared" si="78"/>
        <v/>
      </c>
      <c r="H2014" s="70" t="str">
        <f t="shared" si="79"/>
        <v/>
      </c>
    </row>
    <row r="2015" spans="1:8">
      <c r="A2015" s="2"/>
      <c r="B2015" s="12"/>
      <c r="C2015" s="12"/>
      <c r="E2015" t="str">
        <f>IF(LEN(D2015)=0,"",[1]!i_pq_tradedays($B$3,A2016,A2015)-1)</f>
        <v/>
      </c>
      <c r="G2015" s="16" t="str">
        <f t="shared" si="78"/>
        <v/>
      </c>
      <c r="H2015" s="70" t="str">
        <f t="shared" si="79"/>
        <v/>
      </c>
    </row>
    <row r="2016" spans="1:8">
      <c r="A2016" s="2"/>
      <c r="B2016" s="12"/>
      <c r="C2016" s="12"/>
      <c r="E2016" t="str">
        <f>IF(LEN(D2016)=0,"",[1]!i_pq_tradedays($B$3,A2017,A2016)-1)</f>
        <v/>
      </c>
      <c r="G2016" s="16" t="str">
        <f t="shared" si="78"/>
        <v/>
      </c>
      <c r="H2016" s="70" t="str">
        <f t="shared" si="79"/>
        <v/>
      </c>
    </row>
    <row r="2017" spans="1:8">
      <c r="A2017" s="2"/>
      <c r="B2017" s="12"/>
      <c r="C2017" s="12"/>
      <c r="E2017" t="str">
        <f>IF(LEN(D2017)=0,"",[1]!i_pq_tradedays($B$3,A2018,A2017)-1)</f>
        <v/>
      </c>
      <c r="G2017" s="16" t="str">
        <f t="shared" si="78"/>
        <v/>
      </c>
      <c r="H2017" s="70" t="str">
        <f t="shared" si="79"/>
        <v/>
      </c>
    </row>
    <row r="2018" spans="1:8">
      <c r="A2018" s="2"/>
      <c r="B2018" s="12"/>
      <c r="C2018" s="12"/>
      <c r="E2018" t="str">
        <f>IF(LEN(D2018)=0,"",[1]!i_pq_tradedays($B$3,A2019,A2018)-1)</f>
        <v/>
      </c>
      <c r="G2018" s="16" t="str">
        <f t="shared" si="78"/>
        <v/>
      </c>
      <c r="H2018" s="70" t="str">
        <f t="shared" si="79"/>
        <v/>
      </c>
    </row>
    <row r="2019" spans="1:8">
      <c r="A2019" s="2"/>
      <c r="B2019" s="12"/>
      <c r="C2019" s="12"/>
      <c r="E2019" t="str">
        <f>IF(LEN(D2019)=0,"",[1]!i_pq_tradedays($B$3,A2020,A2019)-1)</f>
        <v/>
      </c>
      <c r="G2019" s="16" t="str">
        <f t="shared" si="78"/>
        <v/>
      </c>
      <c r="H2019" s="70" t="str">
        <f t="shared" si="79"/>
        <v/>
      </c>
    </row>
    <row r="2020" spans="1:8">
      <c r="A2020" s="2"/>
      <c r="B2020" s="12"/>
      <c r="C2020" s="12"/>
      <c r="E2020" t="str">
        <f>IF(LEN(D2020)=0,"",[1]!i_pq_tradedays($B$3,A2021,A2020)-1)</f>
        <v/>
      </c>
      <c r="G2020" s="16" t="str">
        <f t="shared" si="78"/>
        <v/>
      </c>
      <c r="H2020" s="70" t="str">
        <f t="shared" si="79"/>
        <v/>
      </c>
    </row>
    <row r="2021" spans="1:8">
      <c r="A2021" s="2"/>
      <c r="B2021" s="12"/>
      <c r="C2021" s="12"/>
      <c r="E2021" t="str">
        <f>IF(LEN(D2021)=0,"",[1]!i_pq_tradedays($B$3,A2022,A2021)-1)</f>
        <v/>
      </c>
      <c r="G2021" s="16" t="str">
        <f t="shared" si="78"/>
        <v/>
      </c>
      <c r="H2021" s="70" t="str">
        <f t="shared" si="79"/>
        <v/>
      </c>
    </row>
    <row r="2022" spans="1:8">
      <c r="A2022" s="2"/>
      <c r="B2022" s="12"/>
      <c r="C2022" s="12"/>
      <c r="E2022" t="str">
        <f>IF(LEN(D2022)=0,"",[1]!i_pq_tradedays($B$3,A2023,A2022)-1)</f>
        <v/>
      </c>
      <c r="G2022" s="16" t="str">
        <f t="shared" si="78"/>
        <v/>
      </c>
      <c r="H2022" s="70" t="str">
        <f t="shared" si="79"/>
        <v/>
      </c>
    </row>
    <row r="2023" spans="1:8">
      <c r="A2023" s="2"/>
      <c r="B2023" s="12"/>
      <c r="C2023" s="12"/>
      <c r="E2023" t="str">
        <f>IF(LEN(D2023)=0,"",[1]!i_pq_tradedays($B$3,A2024,A2023)-1)</f>
        <v/>
      </c>
      <c r="G2023" s="16" t="str">
        <f t="shared" si="78"/>
        <v/>
      </c>
      <c r="H2023" s="70" t="str">
        <f t="shared" si="79"/>
        <v/>
      </c>
    </row>
    <row r="2024" spans="1:8">
      <c r="A2024" s="2"/>
      <c r="B2024" s="12"/>
      <c r="C2024" s="12"/>
      <c r="E2024" t="str">
        <f>IF(LEN(D2024)=0,"",[1]!i_pq_tradedays($B$3,A2025,A2024)-1)</f>
        <v/>
      </c>
      <c r="G2024" s="16" t="str">
        <f t="shared" si="78"/>
        <v/>
      </c>
      <c r="H2024" s="70" t="str">
        <f t="shared" si="79"/>
        <v/>
      </c>
    </row>
    <row r="2025" spans="1:8">
      <c r="A2025" s="2"/>
      <c r="B2025" s="12"/>
      <c r="C2025" s="12"/>
      <c r="E2025" t="str">
        <f>IF(LEN(D2025)=0,"",[1]!i_pq_tradedays($B$3,A2026,A2025)-1)</f>
        <v/>
      </c>
      <c r="G2025" s="16" t="str">
        <f t="shared" si="78"/>
        <v/>
      </c>
      <c r="H2025" s="70" t="str">
        <f t="shared" si="79"/>
        <v/>
      </c>
    </row>
    <row r="2026" spans="1:8">
      <c r="A2026" s="2"/>
      <c r="B2026" s="12"/>
      <c r="C2026" s="12"/>
      <c r="E2026" t="str">
        <f>IF(LEN(D2026)=0,"",[1]!i_pq_tradedays($B$3,A2027,A2026)-1)</f>
        <v/>
      </c>
      <c r="G2026" s="16" t="str">
        <f t="shared" si="78"/>
        <v/>
      </c>
      <c r="H2026" s="70" t="str">
        <f t="shared" si="79"/>
        <v/>
      </c>
    </row>
    <row r="2027" spans="1:8">
      <c r="A2027" s="2"/>
      <c r="B2027" s="12"/>
      <c r="C2027" s="12"/>
      <c r="E2027" t="str">
        <f>IF(LEN(D2027)=0,"",[1]!i_pq_tradedays($B$3,A2028,A2027)-1)</f>
        <v/>
      </c>
      <c r="G2027" s="16" t="str">
        <f t="shared" si="78"/>
        <v/>
      </c>
      <c r="H2027" s="70" t="str">
        <f t="shared" si="79"/>
        <v/>
      </c>
    </row>
    <row r="2028" spans="1:8">
      <c r="A2028" s="2"/>
      <c r="B2028" s="12"/>
      <c r="C2028" s="12"/>
      <c r="E2028" t="str">
        <f>IF(LEN(D2028)=0,"",[1]!i_pq_tradedays($B$3,A2029,A2028)-1)</f>
        <v/>
      </c>
      <c r="G2028" s="16" t="str">
        <f t="shared" si="78"/>
        <v/>
      </c>
      <c r="H2028" s="70" t="str">
        <f t="shared" si="79"/>
        <v/>
      </c>
    </row>
    <row r="2029" spans="1:8">
      <c r="A2029" s="2"/>
      <c r="B2029" s="12"/>
      <c r="C2029" s="12"/>
      <c r="E2029" t="str">
        <f>IF(LEN(D2029)=0,"",[1]!i_pq_tradedays($B$3,A2030,A2029)-1)</f>
        <v/>
      </c>
      <c r="G2029" s="16" t="str">
        <f t="shared" si="78"/>
        <v/>
      </c>
      <c r="H2029" s="70" t="str">
        <f t="shared" si="79"/>
        <v/>
      </c>
    </row>
    <row r="2030" spans="1:8">
      <c r="A2030" s="2"/>
      <c r="B2030" s="12"/>
      <c r="C2030" s="12"/>
      <c r="E2030" t="str">
        <f>IF(LEN(D2030)=0,"",[1]!i_pq_tradedays($B$3,A2031,A2030)-1)</f>
        <v/>
      </c>
      <c r="G2030" s="16" t="str">
        <f t="shared" si="78"/>
        <v/>
      </c>
      <c r="H2030" s="70" t="str">
        <f t="shared" si="79"/>
        <v/>
      </c>
    </row>
    <row r="2031" spans="1:8">
      <c r="A2031" s="2"/>
      <c r="B2031" s="12"/>
      <c r="C2031" s="12"/>
      <c r="E2031" t="str">
        <f>IF(LEN(D2031)=0,"",[1]!i_pq_tradedays($B$3,A2032,A2031)-1)</f>
        <v/>
      </c>
      <c r="G2031" s="16" t="str">
        <f t="shared" si="78"/>
        <v/>
      </c>
      <c r="H2031" s="70" t="str">
        <f t="shared" si="79"/>
        <v/>
      </c>
    </row>
    <row r="2032" spans="1:8">
      <c r="A2032" s="2"/>
      <c r="B2032" s="12"/>
      <c r="C2032" s="12"/>
      <c r="E2032" t="str">
        <f>IF(LEN(D2032)=0,"",[1]!i_pq_tradedays($B$3,A2033,A2032)-1)</f>
        <v/>
      </c>
      <c r="G2032" s="16" t="str">
        <f t="shared" si="78"/>
        <v/>
      </c>
      <c r="H2032" s="70" t="str">
        <f t="shared" si="79"/>
        <v/>
      </c>
    </row>
    <row r="2033" spans="1:8">
      <c r="A2033" s="2"/>
      <c r="B2033" s="12"/>
      <c r="C2033" s="12"/>
      <c r="E2033" t="str">
        <f>IF(LEN(D2033)=0,"",[1]!i_pq_tradedays($B$3,A2034,A2033)-1)</f>
        <v/>
      </c>
      <c r="G2033" s="16" t="str">
        <f t="shared" si="78"/>
        <v/>
      </c>
      <c r="H2033" s="70" t="str">
        <f t="shared" si="79"/>
        <v/>
      </c>
    </row>
    <row r="2034" spans="1:8">
      <c r="A2034" s="2"/>
      <c r="B2034" s="12"/>
      <c r="C2034" s="12"/>
      <c r="E2034" t="str">
        <f>IF(LEN(D2034)=0,"",[1]!i_pq_tradedays($B$3,A2035,A2034)-1)</f>
        <v/>
      </c>
      <c r="G2034" s="16" t="str">
        <f t="shared" si="78"/>
        <v/>
      </c>
      <c r="H2034" s="70" t="str">
        <f t="shared" si="79"/>
        <v/>
      </c>
    </row>
    <row r="2035" spans="1:8">
      <c r="A2035" s="2"/>
      <c r="B2035" s="12"/>
      <c r="C2035" s="12"/>
      <c r="E2035" t="str">
        <f>IF(LEN(D2035)=0,"",[1]!i_pq_tradedays($B$3,A2036,A2035)-1)</f>
        <v/>
      </c>
      <c r="G2035" s="16" t="str">
        <f t="shared" si="78"/>
        <v/>
      </c>
      <c r="H2035" s="70" t="str">
        <f t="shared" si="79"/>
        <v/>
      </c>
    </row>
    <row r="2036" spans="1:8">
      <c r="A2036" s="2"/>
      <c r="B2036" s="12"/>
      <c r="C2036" s="12"/>
      <c r="E2036" t="str">
        <f>IF(LEN(D2036)=0,"",[1]!i_pq_tradedays($B$3,A2037,A2036)-1)</f>
        <v/>
      </c>
      <c r="G2036" s="16" t="str">
        <f t="shared" si="78"/>
        <v/>
      </c>
      <c r="H2036" s="70" t="str">
        <f t="shared" si="79"/>
        <v/>
      </c>
    </row>
    <row r="2037" spans="1:8">
      <c r="A2037" s="2"/>
      <c r="B2037" s="12"/>
      <c r="C2037" s="12"/>
      <c r="E2037" t="str">
        <f>IF(LEN(D2037)=0,"",[1]!i_pq_tradedays($B$3,A2038,A2037)-1)</f>
        <v/>
      </c>
      <c r="G2037" s="16" t="str">
        <f t="shared" ref="G2037:G2100" si="80">IF(LEN(D2037)=0,"",D2037/E2037)</f>
        <v/>
      </c>
      <c r="H2037" s="70" t="str">
        <f t="shared" ref="H2037:H2100" si="81">IF(LEN(D2037)=0,"",G2037/G2038-1)</f>
        <v/>
      </c>
    </row>
    <row r="2038" spans="1:8">
      <c r="A2038" s="2"/>
      <c r="B2038" s="12"/>
      <c r="C2038" s="12"/>
      <c r="E2038" t="str">
        <f>IF(LEN(D2038)=0,"",[1]!i_pq_tradedays($B$3,A2039,A2038)-1)</f>
        <v/>
      </c>
      <c r="G2038" s="16" t="str">
        <f t="shared" si="80"/>
        <v/>
      </c>
      <c r="H2038" s="70" t="str">
        <f t="shared" si="81"/>
        <v/>
      </c>
    </row>
    <row r="2039" spans="1:8">
      <c r="A2039" s="2"/>
      <c r="B2039" s="12"/>
      <c r="C2039" s="12"/>
      <c r="E2039" t="str">
        <f>IF(LEN(D2039)=0,"",[1]!i_pq_tradedays($B$3,A2040,A2039)-1)</f>
        <v/>
      </c>
      <c r="G2039" s="16" t="str">
        <f t="shared" si="80"/>
        <v/>
      </c>
      <c r="H2039" s="70" t="str">
        <f t="shared" si="81"/>
        <v/>
      </c>
    </row>
    <row r="2040" spans="1:8">
      <c r="A2040" s="2"/>
      <c r="B2040" s="12"/>
      <c r="C2040" s="12"/>
      <c r="E2040" t="str">
        <f>IF(LEN(D2040)=0,"",[1]!i_pq_tradedays($B$3,A2041,A2040)-1)</f>
        <v/>
      </c>
      <c r="G2040" s="16" t="str">
        <f t="shared" si="80"/>
        <v/>
      </c>
      <c r="H2040" s="70" t="str">
        <f t="shared" si="81"/>
        <v/>
      </c>
    </row>
    <row r="2041" spans="1:8">
      <c r="A2041" s="2"/>
      <c r="B2041" s="12"/>
      <c r="C2041" s="12"/>
      <c r="E2041" t="str">
        <f>IF(LEN(D2041)=0,"",[1]!i_pq_tradedays($B$3,A2042,A2041)-1)</f>
        <v/>
      </c>
      <c r="G2041" s="16" t="str">
        <f t="shared" si="80"/>
        <v/>
      </c>
      <c r="H2041" s="70" t="str">
        <f t="shared" si="81"/>
        <v/>
      </c>
    </row>
    <row r="2042" spans="1:8">
      <c r="A2042" s="2"/>
      <c r="B2042" s="12"/>
      <c r="C2042" s="12"/>
      <c r="E2042" t="str">
        <f>IF(LEN(D2042)=0,"",[1]!i_pq_tradedays($B$3,A2043,A2042)-1)</f>
        <v/>
      </c>
      <c r="G2042" s="16" t="str">
        <f t="shared" si="80"/>
        <v/>
      </c>
      <c r="H2042" s="70" t="str">
        <f t="shared" si="81"/>
        <v/>
      </c>
    </row>
    <row r="2043" spans="1:8">
      <c r="A2043" s="2"/>
      <c r="B2043" s="12"/>
      <c r="C2043" s="12"/>
      <c r="E2043" t="str">
        <f>IF(LEN(D2043)=0,"",[1]!i_pq_tradedays($B$3,A2044,A2043)-1)</f>
        <v/>
      </c>
      <c r="G2043" s="16" t="str">
        <f t="shared" si="80"/>
        <v/>
      </c>
      <c r="H2043" s="70" t="str">
        <f t="shared" si="81"/>
        <v/>
      </c>
    </row>
    <row r="2044" spans="1:8">
      <c r="A2044" s="2"/>
      <c r="B2044" s="12"/>
      <c r="C2044" s="12"/>
      <c r="E2044" t="str">
        <f>IF(LEN(D2044)=0,"",[1]!i_pq_tradedays($B$3,A2045,A2044)-1)</f>
        <v/>
      </c>
      <c r="G2044" s="16" t="str">
        <f t="shared" si="80"/>
        <v/>
      </c>
      <c r="H2044" s="70" t="str">
        <f t="shared" si="81"/>
        <v/>
      </c>
    </row>
    <row r="2045" spans="1:8">
      <c r="A2045" s="2"/>
      <c r="B2045" s="12"/>
      <c r="C2045" s="12"/>
      <c r="E2045" t="str">
        <f>IF(LEN(D2045)=0,"",[1]!i_pq_tradedays($B$3,A2046,A2045)-1)</f>
        <v/>
      </c>
      <c r="G2045" s="16" t="str">
        <f t="shared" si="80"/>
        <v/>
      </c>
      <c r="H2045" s="70" t="str">
        <f t="shared" si="81"/>
        <v/>
      </c>
    </row>
    <row r="2046" spans="1:8">
      <c r="A2046" s="2"/>
      <c r="B2046" s="12"/>
      <c r="C2046" s="12"/>
      <c r="E2046" t="str">
        <f>IF(LEN(D2046)=0,"",[1]!i_pq_tradedays($B$3,A2047,A2046)-1)</f>
        <v/>
      </c>
      <c r="G2046" s="16" t="str">
        <f t="shared" si="80"/>
        <v/>
      </c>
      <c r="H2046" s="70" t="str">
        <f t="shared" si="81"/>
        <v/>
      </c>
    </row>
    <row r="2047" spans="1:8">
      <c r="A2047" s="2"/>
      <c r="B2047" s="12"/>
      <c r="C2047" s="12"/>
      <c r="E2047" t="str">
        <f>IF(LEN(D2047)=0,"",[1]!i_pq_tradedays($B$3,A2048,A2047)-1)</f>
        <v/>
      </c>
      <c r="G2047" s="16" t="str">
        <f t="shared" si="80"/>
        <v/>
      </c>
      <c r="H2047" s="70" t="str">
        <f t="shared" si="81"/>
        <v/>
      </c>
    </row>
    <row r="2048" spans="1:8">
      <c r="A2048" s="2"/>
      <c r="B2048" s="12"/>
      <c r="C2048" s="12"/>
      <c r="E2048" t="str">
        <f>IF(LEN(D2048)=0,"",[1]!i_pq_tradedays($B$3,A2049,A2048)-1)</f>
        <v/>
      </c>
      <c r="G2048" s="16" t="str">
        <f t="shared" si="80"/>
        <v/>
      </c>
      <c r="H2048" s="70" t="str">
        <f t="shared" si="81"/>
        <v/>
      </c>
    </row>
    <row r="2049" spans="1:8">
      <c r="A2049" s="2"/>
      <c r="B2049" s="12"/>
      <c r="C2049" s="12"/>
      <c r="E2049" t="str">
        <f>IF(LEN(D2049)=0,"",[1]!i_pq_tradedays($B$3,A2050,A2049)-1)</f>
        <v/>
      </c>
      <c r="G2049" s="16" t="str">
        <f t="shared" si="80"/>
        <v/>
      </c>
      <c r="H2049" s="70" t="str">
        <f t="shared" si="81"/>
        <v/>
      </c>
    </row>
    <row r="2050" spans="1:8">
      <c r="A2050" s="2"/>
      <c r="B2050" s="12"/>
      <c r="C2050" s="12"/>
      <c r="E2050" t="str">
        <f>IF(LEN(D2050)=0,"",[1]!i_pq_tradedays($B$3,A2051,A2050)-1)</f>
        <v/>
      </c>
      <c r="G2050" s="16" t="str">
        <f t="shared" si="80"/>
        <v/>
      </c>
      <c r="H2050" s="70" t="str">
        <f t="shared" si="81"/>
        <v/>
      </c>
    </row>
    <row r="2051" spans="1:8">
      <c r="A2051" s="2"/>
      <c r="B2051" s="12"/>
      <c r="C2051" s="12"/>
      <c r="E2051" t="str">
        <f>IF(LEN(D2051)=0,"",[1]!i_pq_tradedays($B$3,A2052,A2051)-1)</f>
        <v/>
      </c>
      <c r="G2051" s="16" t="str">
        <f t="shared" si="80"/>
        <v/>
      </c>
      <c r="H2051" s="70" t="str">
        <f t="shared" si="81"/>
        <v/>
      </c>
    </row>
    <row r="2052" spans="1:8">
      <c r="A2052" s="2"/>
      <c r="B2052" s="12"/>
      <c r="C2052" s="12"/>
      <c r="E2052" t="str">
        <f>IF(LEN(D2052)=0,"",[1]!i_pq_tradedays($B$3,A2053,A2052)-1)</f>
        <v/>
      </c>
      <c r="G2052" s="16" t="str">
        <f t="shared" si="80"/>
        <v/>
      </c>
      <c r="H2052" s="70" t="str">
        <f t="shared" si="81"/>
        <v/>
      </c>
    </row>
    <row r="2053" spans="1:8">
      <c r="A2053" s="2"/>
      <c r="B2053" s="12"/>
      <c r="C2053" s="12"/>
      <c r="E2053" t="str">
        <f>IF(LEN(D2053)=0,"",[1]!i_pq_tradedays($B$3,A2054,A2053)-1)</f>
        <v/>
      </c>
      <c r="G2053" s="16" t="str">
        <f t="shared" si="80"/>
        <v/>
      </c>
      <c r="H2053" s="70" t="str">
        <f t="shared" si="81"/>
        <v/>
      </c>
    </row>
    <row r="2054" spans="1:8">
      <c r="A2054" s="2"/>
      <c r="B2054" s="12"/>
      <c r="C2054" s="12"/>
      <c r="E2054" t="str">
        <f>IF(LEN(D2054)=0,"",[1]!i_pq_tradedays($B$3,A2055,A2054)-1)</f>
        <v/>
      </c>
      <c r="G2054" s="16" t="str">
        <f t="shared" si="80"/>
        <v/>
      </c>
      <c r="H2054" s="70" t="str">
        <f t="shared" si="81"/>
        <v/>
      </c>
    </row>
    <row r="2055" spans="1:8">
      <c r="A2055" s="2"/>
      <c r="B2055" s="12"/>
      <c r="C2055" s="12"/>
      <c r="E2055" t="str">
        <f>IF(LEN(D2055)=0,"",[1]!i_pq_tradedays($B$3,A2056,A2055)-1)</f>
        <v/>
      </c>
      <c r="G2055" s="16" t="str">
        <f t="shared" si="80"/>
        <v/>
      </c>
      <c r="H2055" s="70" t="str">
        <f t="shared" si="81"/>
        <v/>
      </c>
    </row>
    <row r="2056" spans="1:8">
      <c r="A2056" s="2"/>
      <c r="B2056" s="12"/>
      <c r="C2056" s="12"/>
      <c r="E2056" t="str">
        <f>IF(LEN(D2056)=0,"",[1]!i_pq_tradedays($B$3,A2057,A2056)-1)</f>
        <v/>
      </c>
      <c r="G2056" s="16" t="str">
        <f t="shared" si="80"/>
        <v/>
      </c>
      <c r="H2056" s="70" t="str">
        <f t="shared" si="81"/>
        <v/>
      </c>
    </row>
    <row r="2057" spans="1:8">
      <c r="A2057" s="2"/>
      <c r="B2057" s="12"/>
      <c r="C2057" s="12"/>
      <c r="E2057" t="str">
        <f>IF(LEN(D2057)=0,"",[1]!i_pq_tradedays($B$3,A2058,A2057)-1)</f>
        <v/>
      </c>
      <c r="G2057" s="16" t="str">
        <f t="shared" si="80"/>
        <v/>
      </c>
      <c r="H2057" s="70" t="str">
        <f t="shared" si="81"/>
        <v/>
      </c>
    </row>
    <row r="2058" spans="1:8">
      <c r="A2058" s="2"/>
      <c r="B2058" s="12"/>
      <c r="C2058" s="12"/>
      <c r="E2058" t="str">
        <f>IF(LEN(D2058)=0,"",[1]!i_pq_tradedays($B$3,A2059,A2058)-1)</f>
        <v/>
      </c>
      <c r="G2058" s="16" t="str">
        <f t="shared" si="80"/>
        <v/>
      </c>
      <c r="H2058" s="70" t="str">
        <f t="shared" si="81"/>
        <v/>
      </c>
    </row>
    <row r="2059" spans="1:8">
      <c r="A2059" s="2"/>
      <c r="B2059" s="12"/>
      <c r="C2059" s="12"/>
      <c r="E2059" t="str">
        <f>IF(LEN(D2059)=0,"",[1]!i_pq_tradedays($B$3,A2060,A2059)-1)</f>
        <v/>
      </c>
      <c r="G2059" s="16" t="str">
        <f t="shared" si="80"/>
        <v/>
      </c>
      <c r="H2059" s="70" t="str">
        <f t="shared" si="81"/>
        <v/>
      </c>
    </row>
    <row r="2060" spans="1:8">
      <c r="A2060" s="2"/>
      <c r="B2060" s="12"/>
      <c r="C2060" s="12"/>
      <c r="E2060" t="str">
        <f>IF(LEN(D2060)=0,"",[1]!i_pq_tradedays($B$3,A2061,A2060)-1)</f>
        <v/>
      </c>
      <c r="G2060" s="16" t="str">
        <f t="shared" si="80"/>
        <v/>
      </c>
      <c r="H2060" s="70" t="str">
        <f t="shared" si="81"/>
        <v/>
      </c>
    </row>
    <row r="2061" spans="1:8">
      <c r="A2061" s="2"/>
      <c r="B2061" s="12"/>
      <c r="C2061" s="12"/>
      <c r="E2061" t="str">
        <f>IF(LEN(D2061)=0,"",[1]!i_pq_tradedays($B$3,A2062,A2061)-1)</f>
        <v/>
      </c>
      <c r="G2061" s="16" t="str">
        <f t="shared" si="80"/>
        <v/>
      </c>
      <c r="H2061" s="70" t="str">
        <f t="shared" si="81"/>
        <v/>
      </c>
    </row>
    <row r="2062" spans="1:8">
      <c r="A2062" s="2"/>
      <c r="B2062" s="12"/>
      <c r="C2062" s="12"/>
      <c r="E2062" t="str">
        <f>IF(LEN(D2062)=0,"",[1]!i_pq_tradedays($B$3,A2063,A2062)-1)</f>
        <v/>
      </c>
      <c r="G2062" s="16" t="str">
        <f t="shared" si="80"/>
        <v/>
      </c>
      <c r="H2062" s="70" t="str">
        <f t="shared" si="81"/>
        <v/>
      </c>
    </row>
    <row r="2063" spans="1:8">
      <c r="A2063" s="2"/>
      <c r="B2063" s="12"/>
      <c r="C2063" s="12"/>
      <c r="E2063" t="str">
        <f>IF(LEN(D2063)=0,"",[1]!i_pq_tradedays($B$3,A2064,A2063)-1)</f>
        <v/>
      </c>
      <c r="G2063" s="16" t="str">
        <f t="shared" si="80"/>
        <v/>
      </c>
      <c r="H2063" s="70" t="str">
        <f t="shared" si="81"/>
        <v/>
      </c>
    </row>
    <row r="2064" spans="1:8">
      <c r="A2064" s="2"/>
      <c r="B2064" s="12"/>
      <c r="C2064" s="12"/>
      <c r="E2064" t="str">
        <f>IF(LEN(D2064)=0,"",[1]!i_pq_tradedays($B$3,A2065,A2064)-1)</f>
        <v/>
      </c>
      <c r="G2064" s="16" t="str">
        <f t="shared" si="80"/>
        <v/>
      </c>
      <c r="H2064" s="70" t="str">
        <f t="shared" si="81"/>
        <v/>
      </c>
    </row>
    <row r="2065" spans="1:8">
      <c r="A2065" s="2"/>
      <c r="B2065" s="12"/>
      <c r="C2065" s="12"/>
      <c r="E2065" t="str">
        <f>IF(LEN(D2065)=0,"",[1]!i_pq_tradedays($B$3,A2066,A2065)-1)</f>
        <v/>
      </c>
      <c r="G2065" s="16" t="str">
        <f t="shared" si="80"/>
        <v/>
      </c>
      <c r="H2065" s="70" t="str">
        <f t="shared" si="81"/>
        <v/>
      </c>
    </row>
    <row r="2066" spans="1:8">
      <c r="A2066" s="2"/>
      <c r="B2066" s="12"/>
      <c r="C2066" s="12"/>
      <c r="E2066" t="str">
        <f>IF(LEN(D2066)=0,"",[1]!i_pq_tradedays($B$3,A2067,A2066)-1)</f>
        <v/>
      </c>
      <c r="G2066" s="16" t="str">
        <f t="shared" si="80"/>
        <v/>
      </c>
      <c r="H2066" s="70" t="str">
        <f t="shared" si="81"/>
        <v/>
      </c>
    </row>
    <row r="2067" spans="1:8">
      <c r="A2067" s="2"/>
      <c r="B2067" s="12"/>
      <c r="C2067" s="12"/>
      <c r="E2067" t="str">
        <f>IF(LEN(D2067)=0,"",[1]!i_pq_tradedays($B$3,A2068,A2067)-1)</f>
        <v/>
      </c>
      <c r="G2067" s="16" t="str">
        <f t="shared" si="80"/>
        <v/>
      </c>
      <c r="H2067" s="70" t="str">
        <f t="shared" si="81"/>
        <v/>
      </c>
    </row>
    <row r="2068" spans="1:8">
      <c r="A2068" s="2"/>
      <c r="B2068" s="12"/>
      <c r="C2068" s="12"/>
      <c r="E2068" t="str">
        <f>IF(LEN(D2068)=0,"",[1]!i_pq_tradedays($B$3,A2069,A2068)-1)</f>
        <v/>
      </c>
      <c r="G2068" s="16" t="str">
        <f t="shared" si="80"/>
        <v/>
      </c>
      <c r="H2068" s="70" t="str">
        <f t="shared" si="81"/>
        <v/>
      </c>
    </row>
    <row r="2069" spans="1:8">
      <c r="A2069" s="2"/>
      <c r="B2069" s="12"/>
      <c r="C2069" s="12"/>
      <c r="E2069" t="str">
        <f>IF(LEN(D2069)=0,"",[1]!i_pq_tradedays($B$3,A2070,A2069)-1)</f>
        <v/>
      </c>
      <c r="G2069" s="16" t="str">
        <f t="shared" si="80"/>
        <v/>
      </c>
      <c r="H2069" s="70" t="str">
        <f t="shared" si="81"/>
        <v/>
      </c>
    </row>
    <row r="2070" spans="1:8">
      <c r="A2070" s="2"/>
      <c r="B2070" s="12"/>
      <c r="C2070" s="12"/>
      <c r="E2070" t="str">
        <f>IF(LEN(D2070)=0,"",[1]!i_pq_tradedays($B$3,A2071,A2070)-1)</f>
        <v/>
      </c>
      <c r="G2070" s="16" t="str">
        <f t="shared" si="80"/>
        <v/>
      </c>
      <c r="H2070" s="70" t="str">
        <f t="shared" si="81"/>
        <v/>
      </c>
    </row>
    <row r="2071" spans="1:8">
      <c r="A2071" s="2"/>
      <c r="B2071" s="12"/>
      <c r="C2071" s="12"/>
      <c r="E2071" t="str">
        <f>IF(LEN(D2071)=0,"",[1]!i_pq_tradedays($B$3,A2072,A2071)-1)</f>
        <v/>
      </c>
      <c r="G2071" s="16" t="str">
        <f t="shared" si="80"/>
        <v/>
      </c>
      <c r="H2071" s="70" t="str">
        <f t="shared" si="81"/>
        <v/>
      </c>
    </row>
    <row r="2072" spans="1:8">
      <c r="A2072" s="2"/>
      <c r="B2072" s="12"/>
      <c r="C2072" s="12"/>
      <c r="E2072" t="str">
        <f>IF(LEN(D2072)=0,"",[1]!i_pq_tradedays($B$3,A2073,A2072)-1)</f>
        <v/>
      </c>
      <c r="G2072" s="16" t="str">
        <f t="shared" si="80"/>
        <v/>
      </c>
      <c r="H2072" s="70" t="str">
        <f t="shared" si="81"/>
        <v/>
      </c>
    </row>
    <row r="2073" spans="1:8">
      <c r="A2073" s="2"/>
      <c r="B2073" s="12"/>
      <c r="C2073" s="12"/>
      <c r="E2073" t="str">
        <f>IF(LEN(D2073)=0,"",[1]!i_pq_tradedays($B$3,A2074,A2073)-1)</f>
        <v/>
      </c>
      <c r="G2073" s="16" t="str">
        <f t="shared" si="80"/>
        <v/>
      </c>
      <c r="H2073" s="70" t="str">
        <f t="shared" si="81"/>
        <v/>
      </c>
    </row>
    <row r="2074" spans="1:8">
      <c r="A2074" s="2"/>
      <c r="B2074" s="12"/>
      <c r="C2074" s="12"/>
      <c r="E2074" t="str">
        <f>IF(LEN(D2074)=0,"",[1]!i_pq_tradedays($B$3,A2075,A2074)-1)</f>
        <v/>
      </c>
      <c r="G2074" s="16" t="str">
        <f t="shared" si="80"/>
        <v/>
      </c>
      <c r="H2074" s="70" t="str">
        <f t="shared" si="81"/>
        <v/>
      </c>
    </row>
    <row r="2075" spans="1:8">
      <c r="A2075" s="2"/>
      <c r="B2075" s="12"/>
      <c r="C2075" s="12"/>
      <c r="E2075" t="str">
        <f>IF(LEN(D2075)=0,"",[1]!i_pq_tradedays($B$3,A2076,A2075)-1)</f>
        <v/>
      </c>
      <c r="G2075" s="16" t="str">
        <f t="shared" si="80"/>
        <v/>
      </c>
      <c r="H2075" s="70" t="str">
        <f t="shared" si="81"/>
        <v/>
      </c>
    </row>
    <row r="2076" spans="1:8">
      <c r="A2076" s="2"/>
      <c r="B2076" s="12"/>
      <c r="C2076" s="12"/>
      <c r="E2076" t="str">
        <f>IF(LEN(D2076)=0,"",[1]!i_pq_tradedays($B$3,A2077,A2076)-1)</f>
        <v/>
      </c>
      <c r="G2076" s="16" t="str">
        <f t="shared" si="80"/>
        <v/>
      </c>
      <c r="H2076" s="70" t="str">
        <f t="shared" si="81"/>
        <v/>
      </c>
    </row>
    <row r="2077" spans="1:8">
      <c r="A2077" s="2"/>
      <c r="B2077" s="12"/>
      <c r="C2077" s="12"/>
      <c r="E2077" t="str">
        <f>IF(LEN(D2077)=0,"",[1]!i_pq_tradedays($B$3,A2078,A2077)-1)</f>
        <v/>
      </c>
      <c r="G2077" s="16" t="str">
        <f t="shared" si="80"/>
        <v/>
      </c>
      <c r="H2077" s="70" t="str">
        <f t="shared" si="81"/>
        <v/>
      </c>
    </row>
    <row r="2078" spans="1:8">
      <c r="A2078" s="2"/>
      <c r="B2078" s="12"/>
      <c r="C2078" s="12"/>
      <c r="E2078" t="str">
        <f>IF(LEN(D2078)=0,"",[1]!i_pq_tradedays($B$3,A2079,A2078)-1)</f>
        <v/>
      </c>
      <c r="G2078" s="16" t="str">
        <f t="shared" si="80"/>
        <v/>
      </c>
      <c r="H2078" s="70" t="str">
        <f t="shared" si="81"/>
        <v/>
      </c>
    </row>
    <row r="2079" spans="1:8">
      <c r="A2079" s="2"/>
      <c r="B2079" s="12"/>
      <c r="C2079" s="12"/>
      <c r="E2079" t="str">
        <f>IF(LEN(D2079)=0,"",[1]!i_pq_tradedays($B$3,A2080,A2079)-1)</f>
        <v/>
      </c>
      <c r="G2079" s="16" t="str">
        <f t="shared" si="80"/>
        <v/>
      </c>
      <c r="H2079" s="70" t="str">
        <f t="shared" si="81"/>
        <v/>
      </c>
    </row>
    <row r="2080" spans="1:8">
      <c r="A2080" s="2"/>
      <c r="B2080" s="12"/>
      <c r="C2080" s="12"/>
      <c r="E2080" t="str">
        <f>IF(LEN(D2080)=0,"",[1]!i_pq_tradedays($B$3,A2081,A2080)-1)</f>
        <v/>
      </c>
      <c r="G2080" s="16" t="str">
        <f t="shared" si="80"/>
        <v/>
      </c>
      <c r="H2080" s="70" t="str">
        <f t="shared" si="81"/>
        <v/>
      </c>
    </row>
    <row r="2081" spans="1:8">
      <c r="A2081" s="2"/>
      <c r="B2081" s="12"/>
      <c r="C2081" s="12"/>
      <c r="E2081" t="str">
        <f>IF(LEN(D2081)=0,"",[1]!i_pq_tradedays($B$3,A2082,A2081)-1)</f>
        <v/>
      </c>
      <c r="G2081" s="16" t="str">
        <f t="shared" si="80"/>
        <v/>
      </c>
      <c r="H2081" s="70" t="str">
        <f t="shared" si="81"/>
        <v/>
      </c>
    </row>
    <row r="2082" spans="1:8">
      <c r="A2082" s="2"/>
      <c r="B2082" s="12"/>
      <c r="C2082" s="12"/>
      <c r="E2082" t="str">
        <f>IF(LEN(D2082)=0,"",[1]!i_pq_tradedays($B$3,A2083,A2082)-1)</f>
        <v/>
      </c>
      <c r="G2082" s="16" t="str">
        <f t="shared" si="80"/>
        <v/>
      </c>
      <c r="H2082" s="70" t="str">
        <f t="shared" si="81"/>
        <v/>
      </c>
    </row>
    <row r="2083" spans="1:8">
      <c r="A2083" s="2"/>
      <c r="B2083" s="12"/>
      <c r="C2083" s="12"/>
      <c r="E2083" t="str">
        <f>IF(LEN(D2083)=0,"",[1]!i_pq_tradedays($B$3,A2084,A2083)-1)</f>
        <v/>
      </c>
      <c r="G2083" s="16" t="str">
        <f t="shared" si="80"/>
        <v/>
      </c>
      <c r="H2083" s="70" t="str">
        <f t="shared" si="81"/>
        <v/>
      </c>
    </row>
    <row r="2084" spans="1:8">
      <c r="A2084" s="2"/>
      <c r="B2084" s="12"/>
      <c r="C2084" s="12"/>
      <c r="E2084" t="str">
        <f>IF(LEN(D2084)=0,"",[1]!i_pq_tradedays($B$3,A2085,A2084)-1)</f>
        <v/>
      </c>
      <c r="G2084" s="16" t="str">
        <f t="shared" si="80"/>
        <v/>
      </c>
      <c r="H2084" s="70" t="str">
        <f t="shared" si="81"/>
        <v/>
      </c>
    </row>
    <row r="2085" spans="1:8">
      <c r="A2085" s="2"/>
      <c r="B2085" s="12"/>
      <c r="C2085" s="12"/>
      <c r="E2085" t="str">
        <f>IF(LEN(D2085)=0,"",[1]!i_pq_tradedays($B$3,A2086,A2085)-1)</f>
        <v/>
      </c>
      <c r="G2085" s="16" t="str">
        <f t="shared" si="80"/>
        <v/>
      </c>
      <c r="H2085" s="70" t="str">
        <f t="shared" si="81"/>
        <v/>
      </c>
    </row>
    <row r="2086" spans="1:8">
      <c r="A2086" s="2"/>
      <c r="B2086" s="12"/>
      <c r="C2086" s="12"/>
      <c r="E2086" t="str">
        <f>IF(LEN(D2086)=0,"",[1]!i_pq_tradedays($B$3,A2087,A2086)-1)</f>
        <v/>
      </c>
      <c r="G2086" s="16" t="str">
        <f t="shared" si="80"/>
        <v/>
      </c>
      <c r="H2086" s="70" t="str">
        <f t="shared" si="81"/>
        <v/>
      </c>
    </row>
    <row r="2087" spans="1:8">
      <c r="A2087" s="2"/>
      <c r="B2087" s="12"/>
      <c r="C2087" s="12"/>
      <c r="E2087" t="str">
        <f>IF(LEN(D2087)=0,"",[1]!i_pq_tradedays($B$3,A2088,A2087)-1)</f>
        <v/>
      </c>
      <c r="G2087" s="16" t="str">
        <f t="shared" si="80"/>
        <v/>
      </c>
      <c r="H2087" s="70" t="str">
        <f t="shared" si="81"/>
        <v/>
      </c>
    </row>
    <row r="2088" spans="1:8">
      <c r="A2088" s="2"/>
      <c r="B2088" s="12"/>
      <c r="C2088" s="12"/>
      <c r="E2088" t="str">
        <f>IF(LEN(D2088)=0,"",[1]!i_pq_tradedays($B$3,A2089,A2088)-1)</f>
        <v/>
      </c>
      <c r="G2088" s="16" t="str">
        <f t="shared" si="80"/>
        <v/>
      </c>
      <c r="H2088" s="70" t="str">
        <f t="shared" si="81"/>
        <v/>
      </c>
    </row>
    <row r="2089" spans="1:8">
      <c r="A2089" s="2"/>
      <c r="B2089" s="12"/>
      <c r="C2089" s="12"/>
      <c r="E2089" t="str">
        <f>IF(LEN(D2089)=0,"",[1]!i_pq_tradedays($B$3,A2090,A2089)-1)</f>
        <v/>
      </c>
      <c r="G2089" s="16" t="str">
        <f t="shared" si="80"/>
        <v/>
      </c>
      <c r="H2089" s="70" t="str">
        <f t="shared" si="81"/>
        <v/>
      </c>
    </row>
    <row r="2090" spans="1:8">
      <c r="A2090" s="2"/>
      <c r="B2090" s="12"/>
      <c r="C2090" s="12"/>
      <c r="E2090" t="str">
        <f>IF(LEN(D2090)=0,"",[1]!i_pq_tradedays($B$3,A2091,A2090)-1)</f>
        <v/>
      </c>
      <c r="G2090" s="16" t="str">
        <f t="shared" si="80"/>
        <v/>
      </c>
      <c r="H2090" s="70" t="str">
        <f t="shared" si="81"/>
        <v/>
      </c>
    </row>
    <row r="2091" spans="1:8">
      <c r="A2091" s="2"/>
      <c r="B2091" s="12"/>
      <c r="C2091" s="12"/>
      <c r="E2091" t="str">
        <f>IF(LEN(D2091)=0,"",[1]!i_pq_tradedays($B$3,A2092,A2091)-1)</f>
        <v/>
      </c>
      <c r="G2091" s="16" t="str">
        <f t="shared" si="80"/>
        <v/>
      </c>
      <c r="H2091" s="70" t="str">
        <f t="shared" si="81"/>
        <v/>
      </c>
    </row>
    <row r="2092" spans="1:8">
      <c r="A2092" s="2"/>
      <c r="B2092" s="12"/>
      <c r="C2092" s="12"/>
      <c r="E2092" t="str">
        <f>IF(LEN(D2092)=0,"",[1]!i_pq_tradedays($B$3,A2093,A2092)-1)</f>
        <v/>
      </c>
      <c r="G2092" s="16" t="str">
        <f t="shared" si="80"/>
        <v/>
      </c>
      <c r="H2092" s="70" t="str">
        <f t="shared" si="81"/>
        <v/>
      </c>
    </row>
    <row r="2093" spans="1:8">
      <c r="A2093" s="2"/>
      <c r="B2093" s="12"/>
      <c r="C2093" s="12"/>
      <c r="E2093" t="str">
        <f>IF(LEN(D2093)=0,"",[1]!i_pq_tradedays($B$3,A2094,A2093)-1)</f>
        <v/>
      </c>
      <c r="G2093" s="16" t="str">
        <f t="shared" si="80"/>
        <v/>
      </c>
      <c r="H2093" s="70" t="str">
        <f t="shared" si="81"/>
        <v/>
      </c>
    </row>
    <row r="2094" spans="1:8">
      <c r="A2094" s="2"/>
      <c r="B2094" s="12"/>
      <c r="C2094" s="12"/>
      <c r="E2094" t="str">
        <f>IF(LEN(D2094)=0,"",[1]!i_pq_tradedays($B$3,A2095,A2094)-1)</f>
        <v/>
      </c>
      <c r="G2094" s="16" t="str">
        <f t="shared" si="80"/>
        <v/>
      </c>
      <c r="H2094" s="70" t="str">
        <f t="shared" si="81"/>
        <v/>
      </c>
    </row>
    <row r="2095" spans="1:8">
      <c r="A2095" s="2"/>
      <c r="B2095" s="12"/>
      <c r="C2095" s="12"/>
      <c r="E2095" t="str">
        <f>IF(LEN(D2095)=0,"",[1]!i_pq_tradedays($B$3,A2096,A2095)-1)</f>
        <v/>
      </c>
      <c r="G2095" s="16" t="str">
        <f t="shared" si="80"/>
        <v/>
      </c>
      <c r="H2095" s="70" t="str">
        <f t="shared" si="81"/>
        <v/>
      </c>
    </row>
    <row r="2096" spans="1:8">
      <c r="A2096" s="2"/>
      <c r="B2096" s="12"/>
      <c r="C2096" s="12"/>
      <c r="E2096" t="str">
        <f>IF(LEN(D2096)=0,"",[1]!i_pq_tradedays($B$3,A2097,A2096)-1)</f>
        <v/>
      </c>
      <c r="G2096" s="16" t="str">
        <f t="shared" si="80"/>
        <v/>
      </c>
      <c r="H2096" s="70" t="str">
        <f t="shared" si="81"/>
        <v/>
      </c>
    </row>
    <row r="2097" spans="1:8">
      <c r="A2097" s="2"/>
      <c r="B2097" s="12"/>
      <c r="C2097" s="12"/>
      <c r="E2097" t="str">
        <f>IF(LEN(D2097)=0,"",[1]!i_pq_tradedays($B$3,A2098,A2097)-1)</f>
        <v/>
      </c>
      <c r="G2097" s="16" t="str">
        <f t="shared" si="80"/>
        <v/>
      </c>
      <c r="H2097" s="70" t="str">
        <f t="shared" si="81"/>
        <v/>
      </c>
    </row>
    <row r="2098" spans="1:8">
      <c r="A2098" s="2"/>
      <c r="B2098" s="12"/>
      <c r="C2098" s="12"/>
      <c r="E2098" t="str">
        <f>IF(LEN(D2098)=0,"",[1]!i_pq_tradedays($B$3,A2099,A2098)-1)</f>
        <v/>
      </c>
      <c r="G2098" s="16" t="str">
        <f t="shared" si="80"/>
        <v/>
      </c>
      <c r="H2098" s="70" t="str">
        <f t="shared" si="81"/>
        <v/>
      </c>
    </row>
    <row r="2099" spans="1:8">
      <c r="A2099" s="2"/>
      <c r="B2099" s="12"/>
      <c r="C2099" s="12"/>
      <c r="E2099" t="str">
        <f>IF(LEN(D2099)=0,"",[1]!i_pq_tradedays($B$3,A2100,A2099)-1)</f>
        <v/>
      </c>
      <c r="G2099" s="16" t="str">
        <f t="shared" si="80"/>
        <v/>
      </c>
      <c r="H2099" s="70" t="str">
        <f t="shared" si="81"/>
        <v/>
      </c>
    </row>
    <row r="2100" spans="1:8">
      <c r="A2100" s="2"/>
      <c r="B2100" s="12"/>
      <c r="C2100" s="12"/>
      <c r="E2100" t="str">
        <f>IF(LEN(D2100)=0,"",[1]!i_pq_tradedays($B$3,A2101,A2100)-1)</f>
        <v/>
      </c>
      <c r="G2100" s="16" t="str">
        <f t="shared" si="80"/>
        <v/>
      </c>
      <c r="H2100" s="70" t="str">
        <f t="shared" si="81"/>
        <v/>
      </c>
    </row>
    <row r="2101" spans="1:8">
      <c r="A2101" s="2"/>
      <c r="B2101" s="12"/>
      <c r="C2101" s="12"/>
      <c r="E2101" t="str">
        <f>IF(LEN(D2101)=0,"",[1]!i_pq_tradedays($B$3,A2102,A2101)-1)</f>
        <v/>
      </c>
      <c r="G2101" s="16" t="str">
        <f t="shared" ref="G2101:G2164" si="82">IF(LEN(D2101)=0,"",D2101/E2101)</f>
        <v/>
      </c>
      <c r="H2101" s="70" t="str">
        <f t="shared" ref="H2101:H2164" si="83">IF(LEN(D2101)=0,"",G2101/G2102-1)</f>
        <v/>
      </c>
    </row>
    <row r="2102" spans="1:8">
      <c r="A2102" s="2"/>
      <c r="B2102" s="12"/>
      <c r="C2102" s="12"/>
      <c r="E2102" t="str">
        <f>IF(LEN(D2102)=0,"",[1]!i_pq_tradedays($B$3,A2103,A2102)-1)</f>
        <v/>
      </c>
      <c r="G2102" s="16" t="str">
        <f t="shared" si="82"/>
        <v/>
      </c>
      <c r="H2102" s="70" t="str">
        <f t="shared" si="83"/>
        <v/>
      </c>
    </row>
    <row r="2103" spans="1:8">
      <c r="A2103" s="2"/>
      <c r="B2103" s="12"/>
      <c r="C2103" s="12"/>
      <c r="E2103" t="str">
        <f>IF(LEN(D2103)=0,"",[1]!i_pq_tradedays($B$3,A2104,A2103)-1)</f>
        <v/>
      </c>
      <c r="G2103" s="16" t="str">
        <f t="shared" si="82"/>
        <v/>
      </c>
      <c r="H2103" s="70" t="str">
        <f t="shared" si="83"/>
        <v/>
      </c>
    </row>
    <row r="2104" spans="1:8">
      <c r="A2104" s="2"/>
      <c r="B2104" s="12"/>
      <c r="C2104" s="12"/>
      <c r="E2104" t="str">
        <f>IF(LEN(D2104)=0,"",[1]!i_pq_tradedays($B$3,A2105,A2104)-1)</f>
        <v/>
      </c>
      <c r="G2104" s="16" t="str">
        <f t="shared" si="82"/>
        <v/>
      </c>
      <c r="H2104" s="70" t="str">
        <f t="shared" si="83"/>
        <v/>
      </c>
    </row>
    <row r="2105" spans="1:8">
      <c r="A2105" s="2"/>
      <c r="B2105" s="12"/>
      <c r="C2105" s="12"/>
      <c r="E2105" t="str">
        <f>IF(LEN(D2105)=0,"",[1]!i_pq_tradedays($B$3,A2106,A2105)-1)</f>
        <v/>
      </c>
      <c r="G2105" s="16" t="str">
        <f t="shared" si="82"/>
        <v/>
      </c>
      <c r="H2105" s="70" t="str">
        <f t="shared" si="83"/>
        <v/>
      </c>
    </row>
    <row r="2106" spans="1:8">
      <c r="A2106" s="2"/>
      <c r="B2106" s="12"/>
      <c r="C2106" s="12"/>
      <c r="E2106" t="str">
        <f>IF(LEN(D2106)=0,"",[1]!i_pq_tradedays($B$3,A2107,A2106)-1)</f>
        <v/>
      </c>
      <c r="G2106" s="16" t="str">
        <f t="shared" si="82"/>
        <v/>
      </c>
      <c r="H2106" s="70" t="str">
        <f t="shared" si="83"/>
        <v/>
      </c>
    </row>
    <row r="2107" spans="1:8">
      <c r="A2107" s="2"/>
      <c r="B2107" s="12"/>
      <c r="C2107" s="12"/>
      <c r="E2107" t="str">
        <f>IF(LEN(D2107)=0,"",[1]!i_pq_tradedays($B$3,A2108,A2107)-1)</f>
        <v/>
      </c>
      <c r="G2107" s="16" t="str">
        <f t="shared" si="82"/>
        <v/>
      </c>
      <c r="H2107" s="70" t="str">
        <f t="shared" si="83"/>
        <v/>
      </c>
    </row>
    <row r="2108" spans="1:8">
      <c r="A2108" s="2"/>
      <c r="B2108" s="12"/>
      <c r="C2108" s="12"/>
      <c r="E2108" t="str">
        <f>IF(LEN(D2108)=0,"",[1]!i_pq_tradedays($B$3,A2109,A2108)-1)</f>
        <v/>
      </c>
      <c r="G2108" s="16" t="str">
        <f t="shared" si="82"/>
        <v/>
      </c>
      <c r="H2108" s="70" t="str">
        <f t="shared" si="83"/>
        <v/>
      </c>
    </row>
    <row r="2109" spans="1:8">
      <c r="A2109" s="2"/>
      <c r="B2109" s="12"/>
      <c r="C2109" s="12"/>
      <c r="E2109" t="str">
        <f>IF(LEN(D2109)=0,"",[1]!i_pq_tradedays($B$3,A2110,A2109)-1)</f>
        <v/>
      </c>
      <c r="G2109" s="16" t="str">
        <f t="shared" si="82"/>
        <v/>
      </c>
      <c r="H2109" s="70" t="str">
        <f t="shared" si="83"/>
        <v/>
      </c>
    </row>
    <row r="2110" spans="1:8">
      <c r="A2110" s="2"/>
      <c r="B2110" s="12"/>
      <c r="C2110" s="12"/>
      <c r="E2110" t="str">
        <f>IF(LEN(D2110)=0,"",[1]!i_pq_tradedays($B$3,A2111,A2110)-1)</f>
        <v/>
      </c>
      <c r="G2110" s="16" t="str">
        <f t="shared" si="82"/>
        <v/>
      </c>
      <c r="H2110" s="70" t="str">
        <f t="shared" si="83"/>
        <v/>
      </c>
    </row>
    <row r="2111" spans="1:8">
      <c r="A2111" s="2"/>
      <c r="B2111" s="12"/>
      <c r="C2111" s="12"/>
      <c r="E2111" t="str">
        <f>IF(LEN(D2111)=0,"",[1]!i_pq_tradedays($B$3,A2112,A2111)-1)</f>
        <v/>
      </c>
      <c r="G2111" s="16" t="str">
        <f t="shared" si="82"/>
        <v/>
      </c>
      <c r="H2111" s="70" t="str">
        <f t="shared" si="83"/>
        <v/>
      </c>
    </row>
    <row r="2112" spans="1:8">
      <c r="A2112" s="2"/>
      <c r="B2112" s="12"/>
      <c r="C2112" s="12"/>
      <c r="E2112" t="str">
        <f>IF(LEN(D2112)=0,"",[1]!i_pq_tradedays($B$3,A2113,A2112)-1)</f>
        <v/>
      </c>
      <c r="G2112" s="16" t="str">
        <f t="shared" si="82"/>
        <v/>
      </c>
      <c r="H2112" s="70" t="str">
        <f t="shared" si="83"/>
        <v/>
      </c>
    </row>
    <row r="2113" spans="1:8">
      <c r="A2113" s="2"/>
      <c r="B2113" s="12"/>
      <c r="C2113" s="12"/>
      <c r="E2113" t="str">
        <f>IF(LEN(D2113)=0,"",[1]!i_pq_tradedays($B$3,A2114,A2113)-1)</f>
        <v/>
      </c>
      <c r="G2113" s="16" t="str">
        <f t="shared" si="82"/>
        <v/>
      </c>
      <c r="H2113" s="70" t="str">
        <f t="shared" si="83"/>
        <v/>
      </c>
    </row>
    <row r="2114" spans="1:8">
      <c r="A2114" s="2"/>
      <c r="B2114" s="12"/>
      <c r="C2114" s="12"/>
      <c r="E2114" t="str">
        <f>IF(LEN(D2114)=0,"",[1]!i_pq_tradedays($B$3,A2115,A2114)-1)</f>
        <v/>
      </c>
      <c r="G2114" s="16" t="str">
        <f t="shared" si="82"/>
        <v/>
      </c>
      <c r="H2114" s="70" t="str">
        <f t="shared" si="83"/>
        <v/>
      </c>
    </row>
    <row r="2115" spans="1:8">
      <c r="A2115" s="2"/>
      <c r="B2115" s="12"/>
      <c r="C2115" s="12"/>
      <c r="E2115" t="str">
        <f>IF(LEN(D2115)=0,"",[1]!i_pq_tradedays($B$3,A2116,A2115)-1)</f>
        <v/>
      </c>
      <c r="G2115" s="16" t="str">
        <f t="shared" si="82"/>
        <v/>
      </c>
      <c r="H2115" s="70" t="str">
        <f t="shared" si="83"/>
        <v/>
      </c>
    </row>
    <row r="2116" spans="1:8">
      <c r="A2116" s="2"/>
      <c r="B2116" s="12"/>
      <c r="C2116" s="12"/>
      <c r="E2116" t="str">
        <f>IF(LEN(D2116)=0,"",[1]!i_pq_tradedays($B$3,A2117,A2116)-1)</f>
        <v/>
      </c>
      <c r="G2116" s="16" t="str">
        <f t="shared" si="82"/>
        <v/>
      </c>
      <c r="H2116" s="70" t="str">
        <f t="shared" si="83"/>
        <v/>
      </c>
    </row>
    <row r="2117" spans="1:8">
      <c r="A2117" s="2"/>
      <c r="B2117" s="12"/>
      <c r="C2117" s="12"/>
      <c r="E2117" t="str">
        <f>IF(LEN(D2117)=0,"",[1]!i_pq_tradedays($B$3,A2118,A2117)-1)</f>
        <v/>
      </c>
      <c r="G2117" s="16" t="str">
        <f t="shared" si="82"/>
        <v/>
      </c>
      <c r="H2117" s="70" t="str">
        <f t="shared" si="83"/>
        <v/>
      </c>
    </row>
    <row r="2118" spans="1:8">
      <c r="A2118" s="2"/>
      <c r="B2118" s="12"/>
      <c r="C2118" s="12"/>
      <c r="E2118" t="str">
        <f>IF(LEN(D2118)=0,"",[1]!i_pq_tradedays($B$3,A2119,A2118)-1)</f>
        <v/>
      </c>
      <c r="G2118" s="16" t="str">
        <f t="shared" si="82"/>
        <v/>
      </c>
      <c r="H2118" s="70" t="str">
        <f t="shared" si="83"/>
        <v/>
      </c>
    </row>
    <row r="2119" spans="1:8">
      <c r="A2119" s="2"/>
      <c r="B2119" s="12"/>
      <c r="C2119" s="12"/>
      <c r="E2119" t="str">
        <f>IF(LEN(D2119)=0,"",[1]!i_pq_tradedays($B$3,A2120,A2119)-1)</f>
        <v/>
      </c>
      <c r="G2119" s="16" t="str">
        <f t="shared" si="82"/>
        <v/>
      </c>
      <c r="H2119" s="70" t="str">
        <f t="shared" si="83"/>
        <v/>
      </c>
    </row>
    <row r="2120" spans="1:8">
      <c r="A2120" s="2"/>
      <c r="B2120" s="12"/>
      <c r="C2120" s="12"/>
      <c r="E2120" t="str">
        <f>IF(LEN(D2120)=0,"",[1]!i_pq_tradedays($B$3,A2121,A2120)-1)</f>
        <v/>
      </c>
      <c r="G2120" s="16" t="str">
        <f t="shared" si="82"/>
        <v/>
      </c>
      <c r="H2120" s="70" t="str">
        <f t="shared" si="83"/>
        <v/>
      </c>
    </row>
    <row r="2121" spans="1:8">
      <c r="A2121" s="2"/>
      <c r="B2121" s="12"/>
      <c r="C2121" s="12"/>
      <c r="E2121" t="str">
        <f>IF(LEN(D2121)=0,"",[1]!i_pq_tradedays($B$3,A2122,A2121)-1)</f>
        <v/>
      </c>
      <c r="G2121" s="16" t="str">
        <f t="shared" si="82"/>
        <v/>
      </c>
      <c r="H2121" s="70" t="str">
        <f t="shared" si="83"/>
        <v/>
      </c>
    </row>
    <row r="2122" spans="1:8">
      <c r="A2122" s="2"/>
      <c r="B2122" s="12"/>
      <c r="C2122" s="12"/>
      <c r="E2122" t="str">
        <f>IF(LEN(D2122)=0,"",[1]!i_pq_tradedays($B$3,A2123,A2122)-1)</f>
        <v/>
      </c>
      <c r="G2122" s="16" t="str">
        <f t="shared" si="82"/>
        <v/>
      </c>
      <c r="H2122" s="70" t="str">
        <f t="shared" si="83"/>
        <v/>
      </c>
    </row>
    <row r="2123" spans="1:8">
      <c r="A2123" s="2"/>
      <c r="B2123" s="12"/>
      <c r="C2123" s="12"/>
      <c r="E2123" t="str">
        <f>IF(LEN(D2123)=0,"",[1]!i_pq_tradedays($B$3,A2124,A2123)-1)</f>
        <v/>
      </c>
      <c r="G2123" s="16" t="str">
        <f t="shared" si="82"/>
        <v/>
      </c>
      <c r="H2123" s="70" t="str">
        <f t="shared" si="83"/>
        <v/>
      </c>
    </row>
    <row r="2124" spans="1:8">
      <c r="A2124" s="2"/>
      <c r="B2124" s="12"/>
      <c r="C2124" s="12"/>
      <c r="E2124" t="str">
        <f>IF(LEN(D2124)=0,"",[1]!i_pq_tradedays($B$3,A2125,A2124)-1)</f>
        <v/>
      </c>
      <c r="G2124" s="16" t="str">
        <f t="shared" si="82"/>
        <v/>
      </c>
      <c r="H2124" s="70" t="str">
        <f t="shared" si="83"/>
        <v/>
      </c>
    </row>
    <row r="2125" spans="1:8">
      <c r="A2125" s="2"/>
      <c r="B2125" s="12"/>
      <c r="C2125" s="12"/>
      <c r="E2125" t="str">
        <f>IF(LEN(D2125)=0,"",[1]!i_pq_tradedays($B$3,A2126,A2125)-1)</f>
        <v/>
      </c>
      <c r="G2125" s="16" t="str">
        <f t="shared" si="82"/>
        <v/>
      </c>
      <c r="H2125" s="70" t="str">
        <f t="shared" si="83"/>
        <v/>
      </c>
    </row>
    <row r="2126" spans="1:8">
      <c r="A2126" s="2"/>
      <c r="B2126" s="12"/>
      <c r="C2126" s="12"/>
      <c r="E2126" t="str">
        <f>IF(LEN(D2126)=0,"",[1]!i_pq_tradedays($B$3,A2127,A2126)-1)</f>
        <v/>
      </c>
      <c r="G2126" s="16" t="str">
        <f t="shared" si="82"/>
        <v/>
      </c>
      <c r="H2126" s="70" t="str">
        <f t="shared" si="83"/>
        <v/>
      </c>
    </row>
    <row r="2127" spans="1:8">
      <c r="A2127" s="2"/>
      <c r="B2127" s="12"/>
      <c r="C2127" s="12"/>
      <c r="E2127" t="str">
        <f>IF(LEN(D2127)=0,"",[1]!i_pq_tradedays($B$3,A2128,A2127)-1)</f>
        <v/>
      </c>
      <c r="G2127" s="16" t="str">
        <f t="shared" si="82"/>
        <v/>
      </c>
      <c r="H2127" s="70" t="str">
        <f t="shared" si="83"/>
        <v/>
      </c>
    </row>
    <row r="2128" spans="1:8">
      <c r="A2128" s="2"/>
      <c r="B2128" s="12"/>
      <c r="C2128" s="12"/>
      <c r="E2128" t="str">
        <f>IF(LEN(D2128)=0,"",[1]!i_pq_tradedays($B$3,A2129,A2128)-1)</f>
        <v/>
      </c>
      <c r="G2128" s="16" t="str">
        <f t="shared" si="82"/>
        <v/>
      </c>
      <c r="H2128" s="70" t="str">
        <f t="shared" si="83"/>
        <v/>
      </c>
    </row>
    <row r="2129" spans="1:8">
      <c r="A2129" s="2"/>
      <c r="B2129" s="12"/>
      <c r="C2129" s="12"/>
      <c r="E2129" t="str">
        <f>IF(LEN(D2129)=0,"",[1]!i_pq_tradedays($B$3,A2130,A2129)-1)</f>
        <v/>
      </c>
      <c r="G2129" s="16" t="str">
        <f t="shared" si="82"/>
        <v/>
      </c>
      <c r="H2129" s="70" t="str">
        <f t="shared" si="83"/>
        <v/>
      </c>
    </row>
    <row r="2130" spans="1:8">
      <c r="A2130" s="2"/>
      <c r="B2130" s="12"/>
      <c r="C2130" s="12"/>
      <c r="E2130" t="str">
        <f>IF(LEN(D2130)=0,"",[1]!i_pq_tradedays($B$3,A2131,A2130)-1)</f>
        <v/>
      </c>
      <c r="G2130" s="16" t="str">
        <f t="shared" si="82"/>
        <v/>
      </c>
      <c r="H2130" s="70" t="str">
        <f t="shared" si="83"/>
        <v/>
      </c>
    </row>
    <row r="2131" spans="1:8">
      <c r="A2131" s="2"/>
      <c r="B2131" s="12"/>
      <c r="C2131" s="12"/>
      <c r="E2131" t="str">
        <f>IF(LEN(D2131)=0,"",[1]!i_pq_tradedays($B$3,A2132,A2131)-1)</f>
        <v/>
      </c>
      <c r="G2131" s="16" t="str">
        <f t="shared" si="82"/>
        <v/>
      </c>
      <c r="H2131" s="70" t="str">
        <f t="shared" si="83"/>
        <v/>
      </c>
    </row>
    <row r="2132" spans="1:8">
      <c r="A2132" s="2"/>
      <c r="B2132" s="12"/>
      <c r="C2132" s="12"/>
      <c r="E2132" t="str">
        <f>IF(LEN(D2132)=0,"",[1]!i_pq_tradedays($B$3,A2133,A2132)-1)</f>
        <v/>
      </c>
      <c r="G2132" s="16" t="str">
        <f t="shared" si="82"/>
        <v/>
      </c>
      <c r="H2132" s="70" t="str">
        <f t="shared" si="83"/>
        <v/>
      </c>
    </row>
    <row r="2133" spans="1:8">
      <c r="A2133" s="2"/>
      <c r="B2133" s="12"/>
      <c r="C2133" s="12"/>
      <c r="E2133" t="str">
        <f>IF(LEN(D2133)=0,"",[1]!i_pq_tradedays($B$3,A2134,A2133)-1)</f>
        <v/>
      </c>
      <c r="G2133" s="16" t="str">
        <f t="shared" si="82"/>
        <v/>
      </c>
      <c r="H2133" s="70" t="str">
        <f t="shared" si="83"/>
        <v/>
      </c>
    </row>
    <row r="2134" spans="1:8">
      <c r="A2134" s="2"/>
      <c r="B2134" s="12"/>
      <c r="C2134" s="12"/>
      <c r="E2134" t="str">
        <f>IF(LEN(D2134)=0,"",[1]!i_pq_tradedays($B$3,A2135,A2134)-1)</f>
        <v/>
      </c>
      <c r="G2134" s="16" t="str">
        <f t="shared" si="82"/>
        <v/>
      </c>
      <c r="H2134" s="70" t="str">
        <f t="shared" si="83"/>
        <v/>
      </c>
    </row>
    <row r="2135" spans="1:8">
      <c r="A2135" s="2"/>
      <c r="B2135" s="12"/>
      <c r="C2135" s="12"/>
      <c r="E2135" t="str">
        <f>IF(LEN(D2135)=0,"",[1]!i_pq_tradedays($B$3,A2136,A2135)-1)</f>
        <v/>
      </c>
      <c r="G2135" s="16" t="str">
        <f t="shared" si="82"/>
        <v/>
      </c>
      <c r="H2135" s="70" t="str">
        <f t="shared" si="83"/>
        <v/>
      </c>
    </row>
    <row r="2136" spans="1:8">
      <c r="A2136" s="2"/>
      <c r="B2136" s="12"/>
      <c r="C2136" s="12"/>
      <c r="E2136" t="str">
        <f>IF(LEN(D2136)=0,"",[1]!i_pq_tradedays($B$3,A2137,A2136)-1)</f>
        <v/>
      </c>
      <c r="G2136" s="16" t="str">
        <f t="shared" si="82"/>
        <v/>
      </c>
      <c r="H2136" s="70" t="str">
        <f t="shared" si="83"/>
        <v/>
      </c>
    </row>
    <row r="2137" spans="1:8">
      <c r="A2137" s="2"/>
      <c r="B2137" s="12"/>
      <c r="C2137" s="12"/>
      <c r="E2137" t="str">
        <f>IF(LEN(D2137)=0,"",[1]!i_pq_tradedays($B$3,A2138,A2137)-1)</f>
        <v/>
      </c>
      <c r="G2137" s="16" t="str">
        <f t="shared" si="82"/>
        <v/>
      </c>
      <c r="H2137" s="70" t="str">
        <f t="shared" si="83"/>
        <v/>
      </c>
    </row>
    <row r="2138" spans="1:8">
      <c r="A2138" s="2"/>
      <c r="B2138" s="12"/>
      <c r="C2138" s="12"/>
      <c r="E2138" t="str">
        <f>IF(LEN(D2138)=0,"",[1]!i_pq_tradedays($B$3,A2139,A2138)-1)</f>
        <v/>
      </c>
      <c r="G2138" s="16" t="str">
        <f t="shared" si="82"/>
        <v/>
      </c>
      <c r="H2138" s="70" t="str">
        <f t="shared" si="83"/>
        <v/>
      </c>
    </row>
    <row r="2139" spans="1:8">
      <c r="A2139" s="2"/>
      <c r="B2139" s="12"/>
      <c r="C2139" s="12"/>
      <c r="E2139" t="str">
        <f>IF(LEN(D2139)=0,"",[1]!i_pq_tradedays($B$3,A2140,A2139)-1)</f>
        <v/>
      </c>
      <c r="G2139" s="16" t="str">
        <f t="shared" si="82"/>
        <v/>
      </c>
      <c r="H2139" s="70" t="str">
        <f t="shared" si="83"/>
        <v/>
      </c>
    </row>
    <row r="2140" spans="1:8">
      <c r="A2140" s="2"/>
      <c r="B2140" s="12"/>
      <c r="C2140" s="12"/>
      <c r="E2140" t="str">
        <f>IF(LEN(D2140)=0,"",[1]!i_pq_tradedays($B$3,A2141,A2140)-1)</f>
        <v/>
      </c>
      <c r="G2140" s="16" t="str">
        <f t="shared" si="82"/>
        <v/>
      </c>
      <c r="H2140" s="70" t="str">
        <f t="shared" si="83"/>
        <v/>
      </c>
    </row>
    <row r="2141" spans="1:8">
      <c r="A2141" s="2"/>
      <c r="B2141" s="12"/>
      <c r="C2141" s="12"/>
      <c r="E2141" t="str">
        <f>IF(LEN(D2141)=0,"",[1]!i_pq_tradedays($B$3,A2142,A2141)-1)</f>
        <v/>
      </c>
      <c r="G2141" s="16" t="str">
        <f t="shared" si="82"/>
        <v/>
      </c>
      <c r="H2141" s="70" t="str">
        <f t="shared" si="83"/>
        <v/>
      </c>
    </row>
    <row r="2142" spans="1:8">
      <c r="A2142" s="2"/>
      <c r="B2142" s="12"/>
      <c r="C2142" s="12"/>
      <c r="E2142" t="str">
        <f>IF(LEN(D2142)=0,"",[1]!i_pq_tradedays($B$3,A2143,A2142)-1)</f>
        <v/>
      </c>
      <c r="G2142" s="16" t="str">
        <f t="shared" si="82"/>
        <v/>
      </c>
      <c r="H2142" s="70" t="str">
        <f t="shared" si="83"/>
        <v/>
      </c>
    </row>
    <row r="2143" spans="1:8">
      <c r="A2143" s="2"/>
      <c r="B2143" s="12"/>
      <c r="C2143" s="12"/>
      <c r="E2143" t="str">
        <f>IF(LEN(D2143)=0,"",[1]!i_pq_tradedays($B$3,A2144,A2143)-1)</f>
        <v/>
      </c>
      <c r="G2143" s="16" t="str">
        <f t="shared" si="82"/>
        <v/>
      </c>
      <c r="H2143" s="70" t="str">
        <f t="shared" si="83"/>
        <v/>
      </c>
    </row>
    <row r="2144" spans="1:8">
      <c r="A2144" s="2"/>
      <c r="B2144" s="12"/>
      <c r="C2144" s="12"/>
      <c r="E2144" t="str">
        <f>IF(LEN(D2144)=0,"",[1]!i_pq_tradedays($B$3,A2145,A2144)-1)</f>
        <v/>
      </c>
      <c r="G2144" s="16" t="str">
        <f t="shared" si="82"/>
        <v/>
      </c>
      <c r="H2144" s="70" t="str">
        <f t="shared" si="83"/>
        <v/>
      </c>
    </row>
    <row r="2145" spans="1:8">
      <c r="A2145" s="2"/>
      <c r="B2145" s="12"/>
      <c r="C2145" s="12"/>
      <c r="E2145" t="str">
        <f>IF(LEN(D2145)=0,"",[1]!i_pq_tradedays($B$3,A2146,A2145)-1)</f>
        <v/>
      </c>
      <c r="G2145" s="16" t="str">
        <f t="shared" si="82"/>
        <v/>
      </c>
      <c r="H2145" s="70" t="str">
        <f t="shared" si="83"/>
        <v/>
      </c>
    </row>
    <row r="2146" spans="1:8">
      <c r="A2146" s="2"/>
      <c r="B2146" s="12"/>
      <c r="C2146" s="12"/>
      <c r="E2146" t="str">
        <f>IF(LEN(D2146)=0,"",[1]!i_pq_tradedays($B$3,A2147,A2146)-1)</f>
        <v/>
      </c>
      <c r="G2146" s="16" t="str">
        <f t="shared" si="82"/>
        <v/>
      </c>
      <c r="H2146" s="70" t="str">
        <f t="shared" si="83"/>
        <v/>
      </c>
    </row>
    <row r="2147" spans="1:8">
      <c r="A2147" s="2"/>
      <c r="B2147" s="12"/>
      <c r="C2147" s="12"/>
      <c r="E2147" t="str">
        <f>IF(LEN(D2147)=0,"",[1]!i_pq_tradedays($B$3,A2148,A2147)-1)</f>
        <v/>
      </c>
      <c r="G2147" s="16" t="str">
        <f t="shared" si="82"/>
        <v/>
      </c>
      <c r="H2147" s="70" t="str">
        <f t="shared" si="83"/>
        <v/>
      </c>
    </row>
    <row r="2148" spans="1:8">
      <c r="A2148" s="2"/>
      <c r="B2148" s="12"/>
      <c r="C2148" s="12"/>
      <c r="E2148" t="str">
        <f>IF(LEN(D2148)=0,"",[1]!i_pq_tradedays($B$3,A2149,A2148)-1)</f>
        <v/>
      </c>
      <c r="G2148" s="16" t="str">
        <f t="shared" si="82"/>
        <v/>
      </c>
      <c r="H2148" s="70" t="str">
        <f t="shared" si="83"/>
        <v/>
      </c>
    </row>
    <row r="2149" spans="1:8">
      <c r="A2149" s="2"/>
      <c r="B2149" s="12"/>
      <c r="C2149" s="12"/>
      <c r="E2149" t="str">
        <f>IF(LEN(D2149)=0,"",[1]!i_pq_tradedays($B$3,A2150,A2149)-1)</f>
        <v/>
      </c>
      <c r="G2149" s="16" t="str">
        <f t="shared" si="82"/>
        <v/>
      </c>
      <c r="H2149" s="70" t="str">
        <f t="shared" si="83"/>
        <v/>
      </c>
    </row>
    <row r="2150" spans="1:8">
      <c r="A2150" s="2"/>
      <c r="B2150" s="12"/>
      <c r="C2150" s="12"/>
      <c r="E2150" t="str">
        <f>IF(LEN(D2150)=0,"",[1]!i_pq_tradedays($B$3,A2151,A2150)-1)</f>
        <v/>
      </c>
      <c r="G2150" s="16" t="str">
        <f t="shared" si="82"/>
        <v/>
      </c>
      <c r="H2150" s="70" t="str">
        <f t="shared" si="83"/>
        <v/>
      </c>
    </row>
    <row r="2151" spans="1:8">
      <c r="A2151" s="2"/>
      <c r="B2151" s="12"/>
      <c r="C2151" s="12"/>
      <c r="E2151" t="str">
        <f>IF(LEN(D2151)=0,"",[1]!i_pq_tradedays($B$3,A2152,A2151)-1)</f>
        <v/>
      </c>
      <c r="G2151" s="16" t="str">
        <f t="shared" si="82"/>
        <v/>
      </c>
      <c r="H2151" s="70" t="str">
        <f t="shared" si="83"/>
        <v/>
      </c>
    </row>
    <row r="2152" spans="1:8">
      <c r="A2152" s="2"/>
      <c r="B2152" s="12"/>
      <c r="C2152" s="12"/>
      <c r="E2152" t="str">
        <f>IF(LEN(D2152)=0,"",[1]!i_pq_tradedays($B$3,A2153,A2152)-1)</f>
        <v/>
      </c>
      <c r="G2152" s="16" t="str">
        <f t="shared" si="82"/>
        <v/>
      </c>
      <c r="H2152" s="70" t="str">
        <f t="shared" si="83"/>
        <v/>
      </c>
    </row>
    <row r="2153" spans="1:8">
      <c r="A2153" s="2"/>
      <c r="B2153" s="12"/>
      <c r="C2153" s="12"/>
      <c r="E2153" t="str">
        <f>IF(LEN(D2153)=0,"",[1]!i_pq_tradedays($B$3,A2154,A2153)-1)</f>
        <v/>
      </c>
      <c r="G2153" s="16" t="str">
        <f t="shared" si="82"/>
        <v/>
      </c>
      <c r="H2153" s="70" t="str">
        <f t="shared" si="83"/>
        <v/>
      </c>
    </row>
    <row r="2154" spans="1:8">
      <c r="A2154" s="2"/>
      <c r="B2154" s="12"/>
      <c r="C2154" s="12"/>
      <c r="E2154" t="str">
        <f>IF(LEN(D2154)=0,"",[1]!i_pq_tradedays($B$3,A2155,A2154)-1)</f>
        <v/>
      </c>
      <c r="G2154" s="16" t="str">
        <f t="shared" si="82"/>
        <v/>
      </c>
      <c r="H2154" s="70" t="str">
        <f t="shared" si="83"/>
        <v/>
      </c>
    </row>
    <row r="2155" spans="1:8">
      <c r="A2155" s="2"/>
      <c r="B2155" s="12"/>
      <c r="C2155" s="12"/>
      <c r="E2155" t="str">
        <f>IF(LEN(D2155)=0,"",[1]!i_pq_tradedays($B$3,A2156,A2155)-1)</f>
        <v/>
      </c>
      <c r="G2155" s="16" t="str">
        <f t="shared" si="82"/>
        <v/>
      </c>
      <c r="H2155" s="70" t="str">
        <f t="shared" si="83"/>
        <v/>
      </c>
    </row>
    <row r="2156" spans="1:8">
      <c r="A2156" s="2"/>
      <c r="B2156" s="12"/>
      <c r="C2156" s="12"/>
      <c r="E2156" t="str">
        <f>IF(LEN(D2156)=0,"",[1]!i_pq_tradedays($B$3,A2157,A2156)-1)</f>
        <v/>
      </c>
      <c r="G2156" s="16" t="str">
        <f t="shared" si="82"/>
        <v/>
      </c>
      <c r="H2156" s="70" t="str">
        <f t="shared" si="83"/>
        <v/>
      </c>
    </row>
    <row r="2157" spans="1:8">
      <c r="A2157" s="2"/>
      <c r="B2157" s="12"/>
      <c r="C2157" s="12"/>
      <c r="E2157" t="str">
        <f>IF(LEN(D2157)=0,"",[1]!i_pq_tradedays($B$3,A2158,A2157)-1)</f>
        <v/>
      </c>
      <c r="G2157" s="16" t="str">
        <f t="shared" si="82"/>
        <v/>
      </c>
      <c r="H2157" s="70" t="str">
        <f t="shared" si="83"/>
        <v/>
      </c>
    </row>
    <row r="2158" spans="1:8">
      <c r="A2158" s="2"/>
      <c r="B2158" s="12"/>
      <c r="C2158" s="12"/>
      <c r="E2158" t="str">
        <f>IF(LEN(D2158)=0,"",[1]!i_pq_tradedays($B$3,A2159,A2158)-1)</f>
        <v/>
      </c>
      <c r="G2158" s="16" t="str">
        <f t="shared" si="82"/>
        <v/>
      </c>
      <c r="H2158" s="70" t="str">
        <f t="shared" si="83"/>
        <v/>
      </c>
    </row>
    <row r="2159" spans="1:8">
      <c r="A2159" s="2"/>
      <c r="B2159" s="12"/>
      <c r="C2159" s="12"/>
      <c r="E2159" t="str">
        <f>IF(LEN(D2159)=0,"",[1]!i_pq_tradedays($B$3,A2160,A2159)-1)</f>
        <v/>
      </c>
      <c r="G2159" s="16" t="str">
        <f t="shared" si="82"/>
        <v/>
      </c>
      <c r="H2159" s="70" t="str">
        <f t="shared" si="83"/>
        <v/>
      </c>
    </row>
    <row r="2160" spans="1:8">
      <c r="A2160" s="2"/>
      <c r="B2160" s="12"/>
      <c r="C2160" s="12"/>
      <c r="E2160" t="str">
        <f>IF(LEN(D2160)=0,"",[1]!i_pq_tradedays($B$3,A2161,A2160)-1)</f>
        <v/>
      </c>
      <c r="G2160" s="16" t="str">
        <f t="shared" si="82"/>
        <v/>
      </c>
      <c r="H2160" s="70" t="str">
        <f t="shared" si="83"/>
        <v/>
      </c>
    </row>
    <row r="2161" spans="1:8">
      <c r="A2161" s="2"/>
      <c r="B2161" s="12"/>
      <c r="C2161" s="12"/>
      <c r="E2161" t="str">
        <f>IF(LEN(D2161)=0,"",[1]!i_pq_tradedays($B$3,A2162,A2161)-1)</f>
        <v/>
      </c>
      <c r="G2161" s="16" t="str">
        <f t="shared" si="82"/>
        <v/>
      </c>
      <c r="H2161" s="70" t="str">
        <f t="shared" si="83"/>
        <v/>
      </c>
    </row>
    <row r="2162" spans="1:8">
      <c r="A2162" s="2"/>
      <c r="B2162" s="12"/>
      <c r="C2162" s="12"/>
      <c r="E2162" t="str">
        <f>IF(LEN(D2162)=0,"",[1]!i_pq_tradedays($B$3,A2163,A2162)-1)</f>
        <v/>
      </c>
      <c r="G2162" s="16" t="str">
        <f t="shared" si="82"/>
        <v/>
      </c>
      <c r="H2162" s="70" t="str">
        <f t="shared" si="83"/>
        <v/>
      </c>
    </row>
    <row r="2163" spans="1:8">
      <c r="A2163" s="2"/>
      <c r="B2163" s="12"/>
      <c r="C2163" s="12"/>
      <c r="E2163" t="str">
        <f>IF(LEN(D2163)=0,"",[1]!i_pq_tradedays($B$3,A2164,A2163)-1)</f>
        <v/>
      </c>
      <c r="G2163" s="16" t="str">
        <f t="shared" si="82"/>
        <v/>
      </c>
      <c r="H2163" s="70" t="str">
        <f t="shared" si="83"/>
        <v/>
      </c>
    </row>
    <row r="2164" spans="1:8">
      <c r="A2164" s="2"/>
      <c r="B2164" s="12"/>
      <c r="C2164" s="12"/>
      <c r="E2164" t="str">
        <f>IF(LEN(D2164)=0,"",[1]!i_pq_tradedays($B$3,A2165,A2164)-1)</f>
        <v/>
      </c>
      <c r="G2164" s="16" t="str">
        <f t="shared" si="82"/>
        <v/>
      </c>
      <c r="H2164" s="70" t="str">
        <f t="shared" si="83"/>
        <v/>
      </c>
    </row>
    <row r="2165" spans="1:8">
      <c r="A2165" s="2"/>
      <c r="B2165" s="12"/>
      <c r="C2165" s="12"/>
      <c r="E2165" t="str">
        <f>IF(LEN(D2165)=0,"",[1]!i_pq_tradedays($B$3,A2166,A2165)-1)</f>
        <v/>
      </c>
      <c r="G2165" s="16" t="str">
        <f t="shared" ref="G2165:G2228" si="84">IF(LEN(D2165)=0,"",D2165/E2165)</f>
        <v/>
      </c>
      <c r="H2165" s="70" t="str">
        <f t="shared" ref="H2165:H2228" si="85">IF(LEN(D2165)=0,"",G2165/G2166-1)</f>
        <v/>
      </c>
    </row>
    <row r="2166" spans="1:8">
      <c r="A2166" s="2"/>
      <c r="B2166" s="12"/>
      <c r="C2166" s="12"/>
      <c r="E2166" t="str">
        <f>IF(LEN(D2166)=0,"",[1]!i_pq_tradedays($B$3,A2167,A2166)-1)</f>
        <v/>
      </c>
      <c r="G2166" s="16" t="str">
        <f t="shared" si="84"/>
        <v/>
      </c>
      <c r="H2166" s="70" t="str">
        <f t="shared" si="85"/>
        <v/>
      </c>
    </row>
    <row r="2167" spans="1:8">
      <c r="A2167" s="2"/>
      <c r="B2167" s="12"/>
      <c r="C2167" s="12"/>
      <c r="E2167" t="str">
        <f>IF(LEN(D2167)=0,"",[1]!i_pq_tradedays($B$3,A2168,A2167)-1)</f>
        <v/>
      </c>
      <c r="G2167" s="16" t="str">
        <f t="shared" si="84"/>
        <v/>
      </c>
      <c r="H2167" s="70" t="str">
        <f t="shared" si="85"/>
        <v/>
      </c>
    </row>
    <row r="2168" spans="1:8">
      <c r="A2168" s="2"/>
      <c r="B2168" s="12"/>
      <c r="C2168" s="12"/>
      <c r="E2168" t="str">
        <f>IF(LEN(D2168)=0,"",[1]!i_pq_tradedays($B$3,A2169,A2168)-1)</f>
        <v/>
      </c>
      <c r="G2168" s="16" t="str">
        <f t="shared" si="84"/>
        <v/>
      </c>
      <c r="H2168" s="70" t="str">
        <f t="shared" si="85"/>
        <v/>
      </c>
    </row>
    <row r="2169" spans="1:8">
      <c r="A2169" s="2"/>
      <c r="B2169" s="12"/>
      <c r="C2169" s="12"/>
      <c r="E2169" t="str">
        <f>IF(LEN(D2169)=0,"",[1]!i_pq_tradedays($B$3,A2170,A2169)-1)</f>
        <v/>
      </c>
      <c r="G2169" s="16" t="str">
        <f t="shared" si="84"/>
        <v/>
      </c>
      <c r="H2169" s="70" t="str">
        <f t="shared" si="85"/>
        <v/>
      </c>
    </row>
    <row r="2170" spans="1:8">
      <c r="A2170" s="2"/>
      <c r="B2170" s="12"/>
      <c r="C2170" s="12"/>
      <c r="E2170" t="str">
        <f>IF(LEN(D2170)=0,"",[1]!i_pq_tradedays($B$3,A2171,A2170)-1)</f>
        <v/>
      </c>
      <c r="G2170" s="16" t="str">
        <f t="shared" si="84"/>
        <v/>
      </c>
      <c r="H2170" s="70" t="str">
        <f t="shared" si="85"/>
        <v/>
      </c>
    </row>
    <row r="2171" spans="1:8">
      <c r="A2171" s="2"/>
      <c r="B2171" s="12"/>
      <c r="C2171" s="12"/>
      <c r="E2171" t="str">
        <f>IF(LEN(D2171)=0,"",[1]!i_pq_tradedays($B$3,A2172,A2171)-1)</f>
        <v/>
      </c>
      <c r="G2171" s="16" t="str">
        <f t="shared" si="84"/>
        <v/>
      </c>
      <c r="H2171" s="70" t="str">
        <f t="shared" si="85"/>
        <v/>
      </c>
    </row>
    <row r="2172" spans="1:8">
      <c r="A2172" s="2"/>
      <c r="B2172" s="12"/>
      <c r="C2172" s="12"/>
      <c r="E2172" t="str">
        <f>IF(LEN(D2172)=0,"",[1]!i_pq_tradedays($B$3,A2173,A2172)-1)</f>
        <v/>
      </c>
      <c r="G2172" s="16" t="str">
        <f t="shared" si="84"/>
        <v/>
      </c>
      <c r="H2172" s="70" t="str">
        <f t="shared" si="85"/>
        <v/>
      </c>
    </row>
    <row r="2173" spans="1:8">
      <c r="A2173" s="2"/>
      <c r="B2173" s="12"/>
      <c r="C2173" s="12"/>
      <c r="E2173" t="str">
        <f>IF(LEN(D2173)=0,"",[1]!i_pq_tradedays($B$3,A2174,A2173)-1)</f>
        <v/>
      </c>
      <c r="G2173" s="16" t="str">
        <f t="shared" si="84"/>
        <v/>
      </c>
      <c r="H2173" s="70" t="str">
        <f t="shared" si="85"/>
        <v/>
      </c>
    </row>
    <row r="2174" spans="1:8">
      <c r="A2174" s="2"/>
      <c r="B2174" s="12"/>
      <c r="C2174" s="12"/>
      <c r="E2174" t="str">
        <f>IF(LEN(D2174)=0,"",[1]!i_pq_tradedays($B$3,A2175,A2174)-1)</f>
        <v/>
      </c>
      <c r="G2174" s="16" t="str">
        <f t="shared" si="84"/>
        <v/>
      </c>
      <c r="H2174" s="70" t="str">
        <f t="shared" si="85"/>
        <v/>
      </c>
    </row>
    <row r="2175" spans="1:8">
      <c r="A2175" s="2"/>
      <c r="B2175" s="12"/>
      <c r="C2175" s="12"/>
      <c r="E2175" t="str">
        <f>IF(LEN(D2175)=0,"",[1]!i_pq_tradedays($B$3,A2176,A2175)-1)</f>
        <v/>
      </c>
      <c r="G2175" s="16" t="str">
        <f t="shared" si="84"/>
        <v/>
      </c>
      <c r="H2175" s="70" t="str">
        <f t="shared" si="85"/>
        <v/>
      </c>
    </row>
    <row r="2176" spans="1:8">
      <c r="A2176" s="2"/>
      <c r="B2176" s="12"/>
      <c r="C2176" s="12"/>
      <c r="E2176" t="str">
        <f>IF(LEN(D2176)=0,"",[1]!i_pq_tradedays($B$3,A2177,A2176)-1)</f>
        <v/>
      </c>
      <c r="G2176" s="16" t="str">
        <f t="shared" si="84"/>
        <v/>
      </c>
      <c r="H2176" s="70" t="str">
        <f t="shared" si="85"/>
        <v/>
      </c>
    </row>
    <row r="2177" spans="1:8">
      <c r="A2177" s="2"/>
      <c r="B2177" s="12"/>
      <c r="C2177" s="12"/>
      <c r="E2177" t="str">
        <f>IF(LEN(D2177)=0,"",[1]!i_pq_tradedays($B$3,A2178,A2177)-1)</f>
        <v/>
      </c>
      <c r="G2177" s="16" t="str">
        <f t="shared" si="84"/>
        <v/>
      </c>
      <c r="H2177" s="70" t="str">
        <f t="shared" si="85"/>
        <v/>
      </c>
    </row>
    <row r="2178" spans="1:8">
      <c r="A2178" s="2"/>
      <c r="B2178" s="12"/>
      <c r="C2178" s="12"/>
      <c r="E2178" t="str">
        <f>IF(LEN(D2178)=0,"",[1]!i_pq_tradedays($B$3,A2179,A2178)-1)</f>
        <v/>
      </c>
      <c r="G2178" s="16" t="str">
        <f t="shared" si="84"/>
        <v/>
      </c>
      <c r="H2178" s="70" t="str">
        <f t="shared" si="85"/>
        <v/>
      </c>
    </row>
    <row r="2179" spans="1:8">
      <c r="A2179" s="2"/>
      <c r="B2179" s="12"/>
      <c r="C2179" s="12"/>
      <c r="E2179" t="str">
        <f>IF(LEN(D2179)=0,"",[1]!i_pq_tradedays($B$3,A2180,A2179)-1)</f>
        <v/>
      </c>
      <c r="G2179" s="16" t="str">
        <f t="shared" si="84"/>
        <v/>
      </c>
      <c r="H2179" s="70" t="str">
        <f t="shared" si="85"/>
        <v/>
      </c>
    </row>
    <row r="2180" spans="1:8">
      <c r="A2180" s="2"/>
      <c r="B2180" s="12"/>
      <c r="C2180" s="12"/>
      <c r="E2180" t="str">
        <f>IF(LEN(D2180)=0,"",[1]!i_pq_tradedays($B$3,A2181,A2180)-1)</f>
        <v/>
      </c>
      <c r="G2180" s="16" t="str">
        <f t="shared" si="84"/>
        <v/>
      </c>
      <c r="H2180" s="70" t="str">
        <f t="shared" si="85"/>
        <v/>
      </c>
    </row>
    <row r="2181" spans="1:8">
      <c r="A2181" s="2"/>
      <c r="B2181" s="12"/>
      <c r="C2181" s="12"/>
      <c r="E2181" t="str">
        <f>IF(LEN(D2181)=0,"",[1]!i_pq_tradedays($B$3,A2182,A2181)-1)</f>
        <v/>
      </c>
      <c r="G2181" s="16" t="str">
        <f t="shared" si="84"/>
        <v/>
      </c>
      <c r="H2181" s="70" t="str">
        <f t="shared" si="85"/>
        <v/>
      </c>
    </row>
    <row r="2182" spans="1:8">
      <c r="A2182" s="2"/>
      <c r="B2182" s="12"/>
      <c r="C2182" s="12"/>
      <c r="E2182" t="str">
        <f>IF(LEN(D2182)=0,"",[1]!i_pq_tradedays($B$3,A2183,A2182)-1)</f>
        <v/>
      </c>
      <c r="G2182" s="16" t="str">
        <f t="shared" si="84"/>
        <v/>
      </c>
      <c r="H2182" s="70" t="str">
        <f t="shared" si="85"/>
        <v/>
      </c>
    </row>
    <row r="2183" spans="1:8">
      <c r="A2183" s="2"/>
      <c r="B2183" s="12"/>
      <c r="C2183" s="12"/>
      <c r="E2183" t="str">
        <f>IF(LEN(D2183)=0,"",[1]!i_pq_tradedays($B$3,A2184,A2183)-1)</f>
        <v/>
      </c>
      <c r="G2183" s="16" t="str">
        <f t="shared" si="84"/>
        <v/>
      </c>
      <c r="H2183" s="70" t="str">
        <f t="shared" si="85"/>
        <v/>
      </c>
    </row>
    <row r="2184" spans="1:8">
      <c r="A2184" s="2"/>
      <c r="B2184" s="12"/>
      <c r="C2184" s="12"/>
      <c r="E2184" t="str">
        <f>IF(LEN(D2184)=0,"",[1]!i_pq_tradedays($B$3,A2185,A2184)-1)</f>
        <v/>
      </c>
      <c r="G2184" s="16" t="str">
        <f t="shared" si="84"/>
        <v/>
      </c>
      <c r="H2184" s="70" t="str">
        <f t="shared" si="85"/>
        <v/>
      </c>
    </row>
    <row r="2185" spans="1:8">
      <c r="A2185" s="2"/>
      <c r="B2185" s="12"/>
      <c r="C2185" s="12"/>
      <c r="E2185" t="str">
        <f>IF(LEN(D2185)=0,"",[1]!i_pq_tradedays($B$3,A2186,A2185)-1)</f>
        <v/>
      </c>
      <c r="G2185" s="16" t="str">
        <f t="shared" si="84"/>
        <v/>
      </c>
      <c r="H2185" s="70" t="str">
        <f t="shared" si="85"/>
        <v/>
      </c>
    </row>
    <row r="2186" spans="1:8">
      <c r="A2186" s="2"/>
      <c r="B2186" s="12"/>
      <c r="C2186" s="12"/>
      <c r="E2186" t="str">
        <f>IF(LEN(D2186)=0,"",[1]!i_pq_tradedays($B$3,A2187,A2186)-1)</f>
        <v/>
      </c>
      <c r="G2186" s="16" t="str">
        <f t="shared" si="84"/>
        <v/>
      </c>
      <c r="H2186" s="70" t="str">
        <f t="shared" si="85"/>
        <v/>
      </c>
    </row>
    <row r="2187" spans="1:8">
      <c r="A2187" s="2"/>
      <c r="B2187" s="12"/>
      <c r="C2187" s="12"/>
      <c r="E2187" t="str">
        <f>IF(LEN(D2187)=0,"",[1]!i_pq_tradedays($B$3,A2188,A2187)-1)</f>
        <v/>
      </c>
      <c r="G2187" s="16" t="str">
        <f t="shared" si="84"/>
        <v/>
      </c>
      <c r="H2187" s="70" t="str">
        <f t="shared" si="85"/>
        <v/>
      </c>
    </row>
    <row r="2188" spans="1:8">
      <c r="A2188" s="2"/>
      <c r="B2188" s="12"/>
      <c r="C2188" s="12"/>
      <c r="E2188" t="str">
        <f>IF(LEN(D2188)=0,"",[1]!i_pq_tradedays($B$3,A2189,A2188)-1)</f>
        <v/>
      </c>
      <c r="G2188" s="16" t="str">
        <f t="shared" si="84"/>
        <v/>
      </c>
      <c r="H2188" s="70" t="str">
        <f t="shared" si="85"/>
        <v/>
      </c>
    </row>
    <row r="2189" spans="1:8">
      <c r="A2189" s="2"/>
      <c r="B2189" s="12"/>
      <c r="C2189" s="12"/>
      <c r="E2189" t="str">
        <f>IF(LEN(D2189)=0,"",[1]!i_pq_tradedays($B$3,A2190,A2189)-1)</f>
        <v/>
      </c>
      <c r="G2189" s="16" t="str">
        <f t="shared" si="84"/>
        <v/>
      </c>
      <c r="H2189" s="70" t="str">
        <f t="shared" si="85"/>
        <v/>
      </c>
    </row>
    <row r="2190" spans="1:8">
      <c r="A2190" s="2"/>
      <c r="B2190" s="12"/>
      <c r="C2190" s="12"/>
      <c r="E2190" t="str">
        <f>IF(LEN(D2190)=0,"",[1]!i_pq_tradedays($B$3,A2191,A2190)-1)</f>
        <v/>
      </c>
      <c r="G2190" s="16" t="str">
        <f t="shared" si="84"/>
        <v/>
      </c>
      <c r="H2190" s="70" t="str">
        <f t="shared" si="85"/>
        <v/>
      </c>
    </row>
    <row r="2191" spans="1:8">
      <c r="A2191" s="2"/>
      <c r="B2191" s="12"/>
      <c r="C2191" s="12"/>
      <c r="E2191" t="str">
        <f>IF(LEN(D2191)=0,"",[1]!i_pq_tradedays($B$3,A2192,A2191)-1)</f>
        <v/>
      </c>
      <c r="G2191" s="16" t="str">
        <f t="shared" si="84"/>
        <v/>
      </c>
      <c r="H2191" s="70" t="str">
        <f t="shared" si="85"/>
        <v/>
      </c>
    </row>
    <row r="2192" spans="1:8">
      <c r="A2192" s="2"/>
      <c r="B2192" s="12"/>
      <c r="C2192" s="12"/>
      <c r="E2192" t="str">
        <f>IF(LEN(D2192)=0,"",[1]!i_pq_tradedays($B$3,A2193,A2192)-1)</f>
        <v/>
      </c>
      <c r="G2192" s="16" t="str">
        <f t="shared" si="84"/>
        <v/>
      </c>
      <c r="H2192" s="70" t="str">
        <f t="shared" si="85"/>
        <v/>
      </c>
    </row>
    <row r="2193" spans="1:8">
      <c r="A2193" s="2"/>
      <c r="B2193" s="12"/>
      <c r="C2193" s="12"/>
      <c r="E2193" t="str">
        <f>IF(LEN(D2193)=0,"",[1]!i_pq_tradedays($B$3,A2194,A2193)-1)</f>
        <v/>
      </c>
      <c r="G2193" s="16" t="str">
        <f t="shared" si="84"/>
        <v/>
      </c>
      <c r="H2193" s="70" t="str">
        <f t="shared" si="85"/>
        <v/>
      </c>
    </row>
    <row r="2194" spans="1:8">
      <c r="A2194" s="2"/>
      <c r="B2194" s="12"/>
      <c r="C2194" s="12"/>
      <c r="E2194" t="str">
        <f>IF(LEN(D2194)=0,"",[1]!i_pq_tradedays($B$3,A2195,A2194)-1)</f>
        <v/>
      </c>
      <c r="G2194" s="16" t="str">
        <f t="shared" si="84"/>
        <v/>
      </c>
      <c r="H2194" s="70" t="str">
        <f t="shared" si="85"/>
        <v/>
      </c>
    </row>
    <row r="2195" spans="1:8">
      <c r="A2195" s="2"/>
      <c r="B2195" s="12"/>
      <c r="C2195" s="12"/>
      <c r="E2195" t="str">
        <f>IF(LEN(D2195)=0,"",[1]!i_pq_tradedays($B$3,A2196,A2195)-1)</f>
        <v/>
      </c>
      <c r="G2195" s="16" t="str">
        <f t="shared" si="84"/>
        <v/>
      </c>
      <c r="H2195" s="70" t="str">
        <f t="shared" si="85"/>
        <v/>
      </c>
    </row>
    <row r="2196" spans="1:8">
      <c r="A2196" s="2"/>
      <c r="B2196" s="12"/>
      <c r="C2196" s="12"/>
      <c r="E2196" t="str">
        <f>IF(LEN(D2196)=0,"",[1]!i_pq_tradedays($B$3,A2197,A2196)-1)</f>
        <v/>
      </c>
      <c r="G2196" s="16" t="str">
        <f t="shared" si="84"/>
        <v/>
      </c>
      <c r="H2196" s="70" t="str">
        <f t="shared" si="85"/>
        <v/>
      </c>
    </row>
    <row r="2197" spans="1:8">
      <c r="A2197" s="2"/>
      <c r="B2197" s="12"/>
      <c r="C2197" s="12"/>
      <c r="E2197" t="str">
        <f>IF(LEN(D2197)=0,"",[1]!i_pq_tradedays($B$3,A2198,A2197)-1)</f>
        <v/>
      </c>
      <c r="G2197" s="16" t="str">
        <f t="shared" si="84"/>
        <v/>
      </c>
      <c r="H2197" s="70" t="str">
        <f t="shared" si="85"/>
        <v/>
      </c>
    </row>
    <row r="2198" spans="1:8">
      <c r="A2198" s="2"/>
      <c r="B2198" s="12"/>
      <c r="C2198" s="12"/>
      <c r="E2198" t="str">
        <f>IF(LEN(D2198)=0,"",[1]!i_pq_tradedays($B$3,A2199,A2198)-1)</f>
        <v/>
      </c>
      <c r="G2198" s="16" t="str">
        <f t="shared" si="84"/>
        <v/>
      </c>
      <c r="H2198" s="70" t="str">
        <f t="shared" si="85"/>
        <v/>
      </c>
    </row>
    <row r="2199" spans="1:8">
      <c r="A2199" s="2"/>
      <c r="B2199" s="12"/>
      <c r="C2199" s="12"/>
      <c r="E2199" t="str">
        <f>IF(LEN(D2199)=0,"",[1]!i_pq_tradedays($B$3,A2200,A2199)-1)</f>
        <v/>
      </c>
      <c r="G2199" s="16" t="str">
        <f t="shared" si="84"/>
        <v/>
      </c>
      <c r="H2199" s="70" t="str">
        <f t="shared" si="85"/>
        <v/>
      </c>
    </row>
    <row r="2200" spans="1:8">
      <c r="A2200" s="2"/>
      <c r="B2200" s="12"/>
      <c r="C2200" s="12"/>
      <c r="E2200" t="str">
        <f>IF(LEN(D2200)=0,"",[1]!i_pq_tradedays($B$3,A2201,A2200)-1)</f>
        <v/>
      </c>
      <c r="G2200" s="16" t="str">
        <f t="shared" si="84"/>
        <v/>
      </c>
      <c r="H2200" s="70" t="str">
        <f t="shared" si="85"/>
        <v/>
      </c>
    </row>
    <row r="2201" spans="1:8">
      <c r="A2201" s="2"/>
      <c r="B2201" s="12"/>
      <c r="C2201" s="12"/>
      <c r="E2201" t="str">
        <f>IF(LEN(D2201)=0,"",[1]!i_pq_tradedays($B$3,A2202,A2201)-1)</f>
        <v/>
      </c>
      <c r="G2201" s="16" t="str">
        <f t="shared" si="84"/>
        <v/>
      </c>
      <c r="H2201" s="70" t="str">
        <f t="shared" si="85"/>
        <v/>
      </c>
    </row>
    <row r="2202" spans="1:8">
      <c r="A2202" s="2"/>
      <c r="B2202" s="12"/>
      <c r="C2202" s="12"/>
      <c r="E2202" t="str">
        <f>IF(LEN(D2202)=0,"",[1]!i_pq_tradedays($B$3,A2203,A2202)-1)</f>
        <v/>
      </c>
      <c r="G2202" s="16" t="str">
        <f t="shared" si="84"/>
        <v/>
      </c>
      <c r="H2202" s="70" t="str">
        <f t="shared" si="85"/>
        <v/>
      </c>
    </row>
    <row r="2203" spans="1:8">
      <c r="A2203" s="2"/>
      <c r="B2203" s="12"/>
      <c r="C2203" s="12"/>
      <c r="E2203" t="str">
        <f>IF(LEN(D2203)=0,"",[1]!i_pq_tradedays($B$3,A2204,A2203)-1)</f>
        <v/>
      </c>
      <c r="G2203" s="16" t="str">
        <f t="shared" si="84"/>
        <v/>
      </c>
      <c r="H2203" s="70" t="str">
        <f t="shared" si="85"/>
        <v/>
      </c>
    </row>
    <row r="2204" spans="1:8">
      <c r="A2204" s="2"/>
      <c r="B2204" s="12"/>
      <c r="C2204" s="12"/>
      <c r="E2204" t="str">
        <f>IF(LEN(D2204)=0,"",[1]!i_pq_tradedays($B$3,A2205,A2204)-1)</f>
        <v/>
      </c>
      <c r="G2204" s="16" t="str">
        <f t="shared" si="84"/>
        <v/>
      </c>
      <c r="H2204" s="70" t="str">
        <f t="shared" si="85"/>
        <v/>
      </c>
    </row>
    <row r="2205" spans="1:8">
      <c r="A2205" s="2"/>
      <c r="B2205" s="12"/>
      <c r="C2205" s="12"/>
      <c r="E2205" t="str">
        <f>IF(LEN(D2205)=0,"",[1]!i_pq_tradedays($B$3,A2206,A2205)-1)</f>
        <v/>
      </c>
      <c r="G2205" s="16" t="str">
        <f t="shared" si="84"/>
        <v/>
      </c>
      <c r="H2205" s="70" t="str">
        <f t="shared" si="85"/>
        <v/>
      </c>
    </row>
    <row r="2206" spans="1:8">
      <c r="A2206" s="2"/>
      <c r="B2206" s="12"/>
      <c r="C2206" s="12"/>
      <c r="E2206" t="str">
        <f>IF(LEN(D2206)=0,"",[1]!i_pq_tradedays($B$3,A2207,A2206)-1)</f>
        <v/>
      </c>
      <c r="G2206" s="16" t="str">
        <f t="shared" si="84"/>
        <v/>
      </c>
      <c r="H2206" s="70" t="str">
        <f t="shared" si="85"/>
        <v/>
      </c>
    </row>
    <row r="2207" spans="1:8">
      <c r="A2207" s="2"/>
      <c r="B2207" s="12"/>
      <c r="C2207" s="12"/>
      <c r="E2207" t="str">
        <f>IF(LEN(D2207)=0,"",[1]!i_pq_tradedays($B$3,A2208,A2207)-1)</f>
        <v/>
      </c>
      <c r="G2207" s="16" t="str">
        <f t="shared" si="84"/>
        <v/>
      </c>
      <c r="H2207" s="70" t="str">
        <f t="shared" si="85"/>
        <v/>
      </c>
    </row>
    <row r="2208" spans="1:8">
      <c r="A2208" s="2"/>
      <c r="B2208" s="12"/>
      <c r="C2208" s="12"/>
      <c r="E2208" t="str">
        <f>IF(LEN(D2208)=0,"",[1]!i_pq_tradedays($B$3,A2209,A2208)-1)</f>
        <v/>
      </c>
      <c r="G2208" s="16" t="str">
        <f t="shared" si="84"/>
        <v/>
      </c>
      <c r="H2208" s="70" t="str">
        <f t="shared" si="85"/>
        <v/>
      </c>
    </row>
    <row r="2209" spans="1:8">
      <c r="A2209" s="2"/>
      <c r="B2209" s="12"/>
      <c r="C2209" s="12"/>
      <c r="E2209" t="str">
        <f>IF(LEN(D2209)=0,"",[1]!i_pq_tradedays($B$3,A2210,A2209)-1)</f>
        <v/>
      </c>
      <c r="G2209" s="16" t="str">
        <f t="shared" si="84"/>
        <v/>
      </c>
      <c r="H2209" s="70" t="str">
        <f t="shared" si="85"/>
        <v/>
      </c>
    </row>
    <row r="2210" spans="1:8">
      <c r="A2210" s="2"/>
      <c r="B2210" s="12"/>
      <c r="C2210" s="12"/>
      <c r="E2210" t="str">
        <f>IF(LEN(D2210)=0,"",[1]!i_pq_tradedays($B$3,A2211,A2210)-1)</f>
        <v/>
      </c>
      <c r="G2210" s="16" t="str">
        <f t="shared" si="84"/>
        <v/>
      </c>
      <c r="H2210" s="70" t="str">
        <f t="shared" si="85"/>
        <v/>
      </c>
    </row>
    <row r="2211" spans="1:8">
      <c r="A2211" s="2"/>
      <c r="B2211" s="12"/>
      <c r="C2211" s="12"/>
      <c r="E2211" t="str">
        <f>IF(LEN(D2211)=0,"",[1]!i_pq_tradedays($B$3,A2212,A2211)-1)</f>
        <v/>
      </c>
      <c r="G2211" s="16" t="str">
        <f t="shared" si="84"/>
        <v/>
      </c>
      <c r="H2211" s="70" t="str">
        <f t="shared" si="85"/>
        <v/>
      </c>
    </row>
    <row r="2212" spans="1:8">
      <c r="A2212" s="2"/>
      <c r="B2212" s="12"/>
      <c r="C2212" s="12"/>
      <c r="E2212" t="str">
        <f>IF(LEN(D2212)=0,"",[1]!i_pq_tradedays($B$3,A2213,A2212)-1)</f>
        <v/>
      </c>
      <c r="G2212" s="16" t="str">
        <f t="shared" si="84"/>
        <v/>
      </c>
      <c r="H2212" s="70" t="str">
        <f t="shared" si="85"/>
        <v/>
      </c>
    </row>
    <row r="2213" spans="1:8">
      <c r="A2213" s="2"/>
      <c r="B2213" s="12"/>
      <c r="C2213" s="12"/>
      <c r="E2213" t="str">
        <f>IF(LEN(D2213)=0,"",[1]!i_pq_tradedays($B$3,A2214,A2213)-1)</f>
        <v/>
      </c>
      <c r="G2213" s="16" t="str">
        <f t="shared" si="84"/>
        <v/>
      </c>
      <c r="H2213" s="70" t="str">
        <f t="shared" si="85"/>
        <v/>
      </c>
    </row>
    <row r="2214" spans="1:8">
      <c r="A2214" s="2"/>
      <c r="B2214" s="12"/>
      <c r="C2214" s="12"/>
      <c r="E2214" t="str">
        <f>IF(LEN(D2214)=0,"",[1]!i_pq_tradedays($B$3,A2215,A2214)-1)</f>
        <v/>
      </c>
      <c r="G2214" s="16" t="str">
        <f t="shared" si="84"/>
        <v/>
      </c>
      <c r="H2214" s="70" t="str">
        <f t="shared" si="85"/>
        <v/>
      </c>
    </row>
    <row r="2215" spans="1:8">
      <c r="A2215" s="2"/>
      <c r="B2215" s="12"/>
      <c r="C2215" s="12"/>
      <c r="E2215" t="str">
        <f>IF(LEN(D2215)=0,"",[1]!i_pq_tradedays($B$3,A2216,A2215)-1)</f>
        <v/>
      </c>
      <c r="G2215" s="16" t="str">
        <f t="shared" si="84"/>
        <v/>
      </c>
      <c r="H2215" s="70" t="str">
        <f t="shared" si="85"/>
        <v/>
      </c>
    </row>
    <row r="2216" spans="1:8">
      <c r="A2216" s="2"/>
      <c r="B2216" s="12"/>
      <c r="C2216" s="12"/>
      <c r="E2216" t="str">
        <f>IF(LEN(D2216)=0,"",[1]!i_pq_tradedays($B$3,A2217,A2216)-1)</f>
        <v/>
      </c>
      <c r="G2216" s="16" t="str">
        <f t="shared" si="84"/>
        <v/>
      </c>
      <c r="H2216" s="70" t="str">
        <f t="shared" si="85"/>
        <v/>
      </c>
    </row>
    <row r="2217" spans="1:8">
      <c r="A2217" s="2"/>
      <c r="B2217" s="12"/>
      <c r="C2217" s="12"/>
      <c r="E2217" t="str">
        <f>IF(LEN(D2217)=0,"",[1]!i_pq_tradedays($B$3,A2218,A2217)-1)</f>
        <v/>
      </c>
      <c r="G2217" s="16" t="str">
        <f t="shared" si="84"/>
        <v/>
      </c>
      <c r="H2217" s="70" t="str">
        <f t="shared" si="85"/>
        <v/>
      </c>
    </row>
    <row r="2218" spans="1:8">
      <c r="A2218" s="2"/>
      <c r="B2218" s="12"/>
      <c r="C2218" s="12"/>
      <c r="E2218" t="str">
        <f>IF(LEN(D2218)=0,"",[1]!i_pq_tradedays($B$3,A2219,A2218)-1)</f>
        <v/>
      </c>
      <c r="G2218" s="16" t="str">
        <f t="shared" si="84"/>
        <v/>
      </c>
      <c r="H2218" s="70" t="str">
        <f t="shared" si="85"/>
        <v/>
      </c>
    </row>
    <row r="2219" spans="1:8">
      <c r="A2219" s="2"/>
      <c r="B2219" s="12"/>
      <c r="C2219" s="12"/>
      <c r="E2219" t="str">
        <f>IF(LEN(D2219)=0,"",[1]!i_pq_tradedays($B$3,A2220,A2219)-1)</f>
        <v/>
      </c>
      <c r="G2219" s="16" t="str">
        <f t="shared" si="84"/>
        <v/>
      </c>
      <c r="H2219" s="70" t="str">
        <f t="shared" si="85"/>
        <v/>
      </c>
    </row>
    <row r="2220" spans="1:8">
      <c r="A2220" s="2"/>
      <c r="B2220" s="12"/>
      <c r="C2220" s="12"/>
      <c r="E2220" t="str">
        <f>IF(LEN(D2220)=0,"",[1]!i_pq_tradedays($B$3,A2221,A2220)-1)</f>
        <v/>
      </c>
      <c r="G2220" s="16" t="str">
        <f t="shared" si="84"/>
        <v/>
      </c>
      <c r="H2220" s="70" t="str">
        <f t="shared" si="85"/>
        <v/>
      </c>
    </row>
    <row r="2221" spans="1:8">
      <c r="A2221" s="2"/>
      <c r="B2221" s="12"/>
      <c r="C2221" s="12"/>
      <c r="E2221" t="str">
        <f>IF(LEN(D2221)=0,"",[1]!i_pq_tradedays($B$3,A2222,A2221)-1)</f>
        <v/>
      </c>
      <c r="G2221" s="16" t="str">
        <f t="shared" si="84"/>
        <v/>
      </c>
      <c r="H2221" s="70" t="str">
        <f t="shared" si="85"/>
        <v/>
      </c>
    </row>
    <row r="2222" spans="1:8">
      <c r="A2222" s="2"/>
      <c r="B2222" s="12"/>
      <c r="C2222" s="12"/>
      <c r="E2222" t="str">
        <f>IF(LEN(D2222)=0,"",[1]!i_pq_tradedays($B$3,A2223,A2222)-1)</f>
        <v/>
      </c>
      <c r="G2222" s="16" t="str">
        <f t="shared" si="84"/>
        <v/>
      </c>
      <c r="H2222" s="70" t="str">
        <f t="shared" si="85"/>
        <v/>
      </c>
    </row>
    <row r="2223" spans="1:8">
      <c r="A2223" s="2"/>
      <c r="B2223" s="12"/>
      <c r="C2223" s="12"/>
      <c r="E2223" t="str">
        <f>IF(LEN(D2223)=0,"",[1]!i_pq_tradedays($B$3,A2224,A2223)-1)</f>
        <v/>
      </c>
      <c r="G2223" s="16" t="str">
        <f t="shared" si="84"/>
        <v/>
      </c>
      <c r="H2223" s="70" t="str">
        <f t="shared" si="85"/>
        <v/>
      </c>
    </row>
    <row r="2224" spans="1:8">
      <c r="A2224" s="2"/>
      <c r="B2224" s="12"/>
      <c r="C2224" s="12"/>
      <c r="E2224" t="str">
        <f>IF(LEN(D2224)=0,"",[1]!i_pq_tradedays($B$3,A2225,A2224)-1)</f>
        <v/>
      </c>
      <c r="G2224" s="16" t="str">
        <f t="shared" si="84"/>
        <v/>
      </c>
      <c r="H2224" s="70" t="str">
        <f t="shared" si="85"/>
        <v/>
      </c>
    </row>
    <row r="2225" spans="1:8">
      <c r="A2225" s="2"/>
      <c r="B2225" s="12"/>
      <c r="C2225" s="12"/>
      <c r="E2225" t="str">
        <f>IF(LEN(D2225)=0,"",[1]!i_pq_tradedays($B$3,A2226,A2225)-1)</f>
        <v/>
      </c>
      <c r="G2225" s="16" t="str">
        <f t="shared" si="84"/>
        <v/>
      </c>
      <c r="H2225" s="70" t="str">
        <f t="shared" si="85"/>
        <v/>
      </c>
    </row>
    <row r="2226" spans="1:8">
      <c r="A2226" s="2"/>
      <c r="B2226" s="12"/>
      <c r="C2226" s="12"/>
      <c r="E2226" t="str">
        <f>IF(LEN(D2226)=0,"",[1]!i_pq_tradedays($B$3,A2227,A2226)-1)</f>
        <v/>
      </c>
      <c r="G2226" s="16" t="str">
        <f t="shared" si="84"/>
        <v/>
      </c>
      <c r="H2226" s="70" t="str">
        <f t="shared" si="85"/>
        <v/>
      </c>
    </row>
    <row r="2227" spans="1:8">
      <c r="A2227" s="2"/>
      <c r="B2227" s="12"/>
      <c r="C2227" s="12"/>
      <c r="E2227" t="str">
        <f>IF(LEN(D2227)=0,"",[1]!i_pq_tradedays($B$3,A2228,A2227)-1)</f>
        <v/>
      </c>
      <c r="G2227" s="16" t="str">
        <f t="shared" si="84"/>
        <v/>
      </c>
      <c r="H2227" s="70" t="str">
        <f t="shared" si="85"/>
        <v/>
      </c>
    </row>
    <row r="2228" spans="1:8">
      <c r="A2228" s="2"/>
      <c r="B2228" s="12"/>
      <c r="C2228" s="12"/>
      <c r="E2228" t="str">
        <f>IF(LEN(D2228)=0,"",[1]!i_pq_tradedays($B$3,A2229,A2228)-1)</f>
        <v/>
      </c>
      <c r="G2228" s="16" t="str">
        <f t="shared" si="84"/>
        <v/>
      </c>
      <c r="H2228" s="70" t="str">
        <f t="shared" si="85"/>
        <v/>
      </c>
    </row>
    <row r="2229" spans="1:8">
      <c r="A2229" s="2"/>
      <c r="B2229" s="12"/>
      <c r="C2229" s="12"/>
      <c r="E2229" t="str">
        <f>IF(LEN(D2229)=0,"",[1]!i_pq_tradedays($B$3,A2230,A2229)-1)</f>
        <v/>
      </c>
      <c r="G2229" s="16" t="str">
        <f t="shared" ref="G2229:G2292" si="86">IF(LEN(D2229)=0,"",D2229/E2229)</f>
        <v/>
      </c>
      <c r="H2229" s="70" t="str">
        <f t="shared" ref="H2229:H2292" si="87">IF(LEN(D2229)=0,"",G2229/G2230-1)</f>
        <v/>
      </c>
    </row>
    <row r="2230" spans="1:8">
      <c r="A2230" s="2"/>
      <c r="B2230" s="12"/>
      <c r="C2230" s="12"/>
      <c r="E2230" t="str">
        <f>IF(LEN(D2230)=0,"",[1]!i_pq_tradedays($B$3,A2231,A2230)-1)</f>
        <v/>
      </c>
      <c r="G2230" s="16" t="str">
        <f t="shared" si="86"/>
        <v/>
      </c>
      <c r="H2230" s="70" t="str">
        <f t="shared" si="87"/>
        <v/>
      </c>
    </row>
    <row r="2231" spans="1:8">
      <c r="A2231" s="2"/>
      <c r="B2231" s="12"/>
      <c r="C2231" s="12"/>
      <c r="E2231" t="str">
        <f>IF(LEN(D2231)=0,"",[1]!i_pq_tradedays($B$3,A2232,A2231)-1)</f>
        <v/>
      </c>
      <c r="G2231" s="16" t="str">
        <f t="shared" si="86"/>
        <v/>
      </c>
      <c r="H2231" s="70" t="str">
        <f t="shared" si="87"/>
        <v/>
      </c>
    </row>
    <row r="2232" spans="1:8">
      <c r="A2232" s="2"/>
      <c r="B2232" s="12"/>
      <c r="C2232" s="12"/>
      <c r="E2232" t="str">
        <f>IF(LEN(D2232)=0,"",[1]!i_pq_tradedays($B$3,A2233,A2232)-1)</f>
        <v/>
      </c>
      <c r="G2232" s="16" t="str">
        <f t="shared" si="86"/>
        <v/>
      </c>
      <c r="H2232" s="70" t="str">
        <f t="shared" si="87"/>
        <v/>
      </c>
    </row>
    <row r="2233" spans="1:8">
      <c r="A2233" s="2"/>
      <c r="B2233" s="12"/>
      <c r="C2233" s="12"/>
      <c r="E2233" t="str">
        <f>IF(LEN(D2233)=0,"",[1]!i_pq_tradedays($B$3,A2234,A2233)-1)</f>
        <v/>
      </c>
      <c r="G2233" s="16" t="str">
        <f t="shared" si="86"/>
        <v/>
      </c>
      <c r="H2233" s="70" t="str">
        <f t="shared" si="87"/>
        <v/>
      </c>
    </row>
    <row r="2234" spans="1:8">
      <c r="A2234" s="2"/>
      <c r="B2234" s="12"/>
      <c r="C2234" s="12"/>
      <c r="E2234" t="str">
        <f>IF(LEN(D2234)=0,"",[1]!i_pq_tradedays($B$3,A2235,A2234)-1)</f>
        <v/>
      </c>
      <c r="G2234" s="16" t="str">
        <f t="shared" si="86"/>
        <v/>
      </c>
      <c r="H2234" s="70" t="str">
        <f t="shared" si="87"/>
        <v/>
      </c>
    </row>
    <row r="2235" spans="1:8">
      <c r="A2235" s="2"/>
      <c r="B2235" s="12"/>
      <c r="C2235" s="12"/>
      <c r="E2235" t="str">
        <f>IF(LEN(D2235)=0,"",[1]!i_pq_tradedays($B$3,A2236,A2235)-1)</f>
        <v/>
      </c>
      <c r="G2235" s="16" t="str">
        <f t="shared" si="86"/>
        <v/>
      </c>
      <c r="H2235" s="70" t="str">
        <f t="shared" si="87"/>
        <v/>
      </c>
    </row>
    <row r="2236" spans="1:8">
      <c r="A2236" s="2"/>
      <c r="B2236" s="12"/>
      <c r="C2236" s="12"/>
      <c r="E2236" t="str">
        <f>IF(LEN(D2236)=0,"",[1]!i_pq_tradedays($B$3,A2237,A2236)-1)</f>
        <v/>
      </c>
      <c r="G2236" s="16" t="str">
        <f t="shared" si="86"/>
        <v/>
      </c>
      <c r="H2236" s="70" t="str">
        <f t="shared" si="87"/>
        <v/>
      </c>
    </row>
    <row r="2237" spans="1:8">
      <c r="A2237" s="2"/>
      <c r="B2237" s="12"/>
      <c r="C2237" s="12"/>
      <c r="E2237" t="str">
        <f>IF(LEN(D2237)=0,"",[1]!i_pq_tradedays($B$3,A2238,A2237)-1)</f>
        <v/>
      </c>
      <c r="G2237" s="16" t="str">
        <f t="shared" si="86"/>
        <v/>
      </c>
      <c r="H2237" s="70" t="str">
        <f t="shared" si="87"/>
        <v/>
      </c>
    </row>
    <row r="2238" spans="1:8">
      <c r="A2238" s="2"/>
      <c r="B2238" s="12"/>
      <c r="C2238" s="12"/>
      <c r="E2238" t="str">
        <f>IF(LEN(D2238)=0,"",[1]!i_pq_tradedays($B$3,A2239,A2238)-1)</f>
        <v/>
      </c>
      <c r="G2238" s="16" t="str">
        <f t="shared" si="86"/>
        <v/>
      </c>
      <c r="H2238" s="70" t="str">
        <f t="shared" si="87"/>
        <v/>
      </c>
    </row>
    <row r="2239" spans="1:8">
      <c r="A2239" s="2"/>
      <c r="B2239" s="12"/>
      <c r="C2239" s="12"/>
      <c r="E2239" t="str">
        <f>IF(LEN(D2239)=0,"",[1]!i_pq_tradedays($B$3,A2240,A2239)-1)</f>
        <v/>
      </c>
      <c r="G2239" s="16" t="str">
        <f t="shared" si="86"/>
        <v/>
      </c>
      <c r="H2239" s="70" t="str">
        <f t="shared" si="87"/>
        <v/>
      </c>
    </row>
    <row r="2240" spans="1:8">
      <c r="A2240" s="2"/>
      <c r="B2240" s="12"/>
      <c r="C2240" s="12"/>
      <c r="E2240" t="str">
        <f>IF(LEN(D2240)=0,"",[1]!i_pq_tradedays($B$3,A2241,A2240)-1)</f>
        <v/>
      </c>
      <c r="G2240" s="16" t="str">
        <f t="shared" si="86"/>
        <v/>
      </c>
      <c r="H2240" s="70" t="str">
        <f t="shared" si="87"/>
        <v/>
      </c>
    </row>
    <row r="2241" spans="1:8">
      <c r="A2241" s="2"/>
      <c r="B2241" s="12"/>
      <c r="C2241" s="12"/>
      <c r="E2241" t="str">
        <f>IF(LEN(D2241)=0,"",[1]!i_pq_tradedays($B$3,A2242,A2241)-1)</f>
        <v/>
      </c>
      <c r="G2241" s="16" t="str">
        <f t="shared" si="86"/>
        <v/>
      </c>
      <c r="H2241" s="70" t="str">
        <f t="shared" si="87"/>
        <v/>
      </c>
    </row>
    <row r="2242" spans="1:8">
      <c r="A2242" s="2"/>
      <c r="B2242" s="12"/>
      <c r="C2242" s="12"/>
      <c r="E2242" t="str">
        <f>IF(LEN(D2242)=0,"",[1]!i_pq_tradedays($B$3,A2243,A2242)-1)</f>
        <v/>
      </c>
      <c r="G2242" s="16" t="str">
        <f t="shared" si="86"/>
        <v/>
      </c>
      <c r="H2242" s="70" t="str">
        <f t="shared" si="87"/>
        <v/>
      </c>
    </row>
    <row r="2243" spans="1:8">
      <c r="A2243" s="2"/>
      <c r="B2243" s="12"/>
      <c r="C2243" s="12"/>
      <c r="E2243" t="str">
        <f>IF(LEN(D2243)=0,"",[1]!i_pq_tradedays($B$3,A2244,A2243)-1)</f>
        <v/>
      </c>
      <c r="G2243" s="16" t="str">
        <f t="shared" si="86"/>
        <v/>
      </c>
      <c r="H2243" s="70" t="str">
        <f t="shared" si="87"/>
        <v/>
      </c>
    </row>
    <row r="2244" spans="1:8">
      <c r="A2244" s="2"/>
      <c r="B2244" s="12"/>
      <c r="C2244" s="12"/>
      <c r="E2244" t="str">
        <f>IF(LEN(D2244)=0,"",[1]!i_pq_tradedays($B$3,A2245,A2244)-1)</f>
        <v/>
      </c>
      <c r="G2244" s="16" t="str">
        <f t="shared" si="86"/>
        <v/>
      </c>
      <c r="H2244" s="70" t="str">
        <f t="shared" si="87"/>
        <v/>
      </c>
    </row>
    <row r="2245" spans="1:8">
      <c r="A2245" s="2"/>
      <c r="B2245" s="12"/>
      <c r="C2245" s="12"/>
      <c r="E2245" t="str">
        <f>IF(LEN(D2245)=0,"",[1]!i_pq_tradedays($B$3,A2246,A2245)-1)</f>
        <v/>
      </c>
      <c r="G2245" s="16" t="str">
        <f t="shared" si="86"/>
        <v/>
      </c>
      <c r="H2245" s="70" t="str">
        <f t="shared" si="87"/>
        <v/>
      </c>
    </row>
    <row r="2246" spans="1:8">
      <c r="A2246" s="2"/>
      <c r="B2246" s="12"/>
      <c r="C2246" s="12"/>
      <c r="E2246" t="str">
        <f>IF(LEN(D2246)=0,"",[1]!i_pq_tradedays($B$3,A2247,A2246)-1)</f>
        <v/>
      </c>
      <c r="G2246" s="16" t="str">
        <f t="shared" si="86"/>
        <v/>
      </c>
      <c r="H2246" s="70" t="str">
        <f t="shared" si="87"/>
        <v/>
      </c>
    </row>
    <row r="2247" spans="1:8">
      <c r="A2247" s="2"/>
      <c r="B2247" s="12"/>
      <c r="C2247" s="12"/>
      <c r="E2247" t="str">
        <f>IF(LEN(D2247)=0,"",[1]!i_pq_tradedays($B$3,A2248,A2247)-1)</f>
        <v/>
      </c>
      <c r="G2247" s="16" t="str">
        <f t="shared" si="86"/>
        <v/>
      </c>
      <c r="H2247" s="70" t="str">
        <f t="shared" si="87"/>
        <v/>
      </c>
    </row>
    <row r="2248" spans="1:8">
      <c r="A2248" s="2"/>
      <c r="B2248" s="12"/>
      <c r="C2248" s="12"/>
      <c r="E2248" t="str">
        <f>IF(LEN(D2248)=0,"",[1]!i_pq_tradedays($B$3,A2249,A2248)-1)</f>
        <v/>
      </c>
      <c r="G2248" s="16" t="str">
        <f t="shared" si="86"/>
        <v/>
      </c>
      <c r="H2248" s="70" t="str">
        <f t="shared" si="87"/>
        <v/>
      </c>
    </row>
    <row r="2249" spans="1:8">
      <c r="A2249" s="2"/>
      <c r="B2249" s="12"/>
      <c r="C2249" s="12"/>
      <c r="E2249" t="str">
        <f>IF(LEN(D2249)=0,"",[1]!i_pq_tradedays($B$3,A2250,A2249)-1)</f>
        <v/>
      </c>
      <c r="G2249" s="16" t="str">
        <f t="shared" si="86"/>
        <v/>
      </c>
      <c r="H2249" s="70" t="str">
        <f t="shared" si="87"/>
        <v/>
      </c>
    </row>
    <row r="2250" spans="1:8">
      <c r="A2250" s="2"/>
      <c r="B2250" s="12"/>
      <c r="C2250" s="12"/>
      <c r="E2250" t="str">
        <f>IF(LEN(D2250)=0,"",[1]!i_pq_tradedays($B$3,A2251,A2250)-1)</f>
        <v/>
      </c>
      <c r="G2250" s="16" t="str">
        <f t="shared" si="86"/>
        <v/>
      </c>
      <c r="H2250" s="70" t="str">
        <f t="shared" si="87"/>
        <v/>
      </c>
    </row>
    <row r="2251" spans="1:8">
      <c r="A2251" s="2"/>
      <c r="B2251" s="12"/>
      <c r="C2251" s="12"/>
      <c r="E2251" t="str">
        <f>IF(LEN(D2251)=0,"",[1]!i_pq_tradedays($B$3,A2252,A2251)-1)</f>
        <v/>
      </c>
      <c r="G2251" s="16" t="str">
        <f t="shared" si="86"/>
        <v/>
      </c>
      <c r="H2251" s="70" t="str">
        <f t="shared" si="87"/>
        <v/>
      </c>
    </row>
    <row r="2252" spans="1:8">
      <c r="A2252" s="2"/>
      <c r="B2252" s="12"/>
      <c r="C2252" s="12"/>
      <c r="E2252" t="str">
        <f>IF(LEN(D2252)=0,"",[1]!i_pq_tradedays($B$3,A2253,A2252)-1)</f>
        <v/>
      </c>
      <c r="G2252" s="16" t="str">
        <f t="shared" si="86"/>
        <v/>
      </c>
      <c r="H2252" s="70" t="str">
        <f t="shared" si="87"/>
        <v/>
      </c>
    </row>
    <row r="2253" spans="1:8">
      <c r="A2253" s="2"/>
      <c r="B2253" s="12"/>
      <c r="C2253" s="12"/>
      <c r="E2253" t="str">
        <f>IF(LEN(D2253)=0,"",[1]!i_pq_tradedays($B$3,A2254,A2253)-1)</f>
        <v/>
      </c>
      <c r="G2253" s="16" t="str">
        <f t="shared" si="86"/>
        <v/>
      </c>
      <c r="H2253" s="70" t="str">
        <f t="shared" si="87"/>
        <v/>
      </c>
    </row>
    <row r="2254" spans="1:8">
      <c r="A2254" s="2"/>
      <c r="B2254" s="12"/>
      <c r="C2254" s="12"/>
      <c r="E2254" t="str">
        <f>IF(LEN(D2254)=0,"",[1]!i_pq_tradedays($B$3,A2255,A2254)-1)</f>
        <v/>
      </c>
      <c r="G2254" s="16" t="str">
        <f t="shared" si="86"/>
        <v/>
      </c>
      <c r="H2254" s="70" t="str">
        <f t="shared" si="87"/>
        <v/>
      </c>
    </row>
    <row r="2255" spans="1:8">
      <c r="A2255" s="2"/>
      <c r="B2255" s="12"/>
      <c r="C2255" s="12"/>
      <c r="E2255" t="str">
        <f>IF(LEN(D2255)=0,"",[1]!i_pq_tradedays($B$3,A2256,A2255)-1)</f>
        <v/>
      </c>
      <c r="G2255" s="16" t="str">
        <f t="shared" si="86"/>
        <v/>
      </c>
      <c r="H2255" s="70" t="str">
        <f t="shared" si="87"/>
        <v/>
      </c>
    </row>
    <row r="2256" spans="1:8">
      <c r="A2256" s="2"/>
      <c r="B2256" s="12"/>
      <c r="C2256" s="12"/>
      <c r="E2256" t="str">
        <f>IF(LEN(D2256)=0,"",[1]!i_pq_tradedays($B$3,A2257,A2256)-1)</f>
        <v/>
      </c>
      <c r="G2256" s="16" t="str">
        <f t="shared" si="86"/>
        <v/>
      </c>
      <c r="H2256" s="70" t="str">
        <f t="shared" si="87"/>
        <v/>
      </c>
    </row>
    <row r="2257" spans="1:8">
      <c r="A2257" s="2"/>
      <c r="B2257" s="12"/>
      <c r="C2257" s="12"/>
      <c r="E2257" t="str">
        <f>IF(LEN(D2257)=0,"",[1]!i_pq_tradedays($B$3,A2258,A2257)-1)</f>
        <v/>
      </c>
      <c r="G2257" s="16" t="str">
        <f t="shared" si="86"/>
        <v/>
      </c>
      <c r="H2257" s="70" t="str">
        <f t="shared" si="87"/>
        <v/>
      </c>
    </row>
    <row r="2258" spans="1:8">
      <c r="A2258" s="2"/>
      <c r="B2258" s="12"/>
      <c r="C2258" s="12"/>
      <c r="E2258" t="str">
        <f>IF(LEN(D2258)=0,"",[1]!i_pq_tradedays($B$3,A2259,A2258)-1)</f>
        <v/>
      </c>
      <c r="G2258" s="16" t="str">
        <f t="shared" si="86"/>
        <v/>
      </c>
      <c r="H2258" s="70" t="str">
        <f t="shared" si="87"/>
        <v/>
      </c>
    </row>
    <row r="2259" spans="1:8">
      <c r="A2259" s="2"/>
      <c r="B2259" s="12"/>
      <c r="C2259" s="12"/>
      <c r="E2259" t="str">
        <f>IF(LEN(D2259)=0,"",[1]!i_pq_tradedays($B$3,A2260,A2259)-1)</f>
        <v/>
      </c>
      <c r="G2259" s="16" t="str">
        <f t="shared" si="86"/>
        <v/>
      </c>
      <c r="H2259" s="70" t="str">
        <f t="shared" si="87"/>
        <v/>
      </c>
    </row>
    <row r="2260" spans="1:8">
      <c r="A2260" s="2"/>
      <c r="B2260" s="12"/>
      <c r="C2260" s="12"/>
      <c r="E2260" t="str">
        <f>IF(LEN(D2260)=0,"",[1]!i_pq_tradedays($B$3,A2261,A2260)-1)</f>
        <v/>
      </c>
      <c r="G2260" s="16" t="str">
        <f t="shared" si="86"/>
        <v/>
      </c>
      <c r="H2260" s="70" t="str">
        <f t="shared" si="87"/>
        <v/>
      </c>
    </row>
    <row r="2261" spans="1:8">
      <c r="A2261" s="2"/>
      <c r="B2261" s="12"/>
      <c r="C2261" s="12"/>
      <c r="E2261" t="str">
        <f>IF(LEN(D2261)=0,"",[1]!i_pq_tradedays($B$3,A2262,A2261)-1)</f>
        <v/>
      </c>
      <c r="G2261" s="16" t="str">
        <f t="shared" si="86"/>
        <v/>
      </c>
      <c r="H2261" s="70" t="str">
        <f t="shared" si="87"/>
        <v/>
      </c>
    </row>
    <row r="2262" spans="1:8">
      <c r="A2262" s="2"/>
      <c r="B2262" s="12"/>
      <c r="C2262" s="12"/>
      <c r="E2262" t="str">
        <f>IF(LEN(D2262)=0,"",[1]!i_pq_tradedays($B$3,A2263,A2262)-1)</f>
        <v/>
      </c>
      <c r="G2262" s="16" t="str">
        <f t="shared" si="86"/>
        <v/>
      </c>
      <c r="H2262" s="70" t="str">
        <f t="shared" si="87"/>
        <v/>
      </c>
    </row>
    <row r="2263" spans="1:8">
      <c r="A2263" s="2"/>
      <c r="B2263" s="12"/>
      <c r="C2263" s="12"/>
      <c r="E2263" t="str">
        <f>IF(LEN(D2263)=0,"",[1]!i_pq_tradedays($B$3,A2264,A2263)-1)</f>
        <v/>
      </c>
      <c r="G2263" s="16" t="str">
        <f t="shared" si="86"/>
        <v/>
      </c>
      <c r="H2263" s="70" t="str">
        <f t="shared" si="87"/>
        <v/>
      </c>
    </row>
    <row r="2264" spans="1:8">
      <c r="A2264" s="2"/>
      <c r="B2264" s="12"/>
      <c r="C2264" s="12"/>
      <c r="E2264" t="str">
        <f>IF(LEN(D2264)=0,"",[1]!i_pq_tradedays($B$3,A2265,A2264)-1)</f>
        <v/>
      </c>
      <c r="G2264" s="16" t="str">
        <f t="shared" si="86"/>
        <v/>
      </c>
      <c r="H2264" s="70" t="str">
        <f t="shared" si="87"/>
        <v/>
      </c>
    </row>
    <row r="2265" spans="1:8">
      <c r="A2265" s="2"/>
      <c r="B2265" s="12"/>
      <c r="C2265" s="12"/>
      <c r="E2265" t="str">
        <f>IF(LEN(D2265)=0,"",[1]!i_pq_tradedays($B$3,A2266,A2265)-1)</f>
        <v/>
      </c>
      <c r="G2265" s="16" t="str">
        <f t="shared" si="86"/>
        <v/>
      </c>
      <c r="H2265" s="70" t="str">
        <f t="shared" si="87"/>
        <v/>
      </c>
    </row>
    <row r="2266" spans="1:8">
      <c r="A2266" s="2"/>
      <c r="B2266" s="12"/>
      <c r="C2266" s="12"/>
      <c r="E2266" t="str">
        <f>IF(LEN(D2266)=0,"",[1]!i_pq_tradedays($B$3,A2267,A2266)-1)</f>
        <v/>
      </c>
      <c r="G2266" s="16" t="str">
        <f t="shared" si="86"/>
        <v/>
      </c>
      <c r="H2266" s="70" t="str">
        <f t="shared" si="87"/>
        <v/>
      </c>
    </row>
    <row r="2267" spans="1:8">
      <c r="A2267" s="2"/>
      <c r="B2267" s="12"/>
      <c r="C2267" s="12"/>
      <c r="E2267" t="str">
        <f>IF(LEN(D2267)=0,"",[1]!i_pq_tradedays($B$3,A2268,A2267)-1)</f>
        <v/>
      </c>
      <c r="G2267" s="16" t="str">
        <f t="shared" si="86"/>
        <v/>
      </c>
      <c r="H2267" s="70" t="str">
        <f t="shared" si="87"/>
        <v/>
      </c>
    </row>
    <row r="2268" spans="1:8">
      <c r="A2268" s="2"/>
      <c r="B2268" s="12"/>
      <c r="C2268" s="12"/>
      <c r="E2268" t="str">
        <f>IF(LEN(D2268)=0,"",[1]!i_pq_tradedays($B$3,A2269,A2268)-1)</f>
        <v/>
      </c>
      <c r="G2268" s="16" t="str">
        <f t="shared" si="86"/>
        <v/>
      </c>
      <c r="H2268" s="70" t="str">
        <f t="shared" si="87"/>
        <v/>
      </c>
    </row>
    <row r="2269" spans="1:8">
      <c r="A2269" s="2"/>
      <c r="B2269" s="12"/>
      <c r="C2269" s="12"/>
      <c r="E2269" t="str">
        <f>IF(LEN(D2269)=0,"",[1]!i_pq_tradedays($B$3,A2270,A2269)-1)</f>
        <v/>
      </c>
      <c r="G2269" s="16" t="str">
        <f t="shared" si="86"/>
        <v/>
      </c>
      <c r="H2269" s="70" t="str">
        <f t="shared" si="87"/>
        <v/>
      </c>
    </row>
    <row r="2270" spans="1:8">
      <c r="A2270" s="2"/>
      <c r="B2270" s="12"/>
      <c r="C2270" s="12"/>
      <c r="E2270" t="str">
        <f>IF(LEN(D2270)=0,"",[1]!i_pq_tradedays($B$3,A2271,A2270)-1)</f>
        <v/>
      </c>
      <c r="G2270" s="16" t="str">
        <f t="shared" si="86"/>
        <v/>
      </c>
      <c r="H2270" s="70" t="str">
        <f t="shared" si="87"/>
        <v/>
      </c>
    </row>
    <row r="2271" spans="1:8">
      <c r="A2271" s="2"/>
      <c r="B2271" s="12"/>
      <c r="C2271" s="12"/>
      <c r="E2271" t="str">
        <f>IF(LEN(D2271)=0,"",[1]!i_pq_tradedays($B$3,A2272,A2271)-1)</f>
        <v/>
      </c>
      <c r="G2271" s="16" t="str">
        <f t="shared" si="86"/>
        <v/>
      </c>
      <c r="H2271" s="70" t="str">
        <f t="shared" si="87"/>
        <v/>
      </c>
    </row>
    <row r="2272" spans="1:8">
      <c r="A2272" s="2"/>
      <c r="B2272" s="12"/>
      <c r="C2272" s="12"/>
      <c r="E2272" t="str">
        <f>IF(LEN(D2272)=0,"",[1]!i_pq_tradedays($B$3,A2273,A2272)-1)</f>
        <v/>
      </c>
      <c r="G2272" s="16" t="str">
        <f t="shared" si="86"/>
        <v/>
      </c>
      <c r="H2272" s="70" t="str">
        <f t="shared" si="87"/>
        <v/>
      </c>
    </row>
    <row r="2273" spans="1:8">
      <c r="A2273" s="2"/>
      <c r="B2273" s="12"/>
      <c r="C2273" s="12"/>
      <c r="E2273" t="str">
        <f>IF(LEN(D2273)=0,"",[1]!i_pq_tradedays($B$3,A2274,A2273)-1)</f>
        <v/>
      </c>
      <c r="G2273" s="16" t="str">
        <f t="shared" si="86"/>
        <v/>
      </c>
      <c r="H2273" s="70" t="str">
        <f t="shared" si="87"/>
        <v/>
      </c>
    </row>
    <row r="2274" spans="1:8">
      <c r="A2274" s="2"/>
      <c r="B2274" s="12"/>
      <c r="C2274" s="12"/>
      <c r="E2274" t="str">
        <f>IF(LEN(D2274)=0,"",[1]!i_pq_tradedays($B$3,A2275,A2274)-1)</f>
        <v/>
      </c>
      <c r="G2274" s="16" t="str">
        <f t="shared" si="86"/>
        <v/>
      </c>
      <c r="H2274" s="70" t="str">
        <f t="shared" si="87"/>
        <v/>
      </c>
    </row>
    <row r="2275" spans="1:8">
      <c r="A2275" s="2"/>
      <c r="B2275" s="12"/>
      <c r="C2275" s="12"/>
      <c r="E2275" t="str">
        <f>IF(LEN(D2275)=0,"",[1]!i_pq_tradedays($B$3,A2276,A2275)-1)</f>
        <v/>
      </c>
      <c r="G2275" s="16" t="str">
        <f t="shared" si="86"/>
        <v/>
      </c>
      <c r="H2275" s="70" t="str">
        <f t="shared" si="87"/>
        <v/>
      </c>
    </row>
    <row r="2276" spans="1:8">
      <c r="A2276" s="2"/>
      <c r="B2276" s="12"/>
      <c r="C2276" s="12"/>
      <c r="E2276" t="str">
        <f>IF(LEN(D2276)=0,"",[1]!i_pq_tradedays($B$3,A2277,A2276)-1)</f>
        <v/>
      </c>
      <c r="G2276" s="16" t="str">
        <f t="shared" si="86"/>
        <v/>
      </c>
      <c r="H2276" s="70" t="str">
        <f t="shared" si="87"/>
        <v/>
      </c>
    </row>
    <row r="2277" spans="1:8">
      <c r="A2277" s="2"/>
      <c r="B2277" s="12"/>
      <c r="C2277" s="12"/>
      <c r="E2277" t="str">
        <f>IF(LEN(D2277)=0,"",[1]!i_pq_tradedays($B$3,A2278,A2277)-1)</f>
        <v/>
      </c>
      <c r="G2277" s="16" t="str">
        <f t="shared" si="86"/>
        <v/>
      </c>
      <c r="H2277" s="70" t="str">
        <f t="shared" si="87"/>
        <v/>
      </c>
    </row>
    <row r="2278" spans="1:8">
      <c r="A2278" s="2"/>
      <c r="B2278" s="12"/>
      <c r="C2278" s="12"/>
      <c r="E2278" t="str">
        <f>IF(LEN(D2278)=0,"",[1]!i_pq_tradedays($B$3,A2279,A2278)-1)</f>
        <v/>
      </c>
      <c r="G2278" s="16" t="str">
        <f t="shared" si="86"/>
        <v/>
      </c>
      <c r="H2278" s="70" t="str">
        <f t="shared" si="87"/>
        <v/>
      </c>
    </row>
    <row r="2279" spans="1:8">
      <c r="A2279" s="2"/>
      <c r="B2279" s="12"/>
      <c r="C2279" s="12"/>
      <c r="E2279" t="str">
        <f>IF(LEN(D2279)=0,"",[1]!i_pq_tradedays($B$3,A2280,A2279)-1)</f>
        <v/>
      </c>
      <c r="G2279" s="16" t="str">
        <f t="shared" si="86"/>
        <v/>
      </c>
      <c r="H2279" s="70" t="str">
        <f t="shared" si="87"/>
        <v/>
      </c>
    </row>
    <row r="2280" spans="1:8">
      <c r="A2280" s="2"/>
      <c r="B2280" s="12"/>
      <c r="C2280" s="12"/>
      <c r="E2280" t="str">
        <f>IF(LEN(D2280)=0,"",[1]!i_pq_tradedays($B$3,A2281,A2280)-1)</f>
        <v/>
      </c>
      <c r="G2280" s="16" t="str">
        <f t="shared" si="86"/>
        <v/>
      </c>
      <c r="H2280" s="70" t="str">
        <f t="shared" si="87"/>
        <v/>
      </c>
    </row>
    <row r="2281" spans="1:8">
      <c r="A2281" s="2"/>
      <c r="B2281" s="12"/>
      <c r="C2281" s="12"/>
      <c r="E2281" t="str">
        <f>IF(LEN(D2281)=0,"",[1]!i_pq_tradedays($B$3,A2282,A2281)-1)</f>
        <v/>
      </c>
      <c r="G2281" s="16" t="str">
        <f t="shared" si="86"/>
        <v/>
      </c>
      <c r="H2281" s="70" t="str">
        <f t="shared" si="87"/>
        <v/>
      </c>
    </row>
    <row r="2282" spans="1:8">
      <c r="A2282" s="2"/>
      <c r="B2282" s="12"/>
      <c r="C2282" s="12"/>
      <c r="E2282" t="str">
        <f>IF(LEN(D2282)=0,"",[1]!i_pq_tradedays($B$3,A2283,A2282)-1)</f>
        <v/>
      </c>
      <c r="G2282" s="16" t="str">
        <f t="shared" si="86"/>
        <v/>
      </c>
      <c r="H2282" s="70" t="str">
        <f t="shared" si="87"/>
        <v/>
      </c>
    </row>
    <row r="2283" spans="1:8">
      <c r="A2283" s="2"/>
      <c r="B2283" s="12"/>
      <c r="C2283" s="12"/>
      <c r="E2283" t="str">
        <f>IF(LEN(D2283)=0,"",[1]!i_pq_tradedays($B$3,A2284,A2283)-1)</f>
        <v/>
      </c>
      <c r="G2283" s="16" t="str">
        <f t="shared" si="86"/>
        <v/>
      </c>
      <c r="H2283" s="70" t="str">
        <f t="shared" si="87"/>
        <v/>
      </c>
    </row>
    <row r="2284" spans="1:8">
      <c r="A2284" s="2"/>
      <c r="B2284" s="12"/>
      <c r="C2284" s="12"/>
      <c r="E2284" t="str">
        <f>IF(LEN(D2284)=0,"",[1]!i_pq_tradedays($B$3,A2285,A2284)-1)</f>
        <v/>
      </c>
      <c r="G2284" s="16" t="str">
        <f t="shared" si="86"/>
        <v/>
      </c>
      <c r="H2284" s="70" t="str">
        <f t="shared" si="87"/>
        <v/>
      </c>
    </row>
    <row r="2285" spans="1:8">
      <c r="A2285" s="2"/>
      <c r="B2285" s="12"/>
      <c r="C2285" s="12"/>
      <c r="E2285" t="str">
        <f>IF(LEN(D2285)=0,"",[1]!i_pq_tradedays($B$3,A2286,A2285)-1)</f>
        <v/>
      </c>
      <c r="G2285" s="16" t="str">
        <f t="shared" si="86"/>
        <v/>
      </c>
      <c r="H2285" s="70" t="str">
        <f t="shared" si="87"/>
        <v/>
      </c>
    </row>
    <row r="2286" spans="1:8">
      <c r="A2286" s="2"/>
      <c r="B2286" s="12"/>
      <c r="C2286" s="12"/>
      <c r="E2286" t="str">
        <f>IF(LEN(D2286)=0,"",[1]!i_pq_tradedays($B$3,A2287,A2286)-1)</f>
        <v/>
      </c>
      <c r="G2286" s="16" t="str">
        <f t="shared" si="86"/>
        <v/>
      </c>
      <c r="H2286" s="70" t="str">
        <f t="shared" si="87"/>
        <v/>
      </c>
    </row>
    <row r="2287" spans="1:8">
      <c r="A2287" s="2"/>
      <c r="B2287" s="12"/>
      <c r="C2287" s="12"/>
      <c r="E2287" t="str">
        <f>IF(LEN(D2287)=0,"",[1]!i_pq_tradedays($B$3,A2288,A2287)-1)</f>
        <v/>
      </c>
      <c r="G2287" s="16" t="str">
        <f t="shared" si="86"/>
        <v/>
      </c>
      <c r="H2287" s="70" t="str">
        <f t="shared" si="87"/>
        <v/>
      </c>
    </row>
    <row r="2288" spans="1:8">
      <c r="A2288" s="2"/>
      <c r="B2288" s="12"/>
      <c r="C2288" s="12"/>
      <c r="E2288" t="str">
        <f>IF(LEN(D2288)=0,"",[1]!i_pq_tradedays($B$3,A2289,A2288)-1)</f>
        <v/>
      </c>
      <c r="G2288" s="16" t="str">
        <f t="shared" si="86"/>
        <v/>
      </c>
      <c r="H2288" s="70" t="str">
        <f t="shared" si="87"/>
        <v/>
      </c>
    </row>
    <row r="2289" spans="1:8">
      <c r="A2289" s="2"/>
      <c r="B2289" s="12"/>
      <c r="C2289" s="12"/>
      <c r="E2289" t="str">
        <f>IF(LEN(D2289)=0,"",[1]!i_pq_tradedays($B$3,A2290,A2289)-1)</f>
        <v/>
      </c>
      <c r="G2289" s="16" t="str">
        <f t="shared" si="86"/>
        <v/>
      </c>
      <c r="H2289" s="70" t="str">
        <f t="shared" si="87"/>
        <v/>
      </c>
    </row>
    <row r="2290" spans="1:8">
      <c r="A2290" s="2"/>
      <c r="B2290" s="12"/>
      <c r="C2290" s="12"/>
      <c r="E2290" t="str">
        <f>IF(LEN(D2290)=0,"",[1]!i_pq_tradedays($B$3,A2291,A2290)-1)</f>
        <v/>
      </c>
      <c r="G2290" s="16" t="str">
        <f t="shared" si="86"/>
        <v/>
      </c>
      <c r="H2290" s="70" t="str">
        <f t="shared" si="87"/>
        <v/>
      </c>
    </row>
    <row r="2291" spans="1:8">
      <c r="A2291" s="2"/>
      <c r="B2291" s="12"/>
      <c r="C2291" s="12"/>
      <c r="E2291" t="str">
        <f>IF(LEN(D2291)=0,"",[1]!i_pq_tradedays($B$3,A2292,A2291)-1)</f>
        <v/>
      </c>
      <c r="G2291" s="16" t="str">
        <f t="shared" si="86"/>
        <v/>
      </c>
      <c r="H2291" s="70" t="str">
        <f t="shared" si="87"/>
        <v/>
      </c>
    </row>
    <row r="2292" spans="1:8">
      <c r="A2292" s="2"/>
      <c r="B2292" s="12"/>
      <c r="C2292" s="12"/>
      <c r="E2292" t="str">
        <f>IF(LEN(D2292)=0,"",[1]!i_pq_tradedays($B$3,A2293,A2292)-1)</f>
        <v/>
      </c>
      <c r="G2292" s="16" t="str">
        <f t="shared" si="86"/>
        <v/>
      </c>
      <c r="H2292" s="70" t="str">
        <f t="shared" si="87"/>
        <v/>
      </c>
    </row>
    <row r="2293" spans="1:8">
      <c r="A2293" s="2"/>
      <c r="B2293" s="12"/>
      <c r="C2293" s="12"/>
      <c r="E2293" t="str">
        <f>IF(LEN(D2293)=0,"",[1]!i_pq_tradedays($B$3,A2294,A2293)-1)</f>
        <v/>
      </c>
      <c r="G2293" s="16" t="str">
        <f t="shared" ref="G2293:G2356" si="88">IF(LEN(D2293)=0,"",D2293/E2293)</f>
        <v/>
      </c>
      <c r="H2293" s="70" t="str">
        <f t="shared" ref="H2293:H2356" si="89">IF(LEN(D2293)=0,"",G2293/G2294-1)</f>
        <v/>
      </c>
    </row>
    <row r="2294" spans="1:8">
      <c r="A2294" s="2"/>
      <c r="B2294" s="12"/>
      <c r="C2294" s="12"/>
      <c r="E2294" t="str">
        <f>IF(LEN(D2294)=0,"",[1]!i_pq_tradedays($B$3,A2295,A2294)-1)</f>
        <v/>
      </c>
      <c r="G2294" s="16" t="str">
        <f t="shared" si="88"/>
        <v/>
      </c>
      <c r="H2294" s="70" t="str">
        <f t="shared" si="89"/>
        <v/>
      </c>
    </row>
    <row r="2295" spans="1:8">
      <c r="A2295" s="2"/>
      <c r="B2295" s="12"/>
      <c r="C2295" s="12"/>
      <c r="E2295" t="str">
        <f>IF(LEN(D2295)=0,"",[1]!i_pq_tradedays($B$3,A2296,A2295)-1)</f>
        <v/>
      </c>
      <c r="G2295" s="16" t="str">
        <f t="shared" si="88"/>
        <v/>
      </c>
      <c r="H2295" s="70" t="str">
        <f t="shared" si="89"/>
        <v/>
      </c>
    </row>
    <row r="2296" spans="1:8">
      <c r="A2296" s="2"/>
      <c r="B2296" s="12"/>
      <c r="C2296" s="12"/>
      <c r="E2296" t="str">
        <f>IF(LEN(D2296)=0,"",[1]!i_pq_tradedays($B$3,A2297,A2296)-1)</f>
        <v/>
      </c>
      <c r="G2296" s="16" t="str">
        <f t="shared" si="88"/>
        <v/>
      </c>
      <c r="H2296" s="70" t="str">
        <f t="shared" si="89"/>
        <v/>
      </c>
    </row>
    <row r="2297" spans="1:8">
      <c r="A2297" s="2"/>
      <c r="B2297" s="12"/>
      <c r="C2297" s="12"/>
      <c r="E2297" t="str">
        <f>IF(LEN(D2297)=0,"",[1]!i_pq_tradedays($B$3,A2298,A2297)-1)</f>
        <v/>
      </c>
      <c r="G2297" s="16" t="str">
        <f t="shared" si="88"/>
        <v/>
      </c>
      <c r="H2297" s="70" t="str">
        <f t="shared" si="89"/>
        <v/>
      </c>
    </row>
    <row r="2298" spans="1:8">
      <c r="A2298" s="2"/>
      <c r="B2298" s="12"/>
      <c r="C2298" s="12"/>
      <c r="E2298" t="str">
        <f>IF(LEN(D2298)=0,"",[1]!i_pq_tradedays($B$3,A2299,A2298)-1)</f>
        <v/>
      </c>
      <c r="G2298" s="16" t="str">
        <f t="shared" si="88"/>
        <v/>
      </c>
      <c r="H2298" s="70" t="str">
        <f t="shared" si="89"/>
        <v/>
      </c>
    </row>
    <row r="2299" spans="1:8">
      <c r="A2299" s="2"/>
      <c r="B2299" s="12"/>
      <c r="C2299" s="12"/>
      <c r="E2299" t="str">
        <f>IF(LEN(D2299)=0,"",[1]!i_pq_tradedays($B$3,A2300,A2299)-1)</f>
        <v/>
      </c>
      <c r="G2299" s="16" t="str">
        <f t="shared" si="88"/>
        <v/>
      </c>
      <c r="H2299" s="70" t="str">
        <f t="shared" si="89"/>
        <v/>
      </c>
    </row>
    <row r="2300" spans="1:8">
      <c r="A2300" s="2"/>
      <c r="B2300" s="12"/>
      <c r="C2300" s="12"/>
      <c r="E2300" t="str">
        <f>IF(LEN(D2300)=0,"",[1]!i_pq_tradedays($B$3,A2301,A2300)-1)</f>
        <v/>
      </c>
      <c r="G2300" s="16" t="str">
        <f t="shared" si="88"/>
        <v/>
      </c>
      <c r="H2300" s="70" t="str">
        <f t="shared" si="89"/>
        <v/>
      </c>
    </row>
    <row r="2301" spans="1:8">
      <c r="A2301" s="2"/>
      <c r="B2301" s="12"/>
      <c r="C2301" s="12"/>
      <c r="E2301" t="str">
        <f>IF(LEN(D2301)=0,"",[1]!i_pq_tradedays($B$3,A2302,A2301)-1)</f>
        <v/>
      </c>
      <c r="G2301" s="16" t="str">
        <f t="shared" si="88"/>
        <v/>
      </c>
      <c r="H2301" s="70" t="str">
        <f t="shared" si="89"/>
        <v/>
      </c>
    </row>
    <row r="2302" spans="1:8">
      <c r="A2302" s="2"/>
      <c r="B2302" s="12"/>
      <c r="C2302" s="12"/>
      <c r="E2302" t="str">
        <f>IF(LEN(D2302)=0,"",[1]!i_pq_tradedays($B$3,A2303,A2302)-1)</f>
        <v/>
      </c>
      <c r="G2302" s="16" t="str">
        <f t="shared" si="88"/>
        <v/>
      </c>
      <c r="H2302" s="70" t="str">
        <f t="shared" si="89"/>
        <v/>
      </c>
    </row>
    <row r="2303" spans="1:8">
      <c r="A2303" s="2"/>
      <c r="B2303" s="12"/>
      <c r="C2303" s="12"/>
      <c r="E2303" t="str">
        <f>IF(LEN(D2303)=0,"",[1]!i_pq_tradedays($B$3,A2304,A2303)-1)</f>
        <v/>
      </c>
      <c r="G2303" s="16" t="str">
        <f t="shared" si="88"/>
        <v/>
      </c>
      <c r="H2303" s="70" t="str">
        <f t="shared" si="89"/>
        <v/>
      </c>
    </row>
    <row r="2304" spans="1:8">
      <c r="A2304" s="2"/>
      <c r="B2304" s="12"/>
      <c r="C2304" s="12"/>
      <c r="E2304" t="str">
        <f>IF(LEN(D2304)=0,"",[1]!i_pq_tradedays($B$3,A2305,A2304)-1)</f>
        <v/>
      </c>
      <c r="G2304" s="16" t="str">
        <f t="shared" si="88"/>
        <v/>
      </c>
      <c r="H2304" s="70" t="str">
        <f t="shared" si="89"/>
        <v/>
      </c>
    </row>
    <row r="2305" spans="1:8">
      <c r="A2305" s="2"/>
      <c r="B2305" s="12"/>
      <c r="C2305" s="12"/>
      <c r="E2305" t="str">
        <f>IF(LEN(D2305)=0,"",[1]!i_pq_tradedays($B$3,A2306,A2305)-1)</f>
        <v/>
      </c>
      <c r="G2305" s="16" t="str">
        <f t="shared" si="88"/>
        <v/>
      </c>
      <c r="H2305" s="70" t="str">
        <f t="shared" si="89"/>
        <v/>
      </c>
    </row>
    <row r="2306" spans="1:8">
      <c r="A2306" s="2"/>
      <c r="B2306" s="12"/>
      <c r="C2306" s="12"/>
      <c r="E2306" t="str">
        <f>IF(LEN(D2306)=0,"",[1]!i_pq_tradedays($B$3,A2307,A2306)-1)</f>
        <v/>
      </c>
      <c r="G2306" s="16" t="str">
        <f t="shared" si="88"/>
        <v/>
      </c>
      <c r="H2306" s="70" t="str">
        <f t="shared" si="89"/>
        <v/>
      </c>
    </row>
    <row r="2307" spans="1:8">
      <c r="A2307" s="2"/>
      <c r="B2307" s="12"/>
      <c r="C2307" s="12"/>
      <c r="E2307" t="str">
        <f>IF(LEN(D2307)=0,"",[1]!i_pq_tradedays($B$3,A2308,A2307)-1)</f>
        <v/>
      </c>
      <c r="G2307" s="16" t="str">
        <f t="shared" si="88"/>
        <v/>
      </c>
      <c r="H2307" s="70" t="str">
        <f t="shared" si="89"/>
        <v/>
      </c>
    </row>
    <row r="2308" spans="1:8">
      <c r="A2308" s="2"/>
      <c r="B2308" s="12"/>
      <c r="C2308" s="12"/>
      <c r="E2308" t="str">
        <f>IF(LEN(D2308)=0,"",[1]!i_pq_tradedays($B$3,A2309,A2308)-1)</f>
        <v/>
      </c>
      <c r="G2308" s="16" t="str">
        <f t="shared" si="88"/>
        <v/>
      </c>
      <c r="H2308" s="70" t="str">
        <f t="shared" si="89"/>
        <v/>
      </c>
    </row>
    <row r="2309" spans="1:8">
      <c r="A2309" s="2"/>
      <c r="B2309" s="12"/>
      <c r="C2309" s="12"/>
      <c r="E2309" t="str">
        <f>IF(LEN(D2309)=0,"",[1]!i_pq_tradedays($B$3,A2310,A2309)-1)</f>
        <v/>
      </c>
      <c r="G2309" s="16" t="str">
        <f t="shared" si="88"/>
        <v/>
      </c>
      <c r="H2309" s="70" t="str">
        <f t="shared" si="89"/>
        <v/>
      </c>
    </row>
    <row r="2310" spans="1:8">
      <c r="A2310" s="2"/>
      <c r="B2310" s="12"/>
      <c r="C2310" s="12"/>
      <c r="E2310" t="str">
        <f>IF(LEN(D2310)=0,"",[1]!i_pq_tradedays($B$3,A2311,A2310)-1)</f>
        <v/>
      </c>
      <c r="G2310" s="16" t="str">
        <f t="shared" si="88"/>
        <v/>
      </c>
      <c r="H2310" s="70" t="str">
        <f t="shared" si="89"/>
        <v/>
      </c>
    </row>
    <row r="2311" spans="1:8">
      <c r="A2311" s="2"/>
      <c r="B2311" s="12"/>
      <c r="C2311" s="12"/>
      <c r="E2311" t="str">
        <f>IF(LEN(D2311)=0,"",[1]!i_pq_tradedays($B$3,A2312,A2311)-1)</f>
        <v/>
      </c>
      <c r="G2311" s="16" t="str">
        <f t="shared" si="88"/>
        <v/>
      </c>
      <c r="H2311" s="70" t="str">
        <f t="shared" si="89"/>
        <v/>
      </c>
    </row>
    <row r="2312" spans="1:8">
      <c r="A2312" s="2"/>
      <c r="B2312" s="12"/>
      <c r="C2312" s="12"/>
      <c r="E2312" t="str">
        <f>IF(LEN(D2312)=0,"",[1]!i_pq_tradedays($B$3,A2313,A2312)-1)</f>
        <v/>
      </c>
      <c r="G2312" s="16" t="str">
        <f t="shared" si="88"/>
        <v/>
      </c>
      <c r="H2312" s="70" t="str">
        <f t="shared" si="89"/>
        <v/>
      </c>
    </row>
    <row r="2313" spans="1:8">
      <c r="A2313" s="2"/>
      <c r="B2313" s="12"/>
      <c r="C2313" s="12"/>
      <c r="E2313" t="str">
        <f>IF(LEN(D2313)=0,"",[1]!i_pq_tradedays($B$3,A2314,A2313)-1)</f>
        <v/>
      </c>
      <c r="G2313" s="16" t="str">
        <f t="shared" si="88"/>
        <v/>
      </c>
      <c r="H2313" s="70" t="str">
        <f t="shared" si="89"/>
        <v/>
      </c>
    </row>
    <row r="2314" spans="1:8">
      <c r="A2314" s="2"/>
      <c r="B2314" s="12"/>
      <c r="C2314" s="12"/>
      <c r="E2314" t="str">
        <f>IF(LEN(D2314)=0,"",[1]!i_pq_tradedays($B$3,A2315,A2314)-1)</f>
        <v/>
      </c>
      <c r="G2314" s="16" t="str">
        <f t="shared" si="88"/>
        <v/>
      </c>
      <c r="H2314" s="70" t="str">
        <f t="shared" si="89"/>
        <v/>
      </c>
    </row>
    <row r="2315" spans="1:8">
      <c r="A2315" s="2"/>
      <c r="B2315" s="12"/>
      <c r="C2315" s="12"/>
      <c r="E2315" t="str">
        <f>IF(LEN(D2315)=0,"",[1]!i_pq_tradedays($B$3,A2316,A2315)-1)</f>
        <v/>
      </c>
      <c r="G2315" s="16" t="str">
        <f t="shared" si="88"/>
        <v/>
      </c>
      <c r="H2315" s="70" t="str">
        <f t="shared" si="89"/>
        <v/>
      </c>
    </row>
    <row r="2316" spans="1:8">
      <c r="A2316" s="2"/>
      <c r="B2316" s="12"/>
      <c r="C2316" s="12"/>
      <c r="E2316" t="str">
        <f>IF(LEN(D2316)=0,"",[1]!i_pq_tradedays($B$3,A2317,A2316)-1)</f>
        <v/>
      </c>
      <c r="G2316" s="16" t="str">
        <f t="shared" si="88"/>
        <v/>
      </c>
      <c r="H2316" s="70" t="str">
        <f t="shared" si="89"/>
        <v/>
      </c>
    </row>
    <row r="2317" spans="1:8">
      <c r="A2317" s="2"/>
      <c r="B2317" s="12"/>
      <c r="C2317" s="12"/>
      <c r="E2317" t="str">
        <f>IF(LEN(D2317)=0,"",[1]!i_pq_tradedays($B$3,A2318,A2317)-1)</f>
        <v/>
      </c>
      <c r="G2317" s="16" t="str">
        <f t="shared" si="88"/>
        <v/>
      </c>
      <c r="H2317" s="70" t="str">
        <f t="shared" si="89"/>
        <v/>
      </c>
    </row>
    <row r="2318" spans="1:8">
      <c r="A2318" s="2"/>
      <c r="B2318" s="12"/>
      <c r="C2318" s="12"/>
      <c r="E2318" t="str">
        <f>IF(LEN(D2318)=0,"",[1]!i_pq_tradedays($B$3,A2319,A2318)-1)</f>
        <v/>
      </c>
      <c r="G2318" s="16" t="str">
        <f t="shared" si="88"/>
        <v/>
      </c>
      <c r="H2318" s="70" t="str">
        <f t="shared" si="89"/>
        <v/>
      </c>
    </row>
    <row r="2319" spans="1:8">
      <c r="A2319" s="2"/>
      <c r="B2319" s="12"/>
      <c r="C2319" s="12"/>
      <c r="E2319" t="str">
        <f>IF(LEN(D2319)=0,"",[1]!i_pq_tradedays($B$3,A2320,A2319)-1)</f>
        <v/>
      </c>
      <c r="G2319" s="16" t="str">
        <f t="shared" si="88"/>
        <v/>
      </c>
      <c r="H2319" s="70" t="str">
        <f t="shared" si="89"/>
        <v/>
      </c>
    </row>
    <row r="2320" spans="1:8">
      <c r="A2320" s="2"/>
      <c r="B2320" s="12"/>
      <c r="C2320" s="12"/>
      <c r="E2320" t="str">
        <f>IF(LEN(D2320)=0,"",[1]!i_pq_tradedays($B$3,A2321,A2320)-1)</f>
        <v/>
      </c>
      <c r="G2320" s="16" t="str">
        <f t="shared" si="88"/>
        <v/>
      </c>
      <c r="H2320" s="70" t="str">
        <f t="shared" si="89"/>
        <v/>
      </c>
    </row>
    <row r="2321" spans="1:8">
      <c r="A2321" s="2"/>
      <c r="B2321" s="12"/>
      <c r="C2321" s="12"/>
      <c r="E2321" t="str">
        <f>IF(LEN(D2321)=0,"",[1]!i_pq_tradedays($B$3,A2322,A2321)-1)</f>
        <v/>
      </c>
      <c r="G2321" s="16" t="str">
        <f t="shared" si="88"/>
        <v/>
      </c>
      <c r="H2321" s="70" t="str">
        <f t="shared" si="89"/>
        <v/>
      </c>
    </row>
    <row r="2322" spans="1:8">
      <c r="A2322" s="2"/>
      <c r="B2322" s="12"/>
      <c r="C2322" s="12"/>
      <c r="E2322" t="str">
        <f>IF(LEN(D2322)=0,"",[1]!i_pq_tradedays($B$3,A2323,A2322)-1)</f>
        <v/>
      </c>
      <c r="G2322" s="16" t="str">
        <f t="shared" si="88"/>
        <v/>
      </c>
      <c r="H2322" s="70" t="str">
        <f t="shared" si="89"/>
        <v/>
      </c>
    </row>
    <row r="2323" spans="1:8">
      <c r="A2323" s="2"/>
      <c r="B2323" s="12"/>
      <c r="C2323" s="12"/>
      <c r="E2323" t="str">
        <f>IF(LEN(D2323)=0,"",[1]!i_pq_tradedays($B$3,A2324,A2323)-1)</f>
        <v/>
      </c>
      <c r="G2323" s="16" t="str">
        <f t="shared" si="88"/>
        <v/>
      </c>
      <c r="H2323" s="70" t="str">
        <f t="shared" si="89"/>
        <v/>
      </c>
    </row>
    <row r="2324" spans="1:8">
      <c r="A2324" s="2"/>
      <c r="B2324" s="12"/>
      <c r="C2324" s="12"/>
      <c r="E2324" t="str">
        <f>IF(LEN(D2324)=0,"",[1]!i_pq_tradedays($B$3,A2325,A2324)-1)</f>
        <v/>
      </c>
      <c r="G2324" s="16" t="str">
        <f t="shared" si="88"/>
        <v/>
      </c>
      <c r="H2324" s="70" t="str">
        <f t="shared" si="89"/>
        <v/>
      </c>
    </row>
    <row r="2325" spans="1:8">
      <c r="A2325" s="2"/>
      <c r="B2325" s="12"/>
      <c r="C2325" s="12"/>
      <c r="E2325" t="str">
        <f>IF(LEN(D2325)=0,"",[1]!i_pq_tradedays($B$3,A2326,A2325)-1)</f>
        <v/>
      </c>
      <c r="G2325" s="16" t="str">
        <f t="shared" si="88"/>
        <v/>
      </c>
      <c r="H2325" s="70" t="str">
        <f t="shared" si="89"/>
        <v/>
      </c>
    </row>
    <row r="2326" spans="1:8">
      <c r="A2326" s="2"/>
      <c r="B2326" s="12"/>
      <c r="C2326" s="12"/>
      <c r="E2326" t="str">
        <f>IF(LEN(D2326)=0,"",[1]!i_pq_tradedays($B$3,A2327,A2326)-1)</f>
        <v/>
      </c>
      <c r="G2326" s="16" t="str">
        <f t="shared" si="88"/>
        <v/>
      </c>
      <c r="H2326" s="70" t="str">
        <f t="shared" si="89"/>
        <v/>
      </c>
    </row>
    <row r="2327" spans="1:8">
      <c r="A2327" s="2"/>
      <c r="B2327" s="12"/>
      <c r="C2327" s="12"/>
      <c r="E2327" t="str">
        <f>IF(LEN(D2327)=0,"",[1]!i_pq_tradedays($B$3,A2328,A2327)-1)</f>
        <v/>
      </c>
      <c r="G2327" s="16" t="str">
        <f t="shared" si="88"/>
        <v/>
      </c>
      <c r="H2327" s="70" t="str">
        <f t="shared" si="89"/>
        <v/>
      </c>
    </row>
    <row r="2328" spans="1:8">
      <c r="A2328" s="2"/>
      <c r="B2328" s="12"/>
      <c r="C2328" s="12"/>
      <c r="E2328" t="str">
        <f>IF(LEN(D2328)=0,"",[1]!i_pq_tradedays($B$3,A2329,A2328)-1)</f>
        <v/>
      </c>
      <c r="G2328" s="16" t="str">
        <f t="shared" si="88"/>
        <v/>
      </c>
      <c r="H2328" s="70" t="str">
        <f t="shared" si="89"/>
        <v/>
      </c>
    </row>
    <row r="2329" spans="1:8">
      <c r="A2329" s="2"/>
      <c r="B2329" s="12"/>
      <c r="C2329" s="12"/>
      <c r="E2329" t="str">
        <f>IF(LEN(D2329)=0,"",[1]!i_pq_tradedays($B$3,A2330,A2329)-1)</f>
        <v/>
      </c>
      <c r="G2329" s="16" t="str">
        <f t="shared" si="88"/>
        <v/>
      </c>
      <c r="H2329" s="70" t="str">
        <f t="shared" si="89"/>
        <v/>
      </c>
    </row>
    <row r="2330" spans="1:8">
      <c r="A2330" s="2"/>
      <c r="B2330" s="12"/>
      <c r="C2330" s="12"/>
      <c r="E2330" t="str">
        <f>IF(LEN(D2330)=0,"",[1]!i_pq_tradedays($B$3,A2331,A2330)-1)</f>
        <v/>
      </c>
      <c r="G2330" s="16" t="str">
        <f t="shared" si="88"/>
        <v/>
      </c>
      <c r="H2330" s="70" t="str">
        <f t="shared" si="89"/>
        <v/>
      </c>
    </row>
    <row r="2331" spans="1:8">
      <c r="A2331" s="2"/>
      <c r="B2331" s="12"/>
      <c r="C2331" s="12"/>
      <c r="E2331" t="str">
        <f>IF(LEN(D2331)=0,"",[1]!i_pq_tradedays($B$3,A2332,A2331)-1)</f>
        <v/>
      </c>
      <c r="G2331" s="16" t="str">
        <f t="shared" si="88"/>
        <v/>
      </c>
      <c r="H2331" s="70" t="str">
        <f t="shared" si="89"/>
        <v/>
      </c>
    </row>
    <row r="2332" spans="1:8">
      <c r="A2332" s="2"/>
      <c r="B2332" s="12"/>
      <c r="C2332" s="12"/>
      <c r="E2332" t="str">
        <f>IF(LEN(D2332)=0,"",[1]!i_pq_tradedays($B$3,A2333,A2332)-1)</f>
        <v/>
      </c>
      <c r="G2332" s="16" t="str">
        <f t="shared" si="88"/>
        <v/>
      </c>
      <c r="H2332" s="70" t="str">
        <f t="shared" si="89"/>
        <v/>
      </c>
    </row>
    <row r="2333" spans="1:8">
      <c r="A2333" s="2"/>
      <c r="B2333" s="12"/>
      <c r="C2333" s="12"/>
      <c r="E2333" t="str">
        <f>IF(LEN(D2333)=0,"",[1]!i_pq_tradedays($B$3,A2334,A2333)-1)</f>
        <v/>
      </c>
      <c r="G2333" s="16" t="str">
        <f t="shared" si="88"/>
        <v/>
      </c>
      <c r="H2333" s="70" t="str">
        <f t="shared" si="89"/>
        <v/>
      </c>
    </row>
    <row r="2334" spans="1:8">
      <c r="A2334" s="2"/>
      <c r="B2334" s="12"/>
      <c r="C2334" s="12"/>
      <c r="E2334" t="str">
        <f>IF(LEN(D2334)=0,"",[1]!i_pq_tradedays($B$3,A2335,A2334)-1)</f>
        <v/>
      </c>
      <c r="G2334" s="16" t="str">
        <f t="shared" si="88"/>
        <v/>
      </c>
      <c r="H2334" s="70" t="str">
        <f t="shared" si="89"/>
        <v/>
      </c>
    </row>
    <row r="2335" spans="1:8">
      <c r="A2335" s="2"/>
      <c r="B2335" s="12"/>
      <c r="C2335" s="12"/>
      <c r="E2335" t="str">
        <f>IF(LEN(D2335)=0,"",[1]!i_pq_tradedays($B$3,A2336,A2335)-1)</f>
        <v/>
      </c>
      <c r="G2335" s="16" t="str">
        <f t="shared" si="88"/>
        <v/>
      </c>
      <c r="H2335" s="70" t="str">
        <f t="shared" si="89"/>
        <v/>
      </c>
    </row>
    <row r="2336" spans="1:8">
      <c r="A2336" s="2"/>
      <c r="B2336" s="12"/>
      <c r="C2336" s="12"/>
      <c r="E2336" t="str">
        <f>IF(LEN(D2336)=0,"",[1]!i_pq_tradedays($B$3,A2337,A2336)-1)</f>
        <v/>
      </c>
      <c r="G2336" s="16" t="str">
        <f t="shared" si="88"/>
        <v/>
      </c>
      <c r="H2336" s="70" t="str">
        <f t="shared" si="89"/>
        <v/>
      </c>
    </row>
    <row r="2337" spans="1:8">
      <c r="A2337" s="2"/>
      <c r="B2337" s="12"/>
      <c r="C2337" s="12"/>
      <c r="E2337" t="str">
        <f>IF(LEN(D2337)=0,"",[1]!i_pq_tradedays($B$3,A2338,A2337)-1)</f>
        <v/>
      </c>
      <c r="G2337" s="16" t="str">
        <f t="shared" si="88"/>
        <v/>
      </c>
      <c r="H2337" s="70" t="str">
        <f t="shared" si="89"/>
        <v/>
      </c>
    </row>
    <row r="2338" spans="1:8">
      <c r="A2338" s="2"/>
      <c r="B2338" s="12"/>
      <c r="C2338" s="12"/>
      <c r="E2338" t="str">
        <f>IF(LEN(D2338)=0,"",[1]!i_pq_tradedays($B$3,A2339,A2338)-1)</f>
        <v/>
      </c>
      <c r="G2338" s="16" t="str">
        <f t="shared" si="88"/>
        <v/>
      </c>
      <c r="H2338" s="70" t="str">
        <f t="shared" si="89"/>
        <v/>
      </c>
    </row>
    <row r="2339" spans="1:8">
      <c r="A2339" s="2"/>
      <c r="B2339" s="12"/>
      <c r="C2339" s="12"/>
      <c r="E2339" t="str">
        <f>IF(LEN(D2339)=0,"",[1]!i_pq_tradedays($B$3,A2340,A2339)-1)</f>
        <v/>
      </c>
      <c r="G2339" s="16" t="str">
        <f t="shared" si="88"/>
        <v/>
      </c>
      <c r="H2339" s="70" t="str">
        <f t="shared" si="89"/>
        <v/>
      </c>
    </row>
    <row r="2340" spans="1:8">
      <c r="A2340" s="2"/>
      <c r="B2340" s="12"/>
      <c r="C2340" s="12"/>
      <c r="E2340" t="str">
        <f>IF(LEN(D2340)=0,"",[1]!i_pq_tradedays($B$3,A2341,A2340)-1)</f>
        <v/>
      </c>
      <c r="G2340" s="16" t="str">
        <f t="shared" si="88"/>
        <v/>
      </c>
      <c r="H2340" s="70" t="str">
        <f t="shared" si="89"/>
        <v/>
      </c>
    </row>
    <row r="2341" spans="1:8">
      <c r="A2341" s="2"/>
      <c r="B2341" s="12"/>
      <c r="C2341" s="12"/>
      <c r="E2341" t="str">
        <f>IF(LEN(D2341)=0,"",[1]!i_pq_tradedays($B$3,A2342,A2341)-1)</f>
        <v/>
      </c>
      <c r="G2341" s="16" t="str">
        <f t="shared" si="88"/>
        <v/>
      </c>
      <c r="H2341" s="70" t="str">
        <f t="shared" si="89"/>
        <v/>
      </c>
    </row>
    <row r="2342" spans="1:8">
      <c r="A2342" s="2"/>
      <c r="B2342" s="12"/>
      <c r="C2342" s="12"/>
      <c r="E2342" t="str">
        <f>IF(LEN(D2342)=0,"",[1]!i_pq_tradedays($B$3,A2343,A2342)-1)</f>
        <v/>
      </c>
      <c r="G2342" s="16" t="str">
        <f t="shared" si="88"/>
        <v/>
      </c>
      <c r="H2342" s="70" t="str">
        <f t="shared" si="89"/>
        <v/>
      </c>
    </row>
    <row r="2343" spans="1:8">
      <c r="A2343" s="2"/>
      <c r="B2343" s="12"/>
      <c r="C2343" s="12"/>
      <c r="E2343" t="str">
        <f>IF(LEN(D2343)=0,"",[1]!i_pq_tradedays($B$3,A2344,A2343)-1)</f>
        <v/>
      </c>
      <c r="G2343" s="16" t="str">
        <f t="shared" si="88"/>
        <v/>
      </c>
      <c r="H2343" s="70" t="str">
        <f t="shared" si="89"/>
        <v/>
      </c>
    </row>
    <row r="2344" spans="1:8">
      <c r="A2344" s="2"/>
      <c r="B2344" s="12"/>
      <c r="C2344" s="12"/>
      <c r="E2344" t="str">
        <f>IF(LEN(D2344)=0,"",[1]!i_pq_tradedays($B$3,A2345,A2344)-1)</f>
        <v/>
      </c>
      <c r="G2344" s="16" t="str">
        <f t="shared" si="88"/>
        <v/>
      </c>
      <c r="H2344" s="70" t="str">
        <f t="shared" si="89"/>
        <v/>
      </c>
    </row>
    <row r="2345" spans="1:8">
      <c r="A2345" s="2"/>
      <c r="B2345" s="12"/>
      <c r="C2345" s="12"/>
      <c r="E2345" t="str">
        <f>IF(LEN(D2345)=0,"",[1]!i_pq_tradedays($B$3,A2346,A2345)-1)</f>
        <v/>
      </c>
      <c r="G2345" s="16" t="str">
        <f t="shared" si="88"/>
        <v/>
      </c>
      <c r="H2345" s="70" t="str">
        <f t="shared" si="89"/>
        <v/>
      </c>
    </row>
    <row r="2346" spans="1:8">
      <c r="A2346" s="2"/>
      <c r="B2346" s="12"/>
      <c r="C2346" s="12"/>
      <c r="E2346" t="str">
        <f>IF(LEN(D2346)=0,"",[1]!i_pq_tradedays($B$3,A2347,A2346)-1)</f>
        <v/>
      </c>
      <c r="G2346" s="16" t="str">
        <f t="shared" si="88"/>
        <v/>
      </c>
      <c r="H2346" s="70" t="str">
        <f t="shared" si="89"/>
        <v/>
      </c>
    </row>
    <row r="2347" spans="1:8">
      <c r="A2347" s="2"/>
      <c r="B2347" s="12"/>
      <c r="C2347" s="12"/>
      <c r="E2347" t="str">
        <f>IF(LEN(D2347)=0,"",[1]!i_pq_tradedays($B$3,A2348,A2347)-1)</f>
        <v/>
      </c>
      <c r="G2347" s="16" t="str">
        <f t="shared" si="88"/>
        <v/>
      </c>
      <c r="H2347" s="70" t="str">
        <f t="shared" si="89"/>
        <v/>
      </c>
    </row>
    <row r="2348" spans="1:8">
      <c r="A2348" s="2"/>
      <c r="B2348" s="12"/>
      <c r="C2348" s="12"/>
      <c r="E2348" t="str">
        <f>IF(LEN(D2348)=0,"",[1]!i_pq_tradedays($B$3,A2349,A2348)-1)</f>
        <v/>
      </c>
      <c r="G2348" s="16" t="str">
        <f t="shared" si="88"/>
        <v/>
      </c>
      <c r="H2348" s="70" t="str">
        <f t="shared" si="89"/>
        <v/>
      </c>
    </row>
    <row r="2349" spans="1:8">
      <c r="A2349" s="2"/>
      <c r="B2349" s="12"/>
      <c r="C2349" s="12"/>
      <c r="E2349" t="str">
        <f>IF(LEN(D2349)=0,"",[1]!i_pq_tradedays($B$3,A2350,A2349)-1)</f>
        <v/>
      </c>
      <c r="G2349" s="16" t="str">
        <f t="shared" si="88"/>
        <v/>
      </c>
      <c r="H2349" s="70" t="str">
        <f t="shared" si="89"/>
        <v/>
      </c>
    </row>
    <row r="2350" spans="1:8">
      <c r="A2350" s="2"/>
      <c r="B2350" s="12"/>
      <c r="C2350" s="12"/>
      <c r="E2350" t="str">
        <f>IF(LEN(D2350)=0,"",[1]!i_pq_tradedays($B$3,A2351,A2350)-1)</f>
        <v/>
      </c>
      <c r="G2350" s="16" t="str">
        <f t="shared" si="88"/>
        <v/>
      </c>
      <c r="H2350" s="70" t="str">
        <f t="shared" si="89"/>
        <v/>
      </c>
    </row>
    <row r="2351" spans="1:8">
      <c r="A2351" s="2"/>
      <c r="B2351" s="12"/>
      <c r="C2351" s="12"/>
      <c r="E2351" t="str">
        <f>IF(LEN(D2351)=0,"",[1]!i_pq_tradedays($B$3,A2352,A2351)-1)</f>
        <v/>
      </c>
      <c r="G2351" s="16" t="str">
        <f t="shared" si="88"/>
        <v/>
      </c>
      <c r="H2351" s="70" t="str">
        <f t="shared" si="89"/>
        <v/>
      </c>
    </row>
    <row r="2352" spans="1:8">
      <c r="A2352" s="2"/>
      <c r="B2352" s="12"/>
      <c r="C2352" s="12"/>
      <c r="E2352" t="str">
        <f>IF(LEN(D2352)=0,"",[1]!i_pq_tradedays($B$3,A2353,A2352)-1)</f>
        <v/>
      </c>
      <c r="G2352" s="16" t="str">
        <f t="shared" si="88"/>
        <v/>
      </c>
      <c r="H2352" s="70" t="str">
        <f t="shared" si="89"/>
        <v/>
      </c>
    </row>
    <row r="2353" spans="1:8">
      <c r="A2353" s="2"/>
      <c r="B2353" s="12"/>
      <c r="C2353" s="12"/>
      <c r="E2353" t="str">
        <f>IF(LEN(D2353)=0,"",[1]!i_pq_tradedays($B$3,A2354,A2353)-1)</f>
        <v/>
      </c>
      <c r="G2353" s="16" t="str">
        <f t="shared" si="88"/>
        <v/>
      </c>
      <c r="H2353" s="70" t="str">
        <f t="shared" si="89"/>
        <v/>
      </c>
    </row>
    <row r="2354" spans="1:8">
      <c r="A2354" s="2"/>
      <c r="B2354" s="12"/>
      <c r="C2354" s="12"/>
      <c r="E2354" t="str">
        <f>IF(LEN(D2354)=0,"",[1]!i_pq_tradedays($B$3,A2355,A2354)-1)</f>
        <v/>
      </c>
      <c r="G2354" s="16" t="str">
        <f t="shared" si="88"/>
        <v/>
      </c>
      <c r="H2354" s="70" t="str">
        <f t="shared" si="89"/>
        <v/>
      </c>
    </row>
    <row r="2355" spans="1:8">
      <c r="A2355" s="2"/>
      <c r="B2355" s="12"/>
      <c r="C2355" s="12"/>
      <c r="E2355" t="str">
        <f>IF(LEN(D2355)=0,"",[1]!i_pq_tradedays($B$3,A2356,A2355)-1)</f>
        <v/>
      </c>
      <c r="G2355" s="16" t="str">
        <f t="shared" si="88"/>
        <v/>
      </c>
      <c r="H2355" s="70" t="str">
        <f t="shared" si="89"/>
        <v/>
      </c>
    </row>
    <row r="2356" spans="1:8">
      <c r="A2356" s="2"/>
      <c r="B2356" s="12"/>
      <c r="C2356" s="12"/>
      <c r="E2356" t="str">
        <f>IF(LEN(D2356)=0,"",[1]!i_pq_tradedays($B$3,A2357,A2356)-1)</f>
        <v/>
      </c>
      <c r="G2356" s="16" t="str">
        <f t="shared" si="88"/>
        <v/>
      </c>
      <c r="H2356" s="70" t="str">
        <f t="shared" si="89"/>
        <v/>
      </c>
    </row>
    <row r="2357" spans="1:8">
      <c r="A2357" s="2"/>
      <c r="B2357" s="12"/>
      <c r="C2357" s="12"/>
      <c r="E2357" t="str">
        <f>IF(LEN(D2357)=0,"",[1]!i_pq_tradedays($B$3,A2358,A2357)-1)</f>
        <v/>
      </c>
      <c r="G2357" s="16" t="str">
        <f t="shared" ref="G2357:G2420" si="90">IF(LEN(D2357)=0,"",D2357/E2357)</f>
        <v/>
      </c>
      <c r="H2357" s="70" t="str">
        <f t="shared" ref="H2357:H2420" si="91">IF(LEN(D2357)=0,"",G2357/G2358-1)</f>
        <v/>
      </c>
    </row>
    <row r="2358" spans="1:8">
      <c r="A2358" s="2"/>
      <c r="B2358" s="12"/>
      <c r="C2358" s="12"/>
      <c r="E2358" t="str">
        <f>IF(LEN(D2358)=0,"",[1]!i_pq_tradedays($B$3,A2359,A2358)-1)</f>
        <v/>
      </c>
      <c r="G2358" s="16" t="str">
        <f t="shared" si="90"/>
        <v/>
      </c>
      <c r="H2358" s="70" t="str">
        <f t="shared" si="91"/>
        <v/>
      </c>
    </row>
    <row r="2359" spans="1:8">
      <c r="A2359" s="2"/>
      <c r="B2359" s="12"/>
      <c r="C2359" s="12"/>
      <c r="E2359" t="str">
        <f>IF(LEN(D2359)=0,"",[1]!i_pq_tradedays($B$3,A2360,A2359)-1)</f>
        <v/>
      </c>
      <c r="G2359" s="16" t="str">
        <f t="shared" si="90"/>
        <v/>
      </c>
      <c r="H2359" s="70" t="str">
        <f t="shared" si="91"/>
        <v/>
      </c>
    </row>
    <row r="2360" spans="1:8">
      <c r="A2360" s="2"/>
      <c r="B2360" s="12"/>
      <c r="C2360" s="12"/>
      <c r="E2360" t="str">
        <f>IF(LEN(D2360)=0,"",[1]!i_pq_tradedays($B$3,A2361,A2360)-1)</f>
        <v/>
      </c>
      <c r="G2360" s="16" t="str">
        <f t="shared" si="90"/>
        <v/>
      </c>
      <c r="H2360" s="70" t="str">
        <f t="shared" si="91"/>
        <v/>
      </c>
    </row>
    <row r="2361" spans="1:8">
      <c r="A2361" s="2"/>
      <c r="B2361" s="12"/>
      <c r="C2361" s="12"/>
      <c r="E2361" t="str">
        <f>IF(LEN(D2361)=0,"",[1]!i_pq_tradedays($B$3,A2362,A2361)-1)</f>
        <v/>
      </c>
      <c r="G2361" s="16" t="str">
        <f t="shared" si="90"/>
        <v/>
      </c>
      <c r="H2361" s="70" t="str">
        <f t="shared" si="91"/>
        <v/>
      </c>
    </row>
    <row r="2362" spans="1:8">
      <c r="A2362" s="2"/>
      <c r="B2362" s="12"/>
      <c r="C2362" s="12"/>
      <c r="E2362" t="str">
        <f>IF(LEN(D2362)=0,"",[1]!i_pq_tradedays($B$3,A2363,A2362)-1)</f>
        <v/>
      </c>
      <c r="G2362" s="16" t="str">
        <f t="shared" si="90"/>
        <v/>
      </c>
      <c r="H2362" s="70" t="str">
        <f t="shared" si="91"/>
        <v/>
      </c>
    </row>
    <row r="2363" spans="1:8">
      <c r="A2363" s="2"/>
      <c r="B2363" s="12"/>
      <c r="C2363" s="12"/>
      <c r="E2363" t="str">
        <f>IF(LEN(D2363)=0,"",[1]!i_pq_tradedays($B$3,A2364,A2363)-1)</f>
        <v/>
      </c>
      <c r="G2363" s="16" t="str">
        <f t="shared" si="90"/>
        <v/>
      </c>
      <c r="H2363" s="70" t="str">
        <f t="shared" si="91"/>
        <v/>
      </c>
    </row>
    <row r="2364" spans="1:8">
      <c r="A2364" s="2"/>
      <c r="B2364" s="12"/>
      <c r="C2364" s="12"/>
      <c r="E2364" t="str">
        <f>IF(LEN(D2364)=0,"",[1]!i_pq_tradedays($B$3,A2365,A2364)-1)</f>
        <v/>
      </c>
      <c r="G2364" s="16" t="str">
        <f t="shared" si="90"/>
        <v/>
      </c>
      <c r="H2364" s="70" t="str">
        <f t="shared" si="91"/>
        <v/>
      </c>
    </row>
    <row r="2365" spans="1:8">
      <c r="A2365" s="2"/>
      <c r="B2365" s="12"/>
      <c r="C2365" s="12"/>
      <c r="E2365" t="str">
        <f>IF(LEN(D2365)=0,"",[1]!i_pq_tradedays($B$3,A2366,A2365)-1)</f>
        <v/>
      </c>
      <c r="G2365" s="16" t="str">
        <f t="shared" si="90"/>
        <v/>
      </c>
      <c r="H2365" s="70" t="str">
        <f t="shared" si="91"/>
        <v/>
      </c>
    </row>
    <row r="2366" spans="1:8">
      <c r="A2366" s="2"/>
      <c r="B2366" s="12"/>
      <c r="C2366" s="12"/>
      <c r="E2366" t="str">
        <f>IF(LEN(D2366)=0,"",[1]!i_pq_tradedays($B$3,A2367,A2366)-1)</f>
        <v/>
      </c>
      <c r="G2366" s="16" t="str">
        <f t="shared" si="90"/>
        <v/>
      </c>
      <c r="H2366" s="70" t="str">
        <f t="shared" si="91"/>
        <v/>
      </c>
    </row>
    <row r="2367" spans="1:8">
      <c r="A2367" s="2"/>
      <c r="B2367" s="12"/>
      <c r="C2367" s="12"/>
      <c r="E2367" t="str">
        <f>IF(LEN(D2367)=0,"",[1]!i_pq_tradedays($B$3,A2368,A2367)-1)</f>
        <v/>
      </c>
      <c r="G2367" s="16" t="str">
        <f t="shared" si="90"/>
        <v/>
      </c>
      <c r="H2367" s="70" t="str">
        <f t="shared" si="91"/>
        <v/>
      </c>
    </row>
    <row r="2368" spans="1:8">
      <c r="A2368" s="2"/>
      <c r="B2368" s="12"/>
      <c r="C2368" s="12"/>
      <c r="E2368" t="str">
        <f>IF(LEN(D2368)=0,"",[1]!i_pq_tradedays($B$3,A2369,A2368)-1)</f>
        <v/>
      </c>
      <c r="G2368" s="16" t="str">
        <f t="shared" si="90"/>
        <v/>
      </c>
      <c r="H2368" s="70" t="str">
        <f t="shared" si="91"/>
        <v/>
      </c>
    </row>
    <row r="2369" spans="1:8">
      <c r="A2369" s="2"/>
      <c r="B2369" s="12"/>
      <c r="C2369" s="12"/>
      <c r="E2369" t="str">
        <f>IF(LEN(D2369)=0,"",[1]!i_pq_tradedays($B$3,A2370,A2369)-1)</f>
        <v/>
      </c>
      <c r="G2369" s="16" t="str">
        <f t="shared" si="90"/>
        <v/>
      </c>
      <c r="H2369" s="70" t="str">
        <f t="shared" si="91"/>
        <v/>
      </c>
    </row>
    <row r="2370" spans="1:8">
      <c r="A2370" s="2"/>
      <c r="B2370" s="12"/>
      <c r="C2370" s="12"/>
      <c r="E2370" t="str">
        <f>IF(LEN(D2370)=0,"",[1]!i_pq_tradedays($B$3,A2371,A2370)-1)</f>
        <v/>
      </c>
      <c r="G2370" s="16" t="str">
        <f t="shared" si="90"/>
        <v/>
      </c>
      <c r="H2370" s="70" t="str">
        <f t="shared" si="91"/>
        <v/>
      </c>
    </row>
    <row r="2371" spans="1:8">
      <c r="A2371" s="2"/>
      <c r="B2371" s="12"/>
      <c r="C2371" s="12"/>
      <c r="E2371" t="str">
        <f>IF(LEN(D2371)=0,"",[1]!i_pq_tradedays($B$3,A2372,A2371)-1)</f>
        <v/>
      </c>
      <c r="G2371" s="16" t="str">
        <f t="shared" si="90"/>
        <v/>
      </c>
      <c r="H2371" s="70" t="str">
        <f t="shared" si="91"/>
        <v/>
      </c>
    </row>
    <row r="2372" spans="1:8">
      <c r="A2372" s="2"/>
      <c r="B2372" s="12"/>
      <c r="C2372" s="12"/>
      <c r="E2372" t="str">
        <f>IF(LEN(D2372)=0,"",[1]!i_pq_tradedays($B$3,A2373,A2372)-1)</f>
        <v/>
      </c>
      <c r="G2372" s="16" t="str">
        <f t="shared" si="90"/>
        <v/>
      </c>
      <c r="H2372" s="70" t="str">
        <f t="shared" si="91"/>
        <v/>
      </c>
    </row>
    <row r="2373" spans="1:8">
      <c r="A2373" s="2"/>
      <c r="B2373" s="12"/>
      <c r="C2373" s="12"/>
      <c r="E2373" t="str">
        <f>IF(LEN(D2373)=0,"",[1]!i_pq_tradedays($B$3,A2374,A2373)-1)</f>
        <v/>
      </c>
      <c r="G2373" s="16" t="str">
        <f t="shared" si="90"/>
        <v/>
      </c>
      <c r="H2373" s="70" t="str">
        <f t="shared" si="91"/>
        <v/>
      </c>
    </row>
    <row r="2374" spans="1:8">
      <c r="A2374" s="2"/>
      <c r="B2374" s="12"/>
      <c r="C2374" s="12"/>
      <c r="E2374" t="str">
        <f>IF(LEN(D2374)=0,"",[1]!i_pq_tradedays($B$3,A2375,A2374)-1)</f>
        <v/>
      </c>
      <c r="G2374" s="16" t="str">
        <f t="shared" si="90"/>
        <v/>
      </c>
      <c r="H2374" s="70" t="str">
        <f t="shared" si="91"/>
        <v/>
      </c>
    </row>
    <row r="2375" spans="1:8">
      <c r="A2375" s="2"/>
      <c r="B2375" s="12"/>
      <c r="C2375" s="12"/>
      <c r="E2375" t="str">
        <f>IF(LEN(D2375)=0,"",[1]!i_pq_tradedays($B$3,A2376,A2375)-1)</f>
        <v/>
      </c>
      <c r="G2375" s="16" t="str">
        <f t="shared" si="90"/>
        <v/>
      </c>
      <c r="H2375" s="70" t="str">
        <f t="shared" si="91"/>
        <v/>
      </c>
    </row>
    <row r="2376" spans="1:8">
      <c r="A2376" s="2"/>
      <c r="B2376" s="12"/>
      <c r="C2376" s="12"/>
      <c r="E2376" t="str">
        <f>IF(LEN(D2376)=0,"",[1]!i_pq_tradedays($B$3,A2377,A2376)-1)</f>
        <v/>
      </c>
      <c r="G2376" s="16" t="str">
        <f t="shared" si="90"/>
        <v/>
      </c>
      <c r="H2376" s="70" t="str">
        <f t="shared" si="91"/>
        <v/>
      </c>
    </row>
    <row r="2377" spans="1:8">
      <c r="A2377" s="2"/>
      <c r="B2377" s="12"/>
      <c r="C2377" s="12"/>
      <c r="E2377" t="str">
        <f>IF(LEN(D2377)=0,"",[1]!i_pq_tradedays($B$3,A2378,A2377)-1)</f>
        <v/>
      </c>
      <c r="G2377" s="16" t="str">
        <f t="shared" si="90"/>
        <v/>
      </c>
      <c r="H2377" s="70" t="str">
        <f t="shared" si="91"/>
        <v/>
      </c>
    </row>
    <row r="2378" spans="1:8">
      <c r="A2378" s="2"/>
      <c r="B2378" s="12"/>
      <c r="C2378" s="12"/>
      <c r="E2378" t="str">
        <f>IF(LEN(D2378)=0,"",[1]!i_pq_tradedays($B$3,A2379,A2378)-1)</f>
        <v/>
      </c>
      <c r="G2378" s="16" t="str">
        <f t="shared" si="90"/>
        <v/>
      </c>
      <c r="H2378" s="70" t="str">
        <f t="shared" si="91"/>
        <v/>
      </c>
    </row>
    <row r="2379" spans="1:8">
      <c r="A2379" s="2"/>
      <c r="B2379" s="12"/>
      <c r="C2379" s="12"/>
      <c r="E2379" t="str">
        <f>IF(LEN(D2379)=0,"",[1]!i_pq_tradedays($B$3,A2380,A2379)-1)</f>
        <v/>
      </c>
      <c r="G2379" s="16" t="str">
        <f t="shared" si="90"/>
        <v/>
      </c>
      <c r="H2379" s="70" t="str">
        <f t="shared" si="91"/>
        <v/>
      </c>
    </row>
    <row r="2380" spans="1:8">
      <c r="A2380" s="2"/>
      <c r="B2380" s="12"/>
      <c r="C2380" s="12"/>
      <c r="E2380" t="str">
        <f>IF(LEN(D2380)=0,"",[1]!i_pq_tradedays($B$3,A2381,A2380)-1)</f>
        <v/>
      </c>
      <c r="G2380" s="16" t="str">
        <f t="shared" si="90"/>
        <v/>
      </c>
      <c r="H2380" s="70" t="str">
        <f t="shared" si="91"/>
        <v/>
      </c>
    </row>
    <row r="2381" spans="1:8">
      <c r="A2381" s="2"/>
      <c r="B2381" s="12"/>
      <c r="C2381" s="12"/>
      <c r="E2381" t="str">
        <f>IF(LEN(D2381)=0,"",[1]!i_pq_tradedays($B$3,A2382,A2381)-1)</f>
        <v/>
      </c>
      <c r="G2381" s="16" t="str">
        <f t="shared" si="90"/>
        <v/>
      </c>
      <c r="H2381" s="70" t="str">
        <f t="shared" si="91"/>
        <v/>
      </c>
    </row>
    <row r="2382" spans="1:8">
      <c r="A2382" s="2"/>
      <c r="B2382" s="12"/>
      <c r="C2382" s="12"/>
      <c r="E2382" t="str">
        <f>IF(LEN(D2382)=0,"",[1]!i_pq_tradedays($B$3,A2383,A2382)-1)</f>
        <v/>
      </c>
      <c r="G2382" s="16" t="str">
        <f t="shared" si="90"/>
        <v/>
      </c>
      <c r="H2382" s="70" t="str">
        <f t="shared" si="91"/>
        <v/>
      </c>
    </row>
    <row r="2383" spans="1:8">
      <c r="A2383" s="2"/>
      <c r="B2383" s="12"/>
      <c r="C2383" s="12"/>
      <c r="E2383" t="str">
        <f>IF(LEN(D2383)=0,"",[1]!i_pq_tradedays($B$3,A2384,A2383)-1)</f>
        <v/>
      </c>
      <c r="G2383" s="16" t="str">
        <f t="shared" si="90"/>
        <v/>
      </c>
      <c r="H2383" s="70" t="str">
        <f t="shared" si="91"/>
        <v/>
      </c>
    </row>
    <row r="2384" spans="1:8">
      <c r="A2384" s="2"/>
      <c r="B2384" s="12"/>
      <c r="C2384" s="12"/>
      <c r="E2384" t="str">
        <f>IF(LEN(D2384)=0,"",[1]!i_pq_tradedays($B$3,A2385,A2384)-1)</f>
        <v/>
      </c>
      <c r="G2384" s="16" t="str">
        <f t="shared" si="90"/>
        <v/>
      </c>
      <c r="H2384" s="70" t="str">
        <f t="shared" si="91"/>
        <v/>
      </c>
    </row>
    <row r="2385" spans="1:8">
      <c r="A2385" s="2"/>
      <c r="B2385" s="12"/>
      <c r="C2385" s="12"/>
      <c r="E2385" t="str">
        <f>IF(LEN(D2385)=0,"",[1]!i_pq_tradedays($B$3,A2386,A2385)-1)</f>
        <v/>
      </c>
      <c r="G2385" s="16" t="str">
        <f t="shared" si="90"/>
        <v/>
      </c>
      <c r="H2385" s="70" t="str">
        <f t="shared" si="91"/>
        <v/>
      </c>
    </row>
    <row r="2386" spans="1:8">
      <c r="A2386" s="2"/>
      <c r="B2386" s="12"/>
      <c r="C2386" s="12"/>
      <c r="E2386" t="str">
        <f>IF(LEN(D2386)=0,"",[1]!i_pq_tradedays($B$3,A2387,A2386)-1)</f>
        <v/>
      </c>
      <c r="G2386" s="16" t="str">
        <f t="shared" si="90"/>
        <v/>
      </c>
      <c r="H2386" s="70" t="str">
        <f t="shared" si="91"/>
        <v/>
      </c>
    </row>
    <row r="2387" spans="1:8">
      <c r="A2387" s="2"/>
      <c r="B2387" s="12"/>
      <c r="C2387" s="12"/>
      <c r="E2387" t="str">
        <f>IF(LEN(D2387)=0,"",[1]!i_pq_tradedays($B$3,A2388,A2387)-1)</f>
        <v/>
      </c>
      <c r="G2387" s="16" t="str">
        <f t="shared" si="90"/>
        <v/>
      </c>
      <c r="H2387" s="70" t="str">
        <f t="shared" si="91"/>
        <v/>
      </c>
    </row>
    <row r="2388" spans="1:8">
      <c r="A2388" s="2"/>
      <c r="B2388" s="12"/>
      <c r="C2388" s="12"/>
      <c r="E2388" t="str">
        <f>IF(LEN(D2388)=0,"",[1]!i_pq_tradedays($B$3,A2389,A2388)-1)</f>
        <v/>
      </c>
      <c r="G2388" s="16" t="str">
        <f t="shared" si="90"/>
        <v/>
      </c>
      <c r="H2388" s="70" t="str">
        <f t="shared" si="91"/>
        <v/>
      </c>
    </row>
    <row r="2389" spans="1:8">
      <c r="A2389" s="2"/>
      <c r="B2389" s="12"/>
      <c r="C2389" s="12"/>
      <c r="E2389" t="str">
        <f>IF(LEN(D2389)=0,"",[1]!i_pq_tradedays($B$3,A2390,A2389)-1)</f>
        <v/>
      </c>
      <c r="G2389" s="16" t="str">
        <f t="shared" si="90"/>
        <v/>
      </c>
      <c r="H2389" s="70" t="str">
        <f t="shared" si="91"/>
        <v/>
      </c>
    </row>
    <row r="2390" spans="1:8">
      <c r="A2390" s="2"/>
      <c r="B2390" s="12"/>
      <c r="C2390" s="12"/>
      <c r="E2390" t="str">
        <f>IF(LEN(D2390)=0,"",[1]!i_pq_tradedays($B$3,A2391,A2390)-1)</f>
        <v/>
      </c>
      <c r="G2390" s="16" t="str">
        <f t="shared" si="90"/>
        <v/>
      </c>
      <c r="H2390" s="70" t="str">
        <f t="shared" si="91"/>
        <v/>
      </c>
    </row>
    <row r="2391" spans="1:8">
      <c r="A2391" s="2"/>
      <c r="B2391" s="12"/>
      <c r="C2391" s="12"/>
      <c r="E2391" t="str">
        <f>IF(LEN(D2391)=0,"",[1]!i_pq_tradedays($B$3,A2392,A2391)-1)</f>
        <v/>
      </c>
      <c r="G2391" s="16" t="str">
        <f t="shared" si="90"/>
        <v/>
      </c>
      <c r="H2391" s="70" t="str">
        <f t="shared" si="91"/>
        <v/>
      </c>
    </row>
    <row r="2392" spans="1:8">
      <c r="A2392" s="2"/>
      <c r="B2392" s="12"/>
      <c r="C2392" s="12"/>
      <c r="E2392" t="str">
        <f>IF(LEN(D2392)=0,"",[1]!i_pq_tradedays($B$3,A2393,A2392)-1)</f>
        <v/>
      </c>
      <c r="G2392" s="16" t="str">
        <f t="shared" si="90"/>
        <v/>
      </c>
      <c r="H2392" s="70" t="str">
        <f t="shared" si="91"/>
        <v/>
      </c>
    </row>
    <row r="2393" spans="1:8">
      <c r="A2393" s="2"/>
      <c r="B2393" s="12"/>
      <c r="C2393" s="12"/>
      <c r="E2393" t="str">
        <f>IF(LEN(D2393)=0,"",[1]!i_pq_tradedays($B$3,A2394,A2393)-1)</f>
        <v/>
      </c>
      <c r="G2393" s="16" t="str">
        <f t="shared" si="90"/>
        <v/>
      </c>
      <c r="H2393" s="70" t="str">
        <f t="shared" si="91"/>
        <v/>
      </c>
    </row>
    <row r="2394" spans="1:8">
      <c r="A2394" s="2"/>
      <c r="B2394" s="12"/>
      <c r="C2394" s="12"/>
      <c r="E2394" t="str">
        <f>IF(LEN(D2394)=0,"",[1]!i_pq_tradedays($B$3,A2395,A2394)-1)</f>
        <v/>
      </c>
      <c r="G2394" s="16" t="str">
        <f t="shared" si="90"/>
        <v/>
      </c>
      <c r="H2394" s="70" t="str">
        <f t="shared" si="91"/>
        <v/>
      </c>
    </row>
    <row r="2395" spans="1:8">
      <c r="A2395" s="2"/>
      <c r="B2395" s="12"/>
      <c r="C2395" s="12"/>
      <c r="E2395" t="str">
        <f>IF(LEN(D2395)=0,"",[1]!i_pq_tradedays($B$3,A2396,A2395)-1)</f>
        <v/>
      </c>
      <c r="G2395" s="16" t="str">
        <f t="shared" si="90"/>
        <v/>
      </c>
      <c r="H2395" s="70" t="str">
        <f t="shared" si="91"/>
        <v/>
      </c>
    </row>
    <row r="2396" spans="1:8">
      <c r="A2396" s="2"/>
      <c r="B2396" s="12"/>
      <c r="C2396" s="12"/>
      <c r="E2396" t="str">
        <f>IF(LEN(D2396)=0,"",[1]!i_pq_tradedays($B$3,A2397,A2396)-1)</f>
        <v/>
      </c>
      <c r="G2396" s="16" t="str">
        <f t="shared" si="90"/>
        <v/>
      </c>
      <c r="H2396" s="70" t="str">
        <f t="shared" si="91"/>
        <v/>
      </c>
    </row>
    <row r="2397" spans="1:8">
      <c r="A2397" s="2"/>
      <c r="B2397" s="12"/>
      <c r="C2397" s="12"/>
      <c r="E2397" t="str">
        <f>IF(LEN(D2397)=0,"",[1]!i_pq_tradedays($B$3,A2398,A2397)-1)</f>
        <v/>
      </c>
      <c r="G2397" s="16" t="str">
        <f t="shared" si="90"/>
        <v/>
      </c>
      <c r="H2397" s="70" t="str">
        <f t="shared" si="91"/>
        <v/>
      </c>
    </row>
    <row r="2398" spans="1:8">
      <c r="A2398" s="2"/>
      <c r="B2398" s="12"/>
      <c r="C2398" s="12"/>
      <c r="E2398" t="str">
        <f>IF(LEN(D2398)=0,"",[1]!i_pq_tradedays($B$3,A2399,A2398)-1)</f>
        <v/>
      </c>
      <c r="G2398" s="16" t="str">
        <f t="shared" si="90"/>
        <v/>
      </c>
      <c r="H2398" s="70" t="str">
        <f t="shared" si="91"/>
        <v/>
      </c>
    </row>
    <row r="2399" spans="1:8">
      <c r="A2399" s="2"/>
      <c r="B2399" s="12"/>
      <c r="C2399" s="12"/>
      <c r="E2399" t="str">
        <f>IF(LEN(D2399)=0,"",[1]!i_pq_tradedays($B$3,A2400,A2399)-1)</f>
        <v/>
      </c>
      <c r="G2399" s="16" t="str">
        <f t="shared" si="90"/>
        <v/>
      </c>
      <c r="H2399" s="70" t="str">
        <f t="shared" si="91"/>
        <v/>
      </c>
    </row>
    <row r="2400" spans="1:8">
      <c r="A2400" s="2"/>
      <c r="B2400" s="12"/>
      <c r="C2400" s="12"/>
      <c r="E2400" t="str">
        <f>IF(LEN(D2400)=0,"",[1]!i_pq_tradedays($B$3,A2401,A2400)-1)</f>
        <v/>
      </c>
      <c r="G2400" s="16" t="str">
        <f t="shared" si="90"/>
        <v/>
      </c>
      <c r="H2400" s="70" t="str">
        <f t="shared" si="91"/>
        <v/>
      </c>
    </row>
    <row r="2401" spans="1:8">
      <c r="A2401" s="2"/>
      <c r="B2401" s="12"/>
      <c r="C2401" s="12"/>
      <c r="E2401" t="str">
        <f>IF(LEN(D2401)=0,"",[1]!i_pq_tradedays($B$3,A2402,A2401)-1)</f>
        <v/>
      </c>
      <c r="G2401" s="16" t="str">
        <f t="shared" si="90"/>
        <v/>
      </c>
      <c r="H2401" s="70" t="str">
        <f t="shared" si="91"/>
        <v/>
      </c>
    </row>
    <row r="2402" spans="1:8">
      <c r="A2402" s="2"/>
      <c r="B2402" s="12"/>
      <c r="C2402" s="12"/>
      <c r="E2402" t="str">
        <f>IF(LEN(D2402)=0,"",[1]!i_pq_tradedays($B$3,A2403,A2402)-1)</f>
        <v/>
      </c>
      <c r="G2402" s="16" t="str">
        <f t="shared" si="90"/>
        <v/>
      </c>
      <c r="H2402" s="70" t="str">
        <f t="shared" si="91"/>
        <v/>
      </c>
    </row>
    <row r="2403" spans="1:8">
      <c r="A2403" s="2"/>
      <c r="B2403" s="12"/>
      <c r="C2403" s="12"/>
      <c r="E2403" t="str">
        <f>IF(LEN(D2403)=0,"",[1]!i_pq_tradedays($B$3,A2404,A2403)-1)</f>
        <v/>
      </c>
      <c r="G2403" s="16" t="str">
        <f t="shared" si="90"/>
        <v/>
      </c>
      <c r="H2403" s="70" t="str">
        <f t="shared" si="91"/>
        <v/>
      </c>
    </row>
    <row r="2404" spans="1:8">
      <c r="A2404" s="2"/>
      <c r="B2404" s="12"/>
      <c r="C2404" s="12"/>
      <c r="E2404" t="str">
        <f>IF(LEN(D2404)=0,"",[1]!i_pq_tradedays($B$3,A2405,A2404)-1)</f>
        <v/>
      </c>
      <c r="G2404" s="16" t="str">
        <f t="shared" si="90"/>
        <v/>
      </c>
      <c r="H2404" s="70" t="str">
        <f t="shared" si="91"/>
        <v/>
      </c>
    </row>
    <row r="2405" spans="1:8">
      <c r="A2405" s="2"/>
      <c r="B2405" s="12"/>
      <c r="C2405" s="12"/>
      <c r="E2405" t="str">
        <f>IF(LEN(D2405)=0,"",[1]!i_pq_tradedays($B$3,A2406,A2405)-1)</f>
        <v/>
      </c>
      <c r="G2405" s="16" t="str">
        <f t="shared" si="90"/>
        <v/>
      </c>
      <c r="H2405" s="70" t="str">
        <f t="shared" si="91"/>
        <v/>
      </c>
    </row>
    <row r="2406" spans="1:8">
      <c r="A2406" s="2"/>
      <c r="B2406" s="12"/>
      <c r="C2406" s="12"/>
      <c r="E2406" t="str">
        <f>IF(LEN(D2406)=0,"",[1]!i_pq_tradedays($B$3,A2407,A2406)-1)</f>
        <v/>
      </c>
      <c r="G2406" s="16" t="str">
        <f t="shared" si="90"/>
        <v/>
      </c>
      <c r="H2406" s="70" t="str">
        <f t="shared" si="91"/>
        <v/>
      </c>
    </row>
    <row r="2407" spans="1:8">
      <c r="A2407" s="2"/>
      <c r="B2407" s="12"/>
      <c r="C2407" s="12"/>
      <c r="E2407" t="str">
        <f>IF(LEN(D2407)=0,"",[1]!i_pq_tradedays($B$3,A2408,A2407)-1)</f>
        <v/>
      </c>
      <c r="G2407" s="16" t="str">
        <f t="shared" si="90"/>
        <v/>
      </c>
      <c r="H2407" s="70" t="str">
        <f t="shared" si="91"/>
        <v/>
      </c>
    </row>
    <row r="2408" spans="1:8">
      <c r="A2408" s="2"/>
      <c r="B2408" s="12"/>
      <c r="C2408" s="12"/>
      <c r="E2408" t="str">
        <f>IF(LEN(D2408)=0,"",[1]!i_pq_tradedays($B$3,A2409,A2408)-1)</f>
        <v/>
      </c>
      <c r="G2408" s="16" t="str">
        <f t="shared" si="90"/>
        <v/>
      </c>
      <c r="H2408" s="70" t="str">
        <f t="shared" si="91"/>
        <v/>
      </c>
    </row>
    <row r="2409" spans="1:8">
      <c r="A2409" s="2"/>
      <c r="B2409" s="12"/>
      <c r="C2409" s="12"/>
      <c r="E2409" t="str">
        <f>IF(LEN(D2409)=0,"",[1]!i_pq_tradedays($B$3,A2410,A2409)-1)</f>
        <v/>
      </c>
      <c r="G2409" s="16" t="str">
        <f t="shared" si="90"/>
        <v/>
      </c>
      <c r="H2409" s="70" t="str">
        <f t="shared" si="91"/>
        <v/>
      </c>
    </row>
    <row r="2410" spans="1:8">
      <c r="A2410" s="2"/>
      <c r="B2410" s="12"/>
      <c r="C2410" s="12"/>
      <c r="E2410" t="str">
        <f>IF(LEN(D2410)=0,"",[1]!i_pq_tradedays($B$3,A2411,A2410)-1)</f>
        <v/>
      </c>
      <c r="G2410" s="16" t="str">
        <f t="shared" si="90"/>
        <v/>
      </c>
      <c r="H2410" s="70" t="str">
        <f t="shared" si="91"/>
        <v/>
      </c>
    </row>
    <row r="2411" spans="1:8">
      <c r="A2411" s="2"/>
      <c r="B2411" s="12"/>
      <c r="C2411" s="12"/>
      <c r="E2411" t="str">
        <f>IF(LEN(D2411)=0,"",[1]!i_pq_tradedays($B$3,A2412,A2411)-1)</f>
        <v/>
      </c>
      <c r="G2411" s="16" t="str">
        <f t="shared" si="90"/>
        <v/>
      </c>
      <c r="H2411" s="70" t="str">
        <f t="shared" si="91"/>
        <v/>
      </c>
    </row>
    <row r="2412" spans="1:8">
      <c r="A2412" s="2"/>
      <c r="B2412" s="12"/>
      <c r="C2412" s="12"/>
      <c r="E2412" t="str">
        <f>IF(LEN(D2412)=0,"",[1]!i_pq_tradedays($B$3,A2413,A2412)-1)</f>
        <v/>
      </c>
      <c r="G2412" s="16" t="str">
        <f t="shared" si="90"/>
        <v/>
      </c>
      <c r="H2412" s="70" t="str">
        <f t="shared" si="91"/>
        <v/>
      </c>
    </row>
    <row r="2413" spans="1:8">
      <c r="A2413" s="2"/>
      <c r="B2413" s="12"/>
      <c r="C2413" s="12"/>
      <c r="E2413" t="str">
        <f>IF(LEN(D2413)=0,"",[1]!i_pq_tradedays($B$3,A2414,A2413)-1)</f>
        <v/>
      </c>
      <c r="G2413" s="16" t="str">
        <f t="shared" si="90"/>
        <v/>
      </c>
      <c r="H2413" s="70" t="str">
        <f t="shared" si="91"/>
        <v/>
      </c>
    </row>
    <row r="2414" spans="1:8">
      <c r="A2414" s="2"/>
      <c r="B2414" s="12"/>
      <c r="C2414" s="12"/>
      <c r="E2414" t="str">
        <f>IF(LEN(D2414)=0,"",[1]!i_pq_tradedays($B$3,A2415,A2414)-1)</f>
        <v/>
      </c>
      <c r="G2414" s="16" t="str">
        <f t="shared" si="90"/>
        <v/>
      </c>
      <c r="H2414" s="70" t="str">
        <f t="shared" si="91"/>
        <v/>
      </c>
    </row>
    <row r="2415" spans="1:8">
      <c r="A2415" s="2"/>
      <c r="B2415" s="12"/>
      <c r="C2415" s="12"/>
      <c r="E2415" t="str">
        <f>IF(LEN(D2415)=0,"",[1]!i_pq_tradedays($B$3,A2416,A2415)-1)</f>
        <v/>
      </c>
      <c r="G2415" s="16" t="str">
        <f t="shared" si="90"/>
        <v/>
      </c>
      <c r="H2415" s="70" t="str">
        <f t="shared" si="91"/>
        <v/>
      </c>
    </row>
    <row r="2416" spans="1:8">
      <c r="A2416" s="2"/>
      <c r="B2416" s="12"/>
      <c r="C2416" s="12"/>
      <c r="E2416" t="str">
        <f>IF(LEN(D2416)=0,"",[1]!i_pq_tradedays($B$3,A2417,A2416)-1)</f>
        <v/>
      </c>
      <c r="G2416" s="16" t="str">
        <f t="shared" si="90"/>
        <v/>
      </c>
      <c r="H2416" s="70" t="str">
        <f t="shared" si="91"/>
        <v/>
      </c>
    </row>
    <row r="2417" spans="1:8">
      <c r="A2417" s="2"/>
      <c r="B2417" s="12"/>
      <c r="C2417" s="12"/>
      <c r="E2417" t="str">
        <f>IF(LEN(D2417)=0,"",[1]!i_pq_tradedays($B$3,A2418,A2417)-1)</f>
        <v/>
      </c>
      <c r="G2417" s="16" t="str">
        <f t="shared" si="90"/>
        <v/>
      </c>
      <c r="H2417" s="70" t="str">
        <f t="shared" si="91"/>
        <v/>
      </c>
    </row>
    <row r="2418" spans="1:8">
      <c r="A2418" s="2"/>
      <c r="B2418" s="12"/>
      <c r="C2418" s="12"/>
      <c r="E2418" t="str">
        <f>IF(LEN(D2418)=0,"",[1]!i_pq_tradedays($B$3,A2419,A2418)-1)</f>
        <v/>
      </c>
      <c r="G2418" s="16" t="str">
        <f t="shared" si="90"/>
        <v/>
      </c>
      <c r="H2418" s="70" t="str">
        <f t="shared" si="91"/>
        <v/>
      </c>
    </row>
    <row r="2419" spans="1:8">
      <c r="A2419" s="2"/>
      <c r="B2419" s="12"/>
      <c r="C2419" s="12"/>
      <c r="E2419" t="str">
        <f>IF(LEN(D2419)=0,"",[1]!i_pq_tradedays($B$3,A2420,A2419)-1)</f>
        <v/>
      </c>
      <c r="G2419" s="16" t="str">
        <f t="shared" si="90"/>
        <v/>
      </c>
      <c r="H2419" s="70" t="str">
        <f t="shared" si="91"/>
        <v/>
      </c>
    </row>
    <row r="2420" spans="1:8">
      <c r="A2420" s="2"/>
      <c r="B2420" s="12"/>
      <c r="C2420" s="12"/>
      <c r="E2420" t="str">
        <f>IF(LEN(D2420)=0,"",[1]!i_pq_tradedays($B$3,A2421,A2420)-1)</f>
        <v/>
      </c>
      <c r="G2420" s="16" t="str">
        <f t="shared" si="90"/>
        <v/>
      </c>
      <c r="H2420" s="70" t="str">
        <f t="shared" si="91"/>
        <v/>
      </c>
    </row>
    <row r="2421" spans="1:8">
      <c r="A2421" s="2"/>
      <c r="B2421" s="12"/>
      <c r="C2421" s="12"/>
      <c r="E2421" t="str">
        <f>IF(LEN(D2421)=0,"",[1]!i_pq_tradedays($B$3,A2422,A2421)-1)</f>
        <v/>
      </c>
      <c r="G2421" s="16" t="str">
        <f t="shared" ref="G2421:G2484" si="92">IF(LEN(D2421)=0,"",D2421/E2421)</f>
        <v/>
      </c>
      <c r="H2421" s="70" t="str">
        <f t="shared" ref="H2421:H2484" si="93">IF(LEN(D2421)=0,"",G2421/G2422-1)</f>
        <v/>
      </c>
    </row>
    <row r="2422" spans="1:8">
      <c r="A2422" s="2"/>
      <c r="B2422" s="12"/>
      <c r="C2422" s="12"/>
      <c r="E2422" t="str">
        <f>IF(LEN(D2422)=0,"",[1]!i_pq_tradedays($B$3,A2423,A2422)-1)</f>
        <v/>
      </c>
      <c r="G2422" s="16" t="str">
        <f t="shared" si="92"/>
        <v/>
      </c>
      <c r="H2422" s="70" t="str">
        <f t="shared" si="93"/>
        <v/>
      </c>
    </row>
    <row r="2423" spans="1:8">
      <c r="A2423" s="2"/>
      <c r="B2423" s="12"/>
      <c r="C2423" s="12"/>
      <c r="E2423" t="str">
        <f>IF(LEN(D2423)=0,"",[1]!i_pq_tradedays($B$3,A2424,A2423)-1)</f>
        <v/>
      </c>
      <c r="G2423" s="16" t="str">
        <f t="shared" si="92"/>
        <v/>
      </c>
      <c r="H2423" s="70" t="str">
        <f t="shared" si="93"/>
        <v/>
      </c>
    </row>
    <row r="2424" spans="1:8">
      <c r="A2424" s="2"/>
      <c r="B2424" s="12"/>
      <c r="C2424" s="12"/>
      <c r="E2424" t="str">
        <f>IF(LEN(D2424)=0,"",[1]!i_pq_tradedays($B$3,A2425,A2424)-1)</f>
        <v/>
      </c>
      <c r="G2424" s="16" t="str">
        <f t="shared" si="92"/>
        <v/>
      </c>
      <c r="H2424" s="70" t="str">
        <f t="shared" si="93"/>
        <v/>
      </c>
    </row>
    <row r="2425" spans="1:8">
      <c r="A2425" s="2"/>
      <c r="B2425" s="12"/>
      <c r="C2425" s="12"/>
      <c r="E2425" t="str">
        <f>IF(LEN(D2425)=0,"",[1]!i_pq_tradedays($B$3,A2426,A2425)-1)</f>
        <v/>
      </c>
      <c r="G2425" s="16" t="str">
        <f t="shared" si="92"/>
        <v/>
      </c>
      <c r="H2425" s="70" t="str">
        <f t="shared" si="93"/>
        <v/>
      </c>
    </row>
    <row r="2426" spans="1:8">
      <c r="A2426" s="2"/>
      <c r="B2426" s="12"/>
      <c r="C2426" s="12"/>
      <c r="E2426" t="str">
        <f>IF(LEN(D2426)=0,"",[1]!i_pq_tradedays($B$3,A2427,A2426)-1)</f>
        <v/>
      </c>
      <c r="G2426" s="16" t="str">
        <f t="shared" si="92"/>
        <v/>
      </c>
      <c r="H2426" s="70" t="str">
        <f t="shared" si="93"/>
        <v/>
      </c>
    </row>
    <row r="2427" spans="1:8">
      <c r="A2427" s="2"/>
      <c r="B2427" s="12"/>
      <c r="C2427" s="12"/>
      <c r="E2427" t="str">
        <f>IF(LEN(D2427)=0,"",[1]!i_pq_tradedays($B$3,A2428,A2427)-1)</f>
        <v/>
      </c>
      <c r="G2427" s="16" t="str">
        <f t="shared" si="92"/>
        <v/>
      </c>
      <c r="H2427" s="70" t="str">
        <f t="shared" si="93"/>
        <v/>
      </c>
    </row>
    <row r="2428" spans="1:8">
      <c r="A2428" s="2"/>
      <c r="B2428" s="12"/>
      <c r="C2428" s="12"/>
      <c r="E2428" t="str">
        <f>IF(LEN(D2428)=0,"",[1]!i_pq_tradedays($B$3,A2429,A2428)-1)</f>
        <v/>
      </c>
      <c r="G2428" s="16" t="str">
        <f t="shared" si="92"/>
        <v/>
      </c>
      <c r="H2428" s="70" t="str">
        <f t="shared" si="93"/>
        <v/>
      </c>
    </row>
    <row r="2429" spans="1:8">
      <c r="A2429" s="2"/>
      <c r="B2429" s="12"/>
      <c r="C2429" s="12"/>
      <c r="E2429" t="str">
        <f>IF(LEN(D2429)=0,"",[1]!i_pq_tradedays($B$3,A2430,A2429)-1)</f>
        <v/>
      </c>
      <c r="G2429" s="16" t="str">
        <f t="shared" si="92"/>
        <v/>
      </c>
      <c r="H2429" s="70" t="str">
        <f t="shared" si="93"/>
        <v/>
      </c>
    </row>
    <row r="2430" spans="1:8">
      <c r="A2430" s="2"/>
      <c r="B2430" s="12"/>
      <c r="C2430" s="12"/>
      <c r="E2430" t="str">
        <f>IF(LEN(D2430)=0,"",[1]!i_pq_tradedays($B$3,A2431,A2430)-1)</f>
        <v/>
      </c>
      <c r="G2430" s="16" t="str">
        <f t="shared" si="92"/>
        <v/>
      </c>
      <c r="H2430" s="70" t="str">
        <f t="shared" si="93"/>
        <v/>
      </c>
    </row>
    <row r="2431" spans="1:8">
      <c r="A2431" s="2"/>
      <c r="B2431" s="12"/>
      <c r="C2431" s="12"/>
      <c r="E2431" t="str">
        <f>IF(LEN(D2431)=0,"",[1]!i_pq_tradedays($B$3,A2432,A2431)-1)</f>
        <v/>
      </c>
      <c r="G2431" s="16" t="str">
        <f t="shared" si="92"/>
        <v/>
      </c>
      <c r="H2431" s="70" t="str">
        <f t="shared" si="93"/>
        <v/>
      </c>
    </row>
    <row r="2432" spans="1:8">
      <c r="A2432" s="2"/>
      <c r="B2432" s="12"/>
      <c r="C2432" s="12"/>
      <c r="E2432" t="str">
        <f>IF(LEN(D2432)=0,"",[1]!i_pq_tradedays($B$3,A2433,A2432)-1)</f>
        <v/>
      </c>
      <c r="G2432" s="16" t="str">
        <f t="shared" si="92"/>
        <v/>
      </c>
      <c r="H2432" s="70" t="str">
        <f t="shared" si="93"/>
        <v/>
      </c>
    </row>
    <row r="2433" spans="1:8">
      <c r="A2433" s="2"/>
      <c r="B2433" s="12"/>
      <c r="C2433" s="12"/>
      <c r="E2433" t="str">
        <f>IF(LEN(D2433)=0,"",[1]!i_pq_tradedays($B$3,A2434,A2433)-1)</f>
        <v/>
      </c>
      <c r="G2433" s="16" t="str">
        <f t="shared" si="92"/>
        <v/>
      </c>
      <c r="H2433" s="70" t="str">
        <f t="shared" si="93"/>
        <v/>
      </c>
    </row>
    <row r="2434" spans="1:8">
      <c r="A2434" s="2"/>
      <c r="B2434" s="12"/>
      <c r="C2434" s="12"/>
      <c r="E2434" t="str">
        <f>IF(LEN(D2434)=0,"",[1]!i_pq_tradedays($B$3,A2435,A2434)-1)</f>
        <v/>
      </c>
      <c r="G2434" s="16" t="str">
        <f t="shared" si="92"/>
        <v/>
      </c>
      <c r="H2434" s="70" t="str">
        <f t="shared" si="93"/>
        <v/>
      </c>
    </row>
    <row r="2435" spans="1:8">
      <c r="A2435" s="2"/>
      <c r="B2435" s="12"/>
      <c r="C2435" s="12"/>
      <c r="E2435" t="str">
        <f>IF(LEN(D2435)=0,"",[1]!i_pq_tradedays($B$3,A2436,A2435)-1)</f>
        <v/>
      </c>
      <c r="G2435" s="16" t="str">
        <f t="shared" si="92"/>
        <v/>
      </c>
      <c r="H2435" s="70" t="str">
        <f t="shared" si="93"/>
        <v/>
      </c>
    </row>
    <row r="2436" spans="1:8">
      <c r="A2436" s="2"/>
      <c r="B2436" s="12"/>
      <c r="C2436" s="12"/>
      <c r="E2436" t="str">
        <f>IF(LEN(D2436)=0,"",[1]!i_pq_tradedays($B$3,A2437,A2436)-1)</f>
        <v/>
      </c>
      <c r="G2436" s="16" t="str">
        <f t="shared" si="92"/>
        <v/>
      </c>
      <c r="H2436" s="70" t="str">
        <f t="shared" si="93"/>
        <v/>
      </c>
    </row>
    <row r="2437" spans="1:8">
      <c r="A2437" s="2"/>
      <c r="B2437" s="12"/>
      <c r="C2437" s="12"/>
      <c r="E2437" t="str">
        <f>IF(LEN(D2437)=0,"",[1]!i_pq_tradedays($B$3,A2438,A2437)-1)</f>
        <v/>
      </c>
      <c r="G2437" s="16" t="str">
        <f t="shared" si="92"/>
        <v/>
      </c>
      <c r="H2437" s="70" t="str">
        <f t="shared" si="93"/>
        <v/>
      </c>
    </row>
    <row r="2438" spans="1:8">
      <c r="A2438" s="2"/>
      <c r="B2438" s="12"/>
      <c r="C2438" s="12"/>
      <c r="E2438" t="str">
        <f>IF(LEN(D2438)=0,"",[1]!i_pq_tradedays($B$3,A2439,A2438)-1)</f>
        <v/>
      </c>
      <c r="G2438" s="16" t="str">
        <f t="shared" si="92"/>
        <v/>
      </c>
      <c r="H2438" s="70" t="str">
        <f t="shared" si="93"/>
        <v/>
      </c>
    </row>
    <row r="2439" spans="1:8">
      <c r="A2439" s="2"/>
      <c r="B2439" s="12"/>
      <c r="C2439" s="12"/>
      <c r="E2439" t="str">
        <f>IF(LEN(D2439)=0,"",[1]!i_pq_tradedays($B$3,A2440,A2439)-1)</f>
        <v/>
      </c>
      <c r="G2439" s="16" t="str">
        <f t="shared" si="92"/>
        <v/>
      </c>
      <c r="H2439" s="70" t="str">
        <f t="shared" si="93"/>
        <v/>
      </c>
    </row>
    <row r="2440" spans="1:8">
      <c r="A2440" s="2"/>
      <c r="B2440" s="12"/>
      <c r="C2440" s="12"/>
      <c r="E2440" t="str">
        <f>IF(LEN(D2440)=0,"",[1]!i_pq_tradedays($B$3,A2441,A2440)-1)</f>
        <v/>
      </c>
      <c r="G2440" s="16" t="str">
        <f t="shared" si="92"/>
        <v/>
      </c>
      <c r="H2440" s="70" t="str">
        <f t="shared" si="93"/>
        <v/>
      </c>
    </row>
    <row r="2441" spans="1:8">
      <c r="A2441" s="2"/>
      <c r="B2441" s="12"/>
      <c r="C2441" s="12"/>
      <c r="E2441" t="str">
        <f>IF(LEN(D2441)=0,"",[1]!i_pq_tradedays($B$3,A2442,A2441)-1)</f>
        <v/>
      </c>
      <c r="G2441" s="16" t="str">
        <f t="shared" si="92"/>
        <v/>
      </c>
      <c r="H2441" s="70" t="str">
        <f t="shared" si="93"/>
        <v/>
      </c>
    </row>
    <row r="2442" spans="1:8">
      <c r="A2442" s="2"/>
      <c r="B2442" s="12"/>
      <c r="C2442" s="12"/>
      <c r="E2442" t="str">
        <f>IF(LEN(D2442)=0,"",[1]!i_pq_tradedays($B$3,A2443,A2442)-1)</f>
        <v/>
      </c>
      <c r="G2442" s="16" t="str">
        <f t="shared" si="92"/>
        <v/>
      </c>
      <c r="H2442" s="70" t="str">
        <f t="shared" si="93"/>
        <v/>
      </c>
    </row>
    <row r="2443" spans="1:8">
      <c r="A2443" s="2"/>
      <c r="B2443" s="12"/>
      <c r="C2443" s="12"/>
      <c r="E2443" t="str">
        <f>IF(LEN(D2443)=0,"",[1]!i_pq_tradedays($B$3,A2444,A2443)-1)</f>
        <v/>
      </c>
      <c r="G2443" s="16" t="str">
        <f t="shared" si="92"/>
        <v/>
      </c>
      <c r="H2443" s="70" t="str">
        <f t="shared" si="93"/>
        <v/>
      </c>
    </row>
    <row r="2444" spans="1:8">
      <c r="A2444" s="2"/>
      <c r="B2444" s="12"/>
      <c r="C2444" s="12"/>
      <c r="E2444" t="str">
        <f>IF(LEN(D2444)=0,"",[1]!i_pq_tradedays($B$3,A2445,A2444)-1)</f>
        <v/>
      </c>
      <c r="G2444" s="16" t="str">
        <f t="shared" si="92"/>
        <v/>
      </c>
      <c r="H2444" s="70" t="str">
        <f t="shared" si="93"/>
        <v/>
      </c>
    </row>
    <row r="2445" spans="1:8">
      <c r="A2445" s="2"/>
      <c r="B2445" s="12"/>
      <c r="C2445" s="12"/>
      <c r="E2445" t="str">
        <f>IF(LEN(D2445)=0,"",[1]!i_pq_tradedays($B$3,A2446,A2445)-1)</f>
        <v/>
      </c>
      <c r="G2445" s="16" t="str">
        <f t="shared" si="92"/>
        <v/>
      </c>
      <c r="H2445" s="70" t="str">
        <f t="shared" si="93"/>
        <v/>
      </c>
    </row>
    <row r="2446" spans="1:8">
      <c r="A2446" s="2"/>
      <c r="B2446" s="12"/>
      <c r="C2446" s="12"/>
      <c r="E2446" t="str">
        <f>IF(LEN(D2446)=0,"",[1]!i_pq_tradedays($B$3,A2447,A2446)-1)</f>
        <v/>
      </c>
      <c r="G2446" s="16" t="str">
        <f t="shared" si="92"/>
        <v/>
      </c>
      <c r="H2446" s="70" t="str">
        <f t="shared" si="93"/>
        <v/>
      </c>
    </row>
    <row r="2447" spans="1:8">
      <c r="A2447" s="2"/>
      <c r="B2447" s="12"/>
      <c r="C2447" s="12"/>
      <c r="E2447" t="str">
        <f>IF(LEN(D2447)=0,"",[1]!i_pq_tradedays($B$3,A2448,A2447)-1)</f>
        <v/>
      </c>
      <c r="G2447" s="16" t="str">
        <f t="shared" si="92"/>
        <v/>
      </c>
      <c r="H2447" s="70" t="str">
        <f t="shared" si="93"/>
        <v/>
      </c>
    </row>
    <row r="2448" spans="1:8">
      <c r="A2448" s="2"/>
      <c r="B2448" s="12"/>
      <c r="C2448" s="12"/>
      <c r="E2448" t="str">
        <f>IF(LEN(D2448)=0,"",[1]!i_pq_tradedays($B$3,A2449,A2448)-1)</f>
        <v/>
      </c>
      <c r="G2448" s="16" t="str">
        <f t="shared" si="92"/>
        <v/>
      </c>
      <c r="H2448" s="70" t="str">
        <f t="shared" si="93"/>
        <v/>
      </c>
    </row>
    <row r="2449" spans="1:8">
      <c r="A2449" s="2"/>
      <c r="B2449" s="12"/>
      <c r="C2449" s="12"/>
      <c r="E2449" t="str">
        <f>IF(LEN(D2449)=0,"",[1]!i_pq_tradedays($B$3,A2450,A2449)-1)</f>
        <v/>
      </c>
      <c r="G2449" s="16" t="str">
        <f t="shared" si="92"/>
        <v/>
      </c>
      <c r="H2449" s="70" t="str">
        <f t="shared" si="93"/>
        <v/>
      </c>
    </row>
    <row r="2450" spans="1:8">
      <c r="A2450" s="2"/>
      <c r="B2450" s="12"/>
      <c r="C2450" s="12"/>
      <c r="E2450" t="str">
        <f>IF(LEN(D2450)=0,"",[1]!i_pq_tradedays($B$3,A2451,A2450)-1)</f>
        <v/>
      </c>
      <c r="G2450" s="16" t="str">
        <f t="shared" si="92"/>
        <v/>
      </c>
      <c r="H2450" s="70" t="str">
        <f t="shared" si="93"/>
        <v/>
      </c>
    </row>
    <row r="2451" spans="1:8">
      <c r="A2451" s="2"/>
      <c r="B2451" s="12"/>
      <c r="C2451" s="12"/>
      <c r="E2451" t="str">
        <f>IF(LEN(D2451)=0,"",[1]!i_pq_tradedays($B$3,A2452,A2451)-1)</f>
        <v/>
      </c>
      <c r="G2451" s="16" t="str">
        <f t="shared" si="92"/>
        <v/>
      </c>
      <c r="H2451" s="70" t="str">
        <f t="shared" si="93"/>
        <v/>
      </c>
    </row>
    <row r="2452" spans="1:8">
      <c r="A2452" s="2"/>
      <c r="B2452" s="12"/>
      <c r="C2452" s="12"/>
      <c r="E2452" t="str">
        <f>IF(LEN(D2452)=0,"",[1]!i_pq_tradedays($B$3,A2453,A2452)-1)</f>
        <v/>
      </c>
      <c r="G2452" s="16" t="str">
        <f t="shared" si="92"/>
        <v/>
      </c>
      <c r="H2452" s="70" t="str">
        <f t="shared" si="93"/>
        <v/>
      </c>
    </row>
    <row r="2453" spans="1:8">
      <c r="A2453" s="2"/>
      <c r="B2453" s="12"/>
      <c r="C2453" s="12"/>
      <c r="E2453" t="str">
        <f>IF(LEN(D2453)=0,"",[1]!i_pq_tradedays($B$3,A2454,A2453)-1)</f>
        <v/>
      </c>
      <c r="G2453" s="16" t="str">
        <f t="shared" si="92"/>
        <v/>
      </c>
      <c r="H2453" s="70" t="str">
        <f t="shared" si="93"/>
        <v/>
      </c>
    </row>
    <row r="2454" spans="1:8">
      <c r="A2454" s="2"/>
      <c r="B2454" s="12"/>
      <c r="C2454" s="12"/>
      <c r="E2454" t="str">
        <f>IF(LEN(D2454)=0,"",[1]!i_pq_tradedays($B$3,A2455,A2454)-1)</f>
        <v/>
      </c>
      <c r="G2454" s="16" t="str">
        <f t="shared" si="92"/>
        <v/>
      </c>
      <c r="H2454" s="70" t="str">
        <f t="shared" si="93"/>
        <v/>
      </c>
    </row>
    <row r="2455" spans="1:8">
      <c r="A2455" s="2"/>
      <c r="B2455" s="12"/>
      <c r="C2455" s="12"/>
      <c r="E2455" t="str">
        <f>IF(LEN(D2455)=0,"",[1]!i_pq_tradedays($B$3,A2456,A2455)-1)</f>
        <v/>
      </c>
      <c r="G2455" s="16" t="str">
        <f t="shared" si="92"/>
        <v/>
      </c>
      <c r="H2455" s="70" t="str">
        <f t="shared" si="93"/>
        <v/>
      </c>
    </row>
    <row r="2456" spans="1:8">
      <c r="A2456" s="2"/>
      <c r="B2456" s="12"/>
      <c r="C2456" s="12"/>
      <c r="E2456" t="str">
        <f>IF(LEN(D2456)=0,"",[1]!i_pq_tradedays($B$3,A2457,A2456)-1)</f>
        <v/>
      </c>
      <c r="G2456" s="16" t="str">
        <f t="shared" si="92"/>
        <v/>
      </c>
      <c r="H2456" s="70" t="str">
        <f t="shared" si="93"/>
        <v/>
      </c>
    </row>
    <row r="2457" spans="1:8">
      <c r="A2457" s="2"/>
      <c r="B2457" s="12"/>
      <c r="C2457" s="12"/>
      <c r="E2457" t="str">
        <f>IF(LEN(D2457)=0,"",[1]!i_pq_tradedays($B$3,A2458,A2457)-1)</f>
        <v/>
      </c>
      <c r="G2457" s="16" t="str">
        <f t="shared" si="92"/>
        <v/>
      </c>
      <c r="H2457" s="70" t="str">
        <f t="shared" si="93"/>
        <v/>
      </c>
    </row>
    <row r="2458" spans="1:8">
      <c r="A2458" s="2"/>
      <c r="B2458" s="12"/>
      <c r="C2458" s="12"/>
      <c r="E2458" t="str">
        <f>IF(LEN(D2458)=0,"",[1]!i_pq_tradedays($B$3,A2459,A2458)-1)</f>
        <v/>
      </c>
      <c r="G2458" s="16" t="str">
        <f t="shared" si="92"/>
        <v/>
      </c>
      <c r="H2458" s="70" t="str">
        <f t="shared" si="93"/>
        <v/>
      </c>
    </row>
    <row r="2459" spans="1:8">
      <c r="A2459" s="2"/>
      <c r="B2459" s="12"/>
      <c r="C2459" s="12"/>
      <c r="E2459" t="str">
        <f>IF(LEN(D2459)=0,"",[1]!i_pq_tradedays($B$3,A2460,A2459)-1)</f>
        <v/>
      </c>
      <c r="G2459" s="16" t="str">
        <f t="shared" si="92"/>
        <v/>
      </c>
      <c r="H2459" s="70" t="str">
        <f t="shared" si="93"/>
        <v/>
      </c>
    </row>
    <row r="2460" spans="1:8">
      <c r="A2460" s="2"/>
      <c r="B2460" s="12"/>
      <c r="C2460" s="12"/>
      <c r="E2460" t="str">
        <f>IF(LEN(D2460)=0,"",[1]!i_pq_tradedays($B$3,A2461,A2460)-1)</f>
        <v/>
      </c>
      <c r="G2460" s="16" t="str">
        <f t="shared" si="92"/>
        <v/>
      </c>
      <c r="H2460" s="70" t="str">
        <f t="shared" si="93"/>
        <v/>
      </c>
    </row>
    <row r="2461" spans="1:8">
      <c r="A2461" s="2"/>
      <c r="B2461" s="12"/>
      <c r="C2461" s="12"/>
      <c r="E2461" t="str">
        <f>IF(LEN(D2461)=0,"",[1]!i_pq_tradedays($B$3,A2462,A2461)-1)</f>
        <v/>
      </c>
      <c r="G2461" s="16" t="str">
        <f t="shared" si="92"/>
        <v/>
      </c>
      <c r="H2461" s="70" t="str">
        <f t="shared" si="93"/>
        <v/>
      </c>
    </row>
    <row r="2462" spans="1:8">
      <c r="A2462" s="2"/>
      <c r="B2462" s="12"/>
      <c r="C2462" s="12"/>
      <c r="E2462" t="str">
        <f>IF(LEN(D2462)=0,"",[1]!i_pq_tradedays($B$3,A2463,A2462)-1)</f>
        <v/>
      </c>
      <c r="G2462" s="16" t="str">
        <f t="shared" si="92"/>
        <v/>
      </c>
      <c r="H2462" s="70" t="str">
        <f t="shared" si="93"/>
        <v/>
      </c>
    </row>
    <row r="2463" spans="1:8">
      <c r="A2463" s="2"/>
      <c r="B2463" s="12"/>
      <c r="C2463" s="12"/>
      <c r="E2463" t="str">
        <f>IF(LEN(D2463)=0,"",[1]!i_pq_tradedays($B$3,A2464,A2463)-1)</f>
        <v/>
      </c>
      <c r="G2463" s="16" t="str">
        <f t="shared" si="92"/>
        <v/>
      </c>
      <c r="H2463" s="70" t="str">
        <f t="shared" si="93"/>
        <v/>
      </c>
    </row>
    <row r="2464" spans="1:8">
      <c r="A2464" s="2"/>
      <c r="B2464" s="12"/>
      <c r="C2464" s="12"/>
      <c r="E2464" t="str">
        <f>IF(LEN(D2464)=0,"",[1]!i_pq_tradedays($B$3,A2465,A2464)-1)</f>
        <v/>
      </c>
      <c r="G2464" s="16" t="str">
        <f t="shared" si="92"/>
        <v/>
      </c>
      <c r="H2464" s="70" t="str">
        <f t="shared" si="93"/>
        <v/>
      </c>
    </row>
    <row r="2465" spans="1:8">
      <c r="A2465" s="2"/>
      <c r="B2465" s="12"/>
      <c r="C2465" s="12"/>
      <c r="E2465" t="str">
        <f>IF(LEN(D2465)=0,"",[1]!i_pq_tradedays($B$3,A2466,A2465)-1)</f>
        <v/>
      </c>
      <c r="G2465" s="16" t="str">
        <f t="shared" si="92"/>
        <v/>
      </c>
      <c r="H2465" s="70" t="str">
        <f t="shared" si="93"/>
        <v/>
      </c>
    </row>
    <row r="2466" spans="1:8">
      <c r="A2466" s="2"/>
      <c r="B2466" s="12"/>
      <c r="C2466" s="12"/>
      <c r="E2466" t="str">
        <f>IF(LEN(D2466)=0,"",[1]!i_pq_tradedays($B$3,A2467,A2466)-1)</f>
        <v/>
      </c>
      <c r="G2466" s="16" t="str">
        <f t="shared" si="92"/>
        <v/>
      </c>
      <c r="H2466" s="70" t="str">
        <f t="shared" si="93"/>
        <v/>
      </c>
    </row>
    <row r="2467" spans="1:8">
      <c r="A2467" s="2"/>
      <c r="B2467" s="12"/>
      <c r="C2467" s="12"/>
      <c r="E2467" t="str">
        <f>IF(LEN(D2467)=0,"",[1]!i_pq_tradedays($B$3,A2468,A2467)-1)</f>
        <v/>
      </c>
      <c r="G2467" s="16" t="str">
        <f t="shared" si="92"/>
        <v/>
      </c>
      <c r="H2467" s="70" t="str">
        <f t="shared" si="93"/>
        <v/>
      </c>
    </row>
    <row r="2468" spans="1:8">
      <c r="A2468" s="2"/>
      <c r="B2468" s="12"/>
      <c r="C2468" s="12"/>
      <c r="E2468" t="str">
        <f>IF(LEN(D2468)=0,"",[1]!i_pq_tradedays($B$3,A2469,A2468)-1)</f>
        <v/>
      </c>
      <c r="G2468" s="16" t="str">
        <f t="shared" si="92"/>
        <v/>
      </c>
      <c r="H2468" s="70" t="str">
        <f t="shared" si="93"/>
        <v/>
      </c>
    </row>
    <row r="2469" spans="1:8">
      <c r="A2469" s="2"/>
      <c r="B2469" s="12"/>
      <c r="C2469" s="12"/>
      <c r="E2469" t="str">
        <f>IF(LEN(D2469)=0,"",[1]!i_pq_tradedays($B$3,A2470,A2469)-1)</f>
        <v/>
      </c>
      <c r="G2469" s="16" t="str">
        <f t="shared" si="92"/>
        <v/>
      </c>
      <c r="H2469" s="70" t="str">
        <f t="shared" si="93"/>
        <v/>
      </c>
    </row>
    <row r="2470" spans="1:8">
      <c r="A2470" s="2"/>
      <c r="B2470" s="12"/>
      <c r="C2470" s="12"/>
      <c r="E2470" t="str">
        <f>IF(LEN(D2470)=0,"",[1]!i_pq_tradedays($B$3,A2471,A2470)-1)</f>
        <v/>
      </c>
      <c r="G2470" s="16" t="str">
        <f t="shared" si="92"/>
        <v/>
      </c>
      <c r="H2470" s="70" t="str">
        <f t="shared" si="93"/>
        <v/>
      </c>
    </row>
    <row r="2471" spans="1:8">
      <c r="A2471" s="2"/>
      <c r="B2471" s="12"/>
      <c r="C2471" s="12"/>
      <c r="E2471" t="str">
        <f>IF(LEN(D2471)=0,"",[1]!i_pq_tradedays($B$3,A2472,A2471)-1)</f>
        <v/>
      </c>
      <c r="G2471" s="16" t="str">
        <f t="shared" si="92"/>
        <v/>
      </c>
      <c r="H2471" s="70" t="str">
        <f t="shared" si="93"/>
        <v/>
      </c>
    </row>
    <row r="2472" spans="1:8">
      <c r="A2472" s="2"/>
      <c r="B2472" s="12"/>
      <c r="C2472" s="12"/>
      <c r="E2472" t="str">
        <f>IF(LEN(D2472)=0,"",[1]!i_pq_tradedays($B$3,A2473,A2472)-1)</f>
        <v/>
      </c>
      <c r="G2472" s="16" t="str">
        <f t="shared" si="92"/>
        <v/>
      </c>
      <c r="H2472" s="70" t="str">
        <f t="shared" si="93"/>
        <v/>
      </c>
    </row>
    <row r="2473" spans="1:8">
      <c r="A2473" s="2"/>
      <c r="B2473" s="12"/>
      <c r="C2473" s="12"/>
      <c r="E2473" t="str">
        <f>IF(LEN(D2473)=0,"",[1]!i_pq_tradedays($B$3,A2474,A2473)-1)</f>
        <v/>
      </c>
      <c r="G2473" s="16" t="str">
        <f t="shared" si="92"/>
        <v/>
      </c>
      <c r="H2473" s="70" t="str">
        <f t="shared" si="93"/>
        <v/>
      </c>
    </row>
    <row r="2474" spans="1:8">
      <c r="A2474" s="2"/>
      <c r="B2474" s="12"/>
      <c r="C2474" s="12"/>
      <c r="E2474" t="str">
        <f>IF(LEN(D2474)=0,"",[1]!i_pq_tradedays($B$3,A2475,A2474)-1)</f>
        <v/>
      </c>
      <c r="G2474" s="16" t="str">
        <f t="shared" si="92"/>
        <v/>
      </c>
      <c r="H2474" s="70" t="str">
        <f t="shared" si="93"/>
        <v/>
      </c>
    </row>
    <row r="2475" spans="1:8">
      <c r="A2475" s="2"/>
      <c r="B2475" s="12"/>
      <c r="C2475" s="12"/>
      <c r="E2475" t="str">
        <f>IF(LEN(D2475)=0,"",[1]!i_pq_tradedays($B$3,A2476,A2475)-1)</f>
        <v/>
      </c>
      <c r="G2475" s="16" t="str">
        <f t="shared" si="92"/>
        <v/>
      </c>
      <c r="H2475" s="70" t="str">
        <f t="shared" si="93"/>
        <v/>
      </c>
    </row>
    <row r="2476" spans="1:8">
      <c r="A2476" s="2"/>
      <c r="B2476" s="12"/>
      <c r="C2476" s="12"/>
      <c r="E2476" t="str">
        <f>IF(LEN(D2476)=0,"",[1]!i_pq_tradedays($B$3,A2477,A2476)-1)</f>
        <v/>
      </c>
      <c r="G2476" s="16" t="str">
        <f t="shared" si="92"/>
        <v/>
      </c>
      <c r="H2476" s="70" t="str">
        <f t="shared" si="93"/>
        <v/>
      </c>
    </row>
    <row r="2477" spans="1:8">
      <c r="A2477" s="2"/>
      <c r="B2477" s="12"/>
      <c r="C2477" s="12"/>
      <c r="E2477" t="str">
        <f>IF(LEN(D2477)=0,"",[1]!i_pq_tradedays($B$3,A2478,A2477)-1)</f>
        <v/>
      </c>
      <c r="G2477" s="16" t="str">
        <f t="shared" si="92"/>
        <v/>
      </c>
      <c r="H2477" s="70" t="str">
        <f t="shared" si="93"/>
        <v/>
      </c>
    </row>
    <row r="2478" spans="1:8">
      <c r="A2478" s="2"/>
      <c r="B2478" s="12"/>
      <c r="C2478" s="12"/>
      <c r="E2478" t="str">
        <f>IF(LEN(D2478)=0,"",[1]!i_pq_tradedays($B$3,A2479,A2478)-1)</f>
        <v/>
      </c>
      <c r="G2478" s="16" t="str">
        <f t="shared" si="92"/>
        <v/>
      </c>
      <c r="H2478" s="70" t="str">
        <f t="shared" si="93"/>
        <v/>
      </c>
    </row>
    <row r="2479" spans="1:8">
      <c r="A2479" s="2"/>
      <c r="B2479" s="12"/>
      <c r="C2479" s="12"/>
      <c r="E2479" t="str">
        <f>IF(LEN(D2479)=0,"",[1]!i_pq_tradedays($B$3,A2480,A2479)-1)</f>
        <v/>
      </c>
      <c r="G2479" s="16" t="str">
        <f t="shared" si="92"/>
        <v/>
      </c>
      <c r="H2479" s="70" t="str">
        <f t="shared" si="93"/>
        <v/>
      </c>
    </row>
    <row r="2480" spans="1:8">
      <c r="A2480" s="2"/>
      <c r="B2480" s="12"/>
      <c r="C2480" s="12"/>
      <c r="E2480" t="str">
        <f>IF(LEN(D2480)=0,"",[1]!i_pq_tradedays($B$3,A2481,A2480)-1)</f>
        <v/>
      </c>
      <c r="G2480" s="16" t="str">
        <f t="shared" si="92"/>
        <v/>
      </c>
      <c r="H2480" s="70" t="str">
        <f t="shared" si="93"/>
        <v/>
      </c>
    </row>
    <row r="2481" spans="1:8">
      <c r="A2481" s="2"/>
      <c r="B2481" s="12"/>
      <c r="C2481" s="12"/>
      <c r="E2481" t="str">
        <f>IF(LEN(D2481)=0,"",[1]!i_pq_tradedays($B$3,A2482,A2481)-1)</f>
        <v/>
      </c>
      <c r="G2481" s="16" t="str">
        <f t="shared" si="92"/>
        <v/>
      </c>
      <c r="H2481" s="70" t="str">
        <f t="shared" si="93"/>
        <v/>
      </c>
    </row>
    <row r="2482" spans="1:8">
      <c r="A2482" s="2"/>
      <c r="B2482" s="12"/>
      <c r="C2482" s="12"/>
      <c r="E2482" t="str">
        <f>IF(LEN(D2482)=0,"",[1]!i_pq_tradedays($B$3,A2483,A2482)-1)</f>
        <v/>
      </c>
      <c r="G2482" s="16" t="str">
        <f t="shared" si="92"/>
        <v/>
      </c>
      <c r="H2482" s="70" t="str">
        <f t="shared" si="93"/>
        <v/>
      </c>
    </row>
    <row r="2483" spans="1:8">
      <c r="A2483" s="2"/>
      <c r="B2483" s="12"/>
      <c r="C2483" s="12"/>
      <c r="E2483" t="str">
        <f>IF(LEN(D2483)=0,"",[1]!i_pq_tradedays($B$3,A2484,A2483)-1)</f>
        <v/>
      </c>
      <c r="G2483" s="16" t="str">
        <f t="shared" si="92"/>
        <v/>
      </c>
      <c r="H2483" s="70" t="str">
        <f t="shared" si="93"/>
        <v/>
      </c>
    </row>
    <row r="2484" spans="1:8">
      <c r="A2484" s="2"/>
      <c r="B2484" s="12"/>
      <c r="C2484" s="12"/>
      <c r="E2484" t="str">
        <f>IF(LEN(D2484)=0,"",[1]!i_pq_tradedays($B$3,A2485,A2484)-1)</f>
        <v/>
      </c>
      <c r="G2484" s="16" t="str">
        <f t="shared" si="92"/>
        <v/>
      </c>
      <c r="H2484" s="70" t="str">
        <f t="shared" si="93"/>
        <v/>
      </c>
    </row>
    <row r="2485" spans="1:8">
      <c r="A2485" s="2"/>
      <c r="B2485" s="12"/>
      <c r="C2485" s="12"/>
      <c r="E2485" t="str">
        <f>IF(LEN(D2485)=0,"",[1]!i_pq_tradedays($B$3,A2486,A2485)-1)</f>
        <v/>
      </c>
      <c r="G2485" s="16" t="str">
        <f t="shared" ref="G2485:G2548" si="94">IF(LEN(D2485)=0,"",D2485/E2485)</f>
        <v/>
      </c>
      <c r="H2485" s="70" t="str">
        <f t="shared" ref="H2485:H2548" si="95">IF(LEN(D2485)=0,"",G2485/G2486-1)</f>
        <v/>
      </c>
    </row>
    <row r="2486" spans="1:8">
      <c r="A2486" s="2"/>
      <c r="B2486" s="12"/>
      <c r="C2486" s="12"/>
      <c r="E2486" t="str">
        <f>IF(LEN(D2486)=0,"",[1]!i_pq_tradedays($B$3,A2487,A2486)-1)</f>
        <v/>
      </c>
      <c r="G2486" s="16" t="str">
        <f t="shared" si="94"/>
        <v/>
      </c>
      <c r="H2486" s="70" t="str">
        <f t="shared" si="95"/>
        <v/>
      </c>
    </row>
    <row r="2487" spans="1:8">
      <c r="A2487" s="2"/>
      <c r="B2487" s="12"/>
      <c r="C2487" s="12"/>
      <c r="E2487" t="str">
        <f>IF(LEN(D2487)=0,"",[1]!i_pq_tradedays($B$3,A2488,A2487)-1)</f>
        <v/>
      </c>
      <c r="G2487" s="16" t="str">
        <f t="shared" si="94"/>
        <v/>
      </c>
      <c r="H2487" s="70" t="str">
        <f t="shared" si="95"/>
        <v/>
      </c>
    </row>
    <row r="2488" spans="1:8">
      <c r="A2488" s="2"/>
      <c r="B2488" s="12"/>
      <c r="C2488" s="12"/>
      <c r="E2488" t="str">
        <f>IF(LEN(D2488)=0,"",[1]!i_pq_tradedays($B$3,A2489,A2488)-1)</f>
        <v/>
      </c>
      <c r="G2488" s="16" t="str">
        <f t="shared" si="94"/>
        <v/>
      </c>
      <c r="H2488" s="70" t="str">
        <f t="shared" si="95"/>
        <v/>
      </c>
    </row>
    <row r="2489" spans="1:8">
      <c r="A2489" s="2"/>
      <c r="B2489" s="12"/>
      <c r="C2489" s="12"/>
      <c r="E2489" t="str">
        <f>IF(LEN(D2489)=0,"",[1]!i_pq_tradedays($B$3,A2490,A2489)-1)</f>
        <v/>
      </c>
      <c r="G2489" s="16" t="str">
        <f t="shared" si="94"/>
        <v/>
      </c>
      <c r="H2489" s="70" t="str">
        <f t="shared" si="95"/>
        <v/>
      </c>
    </row>
    <row r="2490" spans="1:8">
      <c r="A2490" s="2"/>
      <c r="B2490" s="12"/>
      <c r="C2490" s="12"/>
      <c r="E2490" t="str">
        <f>IF(LEN(D2490)=0,"",[1]!i_pq_tradedays($B$3,A2491,A2490)-1)</f>
        <v/>
      </c>
      <c r="G2490" s="16" t="str">
        <f t="shared" si="94"/>
        <v/>
      </c>
      <c r="H2490" s="70" t="str">
        <f t="shared" si="95"/>
        <v/>
      </c>
    </row>
    <row r="2491" spans="1:8">
      <c r="A2491" s="2"/>
      <c r="B2491" s="12"/>
      <c r="C2491" s="12"/>
      <c r="E2491" t="str">
        <f>IF(LEN(D2491)=0,"",[1]!i_pq_tradedays($B$3,A2492,A2491)-1)</f>
        <v/>
      </c>
      <c r="G2491" s="16" t="str">
        <f t="shared" si="94"/>
        <v/>
      </c>
      <c r="H2491" s="70" t="str">
        <f t="shared" si="95"/>
        <v/>
      </c>
    </row>
    <row r="2492" spans="1:8">
      <c r="A2492" s="2"/>
      <c r="B2492" s="12"/>
      <c r="C2492" s="12"/>
      <c r="E2492" t="str">
        <f>IF(LEN(D2492)=0,"",[1]!i_pq_tradedays($B$3,A2493,A2492)-1)</f>
        <v/>
      </c>
      <c r="G2492" s="16" t="str">
        <f t="shared" si="94"/>
        <v/>
      </c>
      <c r="H2492" s="70" t="str">
        <f t="shared" si="95"/>
        <v/>
      </c>
    </row>
    <row r="2493" spans="1:8">
      <c r="A2493" s="2"/>
      <c r="B2493" s="12"/>
      <c r="C2493" s="12"/>
      <c r="E2493" t="str">
        <f>IF(LEN(D2493)=0,"",[1]!i_pq_tradedays($B$3,A2494,A2493)-1)</f>
        <v/>
      </c>
      <c r="G2493" s="16" t="str">
        <f t="shared" si="94"/>
        <v/>
      </c>
      <c r="H2493" s="70" t="str">
        <f t="shared" si="95"/>
        <v/>
      </c>
    </row>
    <row r="2494" spans="1:8">
      <c r="A2494" s="2"/>
      <c r="B2494" s="12"/>
      <c r="C2494" s="12"/>
      <c r="E2494" t="str">
        <f>IF(LEN(D2494)=0,"",[1]!i_pq_tradedays($B$3,A2495,A2494)-1)</f>
        <v/>
      </c>
      <c r="G2494" s="16" t="str">
        <f t="shared" si="94"/>
        <v/>
      </c>
      <c r="H2494" s="70" t="str">
        <f t="shared" si="95"/>
        <v/>
      </c>
    </row>
    <row r="2495" spans="1:8">
      <c r="A2495" s="2"/>
      <c r="B2495" s="12"/>
      <c r="C2495" s="12"/>
      <c r="E2495" t="str">
        <f>IF(LEN(D2495)=0,"",[1]!i_pq_tradedays($B$3,A2496,A2495)-1)</f>
        <v/>
      </c>
      <c r="G2495" s="16" t="str">
        <f t="shared" si="94"/>
        <v/>
      </c>
      <c r="H2495" s="70" t="str">
        <f t="shared" si="95"/>
        <v/>
      </c>
    </row>
    <row r="2496" spans="1:8">
      <c r="A2496" s="2"/>
      <c r="B2496" s="12"/>
      <c r="C2496" s="12"/>
      <c r="E2496" t="str">
        <f>IF(LEN(D2496)=0,"",[1]!i_pq_tradedays($B$3,A2497,A2496)-1)</f>
        <v/>
      </c>
      <c r="G2496" s="16" t="str">
        <f t="shared" si="94"/>
        <v/>
      </c>
      <c r="H2496" s="70" t="str">
        <f t="shared" si="95"/>
        <v/>
      </c>
    </row>
    <row r="2497" spans="1:8">
      <c r="A2497" s="2"/>
      <c r="B2497" s="12"/>
      <c r="C2497" s="12"/>
      <c r="E2497" t="str">
        <f>IF(LEN(D2497)=0,"",[1]!i_pq_tradedays($B$3,A2498,A2497)-1)</f>
        <v/>
      </c>
      <c r="G2497" s="16" t="str">
        <f t="shared" si="94"/>
        <v/>
      </c>
      <c r="H2497" s="70" t="str">
        <f t="shared" si="95"/>
        <v/>
      </c>
    </row>
    <row r="2498" spans="1:8">
      <c r="A2498" s="2"/>
      <c r="B2498" s="12"/>
      <c r="C2498" s="12"/>
      <c r="E2498" t="str">
        <f>IF(LEN(D2498)=0,"",[1]!i_pq_tradedays($B$3,A2499,A2498)-1)</f>
        <v/>
      </c>
      <c r="G2498" s="16" t="str">
        <f t="shared" si="94"/>
        <v/>
      </c>
      <c r="H2498" s="70" t="str">
        <f t="shared" si="95"/>
        <v/>
      </c>
    </row>
    <row r="2499" spans="1:8">
      <c r="A2499" s="2"/>
      <c r="B2499" s="12"/>
      <c r="C2499" s="12"/>
      <c r="E2499" t="str">
        <f>IF(LEN(D2499)=0,"",[1]!i_pq_tradedays($B$3,A2500,A2499)-1)</f>
        <v/>
      </c>
      <c r="G2499" s="16" t="str">
        <f t="shared" si="94"/>
        <v/>
      </c>
      <c r="H2499" s="70" t="str">
        <f t="shared" si="95"/>
        <v/>
      </c>
    </row>
    <row r="2500" spans="1:8">
      <c r="A2500" s="2"/>
      <c r="B2500" s="12"/>
      <c r="C2500" s="12"/>
      <c r="E2500" t="str">
        <f>IF(LEN(D2500)=0,"",[1]!i_pq_tradedays($B$3,A2501,A2500)-1)</f>
        <v/>
      </c>
      <c r="G2500" s="16" t="str">
        <f t="shared" si="94"/>
        <v/>
      </c>
      <c r="H2500" s="70" t="str">
        <f t="shared" si="95"/>
        <v/>
      </c>
    </row>
    <row r="2501" spans="1:8">
      <c r="A2501" s="2"/>
      <c r="B2501" s="12"/>
      <c r="C2501" s="12"/>
      <c r="E2501" t="str">
        <f>IF(LEN(D2501)=0,"",[1]!i_pq_tradedays($B$3,A2502,A2501)-1)</f>
        <v/>
      </c>
      <c r="G2501" s="16" t="str">
        <f t="shared" si="94"/>
        <v/>
      </c>
      <c r="H2501" s="70" t="str">
        <f t="shared" si="95"/>
        <v/>
      </c>
    </row>
    <row r="2502" spans="1:8">
      <c r="A2502" s="2"/>
      <c r="B2502" s="12"/>
      <c r="C2502" s="12"/>
      <c r="E2502" t="str">
        <f>IF(LEN(D2502)=0,"",[1]!i_pq_tradedays($B$3,A2503,A2502)-1)</f>
        <v/>
      </c>
      <c r="G2502" s="16" t="str">
        <f t="shared" si="94"/>
        <v/>
      </c>
      <c r="H2502" s="70" t="str">
        <f t="shared" si="95"/>
        <v/>
      </c>
    </row>
    <row r="2503" spans="1:8">
      <c r="A2503" s="2"/>
      <c r="B2503" s="12"/>
      <c r="C2503" s="12"/>
      <c r="E2503" t="str">
        <f>IF(LEN(D2503)=0,"",[1]!i_pq_tradedays($B$3,A2504,A2503)-1)</f>
        <v/>
      </c>
      <c r="G2503" s="16" t="str">
        <f t="shared" si="94"/>
        <v/>
      </c>
      <c r="H2503" s="70" t="str">
        <f t="shared" si="95"/>
        <v/>
      </c>
    </row>
    <row r="2504" spans="1:8">
      <c r="A2504" s="2"/>
      <c r="B2504" s="12"/>
      <c r="C2504" s="12"/>
      <c r="E2504" t="str">
        <f>IF(LEN(D2504)=0,"",[1]!i_pq_tradedays($B$3,A2505,A2504)-1)</f>
        <v/>
      </c>
      <c r="G2504" s="16" t="str">
        <f t="shared" si="94"/>
        <v/>
      </c>
      <c r="H2504" s="70" t="str">
        <f t="shared" si="95"/>
        <v/>
      </c>
    </row>
    <row r="2505" spans="1:8">
      <c r="A2505" s="2"/>
      <c r="B2505" s="12"/>
      <c r="C2505" s="12"/>
      <c r="E2505" t="str">
        <f>IF(LEN(D2505)=0,"",[1]!i_pq_tradedays($B$3,A2506,A2505)-1)</f>
        <v/>
      </c>
      <c r="G2505" s="16" t="str">
        <f t="shared" si="94"/>
        <v/>
      </c>
      <c r="H2505" s="70" t="str">
        <f t="shared" si="95"/>
        <v/>
      </c>
    </row>
    <row r="2506" spans="1:8">
      <c r="A2506" s="2"/>
      <c r="B2506" s="12"/>
      <c r="C2506" s="12"/>
      <c r="E2506" t="str">
        <f>IF(LEN(D2506)=0,"",[1]!i_pq_tradedays($B$3,A2507,A2506)-1)</f>
        <v/>
      </c>
      <c r="G2506" s="16" t="str">
        <f t="shared" si="94"/>
        <v/>
      </c>
      <c r="H2506" s="70" t="str">
        <f t="shared" si="95"/>
        <v/>
      </c>
    </row>
    <row r="2507" spans="1:8">
      <c r="A2507" s="2"/>
      <c r="B2507" s="12"/>
      <c r="C2507" s="12"/>
      <c r="E2507" t="str">
        <f>IF(LEN(D2507)=0,"",[1]!i_pq_tradedays($B$3,A2508,A2507)-1)</f>
        <v/>
      </c>
      <c r="G2507" s="16" t="str">
        <f t="shared" si="94"/>
        <v/>
      </c>
      <c r="H2507" s="70" t="str">
        <f t="shared" si="95"/>
        <v/>
      </c>
    </row>
    <row r="2508" spans="1:8">
      <c r="A2508" s="2"/>
      <c r="B2508" s="12"/>
      <c r="C2508" s="12"/>
      <c r="E2508" t="str">
        <f>IF(LEN(D2508)=0,"",[1]!i_pq_tradedays($B$3,A2509,A2508)-1)</f>
        <v/>
      </c>
      <c r="G2508" s="16" t="str">
        <f t="shared" si="94"/>
        <v/>
      </c>
      <c r="H2508" s="70" t="str">
        <f t="shared" si="95"/>
        <v/>
      </c>
    </row>
    <row r="2509" spans="1:8">
      <c r="A2509" s="2"/>
      <c r="B2509" s="12"/>
      <c r="C2509" s="12"/>
      <c r="E2509" t="str">
        <f>IF(LEN(D2509)=0,"",[1]!i_pq_tradedays($B$3,A2510,A2509)-1)</f>
        <v/>
      </c>
      <c r="G2509" s="16" t="str">
        <f t="shared" si="94"/>
        <v/>
      </c>
      <c r="H2509" s="70" t="str">
        <f t="shared" si="95"/>
        <v/>
      </c>
    </row>
    <row r="2510" spans="1:8">
      <c r="A2510" s="2"/>
      <c r="B2510" s="12"/>
      <c r="C2510" s="12"/>
      <c r="E2510" t="str">
        <f>IF(LEN(D2510)=0,"",[1]!i_pq_tradedays($B$3,A2511,A2510)-1)</f>
        <v/>
      </c>
      <c r="G2510" s="16" t="str">
        <f t="shared" si="94"/>
        <v/>
      </c>
      <c r="H2510" s="70" t="str">
        <f t="shared" si="95"/>
        <v/>
      </c>
    </row>
    <row r="2511" spans="1:8">
      <c r="A2511" s="2"/>
      <c r="B2511" s="12"/>
      <c r="C2511" s="12"/>
      <c r="E2511" t="str">
        <f>IF(LEN(D2511)=0,"",[1]!i_pq_tradedays($B$3,A2512,A2511)-1)</f>
        <v/>
      </c>
      <c r="G2511" s="16" t="str">
        <f t="shared" si="94"/>
        <v/>
      </c>
      <c r="H2511" s="70" t="str">
        <f t="shared" si="95"/>
        <v/>
      </c>
    </row>
    <row r="2512" spans="1:8">
      <c r="A2512" s="2"/>
      <c r="B2512" s="12"/>
      <c r="C2512" s="12"/>
      <c r="E2512" t="str">
        <f>IF(LEN(D2512)=0,"",[1]!i_pq_tradedays($B$3,A2513,A2512)-1)</f>
        <v/>
      </c>
      <c r="G2512" s="16" t="str">
        <f t="shared" si="94"/>
        <v/>
      </c>
      <c r="H2512" s="70" t="str">
        <f t="shared" si="95"/>
        <v/>
      </c>
    </row>
    <row r="2513" spans="1:8">
      <c r="A2513" s="2"/>
      <c r="B2513" s="12"/>
      <c r="C2513" s="12"/>
      <c r="E2513" t="str">
        <f>IF(LEN(D2513)=0,"",[1]!i_pq_tradedays($B$3,A2514,A2513)-1)</f>
        <v/>
      </c>
      <c r="G2513" s="16" t="str">
        <f t="shared" si="94"/>
        <v/>
      </c>
      <c r="H2513" s="70" t="str">
        <f t="shared" si="95"/>
        <v/>
      </c>
    </row>
    <row r="2514" spans="1:8">
      <c r="A2514" s="2"/>
      <c r="B2514" s="12"/>
      <c r="C2514" s="12"/>
      <c r="E2514" t="str">
        <f>IF(LEN(D2514)=0,"",[1]!i_pq_tradedays($B$3,A2515,A2514)-1)</f>
        <v/>
      </c>
      <c r="G2514" s="16" t="str">
        <f t="shared" si="94"/>
        <v/>
      </c>
      <c r="H2514" s="70" t="str">
        <f t="shared" si="95"/>
        <v/>
      </c>
    </row>
    <row r="2515" spans="1:8">
      <c r="A2515" s="2"/>
      <c r="B2515" s="12"/>
      <c r="C2515" s="12"/>
      <c r="E2515" t="str">
        <f>IF(LEN(D2515)=0,"",[1]!i_pq_tradedays($B$3,A2516,A2515)-1)</f>
        <v/>
      </c>
      <c r="G2515" s="16" t="str">
        <f t="shared" si="94"/>
        <v/>
      </c>
      <c r="H2515" s="70" t="str">
        <f t="shared" si="95"/>
        <v/>
      </c>
    </row>
    <row r="2516" spans="1:8">
      <c r="A2516" s="2"/>
      <c r="B2516" s="12"/>
      <c r="C2516" s="12"/>
      <c r="E2516" t="str">
        <f>IF(LEN(D2516)=0,"",[1]!i_pq_tradedays($B$3,A2517,A2516)-1)</f>
        <v/>
      </c>
      <c r="G2516" s="16" t="str">
        <f t="shared" si="94"/>
        <v/>
      </c>
      <c r="H2516" s="70" t="str">
        <f t="shared" si="95"/>
        <v/>
      </c>
    </row>
    <row r="2517" spans="1:8">
      <c r="A2517" s="2"/>
      <c r="B2517" s="12"/>
      <c r="C2517" s="12"/>
      <c r="E2517" t="str">
        <f>IF(LEN(D2517)=0,"",[1]!i_pq_tradedays($B$3,A2518,A2517)-1)</f>
        <v/>
      </c>
      <c r="G2517" s="16" t="str">
        <f t="shared" si="94"/>
        <v/>
      </c>
      <c r="H2517" s="70" t="str">
        <f t="shared" si="95"/>
        <v/>
      </c>
    </row>
    <row r="2518" spans="1:8">
      <c r="A2518" s="2"/>
      <c r="B2518" s="12"/>
      <c r="C2518" s="12"/>
      <c r="E2518" t="str">
        <f>IF(LEN(D2518)=0,"",[1]!i_pq_tradedays($B$3,A2519,A2518)-1)</f>
        <v/>
      </c>
      <c r="G2518" s="16" t="str">
        <f t="shared" si="94"/>
        <v/>
      </c>
      <c r="H2518" s="70" t="str">
        <f t="shared" si="95"/>
        <v/>
      </c>
    </row>
    <row r="2519" spans="1:8">
      <c r="A2519" s="2"/>
      <c r="B2519" s="12"/>
      <c r="C2519" s="12"/>
      <c r="E2519" t="str">
        <f>IF(LEN(D2519)=0,"",[1]!i_pq_tradedays($B$3,A2520,A2519)-1)</f>
        <v/>
      </c>
      <c r="G2519" s="16" t="str">
        <f t="shared" si="94"/>
        <v/>
      </c>
      <c r="H2519" s="70" t="str">
        <f t="shared" si="95"/>
        <v/>
      </c>
    </row>
    <row r="2520" spans="1:8">
      <c r="A2520" s="2"/>
      <c r="B2520" s="12"/>
      <c r="C2520" s="12"/>
      <c r="E2520" t="str">
        <f>IF(LEN(D2520)=0,"",[1]!i_pq_tradedays($B$3,A2521,A2520)-1)</f>
        <v/>
      </c>
      <c r="G2520" s="16" t="str">
        <f t="shared" si="94"/>
        <v/>
      </c>
      <c r="H2520" s="70" t="str">
        <f t="shared" si="95"/>
        <v/>
      </c>
    </row>
    <row r="2521" spans="1:8">
      <c r="A2521" s="2"/>
      <c r="B2521" s="12"/>
      <c r="C2521" s="12"/>
      <c r="E2521" t="str">
        <f>IF(LEN(D2521)=0,"",[1]!i_pq_tradedays($B$3,A2522,A2521)-1)</f>
        <v/>
      </c>
      <c r="G2521" s="16" t="str">
        <f t="shared" si="94"/>
        <v/>
      </c>
      <c r="H2521" s="70" t="str">
        <f t="shared" si="95"/>
        <v/>
      </c>
    </row>
    <row r="2522" spans="1:8">
      <c r="A2522" s="2"/>
      <c r="B2522" s="12"/>
      <c r="C2522" s="12"/>
      <c r="E2522" t="str">
        <f>IF(LEN(D2522)=0,"",[1]!i_pq_tradedays($B$3,A2523,A2522)-1)</f>
        <v/>
      </c>
      <c r="G2522" s="16" t="str">
        <f t="shared" si="94"/>
        <v/>
      </c>
      <c r="H2522" s="70" t="str">
        <f t="shared" si="95"/>
        <v/>
      </c>
    </row>
    <row r="2523" spans="1:8">
      <c r="A2523" s="2"/>
      <c r="B2523" s="12"/>
      <c r="C2523" s="12"/>
      <c r="E2523" t="str">
        <f>IF(LEN(D2523)=0,"",[1]!i_pq_tradedays($B$3,A2524,A2523)-1)</f>
        <v/>
      </c>
      <c r="G2523" s="16" t="str">
        <f t="shared" si="94"/>
        <v/>
      </c>
      <c r="H2523" s="70" t="str">
        <f t="shared" si="95"/>
        <v/>
      </c>
    </row>
    <row r="2524" spans="1:8">
      <c r="A2524" s="2"/>
      <c r="B2524" s="12"/>
      <c r="C2524" s="12"/>
      <c r="E2524" t="str">
        <f>IF(LEN(D2524)=0,"",[1]!i_pq_tradedays($B$3,A2525,A2524)-1)</f>
        <v/>
      </c>
      <c r="G2524" s="16" t="str">
        <f t="shared" si="94"/>
        <v/>
      </c>
      <c r="H2524" s="70" t="str">
        <f t="shared" si="95"/>
        <v/>
      </c>
    </row>
    <row r="2525" spans="1:8">
      <c r="A2525" s="2"/>
      <c r="B2525" s="12"/>
      <c r="C2525" s="12"/>
      <c r="E2525" t="str">
        <f>IF(LEN(D2525)=0,"",[1]!i_pq_tradedays($B$3,A2526,A2525)-1)</f>
        <v/>
      </c>
      <c r="G2525" s="16" t="str">
        <f t="shared" si="94"/>
        <v/>
      </c>
      <c r="H2525" s="70" t="str">
        <f t="shared" si="95"/>
        <v/>
      </c>
    </row>
    <row r="2526" spans="1:8">
      <c r="A2526" s="2"/>
      <c r="B2526" s="12"/>
      <c r="C2526" s="12"/>
      <c r="E2526" t="str">
        <f>IF(LEN(D2526)=0,"",[1]!i_pq_tradedays($B$3,A2527,A2526)-1)</f>
        <v/>
      </c>
      <c r="G2526" s="16" t="str">
        <f t="shared" si="94"/>
        <v/>
      </c>
      <c r="H2526" s="70" t="str">
        <f t="shared" si="95"/>
        <v/>
      </c>
    </row>
    <row r="2527" spans="1:8">
      <c r="A2527" s="2"/>
      <c r="B2527" s="12"/>
      <c r="C2527" s="12"/>
      <c r="E2527" t="str">
        <f>IF(LEN(D2527)=0,"",[1]!i_pq_tradedays($B$3,A2528,A2527)-1)</f>
        <v/>
      </c>
      <c r="G2527" s="16" t="str">
        <f t="shared" si="94"/>
        <v/>
      </c>
      <c r="H2527" s="70" t="str">
        <f t="shared" si="95"/>
        <v/>
      </c>
    </row>
    <row r="2528" spans="1:8">
      <c r="A2528" s="2"/>
      <c r="B2528" s="12"/>
      <c r="C2528" s="12"/>
      <c r="E2528" t="str">
        <f>IF(LEN(D2528)=0,"",[1]!i_pq_tradedays($B$3,A2529,A2528)-1)</f>
        <v/>
      </c>
      <c r="G2528" s="16" t="str">
        <f t="shared" si="94"/>
        <v/>
      </c>
      <c r="H2528" s="70" t="str">
        <f t="shared" si="95"/>
        <v/>
      </c>
    </row>
    <row r="2529" spans="1:8">
      <c r="A2529" s="2"/>
      <c r="B2529" s="12"/>
      <c r="C2529" s="12"/>
      <c r="E2529" t="str">
        <f>IF(LEN(D2529)=0,"",[1]!i_pq_tradedays($B$3,A2530,A2529)-1)</f>
        <v/>
      </c>
      <c r="G2529" s="16" t="str">
        <f t="shared" si="94"/>
        <v/>
      </c>
      <c r="H2529" s="70" t="str">
        <f t="shared" si="95"/>
        <v/>
      </c>
    </row>
    <row r="2530" spans="1:8">
      <c r="A2530" s="2"/>
      <c r="B2530" s="12"/>
      <c r="C2530" s="12"/>
      <c r="E2530" t="str">
        <f>IF(LEN(D2530)=0,"",[1]!i_pq_tradedays($B$3,A2531,A2530)-1)</f>
        <v/>
      </c>
      <c r="G2530" s="16" t="str">
        <f t="shared" si="94"/>
        <v/>
      </c>
      <c r="H2530" s="70" t="str">
        <f t="shared" si="95"/>
        <v/>
      </c>
    </row>
    <row r="2531" spans="1:8">
      <c r="A2531" s="2"/>
      <c r="B2531" s="12"/>
      <c r="C2531" s="12"/>
      <c r="E2531" t="str">
        <f>IF(LEN(D2531)=0,"",[1]!i_pq_tradedays($B$3,A2532,A2531)-1)</f>
        <v/>
      </c>
      <c r="G2531" s="16" t="str">
        <f t="shared" si="94"/>
        <v/>
      </c>
      <c r="H2531" s="70" t="str">
        <f t="shared" si="95"/>
        <v/>
      </c>
    </row>
    <row r="2532" spans="1:8">
      <c r="A2532" s="2"/>
      <c r="B2532" s="12"/>
      <c r="C2532" s="12"/>
      <c r="E2532" t="str">
        <f>IF(LEN(D2532)=0,"",[1]!i_pq_tradedays($B$3,A2533,A2532)-1)</f>
        <v/>
      </c>
      <c r="G2532" s="16" t="str">
        <f t="shared" si="94"/>
        <v/>
      </c>
      <c r="H2532" s="70" t="str">
        <f t="shared" si="95"/>
        <v/>
      </c>
    </row>
    <row r="2533" spans="1:8">
      <c r="A2533" s="2"/>
      <c r="B2533" s="12"/>
      <c r="C2533" s="12"/>
      <c r="E2533" t="str">
        <f>IF(LEN(D2533)=0,"",[1]!i_pq_tradedays($B$3,A2534,A2533)-1)</f>
        <v/>
      </c>
      <c r="G2533" s="16" t="str">
        <f t="shared" si="94"/>
        <v/>
      </c>
      <c r="H2533" s="70" t="str">
        <f t="shared" si="95"/>
        <v/>
      </c>
    </row>
    <row r="2534" spans="1:8">
      <c r="A2534" s="2"/>
      <c r="B2534" s="12"/>
      <c r="C2534" s="12"/>
      <c r="E2534" t="str">
        <f>IF(LEN(D2534)=0,"",[1]!i_pq_tradedays($B$3,A2535,A2534)-1)</f>
        <v/>
      </c>
      <c r="G2534" s="16" t="str">
        <f t="shared" si="94"/>
        <v/>
      </c>
      <c r="H2534" s="70" t="str">
        <f t="shared" si="95"/>
        <v/>
      </c>
    </row>
    <row r="2535" spans="1:8">
      <c r="A2535" s="2"/>
      <c r="B2535" s="12"/>
      <c r="C2535" s="12"/>
      <c r="E2535" t="str">
        <f>IF(LEN(D2535)=0,"",[1]!i_pq_tradedays($B$3,A2536,A2535)-1)</f>
        <v/>
      </c>
      <c r="G2535" s="16" t="str">
        <f t="shared" si="94"/>
        <v/>
      </c>
      <c r="H2535" s="70" t="str">
        <f t="shared" si="95"/>
        <v/>
      </c>
    </row>
    <row r="2536" spans="1:8">
      <c r="A2536" s="2"/>
      <c r="B2536" s="12"/>
      <c r="C2536" s="12"/>
      <c r="E2536" t="str">
        <f>IF(LEN(D2536)=0,"",[1]!i_pq_tradedays($B$3,A2537,A2536)-1)</f>
        <v/>
      </c>
      <c r="G2536" s="16" t="str">
        <f t="shared" si="94"/>
        <v/>
      </c>
      <c r="H2536" s="70" t="str">
        <f t="shared" si="95"/>
        <v/>
      </c>
    </row>
    <row r="2537" spans="1:8">
      <c r="A2537" s="2"/>
      <c r="B2537" s="12"/>
      <c r="C2537" s="12"/>
      <c r="E2537" t="str">
        <f>IF(LEN(D2537)=0,"",[1]!i_pq_tradedays($B$3,A2538,A2537)-1)</f>
        <v/>
      </c>
      <c r="G2537" s="16" t="str">
        <f t="shared" si="94"/>
        <v/>
      </c>
      <c r="H2537" s="70" t="str">
        <f t="shared" si="95"/>
        <v/>
      </c>
    </row>
    <row r="2538" spans="1:8">
      <c r="A2538" s="2"/>
      <c r="B2538" s="12"/>
      <c r="C2538" s="12"/>
      <c r="E2538" t="str">
        <f>IF(LEN(D2538)=0,"",[1]!i_pq_tradedays($B$3,A2539,A2538)-1)</f>
        <v/>
      </c>
      <c r="G2538" s="16" t="str">
        <f t="shared" si="94"/>
        <v/>
      </c>
      <c r="H2538" s="70" t="str">
        <f t="shared" si="95"/>
        <v/>
      </c>
    </row>
    <row r="2539" spans="1:8">
      <c r="A2539" s="2"/>
      <c r="B2539" s="12"/>
      <c r="C2539" s="12"/>
      <c r="E2539" t="str">
        <f>IF(LEN(D2539)=0,"",[1]!i_pq_tradedays($B$3,A2540,A2539)-1)</f>
        <v/>
      </c>
      <c r="G2539" s="16" t="str">
        <f t="shared" si="94"/>
        <v/>
      </c>
      <c r="H2539" s="70" t="str">
        <f t="shared" si="95"/>
        <v/>
      </c>
    </row>
    <row r="2540" spans="1:8">
      <c r="A2540" s="2"/>
      <c r="B2540" s="12"/>
      <c r="C2540" s="12"/>
      <c r="E2540" t="str">
        <f>IF(LEN(D2540)=0,"",[1]!i_pq_tradedays($B$3,A2541,A2540)-1)</f>
        <v/>
      </c>
      <c r="G2540" s="16" t="str">
        <f t="shared" si="94"/>
        <v/>
      </c>
      <c r="H2540" s="70" t="str">
        <f t="shared" si="95"/>
        <v/>
      </c>
    </row>
    <row r="2541" spans="1:8">
      <c r="A2541" s="2"/>
      <c r="B2541" s="12"/>
      <c r="C2541" s="12"/>
      <c r="E2541" t="str">
        <f>IF(LEN(D2541)=0,"",[1]!i_pq_tradedays($B$3,A2542,A2541)-1)</f>
        <v/>
      </c>
      <c r="G2541" s="16" t="str">
        <f t="shared" si="94"/>
        <v/>
      </c>
      <c r="H2541" s="70" t="str">
        <f t="shared" si="95"/>
        <v/>
      </c>
    </row>
    <row r="2542" spans="1:8">
      <c r="A2542" s="2"/>
      <c r="B2542" s="12"/>
      <c r="C2542" s="12"/>
      <c r="E2542" t="str">
        <f>IF(LEN(D2542)=0,"",[1]!i_pq_tradedays($B$3,A2543,A2542)-1)</f>
        <v/>
      </c>
      <c r="G2542" s="16" t="str">
        <f t="shared" si="94"/>
        <v/>
      </c>
      <c r="H2542" s="70" t="str">
        <f t="shared" si="95"/>
        <v/>
      </c>
    </row>
    <row r="2543" spans="1:8">
      <c r="A2543" s="2"/>
      <c r="B2543" s="12"/>
      <c r="C2543" s="12"/>
      <c r="E2543" t="str">
        <f>IF(LEN(D2543)=0,"",[1]!i_pq_tradedays($B$3,A2544,A2543)-1)</f>
        <v/>
      </c>
      <c r="G2543" s="16" t="str">
        <f t="shared" si="94"/>
        <v/>
      </c>
      <c r="H2543" s="70" t="str">
        <f t="shared" si="95"/>
        <v/>
      </c>
    </row>
    <row r="2544" spans="1:8">
      <c r="A2544" s="2"/>
      <c r="B2544" s="12"/>
      <c r="C2544" s="12"/>
      <c r="E2544" t="str">
        <f>IF(LEN(D2544)=0,"",[1]!i_pq_tradedays($B$3,A2545,A2544)-1)</f>
        <v/>
      </c>
      <c r="G2544" s="16" t="str">
        <f t="shared" si="94"/>
        <v/>
      </c>
      <c r="H2544" s="70" t="str">
        <f t="shared" si="95"/>
        <v/>
      </c>
    </row>
    <row r="2545" spans="1:8">
      <c r="A2545" s="2"/>
      <c r="B2545" s="12"/>
      <c r="C2545" s="12"/>
      <c r="E2545" t="str">
        <f>IF(LEN(D2545)=0,"",[1]!i_pq_tradedays($B$3,A2546,A2545)-1)</f>
        <v/>
      </c>
      <c r="G2545" s="16" t="str">
        <f t="shared" si="94"/>
        <v/>
      </c>
      <c r="H2545" s="70" t="str">
        <f t="shared" si="95"/>
        <v/>
      </c>
    </row>
    <row r="2546" spans="1:8">
      <c r="A2546" s="2"/>
      <c r="B2546" s="12"/>
      <c r="C2546" s="12"/>
      <c r="E2546" t="str">
        <f>IF(LEN(D2546)=0,"",[1]!i_pq_tradedays($B$3,A2547,A2546)-1)</f>
        <v/>
      </c>
      <c r="G2546" s="16" t="str">
        <f t="shared" si="94"/>
        <v/>
      </c>
      <c r="H2546" s="70" t="str">
        <f t="shared" si="95"/>
        <v/>
      </c>
    </row>
    <row r="2547" spans="1:8">
      <c r="A2547" s="2"/>
      <c r="B2547" s="12"/>
      <c r="C2547" s="12"/>
      <c r="E2547" t="str">
        <f>IF(LEN(D2547)=0,"",[1]!i_pq_tradedays($B$3,A2548,A2547)-1)</f>
        <v/>
      </c>
      <c r="G2547" s="16" t="str">
        <f t="shared" si="94"/>
        <v/>
      </c>
      <c r="H2547" s="70" t="str">
        <f t="shared" si="95"/>
        <v/>
      </c>
    </row>
    <row r="2548" spans="1:8">
      <c r="A2548" s="2"/>
      <c r="B2548" s="12"/>
      <c r="C2548" s="12"/>
      <c r="E2548" t="str">
        <f>IF(LEN(D2548)=0,"",[1]!i_pq_tradedays($B$3,A2549,A2548)-1)</f>
        <v/>
      </c>
      <c r="G2548" s="16" t="str">
        <f t="shared" si="94"/>
        <v/>
      </c>
      <c r="H2548" s="70" t="str">
        <f t="shared" si="95"/>
        <v/>
      </c>
    </row>
    <row r="2549" spans="1:8">
      <c r="A2549" s="2"/>
      <c r="B2549" s="12"/>
      <c r="C2549" s="12"/>
      <c r="E2549" t="str">
        <f>IF(LEN(D2549)=0,"",[1]!i_pq_tradedays($B$3,A2550,A2549)-1)</f>
        <v/>
      </c>
      <c r="G2549" s="16" t="str">
        <f t="shared" ref="G2549:G2612" si="96">IF(LEN(D2549)=0,"",D2549/E2549)</f>
        <v/>
      </c>
      <c r="H2549" s="70" t="str">
        <f t="shared" ref="H2549:H2612" si="97">IF(LEN(D2549)=0,"",G2549/G2550-1)</f>
        <v/>
      </c>
    </row>
    <row r="2550" spans="1:8">
      <c r="A2550" s="2"/>
      <c r="B2550" s="12"/>
      <c r="C2550" s="12"/>
      <c r="E2550" t="str">
        <f>IF(LEN(D2550)=0,"",[1]!i_pq_tradedays($B$3,A2551,A2550)-1)</f>
        <v/>
      </c>
      <c r="G2550" s="16" t="str">
        <f t="shared" si="96"/>
        <v/>
      </c>
      <c r="H2550" s="70" t="str">
        <f t="shared" si="97"/>
        <v/>
      </c>
    </row>
    <row r="2551" spans="1:8">
      <c r="A2551" s="2"/>
      <c r="B2551" s="12"/>
      <c r="C2551" s="12"/>
      <c r="E2551" t="str">
        <f>IF(LEN(D2551)=0,"",[1]!i_pq_tradedays($B$3,A2552,A2551)-1)</f>
        <v/>
      </c>
      <c r="G2551" s="16" t="str">
        <f t="shared" si="96"/>
        <v/>
      </c>
      <c r="H2551" s="70" t="str">
        <f t="shared" si="97"/>
        <v/>
      </c>
    </row>
    <row r="2552" spans="1:8">
      <c r="A2552" s="2"/>
      <c r="B2552" s="12"/>
      <c r="C2552" s="12"/>
      <c r="E2552" t="str">
        <f>IF(LEN(D2552)=0,"",[1]!i_pq_tradedays($B$3,A2553,A2552)-1)</f>
        <v/>
      </c>
      <c r="G2552" s="16" t="str">
        <f t="shared" si="96"/>
        <v/>
      </c>
      <c r="H2552" s="70" t="str">
        <f t="shared" si="97"/>
        <v/>
      </c>
    </row>
    <row r="2553" spans="1:8">
      <c r="A2553" s="2"/>
      <c r="B2553" s="12"/>
      <c r="C2553" s="12"/>
      <c r="E2553" t="str">
        <f>IF(LEN(D2553)=0,"",[1]!i_pq_tradedays($B$3,A2554,A2553)-1)</f>
        <v/>
      </c>
      <c r="G2553" s="16" t="str">
        <f t="shared" si="96"/>
        <v/>
      </c>
      <c r="H2553" s="70" t="str">
        <f t="shared" si="97"/>
        <v/>
      </c>
    </row>
    <row r="2554" spans="1:8">
      <c r="A2554" s="2"/>
      <c r="B2554" s="12"/>
      <c r="C2554" s="12"/>
      <c r="E2554" t="str">
        <f>IF(LEN(D2554)=0,"",[1]!i_pq_tradedays($B$3,A2555,A2554)-1)</f>
        <v/>
      </c>
      <c r="G2554" s="16" t="str">
        <f t="shared" si="96"/>
        <v/>
      </c>
      <c r="H2554" s="70" t="str">
        <f t="shared" si="97"/>
        <v/>
      </c>
    </row>
    <row r="2555" spans="1:8">
      <c r="A2555" s="2"/>
      <c r="B2555" s="12"/>
      <c r="C2555" s="12"/>
      <c r="E2555" t="str">
        <f>IF(LEN(D2555)=0,"",[1]!i_pq_tradedays($B$3,A2556,A2555)-1)</f>
        <v/>
      </c>
      <c r="G2555" s="16" t="str">
        <f t="shared" si="96"/>
        <v/>
      </c>
      <c r="H2555" s="70" t="str">
        <f t="shared" si="97"/>
        <v/>
      </c>
    </row>
    <row r="2556" spans="1:8">
      <c r="A2556" s="2"/>
      <c r="B2556" s="12"/>
      <c r="C2556" s="12"/>
      <c r="E2556" t="str">
        <f>IF(LEN(D2556)=0,"",[1]!i_pq_tradedays($B$3,A2557,A2556)-1)</f>
        <v/>
      </c>
      <c r="G2556" s="16" t="str">
        <f t="shared" si="96"/>
        <v/>
      </c>
      <c r="H2556" s="70" t="str">
        <f t="shared" si="97"/>
        <v/>
      </c>
    </row>
    <row r="2557" spans="1:8">
      <c r="A2557" s="2"/>
      <c r="B2557" s="12"/>
      <c r="C2557" s="12"/>
      <c r="E2557" t="str">
        <f>IF(LEN(D2557)=0,"",[1]!i_pq_tradedays($B$3,A2558,A2557)-1)</f>
        <v/>
      </c>
      <c r="G2557" s="16" t="str">
        <f t="shared" si="96"/>
        <v/>
      </c>
      <c r="H2557" s="70" t="str">
        <f t="shared" si="97"/>
        <v/>
      </c>
    </row>
    <row r="2558" spans="1:8">
      <c r="A2558" s="2"/>
      <c r="B2558" s="12"/>
      <c r="C2558" s="12"/>
      <c r="E2558" t="str">
        <f>IF(LEN(D2558)=0,"",[1]!i_pq_tradedays($B$3,A2559,A2558)-1)</f>
        <v/>
      </c>
      <c r="G2558" s="16" t="str">
        <f t="shared" si="96"/>
        <v/>
      </c>
      <c r="H2558" s="70" t="str">
        <f t="shared" si="97"/>
        <v/>
      </c>
    </row>
    <row r="2559" spans="1:8">
      <c r="A2559" s="2"/>
      <c r="B2559" s="12"/>
      <c r="C2559" s="12"/>
      <c r="E2559" t="str">
        <f>IF(LEN(D2559)=0,"",[1]!i_pq_tradedays($B$3,A2560,A2559)-1)</f>
        <v/>
      </c>
      <c r="G2559" s="16" t="str">
        <f t="shared" si="96"/>
        <v/>
      </c>
      <c r="H2559" s="70" t="str">
        <f t="shared" si="97"/>
        <v/>
      </c>
    </row>
    <row r="2560" spans="1:8">
      <c r="A2560" s="2"/>
      <c r="B2560" s="12"/>
      <c r="C2560" s="12"/>
      <c r="E2560" t="str">
        <f>IF(LEN(D2560)=0,"",[1]!i_pq_tradedays($B$3,A2561,A2560)-1)</f>
        <v/>
      </c>
      <c r="G2560" s="16" t="str">
        <f t="shared" si="96"/>
        <v/>
      </c>
      <c r="H2560" s="70" t="str">
        <f t="shared" si="97"/>
        <v/>
      </c>
    </row>
    <row r="2561" spans="1:8">
      <c r="A2561" s="2"/>
      <c r="B2561" s="12"/>
      <c r="C2561" s="12"/>
      <c r="E2561" t="str">
        <f>IF(LEN(D2561)=0,"",[1]!i_pq_tradedays($B$3,A2562,A2561)-1)</f>
        <v/>
      </c>
      <c r="G2561" s="16" t="str">
        <f t="shared" si="96"/>
        <v/>
      </c>
      <c r="H2561" s="70" t="str">
        <f t="shared" si="97"/>
        <v/>
      </c>
    </row>
    <row r="2562" spans="1:8">
      <c r="A2562" s="2"/>
      <c r="B2562" s="12"/>
      <c r="C2562" s="12"/>
      <c r="E2562" t="str">
        <f>IF(LEN(D2562)=0,"",[1]!i_pq_tradedays($B$3,A2563,A2562)-1)</f>
        <v/>
      </c>
      <c r="G2562" s="16" t="str">
        <f t="shared" si="96"/>
        <v/>
      </c>
      <c r="H2562" s="70" t="str">
        <f t="shared" si="97"/>
        <v/>
      </c>
    </row>
    <row r="2563" spans="1:8">
      <c r="A2563" s="2"/>
      <c r="B2563" s="12"/>
      <c r="C2563" s="12"/>
      <c r="E2563" t="str">
        <f>IF(LEN(D2563)=0,"",[1]!i_pq_tradedays($B$3,A2564,A2563)-1)</f>
        <v/>
      </c>
      <c r="G2563" s="16" t="str">
        <f t="shared" si="96"/>
        <v/>
      </c>
      <c r="H2563" s="70" t="str">
        <f t="shared" si="97"/>
        <v/>
      </c>
    </row>
    <row r="2564" spans="1:8">
      <c r="A2564" s="2"/>
      <c r="B2564" s="12"/>
      <c r="C2564" s="12"/>
      <c r="E2564" t="str">
        <f>IF(LEN(D2564)=0,"",[1]!i_pq_tradedays($B$3,A2565,A2564)-1)</f>
        <v/>
      </c>
      <c r="G2564" s="16" t="str">
        <f t="shared" si="96"/>
        <v/>
      </c>
      <c r="H2564" s="70" t="str">
        <f t="shared" si="97"/>
        <v/>
      </c>
    </row>
    <row r="2565" spans="1:8">
      <c r="A2565" s="2"/>
      <c r="B2565" s="12"/>
      <c r="C2565" s="12"/>
      <c r="E2565" t="str">
        <f>IF(LEN(D2565)=0,"",[1]!i_pq_tradedays($B$3,A2566,A2565)-1)</f>
        <v/>
      </c>
      <c r="G2565" s="16" t="str">
        <f t="shared" si="96"/>
        <v/>
      </c>
      <c r="H2565" s="70" t="str">
        <f t="shared" si="97"/>
        <v/>
      </c>
    </row>
    <row r="2566" spans="1:8">
      <c r="A2566" s="2"/>
      <c r="B2566" s="12"/>
      <c r="C2566" s="12"/>
      <c r="E2566" t="str">
        <f>IF(LEN(D2566)=0,"",[1]!i_pq_tradedays($B$3,A2567,A2566)-1)</f>
        <v/>
      </c>
      <c r="G2566" s="16" t="str">
        <f t="shared" si="96"/>
        <v/>
      </c>
      <c r="H2566" s="70" t="str">
        <f t="shared" si="97"/>
        <v/>
      </c>
    </row>
    <row r="2567" spans="1:8">
      <c r="A2567" s="2"/>
      <c r="B2567" s="12"/>
      <c r="C2567" s="12"/>
      <c r="E2567" t="str">
        <f>IF(LEN(D2567)=0,"",[1]!i_pq_tradedays($B$3,A2568,A2567)-1)</f>
        <v/>
      </c>
      <c r="G2567" s="16" t="str">
        <f t="shared" si="96"/>
        <v/>
      </c>
      <c r="H2567" s="70" t="str">
        <f t="shared" si="97"/>
        <v/>
      </c>
    </row>
    <row r="2568" spans="1:8">
      <c r="A2568" s="2"/>
      <c r="B2568" s="12"/>
      <c r="C2568" s="12"/>
      <c r="E2568" t="str">
        <f>IF(LEN(D2568)=0,"",[1]!i_pq_tradedays($B$3,A2569,A2568)-1)</f>
        <v/>
      </c>
      <c r="G2568" s="16" t="str">
        <f t="shared" si="96"/>
        <v/>
      </c>
      <c r="H2568" s="70" t="str">
        <f t="shared" si="97"/>
        <v/>
      </c>
    </row>
    <row r="2569" spans="1:8">
      <c r="A2569" s="2"/>
      <c r="B2569" s="12"/>
      <c r="C2569" s="12"/>
      <c r="E2569" t="str">
        <f>IF(LEN(D2569)=0,"",[1]!i_pq_tradedays($B$3,A2570,A2569)-1)</f>
        <v/>
      </c>
      <c r="G2569" s="16" t="str">
        <f t="shared" si="96"/>
        <v/>
      </c>
      <c r="H2569" s="70" t="str">
        <f t="shared" si="97"/>
        <v/>
      </c>
    </row>
    <row r="2570" spans="1:8">
      <c r="A2570" s="2"/>
      <c r="B2570" s="12"/>
      <c r="C2570" s="12"/>
      <c r="E2570" t="str">
        <f>IF(LEN(D2570)=0,"",[1]!i_pq_tradedays($B$3,A2571,A2570)-1)</f>
        <v/>
      </c>
      <c r="G2570" s="16" t="str">
        <f t="shared" si="96"/>
        <v/>
      </c>
      <c r="H2570" s="70" t="str">
        <f t="shared" si="97"/>
        <v/>
      </c>
    </row>
    <row r="2571" spans="1:8">
      <c r="A2571" s="2"/>
      <c r="B2571" s="12"/>
      <c r="C2571" s="12"/>
      <c r="E2571" t="str">
        <f>IF(LEN(D2571)=0,"",[1]!i_pq_tradedays($B$3,A2572,A2571)-1)</f>
        <v/>
      </c>
      <c r="G2571" s="16" t="str">
        <f t="shared" si="96"/>
        <v/>
      </c>
      <c r="H2571" s="70" t="str">
        <f t="shared" si="97"/>
        <v/>
      </c>
    </row>
    <row r="2572" spans="1:8">
      <c r="A2572" s="2"/>
      <c r="B2572" s="12"/>
      <c r="C2572" s="12"/>
      <c r="E2572" t="str">
        <f>IF(LEN(D2572)=0,"",[1]!i_pq_tradedays($B$3,A2573,A2572)-1)</f>
        <v/>
      </c>
      <c r="G2572" s="16" t="str">
        <f t="shared" si="96"/>
        <v/>
      </c>
      <c r="H2572" s="70" t="str">
        <f t="shared" si="97"/>
        <v/>
      </c>
    </row>
    <row r="2573" spans="1:8">
      <c r="A2573" s="2"/>
      <c r="B2573" s="12"/>
      <c r="C2573" s="12"/>
      <c r="E2573" t="str">
        <f>IF(LEN(D2573)=0,"",[1]!i_pq_tradedays($B$3,A2574,A2573)-1)</f>
        <v/>
      </c>
      <c r="G2573" s="16" t="str">
        <f t="shared" si="96"/>
        <v/>
      </c>
      <c r="H2573" s="70" t="str">
        <f t="shared" si="97"/>
        <v/>
      </c>
    </row>
    <row r="2574" spans="1:8">
      <c r="A2574" s="2"/>
      <c r="B2574" s="12"/>
      <c r="C2574" s="12"/>
      <c r="E2574" t="str">
        <f>IF(LEN(D2574)=0,"",[1]!i_pq_tradedays($B$3,A2575,A2574)-1)</f>
        <v/>
      </c>
      <c r="G2574" s="16" t="str">
        <f t="shared" si="96"/>
        <v/>
      </c>
      <c r="H2574" s="70" t="str">
        <f t="shared" si="97"/>
        <v/>
      </c>
    </row>
    <row r="2575" spans="1:8">
      <c r="A2575" s="2"/>
      <c r="B2575" s="12"/>
      <c r="C2575" s="12"/>
      <c r="E2575" t="str">
        <f>IF(LEN(D2575)=0,"",[1]!i_pq_tradedays($B$3,A2576,A2575)-1)</f>
        <v/>
      </c>
      <c r="G2575" s="16" t="str">
        <f t="shared" si="96"/>
        <v/>
      </c>
      <c r="H2575" s="70" t="str">
        <f t="shared" si="97"/>
        <v/>
      </c>
    </row>
    <row r="2576" spans="1:8">
      <c r="A2576" s="2"/>
      <c r="B2576" s="12"/>
      <c r="C2576" s="12"/>
      <c r="E2576" t="str">
        <f>IF(LEN(D2576)=0,"",[1]!i_pq_tradedays($B$3,A2577,A2576)-1)</f>
        <v/>
      </c>
      <c r="G2576" s="16" t="str">
        <f t="shared" si="96"/>
        <v/>
      </c>
      <c r="H2576" s="70" t="str">
        <f t="shared" si="97"/>
        <v/>
      </c>
    </row>
    <row r="2577" spans="1:8">
      <c r="A2577" s="2"/>
      <c r="B2577" s="12"/>
      <c r="C2577" s="12"/>
      <c r="E2577" t="str">
        <f>IF(LEN(D2577)=0,"",[1]!i_pq_tradedays($B$3,A2578,A2577)-1)</f>
        <v/>
      </c>
      <c r="G2577" s="16" t="str">
        <f t="shared" si="96"/>
        <v/>
      </c>
      <c r="H2577" s="70" t="str">
        <f t="shared" si="97"/>
        <v/>
      </c>
    </row>
    <row r="2578" spans="1:8">
      <c r="A2578" s="2"/>
      <c r="B2578" s="12"/>
      <c r="C2578" s="12"/>
      <c r="E2578" t="str">
        <f>IF(LEN(D2578)=0,"",[1]!i_pq_tradedays($B$3,A2579,A2578)-1)</f>
        <v/>
      </c>
      <c r="G2578" s="16" t="str">
        <f t="shared" si="96"/>
        <v/>
      </c>
      <c r="H2578" s="70" t="str">
        <f t="shared" si="97"/>
        <v/>
      </c>
    </row>
    <row r="2579" spans="1:8">
      <c r="A2579" s="2"/>
      <c r="B2579" s="12"/>
      <c r="C2579" s="12"/>
      <c r="E2579" t="str">
        <f>IF(LEN(D2579)=0,"",[1]!i_pq_tradedays($B$3,A2580,A2579)-1)</f>
        <v/>
      </c>
      <c r="G2579" s="16" t="str">
        <f t="shared" si="96"/>
        <v/>
      </c>
      <c r="H2579" s="70" t="str">
        <f t="shared" si="97"/>
        <v/>
      </c>
    </row>
    <row r="2580" spans="1:8">
      <c r="A2580" s="2"/>
      <c r="B2580" s="12"/>
      <c r="C2580" s="12"/>
      <c r="E2580" t="str">
        <f>IF(LEN(D2580)=0,"",[1]!i_pq_tradedays($B$3,A2581,A2580)-1)</f>
        <v/>
      </c>
      <c r="G2580" s="16" t="str">
        <f t="shared" si="96"/>
        <v/>
      </c>
      <c r="H2580" s="70" t="str">
        <f t="shared" si="97"/>
        <v/>
      </c>
    </row>
    <row r="2581" spans="1:8">
      <c r="A2581" s="2"/>
      <c r="B2581" s="12"/>
      <c r="C2581" s="12"/>
      <c r="E2581" t="str">
        <f>IF(LEN(D2581)=0,"",[1]!i_pq_tradedays($B$3,A2582,A2581)-1)</f>
        <v/>
      </c>
      <c r="G2581" s="16" t="str">
        <f t="shared" si="96"/>
        <v/>
      </c>
      <c r="H2581" s="70" t="str">
        <f t="shared" si="97"/>
        <v/>
      </c>
    </row>
    <row r="2582" spans="1:8">
      <c r="A2582" s="2"/>
      <c r="B2582" s="12"/>
      <c r="C2582" s="12"/>
      <c r="E2582" t="str">
        <f>IF(LEN(D2582)=0,"",[1]!i_pq_tradedays($B$3,A2583,A2582)-1)</f>
        <v/>
      </c>
      <c r="G2582" s="16" t="str">
        <f t="shared" si="96"/>
        <v/>
      </c>
      <c r="H2582" s="70" t="str">
        <f t="shared" si="97"/>
        <v/>
      </c>
    </row>
    <row r="2583" spans="1:8">
      <c r="A2583" s="2"/>
      <c r="B2583" s="12"/>
      <c r="C2583" s="12"/>
      <c r="E2583" t="str">
        <f>IF(LEN(D2583)=0,"",[1]!i_pq_tradedays($B$3,A2584,A2583)-1)</f>
        <v/>
      </c>
      <c r="G2583" s="16" t="str">
        <f t="shared" si="96"/>
        <v/>
      </c>
      <c r="H2583" s="70" t="str">
        <f t="shared" si="97"/>
        <v/>
      </c>
    </row>
    <row r="2584" spans="1:8">
      <c r="A2584" s="2"/>
      <c r="B2584" s="12"/>
      <c r="C2584" s="12"/>
      <c r="E2584" t="str">
        <f>IF(LEN(D2584)=0,"",[1]!i_pq_tradedays($B$3,A2585,A2584)-1)</f>
        <v/>
      </c>
      <c r="G2584" s="16" t="str">
        <f t="shared" si="96"/>
        <v/>
      </c>
      <c r="H2584" s="70" t="str">
        <f t="shared" si="97"/>
        <v/>
      </c>
    </row>
    <row r="2585" spans="1:8">
      <c r="A2585" s="2"/>
      <c r="B2585" s="12"/>
      <c r="C2585" s="12"/>
      <c r="E2585" t="str">
        <f>IF(LEN(D2585)=0,"",[1]!i_pq_tradedays($B$3,A2586,A2585)-1)</f>
        <v/>
      </c>
      <c r="G2585" s="16" t="str">
        <f t="shared" si="96"/>
        <v/>
      </c>
      <c r="H2585" s="70" t="str">
        <f t="shared" si="97"/>
        <v/>
      </c>
    </row>
    <row r="2586" spans="1:8">
      <c r="A2586" s="2"/>
      <c r="B2586" s="12"/>
      <c r="C2586" s="12"/>
      <c r="E2586" t="str">
        <f>IF(LEN(D2586)=0,"",[1]!i_pq_tradedays($B$3,A2587,A2586)-1)</f>
        <v/>
      </c>
      <c r="G2586" s="16" t="str">
        <f t="shared" si="96"/>
        <v/>
      </c>
      <c r="H2586" s="70" t="str">
        <f t="shared" si="97"/>
        <v/>
      </c>
    </row>
    <row r="2587" spans="1:8">
      <c r="A2587" s="2"/>
      <c r="B2587" s="12"/>
      <c r="C2587" s="12"/>
      <c r="E2587" t="str">
        <f>IF(LEN(D2587)=0,"",[1]!i_pq_tradedays($B$3,A2588,A2587)-1)</f>
        <v/>
      </c>
      <c r="G2587" s="16" t="str">
        <f t="shared" si="96"/>
        <v/>
      </c>
      <c r="H2587" s="70" t="str">
        <f t="shared" si="97"/>
        <v/>
      </c>
    </row>
    <row r="2588" spans="1:8">
      <c r="A2588" s="2"/>
      <c r="B2588" s="12"/>
      <c r="C2588" s="12"/>
      <c r="E2588" t="str">
        <f>IF(LEN(D2588)=0,"",[1]!i_pq_tradedays($B$3,A2589,A2588)-1)</f>
        <v/>
      </c>
      <c r="G2588" s="16" t="str">
        <f t="shared" si="96"/>
        <v/>
      </c>
      <c r="H2588" s="70" t="str">
        <f t="shared" si="97"/>
        <v/>
      </c>
    </row>
    <row r="2589" spans="1:8">
      <c r="A2589" s="2"/>
      <c r="B2589" s="12"/>
      <c r="C2589" s="12"/>
      <c r="E2589" t="str">
        <f>IF(LEN(D2589)=0,"",[1]!i_pq_tradedays($B$3,A2590,A2589)-1)</f>
        <v/>
      </c>
      <c r="G2589" s="16" t="str">
        <f t="shared" si="96"/>
        <v/>
      </c>
      <c r="H2589" s="70" t="str">
        <f t="shared" si="97"/>
        <v/>
      </c>
    </row>
    <row r="2590" spans="1:8">
      <c r="A2590" s="2"/>
      <c r="B2590" s="12"/>
      <c r="C2590" s="12"/>
      <c r="E2590" t="str">
        <f>IF(LEN(D2590)=0,"",[1]!i_pq_tradedays($B$3,A2591,A2590)-1)</f>
        <v/>
      </c>
      <c r="G2590" s="16" t="str">
        <f t="shared" si="96"/>
        <v/>
      </c>
      <c r="H2590" s="70" t="str">
        <f t="shared" si="97"/>
        <v/>
      </c>
    </row>
    <row r="2591" spans="1:8">
      <c r="A2591" s="2"/>
      <c r="B2591" s="12"/>
      <c r="C2591" s="12"/>
      <c r="E2591" t="str">
        <f>IF(LEN(D2591)=0,"",[1]!i_pq_tradedays($B$3,A2592,A2591)-1)</f>
        <v/>
      </c>
      <c r="G2591" s="16" t="str">
        <f t="shared" si="96"/>
        <v/>
      </c>
      <c r="H2591" s="70" t="str">
        <f t="shared" si="97"/>
        <v/>
      </c>
    </row>
    <row r="2592" spans="1:8">
      <c r="A2592" s="2"/>
      <c r="B2592" s="12"/>
      <c r="C2592" s="12"/>
      <c r="E2592" t="str">
        <f>IF(LEN(D2592)=0,"",[1]!i_pq_tradedays($B$3,A2593,A2592)-1)</f>
        <v/>
      </c>
      <c r="G2592" s="16" t="str">
        <f t="shared" si="96"/>
        <v/>
      </c>
      <c r="H2592" s="70" t="str">
        <f t="shared" si="97"/>
        <v/>
      </c>
    </row>
    <row r="2593" spans="1:8">
      <c r="A2593" s="2"/>
      <c r="B2593" s="12"/>
      <c r="C2593" s="12"/>
      <c r="E2593" t="str">
        <f>IF(LEN(D2593)=0,"",[1]!i_pq_tradedays($B$3,A2594,A2593)-1)</f>
        <v/>
      </c>
      <c r="G2593" s="16" t="str">
        <f t="shared" si="96"/>
        <v/>
      </c>
      <c r="H2593" s="70" t="str">
        <f t="shared" si="97"/>
        <v/>
      </c>
    </row>
    <row r="2594" spans="1:8">
      <c r="A2594" s="2"/>
      <c r="B2594" s="12"/>
      <c r="C2594" s="12"/>
      <c r="E2594" t="str">
        <f>IF(LEN(D2594)=0,"",[1]!i_pq_tradedays($B$3,A2595,A2594)-1)</f>
        <v/>
      </c>
      <c r="G2594" s="16" t="str">
        <f t="shared" si="96"/>
        <v/>
      </c>
      <c r="H2594" s="70" t="str">
        <f t="shared" si="97"/>
        <v/>
      </c>
    </row>
    <row r="2595" spans="1:8">
      <c r="A2595" s="2"/>
      <c r="B2595" s="12"/>
      <c r="C2595" s="12"/>
      <c r="E2595" t="str">
        <f>IF(LEN(D2595)=0,"",[1]!i_pq_tradedays($B$3,A2596,A2595)-1)</f>
        <v/>
      </c>
      <c r="G2595" s="16" t="str">
        <f t="shared" si="96"/>
        <v/>
      </c>
      <c r="H2595" s="70" t="str">
        <f t="shared" si="97"/>
        <v/>
      </c>
    </row>
    <row r="2596" spans="1:8">
      <c r="A2596" s="2"/>
      <c r="B2596" s="12"/>
      <c r="C2596" s="12"/>
      <c r="E2596" t="str">
        <f>IF(LEN(D2596)=0,"",[1]!i_pq_tradedays($B$3,A2597,A2596)-1)</f>
        <v/>
      </c>
      <c r="G2596" s="16" t="str">
        <f t="shared" si="96"/>
        <v/>
      </c>
      <c r="H2596" s="70" t="str">
        <f t="shared" si="97"/>
        <v/>
      </c>
    </row>
    <row r="2597" spans="1:8">
      <c r="A2597" s="2"/>
      <c r="B2597" s="12"/>
      <c r="C2597" s="12"/>
      <c r="E2597" t="str">
        <f>IF(LEN(D2597)=0,"",[1]!i_pq_tradedays($B$3,A2598,A2597)-1)</f>
        <v/>
      </c>
      <c r="G2597" s="16" t="str">
        <f t="shared" si="96"/>
        <v/>
      </c>
      <c r="H2597" s="70" t="str">
        <f t="shared" si="97"/>
        <v/>
      </c>
    </row>
    <row r="2598" spans="1:8">
      <c r="A2598" s="2"/>
      <c r="B2598" s="12"/>
      <c r="C2598" s="12"/>
      <c r="E2598" t="str">
        <f>IF(LEN(D2598)=0,"",[1]!i_pq_tradedays($B$3,A2599,A2598)-1)</f>
        <v/>
      </c>
      <c r="G2598" s="16" t="str">
        <f t="shared" si="96"/>
        <v/>
      </c>
      <c r="H2598" s="70" t="str">
        <f t="shared" si="97"/>
        <v/>
      </c>
    </row>
    <row r="2599" spans="1:8">
      <c r="A2599" s="2"/>
      <c r="B2599" s="12"/>
      <c r="C2599" s="12"/>
      <c r="E2599" t="str">
        <f>IF(LEN(D2599)=0,"",[1]!i_pq_tradedays($B$3,A2600,A2599)-1)</f>
        <v/>
      </c>
      <c r="G2599" s="16" t="str">
        <f t="shared" si="96"/>
        <v/>
      </c>
      <c r="H2599" s="70" t="str">
        <f t="shared" si="97"/>
        <v/>
      </c>
    </row>
    <row r="2600" spans="1:8">
      <c r="A2600" s="2"/>
      <c r="B2600" s="12"/>
      <c r="C2600" s="12"/>
      <c r="E2600" t="str">
        <f>IF(LEN(D2600)=0,"",[1]!i_pq_tradedays($B$3,A2601,A2600)-1)</f>
        <v/>
      </c>
      <c r="G2600" s="16" t="str">
        <f t="shared" si="96"/>
        <v/>
      </c>
      <c r="H2600" s="70" t="str">
        <f t="shared" si="97"/>
        <v/>
      </c>
    </row>
    <row r="2601" spans="1:8">
      <c r="A2601" s="2"/>
      <c r="B2601" s="12"/>
      <c r="C2601" s="12"/>
      <c r="E2601" t="str">
        <f>IF(LEN(D2601)=0,"",[1]!i_pq_tradedays($B$3,A2602,A2601)-1)</f>
        <v/>
      </c>
      <c r="G2601" s="16" t="str">
        <f t="shared" si="96"/>
        <v/>
      </c>
      <c r="H2601" s="70" t="str">
        <f t="shared" si="97"/>
        <v/>
      </c>
    </row>
    <row r="2602" spans="1:8">
      <c r="A2602" s="2"/>
      <c r="B2602" s="12"/>
      <c r="C2602" s="12"/>
      <c r="E2602" t="str">
        <f>IF(LEN(D2602)=0,"",[1]!i_pq_tradedays($B$3,A2603,A2602)-1)</f>
        <v/>
      </c>
      <c r="G2602" s="16" t="str">
        <f t="shared" si="96"/>
        <v/>
      </c>
      <c r="H2602" s="70" t="str">
        <f t="shared" si="97"/>
        <v/>
      </c>
    </row>
    <row r="2603" spans="1:8">
      <c r="A2603" s="2"/>
      <c r="B2603" s="12"/>
      <c r="C2603" s="12"/>
      <c r="E2603" t="str">
        <f>IF(LEN(D2603)=0,"",[1]!i_pq_tradedays($B$3,A2604,A2603)-1)</f>
        <v/>
      </c>
      <c r="G2603" s="16" t="str">
        <f t="shared" si="96"/>
        <v/>
      </c>
      <c r="H2603" s="70" t="str">
        <f t="shared" si="97"/>
        <v/>
      </c>
    </row>
    <row r="2604" spans="1:8">
      <c r="A2604" s="2"/>
      <c r="B2604" s="12"/>
      <c r="C2604" s="12"/>
      <c r="E2604" t="str">
        <f>IF(LEN(D2604)=0,"",[1]!i_pq_tradedays($B$3,A2605,A2604)-1)</f>
        <v/>
      </c>
      <c r="G2604" s="16" t="str">
        <f t="shared" si="96"/>
        <v/>
      </c>
      <c r="H2604" s="70" t="str">
        <f t="shared" si="97"/>
        <v/>
      </c>
    </row>
    <row r="2605" spans="1:8">
      <c r="A2605" s="2"/>
      <c r="B2605" s="12"/>
      <c r="C2605" s="12"/>
      <c r="E2605" t="str">
        <f>IF(LEN(D2605)=0,"",[1]!i_pq_tradedays($B$3,A2606,A2605)-1)</f>
        <v/>
      </c>
      <c r="G2605" s="16" t="str">
        <f t="shared" si="96"/>
        <v/>
      </c>
      <c r="H2605" s="70" t="str">
        <f t="shared" si="97"/>
        <v/>
      </c>
    </row>
    <row r="2606" spans="1:8">
      <c r="A2606" s="2"/>
      <c r="B2606" s="12"/>
      <c r="C2606" s="12"/>
      <c r="E2606" t="str">
        <f>IF(LEN(D2606)=0,"",[1]!i_pq_tradedays($B$3,A2607,A2606)-1)</f>
        <v/>
      </c>
      <c r="G2606" s="16" t="str">
        <f t="shared" si="96"/>
        <v/>
      </c>
      <c r="H2606" s="70" t="str">
        <f t="shared" si="97"/>
        <v/>
      </c>
    </row>
    <row r="2607" spans="1:8">
      <c r="A2607" s="2"/>
      <c r="B2607" s="12"/>
      <c r="C2607" s="12"/>
      <c r="E2607" t="str">
        <f>IF(LEN(D2607)=0,"",[1]!i_pq_tradedays($B$3,A2608,A2607)-1)</f>
        <v/>
      </c>
      <c r="G2607" s="16" t="str">
        <f t="shared" si="96"/>
        <v/>
      </c>
      <c r="H2607" s="70" t="str">
        <f t="shared" si="97"/>
        <v/>
      </c>
    </row>
    <row r="2608" spans="1:8">
      <c r="A2608" s="2"/>
      <c r="B2608" s="12"/>
      <c r="C2608" s="12"/>
      <c r="E2608" t="str">
        <f>IF(LEN(D2608)=0,"",[1]!i_pq_tradedays($B$3,A2609,A2608)-1)</f>
        <v/>
      </c>
      <c r="G2608" s="16" t="str">
        <f t="shared" si="96"/>
        <v/>
      </c>
      <c r="H2608" s="70" t="str">
        <f t="shared" si="97"/>
        <v/>
      </c>
    </row>
    <row r="2609" spans="1:8">
      <c r="A2609" s="2"/>
      <c r="B2609" s="12"/>
      <c r="C2609" s="12"/>
      <c r="E2609" t="str">
        <f>IF(LEN(D2609)=0,"",[1]!i_pq_tradedays($B$3,A2610,A2609)-1)</f>
        <v/>
      </c>
      <c r="G2609" s="16" t="str">
        <f t="shared" si="96"/>
        <v/>
      </c>
      <c r="H2609" s="70" t="str">
        <f t="shared" si="97"/>
        <v/>
      </c>
    </row>
    <row r="2610" spans="1:8">
      <c r="A2610" s="2"/>
      <c r="B2610" s="12"/>
      <c r="C2610" s="12"/>
      <c r="E2610" t="str">
        <f>IF(LEN(D2610)=0,"",[1]!i_pq_tradedays($B$3,A2611,A2610)-1)</f>
        <v/>
      </c>
      <c r="G2610" s="16" t="str">
        <f t="shared" si="96"/>
        <v/>
      </c>
      <c r="H2610" s="70" t="str">
        <f t="shared" si="97"/>
        <v/>
      </c>
    </row>
    <row r="2611" spans="1:8">
      <c r="A2611" s="2"/>
      <c r="B2611" s="12"/>
      <c r="C2611" s="12"/>
      <c r="E2611" t="str">
        <f>IF(LEN(D2611)=0,"",[1]!i_pq_tradedays($B$3,A2612,A2611)-1)</f>
        <v/>
      </c>
      <c r="G2611" s="16" t="str">
        <f t="shared" si="96"/>
        <v/>
      </c>
      <c r="H2611" s="70" t="str">
        <f t="shared" si="97"/>
        <v/>
      </c>
    </row>
    <row r="2612" spans="1:8">
      <c r="A2612" s="2"/>
      <c r="B2612" s="12"/>
      <c r="C2612" s="12"/>
      <c r="E2612" t="str">
        <f>IF(LEN(D2612)=0,"",[1]!i_pq_tradedays($B$3,A2613,A2612)-1)</f>
        <v/>
      </c>
      <c r="G2612" s="16" t="str">
        <f t="shared" si="96"/>
        <v/>
      </c>
      <c r="H2612" s="70" t="str">
        <f t="shared" si="97"/>
        <v/>
      </c>
    </row>
    <row r="2613" spans="1:8">
      <c r="A2613" s="2"/>
      <c r="B2613" s="12"/>
      <c r="C2613" s="12"/>
      <c r="E2613" t="str">
        <f>IF(LEN(D2613)=0,"",[1]!i_pq_tradedays($B$3,A2614,A2613)-1)</f>
        <v/>
      </c>
      <c r="G2613" s="16" t="str">
        <f t="shared" ref="G2613:G2676" si="98">IF(LEN(D2613)=0,"",D2613/E2613)</f>
        <v/>
      </c>
      <c r="H2613" s="70" t="str">
        <f t="shared" ref="H2613:H2676" si="99">IF(LEN(D2613)=0,"",G2613/G2614-1)</f>
        <v/>
      </c>
    </row>
    <row r="2614" spans="1:8">
      <c r="A2614" s="2"/>
      <c r="B2614" s="12"/>
      <c r="C2614" s="12"/>
      <c r="E2614" t="str">
        <f>IF(LEN(D2614)=0,"",[1]!i_pq_tradedays($B$3,A2615,A2614)-1)</f>
        <v/>
      </c>
      <c r="G2614" s="16" t="str">
        <f t="shared" si="98"/>
        <v/>
      </c>
      <c r="H2614" s="70" t="str">
        <f t="shared" si="99"/>
        <v/>
      </c>
    </row>
    <row r="2615" spans="1:8">
      <c r="A2615" s="2"/>
      <c r="B2615" s="12"/>
      <c r="C2615" s="12"/>
      <c r="E2615" t="str">
        <f>IF(LEN(D2615)=0,"",[1]!i_pq_tradedays($B$3,A2616,A2615)-1)</f>
        <v/>
      </c>
      <c r="G2615" s="16" t="str">
        <f t="shared" si="98"/>
        <v/>
      </c>
      <c r="H2615" s="70" t="str">
        <f t="shared" si="99"/>
        <v/>
      </c>
    </row>
    <row r="2616" spans="1:8">
      <c r="A2616" s="2"/>
      <c r="B2616" s="12"/>
      <c r="C2616" s="12"/>
      <c r="E2616" t="str">
        <f>IF(LEN(D2616)=0,"",[1]!i_pq_tradedays($B$3,A2617,A2616)-1)</f>
        <v/>
      </c>
      <c r="G2616" s="16" t="str">
        <f t="shared" si="98"/>
        <v/>
      </c>
      <c r="H2616" s="70" t="str">
        <f t="shared" si="99"/>
        <v/>
      </c>
    </row>
    <row r="2617" spans="1:8">
      <c r="A2617" s="2"/>
      <c r="B2617" s="12"/>
      <c r="C2617" s="12"/>
      <c r="E2617" t="str">
        <f>IF(LEN(D2617)=0,"",[1]!i_pq_tradedays($B$3,A2618,A2617)-1)</f>
        <v/>
      </c>
      <c r="G2617" s="16" t="str">
        <f t="shared" si="98"/>
        <v/>
      </c>
      <c r="H2617" s="70" t="str">
        <f t="shared" si="99"/>
        <v/>
      </c>
    </row>
    <row r="2618" spans="1:8">
      <c r="A2618" s="2"/>
      <c r="B2618" s="12"/>
      <c r="C2618" s="12"/>
      <c r="E2618" t="str">
        <f>IF(LEN(D2618)=0,"",[1]!i_pq_tradedays($B$3,A2619,A2618)-1)</f>
        <v/>
      </c>
      <c r="G2618" s="16" t="str">
        <f t="shared" si="98"/>
        <v/>
      </c>
      <c r="H2618" s="70" t="str">
        <f t="shared" si="99"/>
        <v/>
      </c>
    </row>
    <row r="2619" spans="1:8">
      <c r="A2619" s="2"/>
      <c r="B2619" s="12"/>
      <c r="C2619" s="12"/>
      <c r="E2619" t="str">
        <f>IF(LEN(D2619)=0,"",[1]!i_pq_tradedays($B$3,A2620,A2619)-1)</f>
        <v/>
      </c>
      <c r="G2619" s="16" t="str">
        <f t="shared" si="98"/>
        <v/>
      </c>
      <c r="H2619" s="70" t="str">
        <f t="shared" si="99"/>
        <v/>
      </c>
    </row>
    <row r="2620" spans="1:8">
      <c r="A2620" s="2"/>
      <c r="B2620" s="12"/>
      <c r="C2620" s="12"/>
      <c r="E2620" t="str">
        <f>IF(LEN(D2620)=0,"",[1]!i_pq_tradedays($B$3,A2621,A2620)-1)</f>
        <v/>
      </c>
      <c r="G2620" s="16" t="str">
        <f t="shared" si="98"/>
        <v/>
      </c>
      <c r="H2620" s="70" t="str">
        <f t="shared" si="99"/>
        <v/>
      </c>
    </row>
    <row r="2621" spans="1:8">
      <c r="A2621" s="2"/>
      <c r="B2621" s="12"/>
      <c r="C2621" s="12"/>
      <c r="E2621" t="str">
        <f>IF(LEN(D2621)=0,"",[1]!i_pq_tradedays($B$3,A2622,A2621)-1)</f>
        <v/>
      </c>
      <c r="G2621" s="16" t="str">
        <f t="shared" si="98"/>
        <v/>
      </c>
      <c r="H2621" s="70" t="str">
        <f t="shared" si="99"/>
        <v/>
      </c>
    </row>
    <row r="2622" spans="1:8">
      <c r="A2622" s="2"/>
      <c r="B2622" s="12"/>
      <c r="C2622" s="12"/>
      <c r="E2622" t="str">
        <f>IF(LEN(D2622)=0,"",[1]!i_pq_tradedays($B$3,A2623,A2622)-1)</f>
        <v/>
      </c>
      <c r="G2622" s="16" t="str">
        <f t="shared" si="98"/>
        <v/>
      </c>
      <c r="H2622" s="70" t="str">
        <f t="shared" si="99"/>
        <v/>
      </c>
    </row>
    <row r="2623" spans="1:8">
      <c r="A2623" s="2"/>
      <c r="B2623" s="12"/>
      <c r="C2623" s="12"/>
      <c r="E2623" t="str">
        <f>IF(LEN(D2623)=0,"",[1]!i_pq_tradedays($B$3,A2624,A2623)-1)</f>
        <v/>
      </c>
      <c r="G2623" s="16" t="str">
        <f t="shared" si="98"/>
        <v/>
      </c>
      <c r="H2623" s="70" t="str">
        <f t="shared" si="99"/>
        <v/>
      </c>
    </row>
    <row r="2624" spans="1:8">
      <c r="A2624" s="2"/>
      <c r="B2624" s="12"/>
      <c r="C2624" s="12"/>
      <c r="E2624" t="str">
        <f>IF(LEN(D2624)=0,"",[1]!i_pq_tradedays($B$3,A2625,A2624)-1)</f>
        <v/>
      </c>
      <c r="G2624" s="16" t="str">
        <f t="shared" si="98"/>
        <v/>
      </c>
      <c r="H2624" s="70" t="str">
        <f t="shared" si="99"/>
        <v/>
      </c>
    </row>
    <row r="2625" spans="1:8">
      <c r="A2625" s="2"/>
      <c r="B2625" s="12"/>
      <c r="C2625" s="12"/>
      <c r="E2625" t="str">
        <f>IF(LEN(D2625)=0,"",[1]!i_pq_tradedays($B$3,A2626,A2625)-1)</f>
        <v/>
      </c>
      <c r="G2625" s="16" t="str">
        <f t="shared" si="98"/>
        <v/>
      </c>
      <c r="H2625" s="70" t="str">
        <f t="shared" si="99"/>
        <v/>
      </c>
    </row>
    <row r="2626" spans="1:8">
      <c r="A2626" s="2"/>
      <c r="B2626" s="12"/>
      <c r="C2626" s="12"/>
      <c r="E2626" t="str">
        <f>IF(LEN(D2626)=0,"",[1]!i_pq_tradedays($B$3,A2627,A2626)-1)</f>
        <v/>
      </c>
      <c r="G2626" s="16" t="str">
        <f t="shared" si="98"/>
        <v/>
      </c>
      <c r="H2626" s="70" t="str">
        <f t="shared" si="99"/>
        <v/>
      </c>
    </row>
    <row r="2627" spans="1:8">
      <c r="A2627" s="2"/>
      <c r="B2627" s="12"/>
      <c r="C2627" s="12"/>
      <c r="E2627" t="str">
        <f>IF(LEN(D2627)=0,"",[1]!i_pq_tradedays($B$3,A2628,A2627)-1)</f>
        <v/>
      </c>
      <c r="G2627" s="16" t="str">
        <f t="shared" si="98"/>
        <v/>
      </c>
      <c r="H2627" s="70" t="str">
        <f t="shared" si="99"/>
        <v/>
      </c>
    </row>
    <row r="2628" spans="1:8">
      <c r="A2628" s="2"/>
      <c r="B2628" s="12"/>
      <c r="C2628" s="12"/>
      <c r="E2628" t="str">
        <f>IF(LEN(D2628)=0,"",[1]!i_pq_tradedays($B$3,A2629,A2628)-1)</f>
        <v/>
      </c>
      <c r="G2628" s="16" t="str">
        <f t="shared" si="98"/>
        <v/>
      </c>
      <c r="H2628" s="70" t="str">
        <f t="shared" si="99"/>
        <v/>
      </c>
    </row>
    <row r="2629" spans="1:8">
      <c r="A2629" s="2"/>
      <c r="B2629" s="12"/>
      <c r="C2629" s="12"/>
      <c r="E2629" t="str">
        <f>IF(LEN(D2629)=0,"",[1]!i_pq_tradedays($B$3,A2630,A2629)-1)</f>
        <v/>
      </c>
      <c r="G2629" s="16" t="str">
        <f t="shared" si="98"/>
        <v/>
      </c>
      <c r="H2629" s="70" t="str">
        <f t="shared" si="99"/>
        <v/>
      </c>
    </row>
    <row r="2630" spans="1:8">
      <c r="A2630" s="2"/>
      <c r="B2630" s="12"/>
      <c r="C2630" s="12"/>
      <c r="E2630" t="str">
        <f>IF(LEN(D2630)=0,"",[1]!i_pq_tradedays($B$3,A2631,A2630)-1)</f>
        <v/>
      </c>
      <c r="G2630" s="16" t="str">
        <f t="shared" si="98"/>
        <v/>
      </c>
      <c r="H2630" s="70" t="str">
        <f t="shared" si="99"/>
        <v/>
      </c>
    </row>
    <row r="2631" spans="1:8">
      <c r="A2631" s="2"/>
      <c r="B2631" s="12"/>
      <c r="C2631" s="12"/>
      <c r="E2631" t="str">
        <f>IF(LEN(D2631)=0,"",[1]!i_pq_tradedays($B$3,A2632,A2631)-1)</f>
        <v/>
      </c>
      <c r="G2631" s="16" t="str">
        <f t="shared" si="98"/>
        <v/>
      </c>
      <c r="H2631" s="70" t="str">
        <f t="shared" si="99"/>
        <v/>
      </c>
    </row>
    <row r="2632" spans="1:8">
      <c r="A2632" s="2"/>
      <c r="B2632" s="12"/>
      <c r="C2632" s="12"/>
      <c r="E2632" t="str">
        <f>IF(LEN(D2632)=0,"",[1]!i_pq_tradedays($B$3,A2633,A2632)-1)</f>
        <v/>
      </c>
      <c r="G2632" s="16" t="str">
        <f t="shared" si="98"/>
        <v/>
      </c>
      <c r="H2632" s="70" t="str">
        <f t="shared" si="99"/>
        <v/>
      </c>
    </row>
    <row r="2633" spans="1:8">
      <c r="A2633" s="2"/>
      <c r="B2633" s="12"/>
      <c r="C2633" s="12"/>
      <c r="E2633" t="str">
        <f>IF(LEN(D2633)=0,"",[1]!i_pq_tradedays($B$3,A2634,A2633)-1)</f>
        <v/>
      </c>
      <c r="G2633" s="16" t="str">
        <f t="shared" si="98"/>
        <v/>
      </c>
      <c r="H2633" s="70" t="str">
        <f t="shared" si="99"/>
        <v/>
      </c>
    </row>
    <row r="2634" spans="1:8">
      <c r="A2634" s="2"/>
      <c r="B2634" s="12"/>
      <c r="C2634" s="12"/>
      <c r="E2634" t="str">
        <f>IF(LEN(D2634)=0,"",[1]!i_pq_tradedays($B$3,A2635,A2634)-1)</f>
        <v/>
      </c>
      <c r="G2634" s="16" t="str">
        <f t="shared" si="98"/>
        <v/>
      </c>
      <c r="H2634" s="70" t="str">
        <f t="shared" si="99"/>
        <v/>
      </c>
    </row>
    <row r="2635" spans="1:8">
      <c r="A2635" s="2"/>
      <c r="B2635" s="12"/>
      <c r="C2635" s="12"/>
      <c r="E2635" t="str">
        <f>IF(LEN(D2635)=0,"",[1]!i_pq_tradedays($B$3,A2636,A2635)-1)</f>
        <v/>
      </c>
      <c r="G2635" s="16" t="str">
        <f t="shared" si="98"/>
        <v/>
      </c>
      <c r="H2635" s="70" t="str">
        <f t="shared" si="99"/>
        <v/>
      </c>
    </row>
    <row r="2636" spans="1:8">
      <c r="A2636" s="2"/>
      <c r="B2636" s="12"/>
      <c r="C2636" s="12"/>
      <c r="E2636" t="str">
        <f>IF(LEN(D2636)=0,"",[1]!i_pq_tradedays($B$3,A2637,A2636)-1)</f>
        <v/>
      </c>
      <c r="G2636" s="16" t="str">
        <f t="shared" si="98"/>
        <v/>
      </c>
      <c r="H2636" s="70" t="str">
        <f t="shared" si="99"/>
        <v/>
      </c>
    </row>
    <row r="2637" spans="1:8">
      <c r="A2637" s="2"/>
      <c r="B2637" s="12"/>
      <c r="C2637" s="12"/>
      <c r="E2637" t="str">
        <f>IF(LEN(D2637)=0,"",[1]!i_pq_tradedays($B$3,A2638,A2637)-1)</f>
        <v/>
      </c>
      <c r="G2637" s="16" t="str">
        <f t="shared" si="98"/>
        <v/>
      </c>
      <c r="H2637" s="70" t="str">
        <f t="shared" si="99"/>
        <v/>
      </c>
    </row>
    <row r="2638" spans="1:8">
      <c r="A2638" s="2"/>
      <c r="B2638" s="12"/>
      <c r="C2638" s="12"/>
      <c r="E2638" t="str">
        <f>IF(LEN(D2638)=0,"",[1]!i_pq_tradedays($B$3,A2639,A2638)-1)</f>
        <v/>
      </c>
      <c r="G2638" s="16" t="str">
        <f t="shared" si="98"/>
        <v/>
      </c>
      <c r="H2638" s="70" t="str">
        <f t="shared" si="99"/>
        <v/>
      </c>
    </row>
    <row r="2639" spans="1:8">
      <c r="A2639" s="2"/>
      <c r="B2639" s="12"/>
      <c r="C2639" s="12"/>
      <c r="E2639" t="str">
        <f>IF(LEN(D2639)=0,"",[1]!i_pq_tradedays($B$3,A2640,A2639)-1)</f>
        <v/>
      </c>
      <c r="G2639" s="16" t="str">
        <f t="shared" si="98"/>
        <v/>
      </c>
      <c r="H2639" s="70" t="str">
        <f t="shared" si="99"/>
        <v/>
      </c>
    </row>
    <row r="2640" spans="1:8">
      <c r="A2640" s="2"/>
      <c r="B2640" s="12"/>
      <c r="C2640" s="12"/>
      <c r="E2640" t="str">
        <f>IF(LEN(D2640)=0,"",[1]!i_pq_tradedays($B$3,A2641,A2640)-1)</f>
        <v/>
      </c>
      <c r="G2640" s="16" t="str">
        <f t="shared" si="98"/>
        <v/>
      </c>
      <c r="H2640" s="70" t="str">
        <f t="shared" si="99"/>
        <v/>
      </c>
    </row>
    <row r="2641" spans="1:8">
      <c r="A2641" s="2"/>
      <c r="B2641" s="12"/>
      <c r="C2641" s="12"/>
      <c r="E2641" t="str">
        <f>IF(LEN(D2641)=0,"",[1]!i_pq_tradedays($B$3,A2642,A2641)-1)</f>
        <v/>
      </c>
      <c r="G2641" s="16" t="str">
        <f t="shared" si="98"/>
        <v/>
      </c>
      <c r="H2641" s="70" t="str">
        <f t="shared" si="99"/>
        <v/>
      </c>
    </row>
    <row r="2642" spans="1:8">
      <c r="A2642" s="2"/>
      <c r="B2642" s="12"/>
      <c r="C2642" s="12"/>
      <c r="E2642" t="str">
        <f>IF(LEN(D2642)=0,"",[1]!i_pq_tradedays($B$3,A2643,A2642)-1)</f>
        <v/>
      </c>
      <c r="G2642" s="16" t="str">
        <f t="shared" si="98"/>
        <v/>
      </c>
      <c r="H2642" s="70" t="str">
        <f t="shared" si="99"/>
        <v/>
      </c>
    </row>
    <row r="2643" spans="1:8">
      <c r="A2643" s="2"/>
      <c r="B2643" s="12"/>
      <c r="C2643" s="12"/>
      <c r="E2643" t="str">
        <f>IF(LEN(D2643)=0,"",[1]!i_pq_tradedays($B$3,A2644,A2643)-1)</f>
        <v/>
      </c>
      <c r="G2643" s="16" t="str">
        <f t="shared" si="98"/>
        <v/>
      </c>
      <c r="H2643" s="70" t="str">
        <f t="shared" si="99"/>
        <v/>
      </c>
    </row>
    <row r="2644" spans="1:8">
      <c r="A2644" s="2"/>
      <c r="B2644" s="12"/>
      <c r="C2644" s="12"/>
      <c r="E2644" t="str">
        <f>IF(LEN(D2644)=0,"",[1]!i_pq_tradedays($B$3,A2645,A2644)-1)</f>
        <v/>
      </c>
      <c r="G2644" s="16" t="str">
        <f t="shared" si="98"/>
        <v/>
      </c>
      <c r="H2644" s="70" t="str">
        <f t="shared" si="99"/>
        <v/>
      </c>
    </row>
    <row r="2645" spans="1:8">
      <c r="A2645" s="2"/>
      <c r="B2645" s="12"/>
      <c r="C2645" s="12"/>
      <c r="E2645" t="str">
        <f>IF(LEN(D2645)=0,"",[1]!i_pq_tradedays($B$3,A2646,A2645)-1)</f>
        <v/>
      </c>
      <c r="G2645" s="16" t="str">
        <f t="shared" si="98"/>
        <v/>
      </c>
      <c r="H2645" s="70" t="str">
        <f t="shared" si="99"/>
        <v/>
      </c>
    </row>
    <row r="2646" spans="1:8">
      <c r="A2646" s="2"/>
      <c r="B2646" s="12"/>
      <c r="C2646" s="12"/>
      <c r="E2646" t="str">
        <f>IF(LEN(D2646)=0,"",[1]!i_pq_tradedays($B$3,A2647,A2646)-1)</f>
        <v/>
      </c>
      <c r="G2646" s="16" t="str">
        <f t="shared" si="98"/>
        <v/>
      </c>
      <c r="H2646" s="70" t="str">
        <f t="shared" si="99"/>
        <v/>
      </c>
    </row>
    <row r="2647" spans="1:8">
      <c r="A2647" s="2"/>
      <c r="B2647" s="12"/>
      <c r="C2647" s="12"/>
      <c r="E2647" t="str">
        <f>IF(LEN(D2647)=0,"",[1]!i_pq_tradedays($B$3,A2648,A2647)-1)</f>
        <v/>
      </c>
      <c r="G2647" s="16" t="str">
        <f t="shared" si="98"/>
        <v/>
      </c>
      <c r="H2647" s="70" t="str">
        <f t="shared" si="99"/>
        <v/>
      </c>
    </row>
    <row r="2648" spans="1:8">
      <c r="A2648" s="2"/>
      <c r="B2648" s="12"/>
      <c r="C2648" s="12"/>
      <c r="E2648" t="str">
        <f>IF(LEN(D2648)=0,"",[1]!i_pq_tradedays($B$3,A2649,A2648)-1)</f>
        <v/>
      </c>
      <c r="G2648" s="16" t="str">
        <f t="shared" si="98"/>
        <v/>
      </c>
      <c r="H2648" s="70" t="str">
        <f t="shared" si="99"/>
        <v/>
      </c>
    </row>
    <row r="2649" spans="1:8">
      <c r="A2649" s="2"/>
      <c r="B2649" s="12"/>
      <c r="C2649" s="12"/>
      <c r="E2649" t="str">
        <f>IF(LEN(D2649)=0,"",[1]!i_pq_tradedays($B$3,A2650,A2649)-1)</f>
        <v/>
      </c>
      <c r="G2649" s="16" t="str">
        <f t="shared" si="98"/>
        <v/>
      </c>
      <c r="H2649" s="70" t="str">
        <f t="shared" si="99"/>
        <v/>
      </c>
    </row>
    <row r="2650" spans="1:8">
      <c r="A2650" s="2"/>
      <c r="B2650" s="12"/>
      <c r="C2650" s="12"/>
      <c r="E2650" t="str">
        <f>IF(LEN(D2650)=0,"",[1]!i_pq_tradedays($B$3,A2651,A2650)-1)</f>
        <v/>
      </c>
      <c r="G2650" s="16" t="str">
        <f t="shared" si="98"/>
        <v/>
      </c>
      <c r="H2650" s="70" t="str">
        <f t="shared" si="99"/>
        <v/>
      </c>
    </row>
    <row r="2651" spans="1:8">
      <c r="A2651" s="2"/>
      <c r="B2651" s="12"/>
      <c r="C2651" s="12"/>
      <c r="E2651" t="str">
        <f>IF(LEN(D2651)=0,"",[1]!i_pq_tradedays($B$3,A2652,A2651)-1)</f>
        <v/>
      </c>
      <c r="G2651" s="16" t="str">
        <f t="shared" si="98"/>
        <v/>
      </c>
      <c r="H2651" s="70" t="str">
        <f t="shared" si="99"/>
        <v/>
      </c>
    </row>
    <row r="2652" spans="1:8">
      <c r="A2652" s="2"/>
      <c r="B2652" s="12"/>
      <c r="C2652" s="12"/>
      <c r="E2652" t="str">
        <f>IF(LEN(D2652)=0,"",[1]!i_pq_tradedays($B$3,A2653,A2652)-1)</f>
        <v/>
      </c>
      <c r="G2652" s="16" t="str">
        <f t="shared" si="98"/>
        <v/>
      </c>
      <c r="H2652" s="70" t="str">
        <f t="shared" si="99"/>
        <v/>
      </c>
    </row>
    <row r="2653" spans="1:8">
      <c r="A2653" s="2"/>
      <c r="B2653" s="12"/>
      <c r="C2653" s="12"/>
      <c r="E2653" t="str">
        <f>IF(LEN(D2653)=0,"",[1]!i_pq_tradedays($B$3,A2654,A2653)-1)</f>
        <v/>
      </c>
      <c r="G2653" s="16" t="str">
        <f t="shared" si="98"/>
        <v/>
      </c>
      <c r="H2653" s="70" t="str">
        <f t="shared" si="99"/>
        <v/>
      </c>
    </row>
    <row r="2654" spans="1:8">
      <c r="A2654" s="2"/>
      <c r="B2654" s="12"/>
      <c r="C2654" s="12"/>
      <c r="E2654" t="str">
        <f>IF(LEN(D2654)=0,"",[1]!i_pq_tradedays($B$3,A2655,A2654)-1)</f>
        <v/>
      </c>
      <c r="G2654" s="16" t="str">
        <f t="shared" si="98"/>
        <v/>
      </c>
      <c r="H2654" s="70" t="str">
        <f t="shared" si="99"/>
        <v/>
      </c>
    </row>
    <row r="2655" spans="1:8">
      <c r="A2655" s="2"/>
      <c r="B2655" s="12"/>
      <c r="C2655" s="12"/>
      <c r="E2655" t="str">
        <f>IF(LEN(D2655)=0,"",[1]!i_pq_tradedays($B$3,A2656,A2655)-1)</f>
        <v/>
      </c>
      <c r="G2655" s="16" t="str">
        <f t="shared" si="98"/>
        <v/>
      </c>
      <c r="H2655" s="70" t="str">
        <f t="shared" si="99"/>
        <v/>
      </c>
    </row>
    <row r="2656" spans="1:8">
      <c r="A2656" s="2"/>
      <c r="B2656" s="12"/>
      <c r="C2656" s="12"/>
      <c r="E2656" t="str">
        <f>IF(LEN(D2656)=0,"",[1]!i_pq_tradedays($B$3,A2657,A2656)-1)</f>
        <v/>
      </c>
      <c r="G2656" s="16" t="str">
        <f t="shared" si="98"/>
        <v/>
      </c>
      <c r="H2656" s="70" t="str">
        <f t="shared" si="99"/>
        <v/>
      </c>
    </row>
    <row r="2657" spans="1:8">
      <c r="A2657" s="2"/>
      <c r="B2657" s="12"/>
      <c r="C2657" s="12"/>
      <c r="E2657" t="str">
        <f>IF(LEN(D2657)=0,"",[1]!i_pq_tradedays($B$3,A2658,A2657)-1)</f>
        <v/>
      </c>
      <c r="G2657" s="16" t="str">
        <f t="shared" si="98"/>
        <v/>
      </c>
      <c r="H2657" s="70" t="str">
        <f t="shared" si="99"/>
        <v/>
      </c>
    </row>
    <row r="2658" spans="1:8">
      <c r="A2658" s="2"/>
      <c r="B2658" s="12"/>
      <c r="C2658" s="12"/>
      <c r="E2658" t="str">
        <f>IF(LEN(D2658)=0,"",[1]!i_pq_tradedays($B$3,A2659,A2658)-1)</f>
        <v/>
      </c>
      <c r="G2658" s="16" t="str">
        <f t="shared" si="98"/>
        <v/>
      </c>
      <c r="H2658" s="70" t="str">
        <f t="shared" si="99"/>
        <v/>
      </c>
    </row>
    <row r="2659" spans="1:8">
      <c r="A2659" s="2"/>
      <c r="B2659" s="12"/>
      <c r="C2659" s="12"/>
      <c r="E2659" t="str">
        <f>IF(LEN(D2659)=0,"",[1]!i_pq_tradedays($B$3,A2660,A2659)-1)</f>
        <v/>
      </c>
      <c r="G2659" s="16" t="str">
        <f t="shared" si="98"/>
        <v/>
      </c>
      <c r="H2659" s="70" t="str">
        <f t="shared" si="99"/>
        <v/>
      </c>
    </row>
    <row r="2660" spans="1:8">
      <c r="A2660" s="2"/>
      <c r="B2660" s="12"/>
      <c r="C2660" s="12"/>
      <c r="E2660" t="str">
        <f>IF(LEN(D2660)=0,"",[1]!i_pq_tradedays($B$3,A2661,A2660)-1)</f>
        <v/>
      </c>
      <c r="G2660" s="16" t="str">
        <f t="shared" si="98"/>
        <v/>
      </c>
      <c r="H2660" s="70" t="str">
        <f t="shared" si="99"/>
        <v/>
      </c>
    </row>
    <row r="2661" spans="1:8">
      <c r="A2661" s="2"/>
      <c r="B2661" s="12"/>
      <c r="C2661" s="12"/>
      <c r="E2661" t="str">
        <f>IF(LEN(D2661)=0,"",[1]!i_pq_tradedays($B$3,A2662,A2661)-1)</f>
        <v/>
      </c>
      <c r="G2661" s="16" t="str">
        <f t="shared" si="98"/>
        <v/>
      </c>
      <c r="H2661" s="70" t="str">
        <f t="shared" si="99"/>
        <v/>
      </c>
    </row>
    <row r="2662" spans="1:8">
      <c r="A2662" s="2"/>
      <c r="B2662" s="12"/>
      <c r="C2662" s="12"/>
      <c r="E2662" t="str">
        <f>IF(LEN(D2662)=0,"",[1]!i_pq_tradedays($B$3,A2663,A2662)-1)</f>
        <v/>
      </c>
      <c r="G2662" s="16" t="str">
        <f t="shared" si="98"/>
        <v/>
      </c>
      <c r="H2662" s="70" t="str">
        <f t="shared" si="99"/>
        <v/>
      </c>
    </row>
    <row r="2663" spans="1:8">
      <c r="A2663" s="2"/>
      <c r="B2663" s="12"/>
      <c r="C2663" s="12"/>
      <c r="E2663" t="str">
        <f>IF(LEN(D2663)=0,"",[1]!i_pq_tradedays($B$3,A2664,A2663)-1)</f>
        <v/>
      </c>
      <c r="G2663" s="16" t="str">
        <f t="shared" si="98"/>
        <v/>
      </c>
      <c r="H2663" s="70" t="str">
        <f t="shared" si="99"/>
        <v/>
      </c>
    </row>
    <row r="2664" spans="1:8">
      <c r="A2664" s="2"/>
      <c r="B2664" s="12"/>
      <c r="C2664" s="12"/>
      <c r="E2664" t="str">
        <f>IF(LEN(D2664)=0,"",[1]!i_pq_tradedays($B$3,A2665,A2664)-1)</f>
        <v/>
      </c>
      <c r="G2664" s="16" t="str">
        <f t="shared" si="98"/>
        <v/>
      </c>
      <c r="H2664" s="70" t="str">
        <f t="shared" si="99"/>
        <v/>
      </c>
    </row>
    <row r="2665" spans="1:8">
      <c r="A2665" s="2"/>
      <c r="B2665" s="12"/>
      <c r="C2665" s="12"/>
      <c r="E2665" t="str">
        <f>IF(LEN(D2665)=0,"",[1]!i_pq_tradedays($B$3,A2666,A2665)-1)</f>
        <v/>
      </c>
      <c r="G2665" s="16" t="str">
        <f t="shared" si="98"/>
        <v/>
      </c>
      <c r="H2665" s="70" t="str">
        <f t="shared" si="99"/>
        <v/>
      </c>
    </row>
    <row r="2666" spans="1:8">
      <c r="A2666" s="2"/>
      <c r="B2666" s="12"/>
      <c r="C2666" s="12"/>
      <c r="E2666" t="str">
        <f>IF(LEN(D2666)=0,"",[1]!i_pq_tradedays($B$3,A2667,A2666)-1)</f>
        <v/>
      </c>
      <c r="G2666" s="16" t="str">
        <f t="shared" si="98"/>
        <v/>
      </c>
      <c r="H2666" s="70" t="str">
        <f t="shared" si="99"/>
        <v/>
      </c>
    </row>
    <row r="2667" spans="1:8">
      <c r="A2667" s="2"/>
      <c r="B2667" s="12"/>
      <c r="C2667" s="12"/>
      <c r="E2667" t="str">
        <f>IF(LEN(D2667)=0,"",[1]!i_pq_tradedays($B$3,A2668,A2667)-1)</f>
        <v/>
      </c>
      <c r="G2667" s="16" t="str">
        <f t="shared" si="98"/>
        <v/>
      </c>
      <c r="H2667" s="70" t="str">
        <f t="shared" si="99"/>
        <v/>
      </c>
    </row>
    <row r="2668" spans="1:8">
      <c r="A2668" s="2"/>
      <c r="B2668" s="12"/>
      <c r="C2668" s="12"/>
      <c r="E2668" t="str">
        <f>IF(LEN(D2668)=0,"",[1]!i_pq_tradedays($B$3,A2669,A2668)-1)</f>
        <v/>
      </c>
      <c r="G2668" s="16" t="str">
        <f t="shared" si="98"/>
        <v/>
      </c>
      <c r="H2668" s="70" t="str">
        <f t="shared" si="99"/>
        <v/>
      </c>
    </row>
    <row r="2669" spans="1:8">
      <c r="A2669" s="2"/>
      <c r="B2669" s="12"/>
      <c r="C2669" s="12"/>
      <c r="E2669" t="str">
        <f>IF(LEN(D2669)=0,"",[1]!i_pq_tradedays($B$3,A2670,A2669)-1)</f>
        <v/>
      </c>
      <c r="G2669" s="16" t="str">
        <f t="shared" si="98"/>
        <v/>
      </c>
      <c r="H2669" s="70" t="str">
        <f t="shared" si="99"/>
        <v/>
      </c>
    </row>
    <row r="2670" spans="1:8">
      <c r="A2670" s="2"/>
      <c r="B2670" s="12"/>
      <c r="C2670" s="12"/>
      <c r="E2670" t="str">
        <f>IF(LEN(D2670)=0,"",[1]!i_pq_tradedays($B$3,A2671,A2670)-1)</f>
        <v/>
      </c>
      <c r="G2670" s="16" t="str">
        <f t="shared" si="98"/>
        <v/>
      </c>
      <c r="H2670" s="70" t="str">
        <f t="shared" si="99"/>
        <v/>
      </c>
    </row>
    <row r="2671" spans="1:8">
      <c r="A2671" s="2"/>
      <c r="B2671" s="12"/>
      <c r="C2671" s="12"/>
      <c r="E2671" t="str">
        <f>IF(LEN(D2671)=0,"",[1]!i_pq_tradedays($B$3,A2672,A2671)-1)</f>
        <v/>
      </c>
      <c r="G2671" s="16" t="str">
        <f t="shared" si="98"/>
        <v/>
      </c>
      <c r="H2671" s="70" t="str">
        <f t="shared" si="99"/>
        <v/>
      </c>
    </row>
    <row r="2672" spans="1:8">
      <c r="A2672" s="2"/>
      <c r="B2672" s="12"/>
      <c r="C2672" s="12"/>
      <c r="E2672" t="str">
        <f>IF(LEN(D2672)=0,"",[1]!i_pq_tradedays($B$3,A2673,A2672)-1)</f>
        <v/>
      </c>
      <c r="G2672" s="16" t="str">
        <f t="shared" si="98"/>
        <v/>
      </c>
      <c r="H2672" s="70" t="str">
        <f t="shared" si="99"/>
        <v/>
      </c>
    </row>
    <row r="2673" spans="1:8">
      <c r="A2673" s="2"/>
      <c r="B2673" s="12"/>
      <c r="C2673" s="12"/>
      <c r="E2673" t="str">
        <f>IF(LEN(D2673)=0,"",[1]!i_pq_tradedays($B$3,A2674,A2673)-1)</f>
        <v/>
      </c>
      <c r="G2673" s="16" t="str">
        <f t="shared" si="98"/>
        <v/>
      </c>
      <c r="H2673" s="70" t="str">
        <f t="shared" si="99"/>
        <v/>
      </c>
    </row>
    <row r="2674" spans="1:8">
      <c r="A2674" s="2"/>
      <c r="B2674" s="12"/>
      <c r="C2674" s="12"/>
      <c r="E2674" t="str">
        <f>IF(LEN(D2674)=0,"",[1]!i_pq_tradedays($B$3,A2675,A2674)-1)</f>
        <v/>
      </c>
      <c r="G2674" s="16" t="str">
        <f t="shared" si="98"/>
        <v/>
      </c>
      <c r="H2674" s="70" t="str">
        <f t="shared" si="99"/>
        <v/>
      </c>
    </row>
    <row r="2675" spans="1:8">
      <c r="A2675" s="2"/>
      <c r="B2675" s="12"/>
      <c r="C2675" s="12"/>
      <c r="E2675" t="str">
        <f>IF(LEN(D2675)=0,"",[1]!i_pq_tradedays($B$3,A2676,A2675)-1)</f>
        <v/>
      </c>
      <c r="G2675" s="16" t="str">
        <f t="shared" si="98"/>
        <v/>
      </c>
      <c r="H2675" s="70" t="str">
        <f t="shared" si="99"/>
        <v/>
      </c>
    </row>
    <row r="2676" spans="1:8">
      <c r="A2676" s="2"/>
      <c r="B2676" s="12"/>
      <c r="C2676" s="12"/>
      <c r="E2676" t="str">
        <f>IF(LEN(D2676)=0,"",[1]!i_pq_tradedays($B$3,A2677,A2676)-1)</f>
        <v/>
      </c>
      <c r="G2676" s="16" t="str">
        <f t="shared" si="98"/>
        <v/>
      </c>
      <c r="H2676" s="70" t="str">
        <f t="shared" si="99"/>
        <v/>
      </c>
    </row>
    <row r="2677" spans="1:8">
      <c r="A2677" s="2"/>
      <c r="B2677" s="12"/>
      <c r="C2677" s="12"/>
      <c r="E2677" t="str">
        <f>IF(LEN(D2677)=0,"",[1]!i_pq_tradedays($B$3,A2678,A2677)-1)</f>
        <v/>
      </c>
      <c r="G2677" s="16" t="str">
        <f t="shared" ref="G2677:G2740" si="100">IF(LEN(D2677)=0,"",D2677/E2677)</f>
        <v/>
      </c>
      <c r="H2677" s="70" t="str">
        <f t="shared" ref="H2677:H2740" si="101">IF(LEN(D2677)=0,"",G2677/G2678-1)</f>
        <v/>
      </c>
    </row>
    <row r="2678" spans="1:8">
      <c r="A2678" s="2"/>
      <c r="B2678" s="12"/>
      <c r="C2678" s="12"/>
      <c r="E2678" t="str">
        <f>IF(LEN(D2678)=0,"",[1]!i_pq_tradedays($B$3,A2679,A2678)-1)</f>
        <v/>
      </c>
      <c r="G2678" s="16" t="str">
        <f t="shared" si="100"/>
        <v/>
      </c>
      <c r="H2678" s="70" t="str">
        <f t="shared" si="101"/>
        <v/>
      </c>
    </row>
    <row r="2679" spans="1:8">
      <c r="A2679" s="2"/>
      <c r="B2679" s="12"/>
      <c r="C2679" s="12"/>
      <c r="E2679" t="str">
        <f>IF(LEN(D2679)=0,"",[1]!i_pq_tradedays($B$3,A2680,A2679)-1)</f>
        <v/>
      </c>
      <c r="G2679" s="16" t="str">
        <f t="shared" si="100"/>
        <v/>
      </c>
      <c r="H2679" s="70" t="str">
        <f t="shared" si="101"/>
        <v/>
      </c>
    </row>
    <row r="2680" spans="1:8">
      <c r="A2680" s="2"/>
      <c r="B2680" s="12"/>
      <c r="C2680" s="12"/>
      <c r="E2680" t="str">
        <f>IF(LEN(D2680)=0,"",[1]!i_pq_tradedays($B$3,A2681,A2680)-1)</f>
        <v/>
      </c>
      <c r="G2680" s="16" t="str">
        <f t="shared" si="100"/>
        <v/>
      </c>
      <c r="H2680" s="70" t="str">
        <f t="shared" si="101"/>
        <v/>
      </c>
    </row>
    <row r="2681" spans="1:8">
      <c r="A2681" s="2"/>
      <c r="B2681" s="12"/>
      <c r="C2681" s="12"/>
      <c r="E2681" t="str">
        <f>IF(LEN(D2681)=0,"",[1]!i_pq_tradedays($B$3,A2682,A2681)-1)</f>
        <v/>
      </c>
      <c r="G2681" s="16" t="str">
        <f t="shared" si="100"/>
        <v/>
      </c>
      <c r="H2681" s="70" t="str">
        <f t="shared" si="101"/>
        <v/>
      </c>
    </row>
    <row r="2682" spans="1:8">
      <c r="A2682" s="2"/>
      <c r="B2682" s="12"/>
      <c r="C2682" s="12"/>
      <c r="E2682" t="str">
        <f>IF(LEN(D2682)=0,"",[1]!i_pq_tradedays($B$3,A2683,A2682)-1)</f>
        <v/>
      </c>
      <c r="G2682" s="16" t="str">
        <f t="shared" si="100"/>
        <v/>
      </c>
      <c r="H2682" s="70" t="str">
        <f t="shared" si="101"/>
        <v/>
      </c>
    </row>
    <row r="2683" spans="1:8">
      <c r="A2683" s="2"/>
      <c r="B2683" s="12"/>
      <c r="C2683" s="12"/>
      <c r="E2683" t="str">
        <f>IF(LEN(D2683)=0,"",[1]!i_pq_tradedays($B$3,A2684,A2683)-1)</f>
        <v/>
      </c>
      <c r="G2683" s="16" t="str">
        <f t="shared" si="100"/>
        <v/>
      </c>
      <c r="H2683" s="70" t="str">
        <f t="shared" si="101"/>
        <v/>
      </c>
    </row>
    <row r="2684" spans="1:8">
      <c r="A2684" s="2"/>
      <c r="B2684" s="12"/>
      <c r="C2684" s="12"/>
      <c r="E2684" t="str">
        <f>IF(LEN(D2684)=0,"",[1]!i_pq_tradedays($B$3,A2685,A2684)-1)</f>
        <v/>
      </c>
      <c r="G2684" s="16" t="str">
        <f t="shared" si="100"/>
        <v/>
      </c>
      <c r="H2684" s="70" t="str">
        <f t="shared" si="101"/>
        <v/>
      </c>
    </row>
    <row r="2685" spans="1:8">
      <c r="A2685" s="2"/>
      <c r="B2685" s="12"/>
      <c r="C2685" s="12"/>
      <c r="E2685" t="str">
        <f>IF(LEN(D2685)=0,"",[1]!i_pq_tradedays($B$3,A2686,A2685)-1)</f>
        <v/>
      </c>
      <c r="G2685" s="16" t="str">
        <f t="shared" si="100"/>
        <v/>
      </c>
      <c r="H2685" s="70" t="str">
        <f t="shared" si="101"/>
        <v/>
      </c>
    </row>
    <row r="2686" spans="1:8">
      <c r="A2686" s="2"/>
      <c r="B2686" s="12"/>
      <c r="C2686" s="12"/>
      <c r="E2686" t="str">
        <f>IF(LEN(D2686)=0,"",[1]!i_pq_tradedays($B$3,A2687,A2686)-1)</f>
        <v/>
      </c>
      <c r="G2686" s="16" t="str">
        <f t="shared" si="100"/>
        <v/>
      </c>
      <c r="H2686" s="70" t="str">
        <f t="shared" si="101"/>
        <v/>
      </c>
    </row>
    <row r="2687" spans="1:8">
      <c r="A2687" s="2"/>
      <c r="B2687" s="12"/>
      <c r="C2687" s="12"/>
      <c r="E2687" t="str">
        <f>IF(LEN(D2687)=0,"",[1]!i_pq_tradedays($B$3,A2688,A2687)-1)</f>
        <v/>
      </c>
      <c r="G2687" s="16" t="str">
        <f t="shared" si="100"/>
        <v/>
      </c>
      <c r="H2687" s="70" t="str">
        <f t="shared" si="101"/>
        <v/>
      </c>
    </row>
    <row r="2688" spans="1:8">
      <c r="A2688" s="2"/>
      <c r="B2688" s="12"/>
      <c r="C2688" s="12"/>
      <c r="E2688" t="str">
        <f>IF(LEN(D2688)=0,"",[1]!i_pq_tradedays($B$3,A2689,A2688)-1)</f>
        <v/>
      </c>
      <c r="G2688" s="16" t="str">
        <f t="shared" si="100"/>
        <v/>
      </c>
      <c r="H2688" s="70" t="str">
        <f t="shared" si="101"/>
        <v/>
      </c>
    </row>
    <row r="2689" spans="1:8">
      <c r="A2689" s="2"/>
      <c r="B2689" s="12"/>
      <c r="C2689" s="12"/>
      <c r="E2689" t="str">
        <f>IF(LEN(D2689)=0,"",[1]!i_pq_tradedays($B$3,A2690,A2689)-1)</f>
        <v/>
      </c>
      <c r="G2689" s="16" t="str">
        <f t="shared" si="100"/>
        <v/>
      </c>
      <c r="H2689" s="70" t="str">
        <f t="shared" si="101"/>
        <v/>
      </c>
    </row>
    <row r="2690" spans="1:8">
      <c r="A2690" s="2"/>
      <c r="B2690" s="12"/>
      <c r="C2690" s="12"/>
      <c r="E2690" t="str">
        <f>IF(LEN(D2690)=0,"",[1]!i_pq_tradedays($B$3,A2691,A2690)-1)</f>
        <v/>
      </c>
      <c r="G2690" s="16" t="str">
        <f t="shared" si="100"/>
        <v/>
      </c>
      <c r="H2690" s="70" t="str">
        <f t="shared" si="101"/>
        <v/>
      </c>
    </row>
    <row r="2691" spans="1:8">
      <c r="A2691" s="2"/>
      <c r="B2691" s="12"/>
      <c r="C2691" s="12"/>
      <c r="E2691" t="str">
        <f>IF(LEN(D2691)=0,"",[1]!i_pq_tradedays($B$3,A2692,A2691)-1)</f>
        <v/>
      </c>
      <c r="G2691" s="16" t="str">
        <f t="shared" si="100"/>
        <v/>
      </c>
      <c r="H2691" s="70" t="str">
        <f t="shared" si="101"/>
        <v/>
      </c>
    </row>
    <row r="2692" spans="1:8">
      <c r="A2692" s="2"/>
      <c r="B2692" s="12"/>
      <c r="C2692" s="12"/>
      <c r="E2692" t="str">
        <f>IF(LEN(D2692)=0,"",[1]!i_pq_tradedays($B$3,A2693,A2692)-1)</f>
        <v/>
      </c>
      <c r="G2692" s="16" t="str">
        <f t="shared" si="100"/>
        <v/>
      </c>
      <c r="H2692" s="70" t="str">
        <f t="shared" si="101"/>
        <v/>
      </c>
    </row>
    <row r="2693" spans="1:8">
      <c r="A2693" s="2"/>
      <c r="B2693" s="12"/>
      <c r="C2693" s="12"/>
      <c r="E2693" t="str">
        <f>IF(LEN(D2693)=0,"",[1]!i_pq_tradedays($B$3,A2694,A2693)-1)</f>
        <v/>
      </c>
      <c r="G2693" s="16" t="str">
        <f t="shared" si="100"/>
        <v/>
      </c>
      <c r="H2693" s="70" t="str">
        <f t="shared" si="101"/>
        <v/>
      </c>
    </row>
    <row r="2694" spans="1:8">
      <c r="A2694" s="2"/>
      <c r="B2694" s="12"/>
      <c r="C2694" s="12"/>
      <c r="E2694" t="str">
        <f>IF(LEN(D2694)=0,"",[1]!i_pq_tradedays($B$3,A2695,A2694)-1)</f>
        <v/>
      </c>
      <c r="G2694" s="16" t="str">
        <f t="shared" si="100"/>
        <v/>
      </c>
      <c r="H2694" s="70" t="str">
        <f t="shared" si="101"/>
        <v/>
      </c>
    </row>
    <row r="2695" spans="1:8">
      <c r="A2695" s="2"/>
      <c r="B2695" s="12"/>
      <c r="C2695" s="12"/>
      <c r="E2695" t="str">
        <f>IF(LEN(D2695)=0,"",[1]!i_pq_tradedays($B$3,A2696,A2695)-1)</f>
        <v/>
      </c>
      <c r="G2695" s="16" t="str">
        <f t="shared" si="100"/>
        <v/>
      </c>
      <c r="H2695" s="70" t="str">
        <f t="shared" si="101"/>
        <v/>
      </c>
    </row>
    <row r="2696" spans="1:8">
      <c r="A2696" s="2"/>
      <c r="B2696" s="12"/>
      <c r="C2696" s="12"/>
      <c r="E2696" t="str">
        <f>IF(LEN(D2696)=0,"",[1]!i_pq_tradedays($B$3,A2697,A2696)-1)</f>
        <v/>
      </c>
      <c r="G2696" s="16" t="str">
        <f t="shared" si="100"/>
        <v/>
      </c>
      <c r="H2696" s="70" t="str">
        <f t="shared" si="101"/>
        <v/>
      </c>
    </row>
    <row r="2697" spans="1:8">
      <c r="A2697" s="2"/>
      <c r="B2697" s="12"/>
      <c r="C2697" s="12"/>
      <c r="E2697" t="str">
        <f>IF(LEN(D2697)=0,"",[1]!i_pq_tradedays($B$3,A2698,A2697)-1)</f>
        <v/>
      </c>
      <c r="G2697" s="16" t="str">
        <f t="shared" si="100"/>
        <v/>
      </c>
      <c r="H2697" s="70" t="str">
        <f t="shared" si="101"/>
        <v/>
      </c>
    </row>
    <row r="2698" spans="1:8">
      <c r="A2698" s="2"/>
      <c r="B2698" s="12"/>
      <c r="C2698" s="12"/>
      <c r="E2698" t="str">
        <f>IF(LEN(D2698)=0,"",[1]!i_pq_tradedays($B$3,A2699,A2698)-1)</f>
        <v/>
      </c>
      <c r="G2698" s="16" t="str">
        <f t="shared" si="100"/>
        <v/>
      </c>
      <c r="H2698" s="70" t="str">
        <f t="shared" si="101"/>
        <v/>
      </c>
    </row>
    <row r="2699" spans="1:8">
      <c r="A2699" s="2"/>
      <c r="B2699" s="12"/>
      <c r="C2699" s="12"/>
      <c r="E2699" t="str">
        <f>IF(LEN(D2699)=0,"",[1]!i_pq_tradedays($B$3,A2700,A2699)-1)</f>
        <v/>
      </c>
      <c r="G2699" s="16" t="str">
        <f t="shared" si="100"/>
        <v/>
      </c>
      <c r="H2699" s="70" t="str">
        <f t="shared" si="101"/>
        <v/>
      </c>
    </row>
    <row r="2700" spans="1:8">
      <c r="A2700" s="2"/>
      <c r="B2700" s="12"/>
      <c r="C2700" s="12"/>
      <c r="E2700" t="str">
        <f>IF(LEN(D2700)=0,"",[1]!i_pq_tradedays($B$3,A2701,A2700)-1)</f>
        <v/>
      </c>
      <c r="G2700" s="16" t="str">
        <f t="shared" si="100"/>
        <v/>
      </c>
      <c r="H2700" s="70" t="str">
        <f t="shared" si="101"/>
        <v/>
      </c>
    </row>
    <row r="2701" spans="1:8">
      <c r="A2701" s="2"/>
      <c r="B2701" s="12"/>
      <c r="C2701" s="12"/>
      <c r="E2701" t="str">
        <f>IF(LEN(D2701)=0,"",[1]!i_pq_tradedays($B$3,A2702,A2701)-1)</f>
        <v/>
      </c>
      <c r="G2701" s="16" t="str">
        <f t="shared" si="100"/>
        <v/>
      </c>
      <c r="H2701" s="70" t="str">
        <f t="shared" si="101"/>
        <v/>
      </c>
    </row>
    <row r="2702" spans="1:8">
      <c r="A2702" s="2"/>
      <c r="B2702" s="12"/>
      <c r="C2702" s="12"/>
      <c r="E2702" t="str">
        <f>IF(LEN(D2702)=0,"",[1]!i_pq_tradedays($B$3,A2703,A2702)-1)</f>
        <v/>
      </c>
      <c r="G2702" s="16" t="str">
        <f t="shared" si="100"/>
        <v/>
      </c>
      <c r="H2702" s="70" t="str">
        <f t="shared" si="101"/>
        <v/>
      </c>
    </row>
    <row r="2703" spans="1:8">
      <c r="A2703" s="2"/>
      <c r="B2703" s="12"/>
      <c r="C2703" s="12"/>
      <c r="E2703" t="str">
        <f>IF(LEN(D2703)=0,"",[1]!i_pq_tradedays($B$3,A2704,A2703)-1)</f>
        <v/>
      </c>
      <c r="G2703" s="16" t="str">
        <f t="shared" si="100"/>
        <v/>
      </c>
      <c r="H2703" s="70" t="str">
        <f t="shared" si="101"/>
        <v/>
      </c>
    </row>
    <row r="2704" spans="1:8">
      <c r="A2704" s="2"/>
      <c r="B2704" s="12"/>
      <c r="C2704" s="12"/>
      <c r="E2704" t="str">
        <f>IF(LEN(D2704)=0,"",[1]!i_pq_tradedays($B$3,A2705,A2704)-1)</f>
        <v/>
      </c>
      <c r="G2704" s="16" t="str">
        <f t="shared" si="100"/>
        <v/>
      </c>
      <c r="H2704" s="70" t="str">
        <f t="shared" si="101"/>
        <v/>
      </c>
    </row>
    <row r="2705" spans="1:8">
      <c r="A2705" s="2"/>
      <c r="B2705" s="12"/>
      <c r="C2705" s="12"/>
      <c r="E2705" t="str">
        <f>IF(LEN(D2705)=0,"",[1]!i_pq_tradedays($B$3,A2706,A2705)-1)</f>
        <v/>
      </c>
      <c r="G2705" s="16" t="str">
        <f t="shared" si="100"/>
        <v/>
      </c>
      <c r="H2705" s="70" t="str">
        <f t="shared" si="101"/>
        <v/>
      </c>
    </row>
    <row r="2706" spans="1:8">
      <c r="A2706" s="2"/>
      <c r="B2706" s="12"/>
      <c r="C2706" s="12"/>
      <c r="E2706" t="str">
        <f>IF(LEN(D2706)=0,"",[1]!i_pq_tradedays($B$3,A2707,A2706)-1)</f>
        <v/>
      </c>
      <c r="G2706" s="16" t="str">
        <f t="shared" si="100"/>
        <v/>
      </c>
      <c r="H2706" s="70" t="str">
        <f t="shared" si="101"/>
        <v/>
      </c>
    </row>
    <row r="2707" spans="1:8">
      <c r="A2707" s="2"/>
      <c r="B2707" s="12"/>
      <c r="C2707" s="12"/>
      <c r="E2707" t="str">
        <f>IF(LEN(D2707)=0,"",[1]!i_pq_tradedays($B$3,A2708,A2707)-1)</f>
        <v/>
      </c>
      <c r="G2707" s="16" t="str">
        <f t="shared" si="100"/>
        <v/>
      </c>
      <c r="H2707" s="70" t="str">
        <f t="shared" si="101"/>
        <v/>
      </c>
    </row>
    <row r="2708" spans="1:8">
      <c r="A2708" s="2"/>
      <c r="B2708" s="12"/>
      <c r="C2708" s="12"/>
      <c r="E2708" t="str">
        <f>IF(LEN(D2708)=0,"",[1]!i_pq_tradedays($B$3,A2709,A2708)-1)</f>
        <v/>
      </c>
      <c r="G2708" s="16" t="str">
        <f t="shared" si="100"/>
        <v/>
      </c>
      <c r="H2708" s="70" t="str">
        <f t="shared" si="101"/>
        <v/>
      </c>
    </row>
    <row r="2709" spans="1:8">
      <c r="A2709" s="2"/>
      <c r="B2709" s="12"/>
      <c r="C2709" s="12"/>
      <c r="E2709" t="str">
        <f>IF(LEN(D2709)=0,"",[1]!i_pq_tradedays($B$3,A2710,A2709)-1)</f>
        <v/>
      </c>
      <c r="G2709" s="16" t="str">
        <f t="shared" si="100"/>
        <v/>
      </c>
      <c r="H2709" s="70" t="str">
        <f t="shared" si="101"/>
        <v/>
      </c>
    </row>
    <row r="2710" spans="1:8">
      <c r="A2710" s="2"/>
      <c r="B2710" s="12"/>
      <c r="C2710" s="12"/>
      <c r="E2710" t="str">
        <f>IF(LEN(D2710)=0,"",[1]!i_pq_tradedays($B$3,A2711,A2710)-1)</f>
        <v/>
      </c>
      <c r="G2710" s="16" t="str">
        <f t="shared" si="100"/>
        <v/>
      </c>
      <c r="H2710" s="70" t="str">
        <f t="shared" si="101"/>
        <v/>
      </c>
    </row>
    <row r="2711" spans="1:8">
      <c r="A2711" s="2"/>
      <c r="B2711" s="12"/>
      <c r="C2711" s="12"/>
      <c r="E2711" t="str">
        <f>IF(LEN(D2711)=0,"",[1]!i_pq_tradedays($B$3,A2712,A2711)-1)</f>
        <v/>
      </c>
      <c r="G2711" s="16" t="str">
        <f t="shared" si="100"/>
        <v/>
      </c>
      <c r="H2711" s="70" t="str">
        <f t="shared" si="101"/>
        <v/>
      </c>
    </row>
    <row r="2712" spans="1:8">
      <c r="A2712" s="2"/>
      <c r="B2712" s="12"/>
      <c r="C2712" s="12"/>
      <c r="E2712" t="str">
        <f>IF(LEN(D2712)=0,"",[1]!i_pq_tradedays($B$3,A2713,A2712)-1)</f>
        <v/>
      </c>
      <c r="G2712" s="16" t="str">
        <f t="shared" si="100"/>
        <v/>
      </c>
      <c r="H2712" s="70" t="str">
        <f t="shared" si="101"/>
        <v/>
      </c>
    </row>
    <row r="2713" spans="1:8">
      <c r="A2713" s="2"/>
      <c r="B2713" s="12"/>
      <c r="C2713" s="12"/>
      <c r="E2713" t="str">
        <f>IF(LEN(D2713)=0,"",[1]!i_pq_tradedays($B$3,A2714,A2713)-1)</f>
        <v/>
      </c>
      <c r="G2713" s="16" t="str">
        <f t="shared" si="100"/>
        <v/>
      </c>
      <c r="H2713" s="70" t="str">
        <f t="shared" si="101"/>
        <v/>
      </c>
    </row>
    <row r="2714" spans="1:8">
      <c r="A2714" s="2"/>
      <c r="B2714" s="12"/>
      <c r="C2714" s="12"/>
      <c r="E2714" t="str">
        <f>IF(LEN(D2714)=0,"",[1]!i_pq_tradedays($B$3,A2715,A2714)-1)</f>
        <v/>
      </c>
      <c r="G2714" s="16" t="str">
        <f t="shared" si="100"/>
        <v/>
      </c>
      <c r="H2714" s="70" t="str">
        <f t="shared" si="101"/>
        <v/>
      </c>
    </row>
    <row r="2715" spans="1:8">
      <c r="A2715" s="2"/>
      <c r="B2715" s="12"/>
      <c r="C2715" s="12"/>
      <c r="E2715" t="str">
        <f>IF(LEN(D2715)=0,"",[1]!i_pq_tradedays($B$3,A2716,A2715)-1)</f>
        <v/>
      </c>
      <c r="G2715" s="16" t="str">
        <f t="shared" si="100"/>
        <v/>
      </c>
      <c r="H2715" s="70" t="str">
        <f t="shared" si="101"/>
        <v/>
      </c>
    </row>
    <row r="2716" spans="1:8">
      <c r="A2716" s="2"/>
      <c r="B2716" s="12"/>
      <c r="C2716" s="12"/>
      <c r="E2716" t="str">
        <f>IF(LEN(D2716)=0,"",[1]!i_pq_tradedays($B$3,A2717,A2716)-1)</f>
        <v/>
      </c>
      <c r="G2716" s="16" t="str">
        <f t="shared" si="100"/>
        <v/>
      </c>
      <c r="H2716" s="70" t="str">
        <f t="shared" si="101"/>
        <v/>
      </c>
    </row>
    <row r="2717" spans="1:8">
      <c r="A2717" s="2"/>
      <c r="B2717" s="12"/>
      <c r="C2717" s="12"/>
      <c r="E2717" t="str">
        <f>IF(LEN(D2717)=0,"",[1]!i_pq_tradedays($B$3,A2718,A2717)-1)</f>
        <v/>
      </c>
      <c r="G2717" s="16" t="str">
        <f t="shared" si="100"/>
        <v/>
      </c>
      <c r="H2717" s="70" t="str">
        <f t="shared" si="101"/>
        <v/>
      </c>
    </row>
    <row r="2718" spans="1:8">
      <c r="A2718" s="2"/>
      <c r="B2718" s="12"/>
      <c r="C2718" s="12"/>
      <c r="E2718" t="str">
        <f>IF(LEN(D2718)=0,"",[1]!i_pq_tradedays($B$3,A2719,A2718)-1)</f>
        <v/>
      </c>
      <c r="G2718" s="16" t="str">
        <f t="shared" si="100"/>
        <v/>
      </c>
      <c r="H2718" s="70" t="str">
        <f t="shared" si="101"/>
        <v/>
      </c>
    </row>
    <row r="2719" spans="1:8">
      <c r="A2719" s="2"/>
      <c r="B2719" s="12"/>
      <c r="C2719" s="12"/>
      <c r="E2719" t="str">
        <f>IF(LEN(D2719)=0,"",[1]!i_pq_tradedays($B$3,A2720,A2719)-1)</f>
        <v/>
      </c>
      <c r="G2719" s="16" t="str">
        <f t="shared" si="100"/>
        <v/>
      </c>
      <c r="H2719" s="70" t="str">
        <f t="shared" si="101"/>
        <v/>
      </c>
    </row>
    <row r="2720" spans="1:8">
      <c r="A2720" s="2"/>
      <c r="B2720" s="12"/>
      <c r="C2720" s="12"/>
      <c r="E2720" t="str">
        <f>IF(LEN(D2720)=0,"",[1]!i_pq_tradedays($B$3,A2721,A2720)-1)</f>
        <v/>
      </c>
      <c r="G2720" s="16" t="str">
        <f t="shared" si="100"/>
        <v/>
      </c>
      <c r="H2720" s="70" t="str">
        <f t="shared" si="101"/>
        <v/>
      </c>
    </row>
    <row r="2721" spans="1:8">
      <c r="A2721" s="2"/>
      <c r="B2721" s="12"/>
      <c r="C2721" s="12"/>
      <c r="E2721" t="str">
        <f>IF(LEN(D2721)=0,"",[1]!i_pq_tradedays($B$3,A2722,A2721)-1)</f>
        <v/>
      </c>
      <c r="G2721" s="16" t="str">
        <f t="shared" si="100"/>
        <v/>
      </c>
      <c r="H2721" s="70" t="str">
        <f t="shared" si="101"/>
        <v/>
      </c>
    </row>
    <row r="2722" spans="1:8">
      <c r="A2722" s="2"/>
      <c r="B2722" s="12"/>
      <c r="C2722" s="12"/>
      <c r="E2722" t="str">
        <f>IF(LEN(D2722)=0,"",[1]!i_pq_tradedays($B$3,A2723,A2722)-1)</f>
        <v/>
      </c>
      <c r="G2722" s="16" t="str">
        <f t="shared" si="100"/>
        <v/>
      </c>
      <c r="H2722" s="70" t="str">
        <f t="shared" si="101"/>
        <v/>
      </c>
    </row>
    <row r="2723" spans="1:8">
      <c r="A2723" s="2"/>
      <c r="B2723" s="12"/>
      <c r="C2723" s="12"/>
      <c r="E2723" t="str">
        <f>IF(LEN(D2723)=0,"",[1]!i_pq_tradedays($B$3,A2724,A2723)-1)</f>
        <v/>
      </c>
      <c r="G2723" s="16" t="str">
        <f t="shared" si="100"/>
        <v/>
      </c>
      <c r="H2723" s="70" t="str">
        <f t="shared" si="101"/>
        <v/>
      </c>
    </row>
    <row r="2724" spans="1:8">
      <c r="A2724" s="2"/>
      <c r="B2724" s="12"/>
      <c r="C2724" s="12"/>
      <c r="E2724" t="str">
        <f>IF(LEN(D2724)=0,"",[1]!i_pq_tradedays($B$3,A2725,A2724)-1)</f>
        <v/>
      </c>
      <c r="G2724" s="16" t="str">
        <f t="shared" si="100"/>
        <v/>
      </c>
      <c r="H2724" s="70" t="str">
        <f t="shared" si="101"/>
        <v/>
      </c>
    </row>
    <row r="2725" spans="1:8">
      <c r="A2725" s="2"/>
      <c r="B2725" s="12"/>
      <c r="C2725" s="12"/>
      <c r="E2725" t="str">
        <f>IF(LEN(D2725)=0,"",[1]!i_pq_tradedays($B$3,A2726,A2725)-1)</f>
        <v/>
      </c>
      <c r="G2725" s="16" t="str">
        <f t="shared" si="100"/>
        <v/>
      </c>
      <c r="H2725" s="70" t="str">
        <f t="shared" si="101"/>
        <v/>
      </c>
    </row>
    <row r="2726" spans="1:8">
      <c r="A2726" s="2"/>
      <c r="B2726" s="12"/>
      <c r="C2726" s="12"/>
      <c r="E2726" t="str">
        <f>IF(LEN(D2726)=0,"",[1]!i_pq_tradedays($B$3,A2727,A2726)-1)</f>
        <v/>
      </c>
      <c r="G2726" s="16" t="str">
        <f t="shared" si="100"/>
        <v/>
      </c>
      <c r="H2726" s="70" t="str">
        <f t="shared" si="101"/>
        <v/>
      </c>
    </row>
    <row r="2727" spans="1:8">
      <c r="A2727" s="2"/>
      <c r="B2727" s="12"/>
      <c r="C2727" s="12"/>
      <c r="E2727" t="str">
        <f>IF(LEN(D2727)=0,"",[1]!i_pq_tradedays($B$3,A2728,A2727)-1)</f>
        <v/>
      </c>
      <c r="G2727" s="16" t="str">
        <f t="shared" si="100"/>
        <v/>
      </c>
      <c r="H2727" s="70" t="str">
        <f t="shared" si="101"/>
        <v/>
      </c>
    </row>
    <row r="2728" spans="1:8">
      <c r="A2728" s="2"/>
      <c r="B2728" s="12"/>
      <c r="C2728" s="12"/>
      <c r="E2728" t="str">
        <f>IF(LEN(D2728)=0,"",[1]!i_pq_tradedays($B$3,A2729,A2728)-1)</f>
        <v/>
      </c>
      <c r="G2728" s="16" t="str">
        <f t="shared" si="100"/>
        <v/>
      </c>
      <c r="H2728" s="70" t="str">
        <f t="shared" si="101"/>
        <v/>
      </c>
    </row>
    <row r="2729" spans="1:8">
      <c r="A2729" s="2"/>
      <c r="B2729" s="12"/>
      <c r="C2729" s="12"/>
      <c r="E2729" t="str">
        <f>IF(LEN(D2729)=0,"",[1]!i_pq_tradedays($B$3,A2730,A2729)-1)</f>
        <v/>
      </c>
      <c r="G2729" s="16" t="str">
        <f t="shared" si="100"/>
        <v/>
      </c>
      <c r="H2729" s="70" t="str">
        <f t="shared" si="101"/>
        <v/>
      </c>
    </row>
    <row r="2730" spans="1:8">
      <c r="A2730" s="2"/>
      <c r="B2730" s="12"/>
      <c r="C2730" s="12"/>
      <c r="E2730" t="str">
        <f>IF(LEN(D2730)=0,"",[1]!i_pq_tradedays($B$3,A2731,A2730)-1)</f>
        <v/>
      </c>
      <c r="G2730" s="16" t="str">
        <f t="shared" si="100"/>
        <v/>
      </c>
      <c r="H2730" s="70" t="str">
        <f t="shared" si="101"/>
        <v/>
      </c>
    </row>
    <row r="2731" spans="1:8">
      <c r="A2731" s="2"/>
      <c r="B2731" s="12"/>
      <c r="C2731" s="12"/>
      <c r="E2731" t="str">
        <f>IF(LEN(D2731)=0,"",[1]!i_pq_tradedays($B$3,A2732,A2731)-1)</f>
        <v/>
      </c>
      <c r="G2731" s="16" t="str">
        <f t="shared" si="100"/>
        <v/>
      </c>
      <c r="H2731" s="70" t="str">
        <f t="shared" si="101"/>
        <v/>
      </c>
    </row>
    <row r="2732" spans="1:8">
      <c r="A2732" s="2"/>
      <c r="B2732" s="12"/>
      <c r="C2732" s="12"/>
      <c r="E2732" t="str">
        <f>IF(LEN(D2732)=0,"",[1]!i_pq_tradedays($B$3,A2733,A2732)-1)</f>
        <v/>
      </c>
      <c r="G2732" s="16" t="str">
        <f t="shared" si="100"/>
        <v/>
      </c>
      <c r="H2732" s="70" t="str">
        <f t="shared" si="101"/>
        <v/>
      </c>
    </row>
    <row r="2733" spans="1:8">
      <c r="A2733" s="2"/>
      <c r="B2733" s="12"/>
      <c r="C2733" s="12"/>
      <c r="E2733" t="str">
        <f>IF(LEN(D2733)=0,"",[1]!i_pq_tradedays($B$3,A2734,A2733)-1)</f>
        <v/>
      </c>
      <c r="G2733" s="16" t="str">
        <f t="shared" si="100"/>
        <v/>
      </c>
      <c r="H2733" s="70" t="str">
        <f t="shared" si="101"/>
        <v/>
      </c>
    </row>
    <row r="2734" spans="1:8">
      <c r="A2734" s="2"/>
      <c r="B2734" s="12"/>
      <c r="C2734" s="12"/>
      <c r="E2734" t="str">
        <f>IF(LEN(D2734)=0,"",[1]!i_pq_tradedays($B$3,A2735,A2734)-1)</f>
        <v/>
      </c>
      <c r="G2734" s="16" t="str">
        <f t="shared" si="100"/>
        <v/>
      </c>
      <c r="H2734" s="70" t="str">
        <f t="shared" si="101"/>
        <v/>
      </c>
    </row>
    <row r="2735" spans="1:8">
      <c r="A2735" s="2"/>
      <c r="B2735" s="12"/>
      <c r="C2735" s="12"/>
      <c r="E2735" t="str">
        <f>IF(LEN(D2735)=0,"",[1]!i_pq_tradedays($B$3,A2736,A2735)-1)</f>
        <v/>
      </c>
      <c r="G2735" s="16" t="str">
        <f t="shared" si="100"/>
        <v/>
      </c>
      <c r="H2735" s="70" t="str">
        <f t="shared" si="101"/>
        <v/>
      </c>
    </row>
    <row r="2736" spans="1:8">
      <c r="A2736" s="2"/>
      <c r="B2736" s="12"/>
      <c r="C2736" s="12"/>
      <c r="E2736" t="str">
        <f>IF(LEN(D2736)=0,"",[1]!i_pq_tradedays($B$3,A2737,A2736)-1)</f>
        <v/>
      </c>
      <c r="G2736" s="16" t="str">
        <f t="shared" si="100"/>
        <v/>
      </c>
      <c r="H2736" s="70" t="str">
        <f t="shared" si="101"/>
        <v/>
      </c>
    </row>
    <row r="2737" spans="1:8">
      <c r="A2737" s="2"/>
      <c r="B2737" s="12"/>
      <c r="C2737" s="12"/>
      <c r="E2737" t="str">
        <f>IF(LEN(D2737)=0,"",[1]!i_pq_tradedays($B$3,A2738,A2737)-1)</f>
        <v/>
      </c>
      <c r="G2737" s="16" t="str">
        <f t="shared" si="100"/>
        <v/>
      </c>
      <c r="H2737" s="70" t="str">
        <f t="shared" si="101"/>
        <v/>
      </c>
    </row>
    <row r="2738" spans="1:8">
      <c r="A2738" s="2"/>
      <c r="B2738" s="12"/>
      <c r="C2738" s="12"/>
      <c r="E2738" t="str">
        <f>IF(LEN(D2738)=0,"",[1]!i_pq_tradedays($B$3,A2739,A2738)-1)</f>
        <v/>
      </c>
      <c r="G2738" s="16" t="str">
        <f t="shared" si="100"/>
        <v/>
      </c>
      <c r="H2738" s="70" t="str">
        <f t="shared" si="101"/>
        <v/>
      </c>
    </row>
    <row r="2739" spans="1:8">
      <c r="A2739" s="2"/>
      <c r="B2739" s="12"/>
      <c r="C2739" s="12"/>
      <c r="E2739" t="str">
        <f>IF(LEN(D2739)=0,"",[1]!i_pq_tradedays($B$3,A2740,A2739)-1)</f>
        <v/>
      </c>
      <c r="G2739" s="16" t="str">
        <f t="shared" si="100"/>
        <v/>
      </c>
      <c r="H2739" s="70" t="str">
        <f t="shared" si="101"/>
        <v/>
      </c>
    </row>
    <row r="2740" spans="1:8">
      <c r="A2740" s="2"/>
      <c r="B2740" s="12"/>
      <c r="C2740" s="12"/>
      <c r="E2740" t="str">
        <f>IF(LEN(D2740)=0,"",[1]!i_pq_tradedays($B$3,A2741,A2740)-1)</f>
        <v/>
      </c>
      <c r="G2740" s="16" t="str">
        <f t="shared" si="100"/>
        <v/>
      </c>
      <c r="H2740" s="70" t="str">
        <f t="shared" si="101"/>
        <v/>
      </c>
    </row>
    <row r="2741" spans="1:8">
      <c r="A2741" s="2"/>
      <c r="B2741" s="12"/>
      <c r="C2741" s="12"/>
      <c r="E2741" t="str">
        <f>IF(LEN(D2741)=0,"",[1]!i_pq_tradedays($B$3,A2742,A2741)-1)</f>
        <v/>
      </c>
      <c r="G2741" s="16" t="str">
        <f t="shared" ref="G2741:G2804" si="102">IF(LEN(D2741)=0,"",D2741/E2741)</f>
        <v/>
      </c>
      <c r="H2741" s="70" t="str">
        <f t="shared" ref="H2741:H2804" si="103">IF(LEN(D2741)=0,"",G2741/G2742-1)</f>
        <v/>
      </c>
    </row>
    <row r="2742" spans="1:8">
      <c r="A2742" s="2"/>
      <c r="B2742" s="12"/>
      <c r="C2742" s="12"/>
      <c r="E2742" t="str">
        <f>IF(LEN(D2742)=0,"",[1]!i_pq_tradedays($B$3,A2743,A2742)-1)</f>
        <v/>
      </c>
      <c r="G2742" s="16" t="str">
        <f t="shared" si="102"/>
        <v/>
      </c>
      <c r="H2742" s="70" t="str">
        <f t="shared" si="103"/>
        <v/>
      </c>
    </row>
    <row r="2743" spans="1:8">
      <c r="A2743" s="2"/>
      <c r="B2743" s="12"/>
      <c r="C2743" s="12"/>
      <c r="E2743" t="str">
        <f>IF(LEN(D2743)=0,"",[1]!i_pq_tradedays($B$3,A2744,A2743)-1)</f>
        <v/>
      </c>
      <c r="G2743" s="16" t="str">
        <f t="shared" si="102"/>
        <v/>
      </c>
      <c r="H2743" s="70" t="str">
        <f t="shared" si="103"/>
        <v/>
      </c>
    </row>
    <row r="2744" spans="1:8">
      <c r="A2744" s="2"/>
      <c r="B2744" s="12"/>
      <c r="C2744" s="12"/>
      <c r="E2744" t="str">
        <f>IF(LEN(D2744)=0,"",[1]!i_pq_tradedays($B$3,A2745,A2744)-1)</f>
        <v/>
      </c>
      <c r="G2744" s="16" t="str">
        <f t="shared" si="102"/>
        <v/>
      </c>
      <c r="H2744" s="70" t="str">
        <f t="shared" si="103"/>
        <v/>
      </c>
    </row>
    <row r="2745" spans="1:8">
      <c r="A2745" s="2"/>
      <c r="B2745" s="12"/>
      <c r="C2745" s="12"/>
      <c r="E2745" t="str">
        <f>IF(LEN(D2745)=0,"",[1]!i_pq_tradedays($B$3,A2746,A2745)-1)</f>
        <v/>
      </c>
      <c r="G2745" s="16" t="str">
        <f t="shared" si="102"/>
        <v/>
      </c>
      <c r="H2745" s="70" t="str">
        <f t="shared" si="103"/>
        <v/>
      </c>
    </row>
    <row r="2746" spans="1:8">
      <c r="A2746" s="2"/>
      <c r="B2746" s="12"/>
      <c r="C2746" s="12"/>
      <c r="E2746" t="str">
        <f>IF(LEN(D2746)=0,"",[1]!i_pq_tradedays($B$3,A2747,A2746)-1)</f>
        <v/>
      </c>
      <c r="G2746" s="16" t="str">
        <f t="shared" si="102"/>
        <v/>
      </c>
      <c r="H2746" s="70" t="str">
        <f t="shared" si="103"/>
        <v/>
      </c>
    </row>
    <row r="2747" spans="1:8">
      <c r="A2747" s="2"/>
      <c r="B2747" s="12"/>
      <c r="C2747" s="12"/>
      <c r="E2747" t="str">
        <f>IF(LEN(D2747)=0,"",[1]!i_pq_tradedays($B$3,A2748,A2747)-1)</f>
        <v/>
      </c>
      <c r="G2747" s="16" t="str">
        <f t="shared" si="102"/>
        <v/>
      </c>
      <c r="H2747" s="70" t="str">
        <f t="shared" si="103"/>
        <v/>
      </c>
    </row>
    <row r="2748" spans="1:8">
      <c r="A2748" s="2"/>
      <c r="B2748" s="12"/>
      <c r="C2748" s="12"/>
      <c r="E2748" t="str">
        <f>IF(LEN(D2748)=0,"",[1]!i_pq_tradedays($B$3,A2749,A2748)-1)</f>
        <v/>
      </c>
      <c r="G2748" s="16" t="str">
        <f t="shared" si="102"/>
        <v/>
      </c>
      <c r="H2748" s="70" t="str">
        <f t="shared" si="103"/>
        <v/>
      </c>
    </row>
    <row r="2749" spans="1:8">
      <c r="A2749" s="2"/>
      <c r="B2749" s="12"/>
      <c r="C2749" s="12"/>
      <c r="E2749" t="str">
        <f>IF(LEN(D2749)=0,"",[1]!i_pq_tradedays($B$3,A2750,A2749)-1)</f>
        <v/>
      </c>
      <c r="G2749" s="16" t="str">
        <f t="shared" si="102"/>
        <v/>
      </c>
      <c r="H2749" s="70" t="str">
        <f t="shared" si="103"/>
        <v/>
      </c>
    </row>
    <row r="2750" spans="1:8">
      <c r="A2750" s="2"/>
      <c r="B2750" s="12"/>
      <c r="C2750" s="12"/>
      <c r="E2750" t="str">
        <f>IF(LEN(D2750)=0,"",[1]!i_pq_tradedays($B$3,A2751,A2750)-1)</f>
        <v/>
      </c>
      <c r="G2750" s="16" t="str">
        <f t="shared" si="102"/>
        <v/>
      </c>
      <c r="H2750" s="70" t="str">
        <f t="shared" si="103"/>
        <v/>
      </c>
    </row>
    <row r="2751" spans="1:8">
      <c r="A2751" s="2"/>
      <c r="B2751" s="12"/>
      <c r="C2751" s="12"/>
      <c r="E2751" t="str">
        <f>IF(LEN(D2751)=0,"",[1]!i_pq_tradedays($B$3,A2752,A2751)-1)</f>
        <v/>
      </c>
      <c r="G2751" s="16" t="str">
        <f t="shared" si="102"/>
        <v/>
      </c>
      <c r="H2751" s="70" t="str">
        <f t="shared" si="103"/>
        <v/>
      </c>
    </row>
    <row r="2752" spans="1:8">
      <c r="A2752" s="2"/>
      <c r="B2752" s="12"/>
      <c r="C2752" s="12"/>
      <c r="E2752" t="str">
        <f>IF(LEN(D2752)=0,"",[1]!i_pq_tradedays($B$3,A2753,A2752)-1)</f>
        <v/>
      </c>
      <c r="G2752" s="16" t="str">
        <f t="shared" si="102"/>
        <v/>
      </c>
      <c r="H2752" s="70" t="str">
        <f t="shared" si="103"/>
        <v/>
      </c>
    </row>
    <row r="2753" spans="1:8">
      <c r="A2753" s="2"/>
      <c r="B2753" s="12"/>
      <c r="C2753" s="12"/>
      <c r="E2753" t="str">
        <f>IF(LEN(D2753)=0,"",[1]!i_pq_tradedays($B$3,A2754,A2753)-1)</f>
        <v/>
      </c>
      <c r="G2753" s="16" t="str">
        <f t="shared" si="102"/>
        <v/>
      </c>
      <c r="H2753" s="70" t="str">
        <f t="shared" si="103"/>
        <v/>
      </c>
    </row>
    <row r="2754" spans="1:8">
      <c r="A2754" s="2"/>
      <c r="B2754" s="12"/>
      <c r="C2754" s="12"/>
      <c r="E2754" t="str">
        <f>IF(LEN(D2754)=0,"",[1]!i_pq_tradedays($B$3,A2755,A2754)-1)</f>
        <v/>
      </c>
      <c r="G2754" s="16" t="str">
        <f t="shared" si="102"/>
        <v/>
      </c>
      <c r="H2754" s="70" t="str">
        <f t="shared" si="103"/>
        <v/>
      </c>
    </row>
    <row r="2755" spans="1:8">
      <c r="A2755" s="2"/>
      <c r="B2755" s="12"/>
      <c r="C2755" s="12"/>
      <c r="E2755" t="str">
        <f>IF(LEN(D2755)=0,"",[1]!i_pq_tradedays($B$3,A2756,A2755)-1)</f>
        <v/>
      </c>
      <c r="G2755" s="16" t="str">
        <f t="shared" si="102"/>
        <v/>
      </c>
      <c r="H2755" s="70" t="str">
        <f t="shared" si="103"/>
        <v/>
      </c>
    </row>
    <row r="2756" spans="1:8">
      <c r="A2756" s="2"/>
      <c r="B2756" s="12"/>
      <c r="C2756" s="12"/>
      <c r="E2756" t="str">
        <f>IF(LEN(D2756)=0,"",[1]!i_pq_tradedays($B$3,A2757,A2756)-1)</f>
        <v/>
      </c>
      <c r="G2756" s="16" t="str">
        <f t="shared" si="102"/>
        <v/>
      </c>
      <c r="H2756" s="70" t="str">
        <f t="shared" si="103"/>
        <v/>
      </c>
    </row>
    <row r="2757" spans="1:8">
      <c r="A2757" s="2"/>
      <c r="B2757" s="12"/>
      <c r="C2757" s="12"/>
      <c r="E2757" t="str">
        <f>IF(LEN(D2757)=0,"",[1]!i_pq_tradedays($B$3,A2758,A2757)-1)</f>
        <v/>
      </c>
      <c r="G2757" s="16" t="str">
        <f t="shared" si="102"/>
        <v/>
      </c>
      <c r="H2757" s="70" t="str">
        <f t="shared" si="103"/>
        <v/>
      </c>
    </row>
    <row r="2758" spans="1:8">
      <c r="A2758" s="2"/>
      <c r="B2758" s="12"/>
      <c r="C2758" s="12"/>
      <c r="E2758" t="str">
        <f>IF(LEN(D2758)=0,"",[1]!i_pq_tradedays($B$3,A2759,A2758)-1)</f>
        <v/>
      </c>
      <c r="G2758" s="16" t="str">
        <f t="shared" si="102"/>
        <v/>
      </c>
      <c r="H2758" s="70" t="str">
        <f t="shared" si="103"/>
        <v/>
      </c>
    </row>
    <row r="2759" spans="1:8">
      <c r="A2759" s="2"/>
      <c r="B2759" s="12"/>
      <c r="C2759" s="12"/>
      <c r="E2759" t="str">
        <f>IF(LEN(D2759)=0,"",[1]!i_pq_tradedays($B$3,A2760,A2759)-1)</f>
        <v/>
      </c>
      <c r="G2759" s="16" t="str">
        <f t="shared" si="102"/>
        <v/>
      </c>
      <c r="H2759" s="70" t="str">
        <f t="shared" si="103"/>
        <v/>
      </c>
    </row>
    <row r="2760" spans="1:8">
      <c r="A2760" s="2"/>
      <c r="B2760" s="12"/>
      <c r="C2760" s="12"/>
      <c r="E2760" t="str">
        <f>IF(LEN(D2760)=0,"",[1]!i_pq_tradedays($B$3,A2761,A2760)-1)</f>
        <v/>
      </c>
      <c r="G2760" s="16" t="str">
        <f t="shared" si="102"/>
        <v/>
      </c>
      <c r="H2760" s="70" t="str">
        <f t="shared" si="103"/>
        <v/>
      </c>
    </row>
    <row r="2761" spans="1:8">
      <c r="A2761" s="2"/>
      <c r="B2761" s="12"/>
      <c r="C2761" s="12"/>
      <c r="E2761" t="str">
        <f>IF(LEN(D2761)=0,"",[1]!i_pq_tradedays($B$3,A2762,A2761)-1)</f>
        <v/>
      </c>
      <c r="G2761" s="16" t="str">
        <f t="shared" si="102"/>
        <v/>
      </c>
      <c r="H2761" s="70" t="str">
        <f t="shared" si="103"/>
        <v/>
      </c>
    </row>
    <row r="2762" spans="1:8">
      <c r="A2762" s="2"/>
      <c r="B2762" s="12"/>
      <c r="C2762" s="12"/>
      <c r="E2762" t="str">
        <f>IF(LEN(D2762)=0,"",[1]!i_pq_tradedays($B$3,A2763,A2762)-1)</f>
        <v/>
      </c>
      <c r="G2762" s="16" t="str">
        <f t="shared" si="102"/>
        <v/>
      </c>
      <c r="H2762" s="70" t="str">
        <f t="shared" si="103"/>
        <v/>
      </c>
    </row>
    <row r="2763" spans="1:8">
      <c r="A2763" s="2"/>
      <c r="B2763" s="12"/>
      <c r="C2763" s="12"/>
      <c r="E2763" t="str">
        <f>IF(LEN(D2763)=0,"",[1]!i_pq_tradedays($B$3,A2764,A2763)-1)</f>
        <v/>
      </c>
      <c r="G2763" s="16" t="str">
        <f t="shared" si="102"/>
        <v/>
      </c>
      <c r="H2763" s="70" t="str">
        <f t="shared" si="103"/>
        <v/>
      </c>
    </row>
    <row r="2764" spans="1:8">
      <c r="A2764" s="2"/>
      <c r="B2764" s="12"/>
      <c r="C2764" s="12"/>
      <c r="E2764" t="str">
        <f>IF(LEN(D2764)=0,"",[1]!i_pq_tradedays($B$3,A2765,A2764)-1)</f>
        <v/>
      </c>
      <c r="G2764" s="16" t="str">
        <f t="shared" si="102"/>
        <v/>
      </c>
      <c r="H2764" s="70" t="str">
        <f t="shared" si="103"/>
        <v/>
      </c>
    </row>
    <row r="2765" spans="1:8">
      <c r="A2765" s="2"/>
      <c r="B2765" s="12"/>
      <c r="C2765" s="12"/>
      <c r="E2765" t="str">
        <f>IF(LEN(D2765)=0,"",[1]!i_pq_tradedays($B$3,A2766,A2765)-1)</f>
        <v/>
      </c>
      <c r="G2765" s="16" t="str">
        <f t="shared" si="102"/>
        <v/>
      </c>
      <c r="H2765" s="70" t="str">
        <f t="shared" si="103"/>
        <v/>
      </c>
    </row>
    <row r="2766" spans="1:8">
      <c r="A2766" s="2"/>
      <c r="B2766" s="12"/>
      <c r="C2766" s="12"/>
      <c r="E2766" t="str">
        <f>IF(LEN(D2766)=0,"",[1]!i_pq_tradedays($B$3,A2767,A2766)-1)</f>
        <v/>
      </c>
      <c r="G2766" s="16" t="str">
        <f t="shared" si="102"/>
        <v/>
      </c>
      <c r="H2766" s="70" t="str">
        <f t="shared" si="103"/>
        <v/>
      </c>
    </row>
    <row r="2767" spans="1:8">
      <c r="A2767" s="2"/>
      <c r="B2767" s="12"/>
      <c r="C2767" s="12"/>
      <c r="E2767" t="str">
        <f>IF(LEN(D2767)=0,"",[1]!i_pq_tradedays($B$3,A2768,A2767)-1)</f>
        <v/>
      </c>
      <c r="G2767" s="16" t="str">
        <f t="shared" si="102"/>
        <v/>
      </c>
      <c r="H2767" s="70" t="str">
        <f t="shared" si="103"/>
        <v/>
      </c>
    </row>
    <row r="2768" spans="1:8">
      <c r="A2768" s="2"/>
      <c r="B2768" s="12"/>
      <c r="C2768" s="12"/>
      <c r="E2768" t="str">
        <f>IF(LEN(D2768)=0,"",[1]!i_pq_tradedays($B$3,A2769,A2768)-1)</f>
        <v/>
      </c>
      <c r="G2768" s="16" t="str">
        <f t="shared" si="102"/>
        <v/>
      </c>
      <c r="H2768" s="70" t="str">
        <f t="shared" si="103"/>
        <v/>
      </c>
    </row>
    <row r="2769" spans="1:8">
      <c r="A2769" s="2"/>
      <c r="B2769" s="12"/>
      <c r="C2769" s="12"/>
      <c r="E2769" t="str">
        <f>IF(LEN(D2769)=0,"",[1]!i_pq_tradedays($B$3,A2770,A2769)-1)</f>
        <v/>
      </c>
      <c r="G2769" s="16" t="str">
        <f t="shared" si="102"/>
        <v/>
      </c>
      <c r="H2769" s="70" t="str">
        <f t="shared" si="103"/>
        <v/>
      </c>
    </row>
    <row r="2770" spans="1:8">
      <c r="A2770" s="2"/>
      <c r="B2770" s="12"/>
      <c r="C2770" s="12"/>
      <c r="E2770" t="str">
        <f>IF(LEN(D2770)=0,"",[1]!i_pq_tradedays($B$3,A2771,A2770)-1)</f>
        <v/>
      </c>
      <c r="G2770" s="16" t="str">
        <f t="shared" si="102"/>
        <v/>
      </c>
      <c r="H2770" s="70" t="str">
        <f t="shared" si="103"/>
        <v/>
      </c>
    </row>
    <row r="2771" spans="1:8">
      <c r="A2771" s="2"/>
      <c r="B2771" s="12"/>
      <c r="C2771" s="12"/>
      <c r="E2771" t="str">
        <f>IF(LEN(D2771)=0,"",[1]!i_pq_tradedays($B$3,A2772,A2771)-1)</f>
        <v/>
      </c>
      <c r="G2771" s="16" t="str">
        <f t="shared" si="102"/>
        <v/>
      </c>
      <c r="H2771" s="70" t="str">
        <f t="shared" si="103"/>
        <v/>
      </c>
    </row>
    <row r="2772" spans="1:8">
      <c r="A2772" s="2"/>
      <c r="B2772" s="12"/>
      <c r="C2772" s="12"/>
      <c r="E2772" t="str">
        <f>IF(LEN(D2772)=0,"",[1]!i_pq_tradedays($B$3,A2773,A2772)-1)</f>
        <v/>
      </c>
      <c r="G2772" s="16" t="str">
        <f t="shared" si="102"/>
        <v/>
      </c>
      <c r="H2772" s="70" t="str">
        <f t="shared" si="103"/>
        <v/>
      </c>
    </row>
    <row r="2773" spans="1:8">
      <c r="A2773" s="2"/>
      <c r="B2773" s="12"/>
      <c r="C2773" s="12"/>
      <c r="E2773" t="str">
        <f>IF(LEN(D2773)=0,"",[1]!i_pq_tradedays($B$3,A2774,A2773)-1)</f>
        <v/>
      </c>
      <c r="G2773" s="16" t="str">
        <f t="shared" si="102"/>
        <v/>
      </c>
      <c r="H2773" s="70" t="str">
        <f t="shared" si="103"/>
        <v/>
      </c>
    </row>
    <row r="2774" spans="1:8">
      <c r="A2774" s="2"/>
      <c r="B2774" s="12"/>
      <c r="C2774" s="12"/>
      <c r="E2774" t="str">
        <f>IF(LEN(D2774)=0,"",[1]!i_pq_tradedays($B$3,A2775,A2774)-1)</f>
        <v/>
      </c>
      <c r="G2774" s="16" t="str">
        <f t="shared" si="102"/>
        <v/>
      </c>
      <c r="H2774" s="70" t="str">
        <f t="shared" si="103"/>
        <v/>
      </c>
    </row>
    <row r="2775" spans="1:8">
      <c r="A2775" s="2"/>
      <c r="B2775" s="12"/>
      <c r="C2775" s="12"/>
      <c r="E2775" t="str">
        <f>IF(LEN(D2775)=0,"",[1]!i_pq_tradedays($B$3,A2776,A2775)-1)</f>
        <v/>
      </c>
      <c r="G2775" s="16" t="str">
        <f t="shared" si="102"/>
        <v/>
      </c>
      <c r="H2775" s="70" t="str">
        <f t="shared" si="103"/>
        <v/>
      </c>
    </row>
    <row r="2776" spans="1:8">
      <c r="A2776" s="2"/>
      <c r="B2776" s="12"/>
      <c r="C2776" s="12"/>
      <c r="E2776" t="str">
        <f>IF(LEN(D2776)=0,"",[1]!i_pq_tradedays($B$3,A2777,A2776)-1)</f>
        <v/>
      </c>
      <c r="G2776" s="16" t="str">
        <f t="shared" si="102"/>
        <v/>
      </c>
      <c r="H2776" s="70" t="str">
        <f t="shared" si="103"/>
        <v/>
      </c>
    </row>
    <row r="2777" spans="1:8">
      <c r="A2777" s="2"/>
      <c r="B2777" s="12"/>
      <c r="C2777" s="12"/>
      <c r="E2777" t="str">
        <f>IF(LEN(D2777)=0,"",[1]!i_pq_tradedays($B$3,A2778,A2777)-1)</f>
        <v/>
      </c>
      <c r="G2777" s="16" t="str">
        <f t="shared" si="102"/>
        <v/>
      </c>
      <c r="H2777" s="70" t="str">
        <f t="shared" si="103"/>
        <v/>
      </c>
    </row>
    <row r="2778" spans="1:8">
      <c r="A2778" s="2"/>
      <c r="B2778" s="12"/>
      <c r="C2778" s="12"/>
      <c r="E2778" t="str">
        <f>IF(LEN(D2778)=0,"",[1]!i_pq_tradedays($B$3,A2779,A2778)-1)</f>
        <v/>
      </c>
      <c r="G2778" s="16" t="str">
        <f t="shared" si="102"/>
        <v/>
      </c>
      <c r="H2778" s="70" t="str">
        <f t="shared" si="103"/>
        <v/>
      </c>
    </row>
    <row r="2779" spans="1:8">
      <c r="A2779" s="2"/>
      <c r="B2779" s="12"/>
      <c r="C2779" s="12"/>
      <c r="E2779" t="str">
        <f>IF(LEN(D2779)=0,"",[1]!i_pq_tradedays($B$3,A2780,A2779)-1)</f>
        <v/>
      </c>
      <c r="G2779" s="16" t="str">
        <f t="shared" si="102"/>
        <v/>
      </c>
      <c r="H2779" s="70" t="str">
        <f t="shared" si="103"/>
        <v/>
      </c>
    </row>
    <row r="2780" spans="1:8">
      <c r="A2780" s="2"/>
      <c r="B2780" s="12"/>
      <c r="C2780" s="12"/>
      <c r="E2780" t="str">
        <f>IF(LEN(D2780)=0,"",[1]!i_pq_tradedays($B$3,A2781,A2780)-1)</f>
        <v/>
      </c>
      <c r="G2780" s="16" t="str">
        <f t="shared" si="102"/>
        <v/>
      </c>
      <c r="H2780" s="70" t="str">
        <f t="shared" si="103"/>
        <v/>
      </c>
    </row>
    <row r="2781" spans="1:8">
      <c r="A2781" s="2"/>
      <c r="B2781" s="12"/>
      <c r="C2781" s="12"/>
      <c r="E2781" t="str">
        <f>IF(LEN(D2781)=0,"",[1]!i_pq_tradedays($B$3,A2782,A2781)-1)</f>
        <v/>
      </c>
      <c r="G2781" s="16" t="str">
        <f t="shared" si="102"/>
        <v/>
      </c>
      <c r="H2781" s="70" t="str">
        <f t="shared" si="103"/>
        <v/>
      </c>
    </row>
    <row r="2782" spans="1:8">
      <c r="A2782" s="2"/>
      <c r="B2782" s="12"/>
      <c r="C2782" s="12"/>
      <c r="E2782" t="str">
        <f>IF(LEN(D2782)=0,"",[1]!i_pq_tradedays($B$3,A2783,A2782)-1)</f>
        <v/>
      </c>
      <c r="G2782" s="16" t="str">
        <f t="shared" si="102"/>
        <v/>
      </c>
      <c r="H2782" s="70" t="str">
        <f t="shared" si="103"/>
        <v/>
      </c>
    </row>
    <row r="2783" spans="1:8">
      <c r="A2783" s="2"/>
      <c r="B2783" s="12"/>
      <c r="C2783" s="12"/>
      <c r="E2783" t="str">
        <f>IF(LEN(D2783)=0,"",[1]!i_pq_tradedays($B$3,A2784,A2783)-1)</f>
        <v/>
      </c>
      <c r="G2783" s="16" t="str">
        <f t="shared" si="102"/>
        <v/>
      </c>
      <c r="H2783" s="70" t="str">
        <f t="shared" si="103"/>
        <v/>
      </c>
    </row>
    <row r="2784" spans="1:8">
      <c r="A2784" s="2"/>
      <c r="B2784" s="12"/>
      <c r="C2784" s="12"/>
      <c r="E2784" t="str">
        <f>IF(LEN(D2784)=0,"",[1]!i_pq_tradedays($B$3,A2785,A2784)-1)</f>
        <v/>
      </c>
      <c r="G2784" s="16" t="str">
        <f t="shared" si="102"/>
        <v/>
      </c>
      <c r="H2784" s="70" t="str">
        <f t="shared" si="103"/>
        <v/>
      </c>
    </row>
    <row r="2785" spans="1:8">
      <c r="A2785" s="2"/>
      <c r="B2785" s="12"/>
      <c r="C2785" s="12"/>
      <c r="E2785" t="str">
        <f>IF(LEN(D2785)=0,"",[1]!i_pq_tradedays($B$3,A2786,A2785)-1)</f>
        <v/>
      </c>
      <c r="G2785" s="16" t="str">
        <f t="shared" si="102"/>
        <v/>
      </c>
      <c r="H2785" s="70" t="str">
        <f t="shared" si="103"/>
        <v/>
      </c>
    </row>
    <row r="2786" spans="1:8">
      <c r="A2786" s="2"/>
      <c r="B2786" s="12"/>
      <c r="C2786" s="12"/>
      <c r="E2786" t="str">
        <f>IF(LEN(D2786)=0,"",[1]!i_pq_tradedays($B$3,A2787,A2786)-1)</f>
        <v/>
      </c>
      <c r="G2786" s="16" t="str">
        <f t="shared" si="102"/>
        <v/>
      </c>
      <c r="H2786" s="70" t="str">
        <f t="shared" si="103"/>
        <v/>
      </c>
    </row>
    <row r="2787" spans="1:8">
      <c r="A2787" s="2"/>
      <c r="B2787" s="12"/>
      <c r="C2787" s="12"/>
      <c r="E2787" t="str">
        <f>IF(LEN(D2787)=0,"",[1]!i_pq_tradedays($B$3,A2788,A2787)-1)</f>
        <v/>
      </c>
      <c r="G2787" s="16" t="str">
        <f t="shared" si="102"/>
        <v/>
      </c>
      <c r="H2787" s="70" t="str">
        <f t="shared" si="103"/>
        <v/>
      </c>
    </row>
    <row r="2788" spans="1:8">
      <c r="A2788" s="2"/>
      <c r="B2788" s="12"/>
      <c r="C2788" s="12"/>
      <c r="E2788" t="str">
        <f>IF(LEN(D2788)=0,"",[1]!i_pq_tradedays($B$3,A2789,A2788)-1)</f>
        <v/>
      </c>
      <c r="G2788" s="16" t="str">
        <f t="shared" si="102"/>
        <v/>
      </c>
      <c r="H2788" s="70" t="str">
        <f t="shared" si="103"/>
        <v/>
      </c>
    </row>
    <row r="2789" spans="1:8">
      <c r="A2789" s="2"/>
      <c r="B2789" s="12"/>
      <c r="C2789" s="12"/>
      <c r="E2789" t="str">
        <f>IF(LEN(D2789)=0,"",[1]!i_pq_tradedays($B$3,A2790,A2789)-1)</f>
        <v/>
      </c>
      <c r="G2789" s="16" t="str">
        <f t="shared" si="102"/>
        <v/>
      </c>
      <c r="H2789" s="70" t="str">
        <f t="shared" si="103"/>
        <v/>
      </c>
    </row>
    <row r="2790" spans="1:8">
      <c r="A2790" s="2"/>
      <c r="B2790" s="12"/>
      <c r="C2790" s="12"/>
      <c r="E2790" t="str">
        <f>IF(LEN(D2790)=0,"",[1]!i_pq_tradedays($B$3,A2791,A2790)-1)</f>
        <v/>
      </c>
      <c r="G2790" s="16" t="str">
        <f t="shared" si="102"/>
        <v/>
      </c>
      <c r="H2790" s="70" t="str">
        <f t="shared" si="103"/>
        <v/>
      </c>
    </row>
    <row r="2791" spans="1:8">
      <c r="A2791" s="2"/>
      <c r="B2791" s="12"/>
      <c r="C2791" s="12"/>
      <c r="E2791" t="str">
        <f>IF(LEN(D2791)=0,"",[1]!i_pq_tradedays($B$3,A2792,A2791)-1)</f>
        <v/>
      </c>
      <c r="G2791" s="16" t="str">
        <f t="shared" si="102"/>
        <v/>
      </c>
      <c r="H2791" s="70" t="str">
        <f t="shared" si="103"/>
        <v/>
      </c>
    </row>
    <row r="2792" spans="1:8">
      <c r="A2792" s="2"/>
      <c r="B2792" s="12"/>
      <c r="C2792" s="12"/>
      <c r="E2792" t="str">
        <f>IF(LEN(D2792)=0,"",[1]!i_pq_tradedays($B$3,A2793,A2792)-1)</f>
        <v/>
      </c>
      <c r="G2792" s="16" t="str">
        <f t="shared" si="102"/>
        <v/>
      </c>
      <c r="H2792" s="70" t="str">
        <f t="shared" si="103"/>
        <v/>
      </c>
    </row>
    <row r="2793" spans="1:8">
      <c r="A2793" s="2"/>
      <c r="B2793" s="12"/>
      <c r="C2793" s="12"/>
      <c r="E2793" t="str">
        <f>IF(LEN(D2793)=0,"",[1]!i_pq_tradedays($B$3,A2794,A2793)-1)</f>
        <v/>
      </c>
      <c r="G2793" s="16" t="str">
        <f t="shared" si="102"/>
        <v/>
      </c>
      <c r="H2793" s="70" t="str">
        <f t="shared" si="103"/>
        <v/>
      </c>
    </row>
    <row r="2794" spans="1:8">
      <c r="A2794" s="2"/>
      <c r="B2794" s="12"/>
      <c r="C2794" s="12"/>
      <c r="E2794" t="str">
        <f>IF(LEN(D2794)=0,"",[1]!i_pq_tradedays($B$3,A2795,A2794)-1)</f>
        <v/>
      </c>
      <c r="G2794" s="16" t="str">
        <f t="shared" si="102"/>
        <v/>
      </c>
      <c r="H2794" s="70" t="str">
        <f t="shared" si="103"/>
        <v/>
      </c>
    </row>
    <row r="2795" spans="1:8">
      <c r="A2795" s="2"/>
      <c r="B2795" s="12"/>
      <c r="C2795" s="12"/>
      <c r="E2795" t="str">
        <f>IF(LEN(D2795)=0,"",[1]!i_pq_tradedays($B$3,A2796,A2795)-1)</f>
        <v/>
      </c>
      <c r="G2795" s="16" t="str">
        <f t="shared" si="102"/>
        <v/>
      </c>
      <c r="H2795" s="70" t="str">
        <f t="shared" si="103"/>
        <v/>
      </c>
    </row>
    <row r="2796" spans="1:8">
      <c r="A2796" s="2"/>
      <c r="B2796" s="12"/>
      <c r="C2796" s="12"/>
      <c r="E2796" t="str">
        <f>IF(LEN(D2796)=0,"",[1]!i_pq_tradedays($B$3,A2797,A2796)-1)</f>
        <v/>
      </c>
      <c r="G2796" s="16" t="str">
        <f t="shared" si="102"/>
        <v/>
      </c>
      <c r="H2796" s="70" t="str">
        <f t="shared" si="103"/>
        <v/>
      </c>
    </row>
    <row r="2797" spans="1:8">
      <c r="A2797" s="2"/>
      <c r="B2797" s="12"/>
      <c r="C2797" s="12"/>
      <c r="E2797" t="str">
        <f>IF(LEN(D2797)=0,"",[1]!i_pq_tradedays($B$3,A2798,A2797)-1)</f>
        <v/>
      </c>
      <c r="G2797" s="16" t="str">
        <f t="shared" si="102"/>
        <v/>
      </c>
      <c r="H2797" s="70" t="str">
        <f t="shared" si="103"/>
        <v/>
      </c>
    </row>
    <row r="2798" spans="1:8">
      <c r="A2798" s="2"/>
      <c r="B2798" s="12"/>
      <c r="C2798" s="12"/>
      <c r="E2798" t="str">
        <f>IF(LEN(D2798)=0,"",[1]!i_pq_tradedays($B$3,A2799,A2798)-1)</f>
        <v/>
      </c>
      <c r="G2798" s="16" t="str">
        <f t="shared" si="102"/>
        <v/>
      </c>
      <c r="H2798" s="70" t="str">
        <f t="shared" si="103"/>
        <v/>
      </c>
    </row>
    <row r="2799" spans="1:8">
      <c r="A2799" s="2"/>
      <c r="B2799" s="12"/>
      <c r="C2799" s="12"/>
      <c r="E2799" t="str">
        <f>IF(LEN(D2799)=0,"",[1]!i_pq_tradedays($B$3,A2800,A2799)-1)</f>
        <v/>
      </c>
      <c r="G2799" s="16" t="str">
        <f t="shared" si="102"/>
        <v/>
      </c>
      <c r="H2799" s="70" t="str">
        <f t="shared" si="103"/>
        <v/>
      </c>
    </row>
    <row r="2800" spans="1:8">
      <c r="A2800" s="2"/>
      <c r="B2800" s="12"/>
      <c r="C2800" s="12"/>
      <c r="E2800" t="str">
        <f>IF(LEN(D2800)=0,"",[1]!i_pq_tradedays($B$3,A2801,A2800)-1)</f>
        <v/>
      </c>
      <c r="G2800" s="16" t="str">
        <f t="shared" si="102"/>
        <v/>
      </c>
      <c r="H2800" s="70" t="str">
        <f t="shared" si="103"/>
        <v/>
      </c>
    </row>
    <row r="2801" spans="1:8">
      <c r="A2801" s="2"/>
      <c r="B2801" s="12"/>
      <c r="C2801" s="12"/>
      <c r="E2801" t="str">
        <f>IF(LEN(D2801)=0,"",[1]!i_pq_tradedays($B$3,A2802,A2801)-1)</f>
        <v/>
      </c>
      <c r="G2801" s="16" t="str">
        <f t="shared" si="102"/>
        <v/>
      </c>
      <c r="H2801" s="70" t="str">
        <f t="shared" si="103"/>
        <v/>
      </c>
    </row>
    <row r="2802" spans="1:8">
      <c r="A2802" s="2"/>
      <c r="B2802" s="12"/>
      <c r="C2802" s="12"/>
      <c r="E2802" t="str">
        <f>IF(LEN(D2802)=0,"",[1]!i_pq_tradedays($B$3,A2803,A2802)-1)</f>
        <v/>
      </c>
      <c r="G2802" s="16" t="str">
        <f t="shared" si="102"/>
        <v/>
      </c>
      <c r="H2802" s="70" t="str">
        <f t="shared" si="103"/>
        <v/>
      </c>
    </row>
    <row r="2803" spans="1:8">
      <c r="A2803" s="2"/>
      <c r="B2803" s="12"/>
      <c r="C2803" s="12"/>
      <c r="E2803" t="str">
        <f>IF(LEN(D2803)=0,"",[1]!i_pq_tradedays($B$3,A2804,A2803)-1)</f>
        <v/>
      </c>
      <c r="G2803" s="16" t="str">
        <f t="shared" si="102"/>
        <v/>
      </c>
      <c r="H2803" s="70" t="str">
        <f t="shared" si="103"/>
        <v/>
      </c>
    </row>
    <row r="2804" spans="1:8">
      <c r="A2804" s="2"/>
      <c r="B2804" s="12"/>
      <c r="C2804" s="12"/>
      <c r="E2804" t="str">
        <f>IF(LEN(D2804)=0,"",[1]!i_pq_tradedays($B$3,A2805,A2804)-1)</f>
        <v/>
      </c>
      <c r="G2804" s="16" t="str">
        <f t="shared" si="102"/>
        <v/>
      </c>
      <c r="H2804" s="70" t="str">
        <f t="shared" si="103"/>
        <v/>
      </c>
    </row>
    <row r="2805" spans="1:8">
      <c r="A2805" s="2"/>
      <c r="B2805" s="12"/>
      <c r="C2805" s="12"/>
      <c r="E2805" t="str">
        <f>IF(LEN(D2805)=0,"",[1]!i_pq_tradedays($B$3,A2806,A2805)-1)</f>
        <v/>
      </c>
      <c r="G2805" s="16" t="str">
        <f t="shared" ref="G2805:G2868" si="104">IF(LEN(D2805)=0,"",D2805/E2805)</f>
        <v/>
      </c>
      <c r="H2805" s="70" t="str">
        <f t="shared" ref="H2805:H2868" si="105">IF(LEN(D2805)=0,"",G2805/G2806-1)</f>
        <v/>
      </c>
    </row>
    <row r="2806" spans="1:8">
      <c r="A2806" s="2"/>
      <c r="B2806" s="12"/>
      <c r="C2806" s="12"/>
      <c r="E2806" t="str">
        <f>IF(LEN(D2806)=0,"",[1]!i_pq_tradedays($B$3,A2807,A2806)-1)</f>
        <v/>
      </c>
      <c r="G2806" s="16" t="str">
        <f t="shared" si="104"/>
        <v/>
      </c>
      <c r="H2806" s="70" t="str">
        <f t="shared" si="105"/>
        <v/>
      </c>
    </row>
    <row r="2807" spans="1:8">
      <c r="A2807" s="2"/>
      <c r="B2807" s="12"/>
      <c r="C2807" s="12"/>
      <c r="E2807" t="str">
        <f>IF(LEN(D2807)=0,"",[1]!i_pq_tradedays($B$3,A2808,A2807)-1)</f>
        <v/>
      </c>
      <c r="G2807" s="16" t="str">
        <f t="shared" si="104"/>
        <v/>
      </c>
      <c r="H2807" s="70" t="str">
        <f t="shared" si="105"/>
        <v/>
      </c>
    </row>
    <row r="2808" spans="1:8">
      <c r="A2808" s="2"/>
      <c r="B2808" s="12"/>
      <c r="C2808" s="12"/>
      <c r="E2808" t="str">
        <f>IF(LEN(D2808)=0,"",[1]!i_pq_tradedays($B$3,A2809,A2808)-1)</f>
        <v/>
      </c>
      <c r="G2808" s="16" t="str">
        <f t="shared" si="104"/>
        <v/>
      </c>
      <c r="H2808" s="70" t="str">
        <f t="shared" si="105"/>
        <v/>
      </c>
    </row>
    <row r="2809" spans="1:8">
      <c r="A2809" s="2"/>
      <c r="B2809" s="12"/>
      <c r="C2809" s="12"/>
      <c r="E2809" t="str">
        <f>IF(LEN(D2809)=0,"",[1]!i_pq_tradedays($B$3,A2810,A2809)-1)</f>
        <v/>
      </c>
      <c r="G2809" s="16" t="str">
        <f t="shared" si="104"/>
        <v/>
      </c>
      <c r="H2809" s="70" t="str">
        <f t="shared" si="105"/>
        <v/>
      </c>
    </row>
    <row r="2810" spans="1:8">
      <c r="A2810" s="2"/>
      <c r="B2810" s="12"/>
      <c r="C2810" s="12"/>
      <c r="E2810" t="str">
        <f>IF(LEN(D2810)=0,"",[1]!i_pq_tradedays($B$3,A2811,A2810)-1)</f>
        <v/>
      </c>
      <c r="G2810" s="16" t="str">
        <f t="shared" si="104"/>
        <v/>
      </c>
      <c r="H2810" s="70" t="str">
        <f t="shared" si="105"/>
        <v/>
      </c>
    </row>
    <row r="2811" spans="1:8">
      <c r="A2811" s="2"/>
      <c r="B2811" s="12"/>
      <c r="C2811" s="12"/>
      <c r="E2811" t="str">
        <f>IF(LEN(D2811)=0,"",[1]!i_pq_tradedays($B$3,A2812,A2811)-1)</f>
        <v/>
      </c>
      <c r="G2811" s="16" t="str">
        <f t="shared" si="104"/>
        <v/>
      </c>
      <c r="H2811" s="70" t="str">
        <f t="shared" si="105"/>
        <v/>
      </c>
    </row>
    <row r="2812" spans="1:8">
      <c r="A2812" s="2"/>
      <c r="B2812" s="12"/>
      <c r="C2812" s="12"/>
      <c r="E2812" t="str">
        <f>IF(LEN(D2812)=0,"",[1]!i_pq_tradedays($B$3,A2813,A2812)-1)</f>
        <v/>
      </c>
      <c r="G2812" s="16" t="str">
        <f t="shared" si="104"/>
        <v/>
      </c>
      <c r="H2812" s="70" t="str">
        <f t="shared" si="105"/>
        <v/>
      </c>
    </row>
    <row r="2813" spans="1:8">
      <c r="A2813" s="2"/>
      <c r="B2813" s="12"/>
      <c r="C2813" s="12"/>
      <c r="E2813" t="str">
        <f>IF(LEN(D2813)=0,"",[1]!i_pq_tradedays($B$3,A2814,A2813)-1)</f>
        <v/>
      </c>
      <c r="G2813" s="16" t="str">
        <f t="shared" si="104"/>
        <v/>
      </c>
      <c r="H2813" s="70" t="str">
        <f t="shared" si="105"/>
        <v/>
      </c>
    </row>
    <row r="2814" spans="1:8">
      <c r="A2814" s="2"/>
      <c r="B2814" s="12"/>
      <c r="C2814" s="12"/>
      <c r="E2814" t="str">
        <f>IF(LEN(D2814)=0,"",[1]!i_pq_tradedays($B$3,A2815,A2814)-1)</f>
        <v/>
      </c>
      <c r="G2814" s="16" t="str">
        <f t="shared" si="104"/>
        <v/>
      </c>
      <c r="H2814" s="70" t="str">
        <f t="shared" si="105"/>
        <v/>
      </c>
    </row>
    <row r="2815" spans="1:8">
      <c r="A2815" s="2"/>
      <c r="B2815" s="12"/>
      <c r="C2815" s="12"/>
      <c r="E2815" t="str">
        <f>IF(LEN(D2815)=0,"",[1]!i_pq_tradedays($B$3,A2816,A2815)-1)</f>
        <v/>
      </c>
      <c r="G2815" s="16" t="str">
        <f t="shared" si="104"/>
        <v/>
      </c>
      <c r="H2815" s="70" t="str">
        <f t="shared" si="105"/>
        <v/>
      </c>
    </row>
    <row r="2816" spans="1:8">
      <c r="A2816" s="2"/>
      <c r="B2816" s="12"/>
      <c r="C2816" s="12"/>
      <c r="E2816" t="str">
        <f>IF(LEN(D2816)=0,"",[1]!i_pq_tradedays($B$3,A2817,A2816)-1)</f>
        <v/>
      </c>
      <c r="G2816" s="16" t="str">
        <f t="shared" si="104"/>
        <v/>
      </c>
      <c r="H2816" s="70" t="str">
        <f t="shared" si="105"/>
        <v/>
      </c>
    </row>
    <row r="2817" spans="1:8">
      <c r="A2817" s="2"/>
      <c r="B2817" s="12"/>
      <c r="C2817" s="12"/>
      <c r="E2817" t="str">
        <f>IF(LEN(D2817)=0,"",[1]!i_pq_tradedays($B$3,A2818,A2817)-1)</f>
        <v/>
      </c>
      <c r="G2817" s="16" t="str">
        <f t="shared" si="104"/>
        <v/>
      </c>
      <c r="H2817" s="70" t="str">
        <f t="shared" si="105"/>
        <v/>
      </c>
    </row>
    <row r="2818" spans="1:8">
      <c r="A2818" s="2"/>
      <c r="B2818" s="12"/>
      <c r="C2818" s="12"/>
      <c r="E2818" t="str">
        <f>IF(LEN(D2818)=0,"",[1]!i_pq_tradedays($B$3,A2819,A2818)-1)</f>
        <v/>
      </c>
      <c r="G2818" s="16" t="str">
        <f t="shared" si="104"/>
        <v/>
      </c>
      <c r="H2818" s="70" t="str">
        <f t="shared" si="105"/>
        <v/>
      </c>
    </row>
    <row r="2819" spans="1:8">
      <c r="A2819" s="2"/>
      <c r="B2819" s="12"/>
      <c r="C2819" s="12"/>
      <c r="E2819" t="str">
        <f>IF(LEN(D2819)=0,"",[1]!i_pq_tradedays($B$3,A2820,A2819)-1)</f>
        <v/>
      </c>
      <c r="G2819" s="16" t="str">
        <f t="shared" si="104"/>
        <v/>
      </c>
      <c r="H2819" s="70" t="str">
        <f t="shared" si="105"/>
        <v/>
      </c>
    </row>
    <row r="2820" spans="1:8">
      <c r="A2820" s="2"/>
      <c r="B2820" s="12"/>
      <c r="C2820" s="12"/>
      <c r="E2820" t="str">
        <f>IF(LEN(D2820)=0,"",[1]!i_pq_tradedays($B$3,A2821,A2820)-1)</f>
        <v/>
      </c>
      <c r="G2820" s="16" t="str">
        <f t="shared" si="104"/>
        <v/>
      </c>
      <c r="H2820" s="70" t="str">
        <f t="shared" si="105"/>
        <v/>
      </c>
    </row>
    <row r="2821" spans="1:8">
      <c r="A2821" s="2"/>
      <c r="B2821" s="12"/>
      <c r="C2821" s="12"/>
      <c r="E2821" t="str">
        <f>IF(LEN(D2821)=0,"",[1]!i_pq_tradedays($B$3,A2822,A2821)-1)</f>
        <v/>
      </c>
      <c r="G2821" s="16" t="str">
        <f t="shared" si="104"/>
        <v/>
      </c>
      <c r="H2821" s="70" t="str">
        <f t="shared" si="105"/>
        <v/>
      </c>
    </row>
    <row r="2822" spans="1:8">
      <c r="A2822" s="2"/>
      <c r="B2822" s="12"/>
      <c r="C2822" s="12"/>
      <c r="E2822" t="str">
        <f>IF(LEN(D2822)=0,"",[1]!i_pq_tradedays($B$3,A2823,A2822)-1)</f>
        <v/>
      </c>
      <c r="G2822" s="16" t="str">
        <f t="shared" si="104"/>
        <v/>
      </c>
      <c r="H2822" s="70" t="str">
        <f t="shared" si="105"/>
        <v/>
      </c>
    </row>
    <row r="2823" spans="1:8">
      <c r="A2823" s="2"/>
      <c r="B2823" s="12"/>
      <c r="C2823" s="12"/>
      <c r="E2823" t="str">
        <f>IF(LEN(D2823)=0,"",[1]!i_pq_tradedays($B$3,A2824,A2823)-1)</f>
        <v/>
      </c>
      <c r="G2823" s="16" t="str">
        <f t="shared" si="104"/>
        <v/>
      </c>
      <c r="H2823" s="70" t="str">
        <f t="shared" si="105"/>
        <v/>
      </c>
    </row>
    <row r="2824" spans="1:8">
      <c r="A2824" s="2"/>
      <c r="B2824" s="12"/>
      <c r="C2824" s="12"/>
      <c r="E2824" t="str">
        <f>IF(LEN(D2824)=0,"",[1]!i_pq_tradedays($B$3,A2825,A2824)-1)</f>
        <v/>
      </c>
      <c r="G2824" s="16" t="str">
        <f t="shared" si="104"/>
        <v/>
      </c>
      <c r="H2824" s="70" t="str">
        <f t="shared" si="105"/>
        <v/>
      </c>
    </row>
    <row r="2825" spans="1:8">
      <c r="A2825" s="2"/>
      <c r="B2825" s="12"/>
      <c r="C2825" s="12"/>
      <c r="E2825" t="str">
        <f>IF(LEN(D2825)=0,"",[1]!i_pq_tradedays($B$3,A2826,A2825)-1)</f>
        <v/>
      </c>
      <c r="G2825" s="16" t="str">
        <f t="shared" si="104"/>
        <v/>
      </c>
      <c r="H2825" s="70" t="str">
        <f t="shared" si="105"/>
        <v/>
      </c>
    </row>
    <row r="2826" spans="1:8">
      <c r="A2826" s="2"/>
      <c r="B2826" s="12"/>
      <c r="C2826" s="12"/>
      <c r="E2826" t="str">
        <f>IF(LEN(D2826)=0,"",[1]!i_pq_tradedays($B$3,A2827,A2826)-1)</f>
        <v/>
      </c>
      <c r="G2826" s="16" t="str">
        <f t="shared" si="104"/>
        <v/>
      </c>
      <c r="H2826" s="70" t="str">
        <f t="shared" si="105"/>
        <v/>
      </c>
    </row>
    <row r="2827" spans="1:8">
      <c r="A2827" s="2"/>
      <c r="B2827" s="12"/>
      <c r="C2827" s="12"/>
      <c r="E2827" t="str">
        <f>IF(LEN(D2827)=0,"",[1]!i_pq_tradedays($B$3,A2828,A2827)-1)</f>
        <v/>
      </c>
      <c r="G2827" s="16" t="str">
        <f t="shared" si="104"/>
        <v/>
      </c>
      <c r="H2827" s="70" t="str">
        <f t="shared" si="105"/>
        <v/>
      </c>
    </row>
    <row r="2828" spans="1:8">
      <c r="A2828" s="2"/>
      <c r="B2828" s="12"/>
      <c r="C2828" s="12"/>
      <c r="E2828" t="str">
        <f>IF(LEN(D2828)=0,"",[1]!i_pq_tradedays($B$3,A2829,A2828)-1)</f>
        <v/>
      </c>
      <c r="G2828" s="16" t="str">
        <f t="shared" si="104"/>
        <v/>
      </c>
      <c r="H2828" s="70" t="str">
        <f t="shared" si="105"/>
        <v/>
      </c>
    </row>
    <row r="2829" spans="1:8">
      <c r="A2829" s="2"/>
      <c r="B2829" s="12"/>
      <c r="C2829" s="12"/>
      <c r="E2829" t="str">
        <f>IF(LEN(D2829)=0,"",[1]!i_pq_tradedays($B$3,A2830,A2829)-1)</f>
        <v/>
      </c>
      <c r="G2829" s="16" t="str">
        <f t="shared" si="104"/>
        <v/>
      </c>
      <c r="H2829" s="70" t="str">
        <f t="shared" si="105"/>
        <v/>
      </c>
    </row>
    <row r="2830" spans="1:8">
      <c r="A2830" s="2"/>
      <c r="B2830" s="12"/>
      <c r="C2830" s="12"/>
      <c r="E2830" t="str">
        <f>IF(LEN(D2830)=0,"",[1]!i_pq_tradedays($B$3,A2831,A2830)-1)</f>
        <v/>
      </c>
      <c r="G2830" s="16" t="str">
        <f t="shared" si="104"/>
        <v/>
      </c>
      <c r="H2830" s="70" t="str">
        <f t="shared" si="105"/>
        <v/>
      </c>
    </row>
    <row r="2831" spans="1:8">
      <c r="A2831" s="2"/>
      <c r="B2831" s="12"/>
      <c r="C2831" s="12"/>
      <c r="E2831" t="str">
        <f>IF(LEN(D2831)=0,"",[1]!i_pq_tradedays($B$3,A2832,A2831)-1)</f>
        <v/>
      </c>
      <c r="G2831" s="16" t="str">
        <f t="shared" si="104"/>
        <v/>
      </c>
      <c r="H2831" s="70" t="str">
        <f t="shared" si="105"/>
        <v/>
      </c>
    </row>
    <row r="2832" spans="1:8">
      <c r="A2832" s="2"/>
      <c r="B2832" s="12"/>
      <c r="C2832" s="12"/>
      <c r="E2832" t="str">
        <f>IF(LEN(D2832)=0,"",[1]!i_pq_tradedays($B$3,A2833,A2832)-1)</f>
        <v/>
      </c>
      <c r="G2832" s="16" t="str">
        <f t="shared" si="104"/>
        <v/>
      </c>
      <c r="H2832" s="70" t="str">
        <f t="shared" si="105"/>
        <v/>
      </c>
    </row>
    <row r="2833" spans="1:8">
      <c r="A2833" s="2"/>
      <c r="B2833" s="12"/>
      <c r="C2833" s="12"/>
      <c r="E2833" t="str">
        <f>IF(LEN(D2833)=0,"",[1]!i_pq_tradedays($B$3,A2834,A2833)-1)</f>
        <v/>
      </c>
      <c r="G2833" s="16" t="str">
        <f t="shared" si="104"/>
        <v/>
      </c>
      <c r="H2833" s="70" t="str">
        <f t="shared" si="105"/>
        <v/>
      </c>
    </row>
    <row r="2834" spans="1:8">
      <c r="A2834" s="2"/>
      <c r="B2834" s="12"/>
      <c r="C2834" s="12"/>
      <c r="E2834" t="str">
        <f>IF(LEN(D2834)=0,"",[1]!i_pq_tradedays($B$3,A2835,A2834)-1)</f>
        <v/>
      </c>
      <c r="G2834" s="16" t="str">
        <f t="shared" si="104"/>
        <v/>
      </c>
      <c r="H2834" s="70" t="str">
        <f t="shared" si="105"/>
        <v/>
      </c>
    </row>
    <row r="2835" spans="1:8">
      <c r="A2835" s="2"/>
      <c r="B2835" s="12"/>
      <c r="C2835" s="12"/>
      <c r="E2835" t="str">
        <f>IF(LEN(D2835)=0,"",[1]!i_pq_tradedays($B$3,A2836,A2835)-1)</f>
        <v/>
      </c>
      <c r="G2835" s="16" t="str">
        <f t="shared" si="104"/>
        <v/>
      </c>
      <c r="H2835" s="70" t="str">
        <f t="shared" si="105"/>
        <v/>
      </c>
    </row>
    <row r="2836" spans="1:8">
      <c r="A2836" s="2"/>
      <c r="B2836" s="12"/>
      <c r="C2836" s="12"/>
      <c r="E2836" t="str">
        <f>IF(LEN(D2836)=0,"",[1]!i_pq_tradedays($B$3,A2837,A2836)-1)</f>
        <v/>
      </c>
      <c r="G2836" s="16" t="str">
        <f t="shared" si="104"/>
        <v/>
      </c>
      <c r="H2836" s="70" t="str">
        <f t="shared" si="105"/>
        <v/>
      </c>
    </row>
    <row r="2837" spans="1:8">
      <c r="A2837" s="2"/>
      <c r="B2837" s="12"/>
      <c r="C2837" s="12"/>
      <c r="E2837" t="str">
        <f>IF(LEN(D2837)=0,"",[1]!i_pq_tradedays($B$3,A2838,A2837)-1)</f>
        <v/>
      </c>
      <c r="G2837" s="16" t="str">
        <f t="shared" si="104"/>
        <v/>
      </c>
      <c r="H2837" s="70" t="str">
        <f t="shared" si="105"/>
        <v/>
      </c>
    </row>
    <row r="2838" spans="1:8">
      <c r="A2838" s="2"/>
      <c r="B2838" s="12"/>
      <c r="C2838" s="12"/>
      <c r="E2838" t="str">
        <f>IF(LEN(D2838)=0,"",[1]!i_pq_tradedays($B$3,A2839,A2838)-1)</f>
        <v/>
      </c>
      <c r="G2838" s="16" t="str">
        <f t="shared" si="104"/>
        <v/>
      </c>
      <c r="H2838" s="70" t="str">
        <f t="shared" si="105"/>
        <v/>
      </c>
    </row>
    <row r="2839" spans="1:8">
      <c r="A2839" s="2"/>
      <c r="B2839" s="12"/>
      <c r="C2839" s="12"/>
      <c r="E2839" t="str">
        <f>IF(LEN(D2839)=0,"",[1]!i_pq_tradedays($B$3,A2840,A2839)-1)</f>
        <v/>
      </c>
      <c r="G2839" s="16" t="str">
        <f t="shared" si="104"/>
        <v/>
      </c>
      <c r="H2839" s="70" t="str">
        <f t="shared" si="105"/>
        <v/>
      </c>
    </row>
    <row r="2840" spans="1:8">
      <c r="A2840" s="2"/>
      <c r="B2840" s="12"/>
      <c r="C2840" s="12"/>
      <c r="E2840" t="str">
        <f>IF(LEN(D2840)=0,"",[1]!i_pq_tradedays($B$3,A2841,A2840)-1)</f>
        <v/>
      </c>
      <c r="G2840" s="16" t="str">
        <f t="shared" si="104"/>
        <v/>
      </c>
      <c r="H2840" s="70" t="str">
        <f t="shared" si="105"/>
        <v/>
      </c>
    </row>
    <row r="2841" spans="1:8">
      <c r="A2841" s="2"/>
      <c r="B2841" s="12"/>
      <c r="C2841" s="12"/>
      <c r="E2841" t="str">
        <f>IF(LEN(D2841)=0,"",[1]!i_pq_tradedays($B$3,A2842,A2841)-1)</f>
        <v/>
      </c>
      <c r="G2841" s="16" t="str">
        <f t="shared" si="104"/>
        <v/>
      </c>
      <c r="H2841" s="70" t="str">
        <f t="shared" si="105"/>
        <v/>
      </c>
    </row>
    <row r="2842" spans="1:8">
      <c r="A2842" s="2"/>
      <c r="B2842" s="12"/>
      <c r="C2842" s="12"/>
      <c r="E2842" t="str">
        <f>IF(LEN(D2842)=0,"",[1]!i_pq_tradedays($B$3,A2843,A2842)-1)</f>
        <v/>
      </c>
      <c r="G2842" s="16" t="str">
        <f t="shared" si="104"/>
        <v/>
      </c>
      <c r="H2842" s="70" t="str">
        <f t="shared" si="105"/>
        <v/>
      </c>
    </row>
    <row r="2843" spans="1:8">
      <c r="A2843" s="2"/>
      <c r="B2843" s="12"/>
      <c r="C2843" s="12"/>
      <c r="E2843" t="str">
        <f>IF(LEN(D2843)=0,"",[1]!i_pq_tradedays($B$3,A2844,A2843)-1)</f>
        <v/>
      </c>
      <c r="G2843" s="16" t="str">
        <f t="shared" si="104"/>
        <v/>
      </c>
      <c r="H2843" s="70" t="str">
        <f t="shared" si="105"/>
        <v/>
      </c>
    </row>
    <row r="2844" spans="1:8">
      <c r="A2844" s="2"/>
      <c r="B2844" s="12"/>
      <c r="C2844" s="12"/>
      <c r="E2844" t="str">
        <f>IF(LEN(D2844)=0,"",[1]!i_pq_tradedays($B$3,A2845,A2844)-1)</f>
        <v/>
      </c>
      <c r="G2844" s="16" t="str">
        <f t="shared" si="104"/>
        <v/>
      </c>
      <c r="H2844" s="70" t="str">
        <f t="shared" si="105"/>
        <v/>
      </c>
    </row>
    <row r="2845" spans="1:8">
      <c r="A2845" s="2"/>
      <c r="B2845" s="12"/>
      <c r="C2845" s="12"/>
      <c r="E2845" t="str">
        <f>IF(LEN(D2845)=0,"",[1]!i_pq_tradedays($B$3,A2846,A2845)-1)</f>
        <v/>
      </c>
      <c r="G2845" s="16" t="str">
        <f t="shared" si="104"/>
        <v/>
      </c>
      <c r="H2845" s="70" t="str">
        <f t="shared" si="105"/>
        <v/>
      </c>
    </row>
    <row r="2846" spans="1:8">
      <c r="A2846" s="2"/>
      <c r="B2846" s="12"/>
      <c r="C2846" s="12"/>
      <c r="E2846" t="str">
        <f>IF(LEN(D2846)=0,"",[1]!i_pq_tradedays($B$3,A2847,A2846)-1)</f>
        <v/>
      </c>
      <c r="G2846" s="16" t="str">
        <f t="shared" si="104"/>
        <v/>
      </c>
      <c r="H2846" s="70" t="str">
        <f t="shared" si="105"/>
        <v/>
      </c>
    </row>
    <row r="2847" spans="1:8">
      <c r="A2847" s="2"/>
      <c r="B2847" s="12"/>
      <c r="C2847" s="12"/>
      <c r="E2847" t="str">
        <f>IF(LEN(D2847)=0,"",[1]!i_pq_tradedays($B$3,A2848,A2847)-1)</f>
        <v/>
      </c>
      <c r="G2847" s="16" t="str">
        <f t="shared" si="104"/>
        <v/>
      </c>
      <c r="H2847" s="70" t="str">
        <f t="shared" si="105"/>
        <v/>
      </c>
    </row>
    <row r="2848" spans="1:8">
      <c r="A2848" s="2"/>
      <c r="B2848" s="12"/>
      <c r="C2848" s="12"/>
      <c r="E2848" t="str">
        <f>IF(LEN(D2848)=0,"",[1]!i_pq_tradedays($B$3,A2849,A2848)-1)</f>
        <v/>
      </c>
      <c r="G2848" s="16" t="str">
        <f t="shared" si="104"/>
        <v/>
      </c>
      <c r="H2848" s="70" t="str">
        <f t="shared" si="105"/>
        <v/>
      </c>
    </row>
    <row r="2849" spans="1:8">
      <c r="A2849" s="2"/>
      <c r="B2849" s="12"/>
      <c r="C2849" s="12"/>
      <c r="E2849" t="str">
        <f>IF(LEN(D2849)=0,"",[1]!i_pq_tradedays($B$3,A2850,A2849)-1)</f>
        <v/>
      </c>
      <c r="G2849" s="16" t="str">
        <f t="shared" si="104"/>
        <v/>
      </c>
      <c r="H2849" s="70" t="str">
        <f t="shared" si="105"/>
        <v/>
      </c>
    </row>
    <row r="2850" spans="1:8">
      <c r="A2850" s="2"/>
      <c r="B2850" s="12"/>
      <c r="C2850" s="12"/>
      <c r="E2850" t="str">
        <f>IF(LEN(D2850)=0,"",[1]!i_pq_tradedays($B$3,A2851,A2850)-1)</f>
        <v/>
      </c>
      <c r="G2850" s="16" t="str">
        <f t="shared" si="104"/>
        <v/>
      </c>
      <c r="H2850" s="70" t="str">
        <f t="shared" si="105"/>
        <v/>
      </c>
    </row>
    <row r="2851" spans="1:8">
      <c r="A2851" s="2"/>
      <c r="B2851" s="12"/>
      <c r="C2851" s="12"/>
      <c r="E2851" t="str">
        <f>IF(LEN(D2851)=0,"",[1]!i_pq_tradedays($B$3,A2852,A2851)-1)</f>
        <v/>
      </c>
      <c r="G2851" s="16" t="str">
        <f t="shared" si="104"/>
        <v/>
      </c>
      <c r="H2851" s="70" t="str">
        <f t="shared" si="105"/>
        <v/>
      </c>
    </row>
    <row r="2852" spans="1:8">
      <c r="A2852" s="2"/>
      <c r="B2852" s="12"/>
      <c r="C2852" s="12"/>
      <c r="E2852" t="str">
        <f>IF(LEN(D2852)=0,"",[1]!i_pq_tradedays($B$3,A2853,A2852)-1)</f>
        <v/>
      </c>
      <c r="G2852" s="16" t="str">
        <f t="shared" si="104"/>
        <v/>
      </c>
      <c r="H2852" s="70" t="str">
        <f t="shared" si="105"/>
        <v/>
      </c>
    </row>
    <row r="2853" spans="1:8">
      <c r="A2853" s="2"/>
      <c r="B2853" s="12"/>
      <c r="C2853" s="12"/>
      <c r="E2853" t="str">
        <f>IF(LEN(D2853)=0,"",[1]!i_pq_tradedays($B$3,A2854,A2853)-1)</f>
        <v/>
      </c>
      <c r="G2853" s="16" t="str">
        <f t="shared" si="104"/>
        <v/>
      </c>
      <c r="H2853" s="70" t="str">
        <f t="shared" si="105"/>
        <v/>
      </c>
    </row>
    <row r="2854" spans="1:8">
      <c r="A2854" s="2"/>
      <c r="B2854" s="12"/>
      <c r="C2854" s="12"/>
      <c r="E2854" t="str">
        <f>IF(LEN(D2854)=0,"",[1]!i_pq_tradedays($B$3,A2855,A2854)-1)</f>
        <v/>
      </c>
      <c r="G2854" s="16" t="str">
        <f t="shared" si="104"/>
        <v/>
      </c>
      <c r="H2854" s="70" t="str">
        <f t="shared" si="105"/>
        <v/>
      </c>
    </row>
    <row r="2855" spans="1:8">
      <c r="A2855" s="2"/>
      <c r="B2855" s="12"/>
      <c r="C2855" s="12"/>
      <c r="E2855" t="str">
        <f>IF(LEN(D2855)=0,"",[1]!i_pq_tradedays($B$3,A2856,A2855)-1)</f>
        <v/>
      </c>
      <c r="G2855" s="16" t="str">
        <f t="shared" si="104"/>
        <v/>
      </c>
      <c r="H2855" s="70" t="str">
        <f t="shared" si="105"/>
        <v/>
      </c>
    </row>
    <row r="2856" spans="1:8">
      <c r="A2856" s="2"/>
      <c r="B2856" s="12"/>
      <c r="C2856" s="12"/>
      <c r="E2856" t="str">
        <f>IF(LEN(D2856)=0,"",[1]!i_pq_tradedays($B$3,A2857,A2856)-1)</f>
        <v/>
      </c>
      <c r="G2856" s="16" t="str">
        <f t="shared" si="104"/>
        <v/>
      </c>
      <c r="H2856" s="70" t="str">
        <f t="shared" si="105"/>
        <v/>
      </c>
    </row>
    <row r="2857" spans="1:8">
      <c r="A2857" s="2"/>
      <c r="B2857" s="12"/>
      <c r="C2857" s="12"/>
      <c r="E2857" t="str">
        <f>IF(LEN(D2857)=0,"",[1]!i_pq_tradedays($B$3,A2858,A2857)-1)</f>
        <v/>
      </c>
      <c r="G2857" s="16" t="str">
        <f t="shared" si="104"/>
        <v/>
      </c>
      <c r="H2857" s="70" t="str">
        <f t="shared" si="105"/>
        <v/>
      </c>
    </row>
    <row r="2858" spans="1:8">
      <c r="A2858" s="2"/>
      <c r="B2858" s="12"/>
      <c r="C2858" s="12"/>
      <c r="E2858" t="str">
        <f>IF(LEN(D2858)=0,"",[1]!i_pq_tradedays($B$3,A2859,A2858)-1)</f>
        <v/>
      </c>
      <c r="G2858" s="16" t="str">
        <f t="shared" si="104"/>
        <v/>
      </c>
      <c r="H2858" s="70" t="str">
        <f t="shared" si="105"/>
        <v/>
      </c>
    </row>
    <row r="2859" spans="1:8">
      <c r="A2859" s="2"/>
      <c r="B2859" s="12"/>
      <c r="C2859" s="12"/>
      <c r="E2859" t="str">
        <f>IF(LEN(D2859)=0,"",[1]!i_pq_tradedays($B$3,A2860,A2859)-1)</f>
        <v/>
      </c>
      <c r="G2859" s="16" t="str">
        <f t="shared" si="104"/>
        <v/>
      </c>
      <c r="H2859" s="70" t="str">
        <f t="shared" si="105"/>
        <v/>
      </c>
    </row>
    <row r="2860" spans="1:8">
      <c r="A2860" s="2"/>
      <c r="B2860" s="12"/>
      <c r="C2860" s="12"/>
      <c r="E2860" t="str">
        <f>IF(LEN(D2860)=0,"",[1]!i_pq_tradedays($B$3,A2861,A2860)-1)</f>
        <v/>
      </c>
      <c r="G2860" s="16" t="str">
        <f t="shared" si="104"/>
        <v/>
      </c>
      <c r="H2860" s="70" t="str">
        <f t="shared" si="105"/>
        <v/>
      </c>
    </row>
    <row r="2861" spans="1:8">
      <c r="A2861" s="2"/>
      <c r="B2861" s="12"/>
      <c r="C2861" s="12"/>
      <c r="E2861" t="str">
        <f>IF(LEN(D2861)=0,"",[1]!i_pq_tradedays($B$3,A2862,A2861)-1)</f>
        <v/>
      </c>
      <c r="G2861" s="16" t="str">
        <f t="shared" si="104"/>
        <v/>
      </c>
      <c r="H2861" s="70" t="str">
        <f t="shared" si="105"/>
        <v/>
      </c>
    </row>
    <row r="2862" spans="1:8">
      <c r="A2862" s="2"/>
      <c r="B2862" s="12"/>
      <c r="C2862" s="12"/>
      <c r="E2862" t="str">
        <f>IF(LEN(D2862)=0,"",[1]!i_pq_tradedays($B$3,A2863,A2862)-1)</f>
        <v/>
      </c>
      <c r="G2862" s="16" t="str">
        <f t="shared" si="104"/>
        <v/>
      </c>
      <c r="H2862" s="70" t="str">
        <f t="shared" si="105"/>
        <v/>
      </c>
    </row>
    <row r="2863" spans="1:8">
      <c r="A2863" s="2"/>
      <c r="B2863" s="12"/>
      <c r="C2863" s="12"/>
      <c r="E2863" t="str">
        <f>IF(LEN(D2863)=0,"",[1]!i_pq_tradedays($B$3,A2864,A2863)-1)</f>
        <v/>
      </c>
      <c r="G2863" s="16" t="str">
        <f t="shared" si="104"/>
        <v/>
      </c>
      <c r="H2863" s="70" t="str">
        <f t="shared" si="105"/>
        <v/>
      </c>
    </row>
    <row r="2864" spans="1:8">
      <c r="A2864" s="2"/>
      <c r="B2864" s="12"/>
      <c r="C2864" s="12"/>
      <c r="E2864" t="str">
        <f>IF(LEN(D2864)=0,"",[1]!i_pq_tradedays($B$3,A2865,A2864)-1)</f>
        <v/>
      </c>
      <c r="G2864" s="16" t="str">
        <f t="shared" si="104"/>
        <v/>
      </c>
      <c r="H2864" s="70" t="str">
        <f t="shared" si="105"/>
        <v/>
      </c>
    </row>
    <row r="2865" spans="1:8">
      <c r="A2865" s="2"/>
      <c r="B2865" s="12"/>
      <c r="C2865" s="12"/>
      <c r="E2865" t="str">
        <f>IF(LEN(D2865)=0,"",[1]!i_pq_tradedays($B$3,A2866,A2865)-1)</f>
        <v/>
      </c>
      <c r="G2865" s="16" t="str">
        <f t="shared" si="104"/>
        <v/>
      </c>
      <c r="H2865" s="70" t="str">
        <f t="shared" si="105"/>
        <v/>
      </c>
    </row>
    <row r="2866" spans="1:8">
      <c r="A2866" s="2"/>
      <c r="B2866" s="12"/>
      <c r="C2866" s="12"/>
      <c r="E2866" t="str">
        <f>IF(LEN(D2866)=0,"",[1]!i_pq_tradedays($B$3,A2867,A2866)-1)</f>
        <v/>
      </c>
      <c r="G2866" s="16" t="str">
        <f t="shared" si="104"/>
        <v/>
      </c>
      <c r="H2866" s="70" t="str">
        <f t="shared" si="105"/>
        <v/>
      </c>
    </row>
    <row r="2867" spans="1:8">
      <c r="A2867" s="2"/>
      <c r="B2867" s="12"/>
      <c r="C2867" s="12"/>
      <c r="E2867" t="str">
        <f>IF(LEN(D2867)=0,"",[1]!i_pq_tradedays($B$3,A2868,A2867)-1)</f>
        <v/>
      </c>
      <c r="G2867" s="16" t="str">
        <f t="shared" si="104"/>
        <v/>
      </c>
      <c r="H2867" s="70" t="str">
        <f t="shared" si="105"/>
        <v/>
      </c>
    </row>
    <row r="2868" spans="1:8">
      <c r="A2868" s="2"/>
      <c r="B2868" s="12"/>
      <c r="C2868" s="12"/>
      <c r="E2868" t="str">
        <f>IF(LEN(D2868)=0,"",[1]!i_pq_tradedays($B$3,A2869,A2868)-1)</f>
        <v/>
      </c>
      <c r="G2868" s="16" t="str">
        <f t="shared" si="104"/>
        <v/>
      </c>
      <c r="H2868" s="70" t="str">
        <f t="shared" si="105"/>
        <v/>
      </c>
    </row>
    <row r="2869" spans="1:8">
      <c r="A2869" s="2"/>
      <c r="B2869" s="12"/>
      <c r="C2869" s="12"/>
      <c r="E2869" t="str">
        <f>IF(LEN(D2869)=0,"",[1]!i_pq_tradedays($B$3,A2870,A2869)-1)</f>
        <v/>
      </c>
      <c r="G2869" s="16" t="str">
        <f t="shared" ref="G2869:G2932" si="106">IF(LEN(D2869)=0,"",D2869/E2869)</f>
        <v/>
      </c>
      <c r="H2869" s="70" t="str">
        <f t="shared" ref="H2869:H2932" si="107">IF(LEN(D2869)=0,"",G2869/G2870-1)</f>
        <v/>
      </c>
    </row>
    <row r="2870" spans="1:8">
      <c r="A2870" s="2"/>
      <c r="B2870" s="12"/>
      <c r="C2870" s="12"/>
      <c r="E2870" t="str">
        <f>IF(LEN(D2870)=0,"",[1]!i_pq_tradedays($B$3,A2871,A2870)-1)</f>
        <v/>
      </c>
      <c r="G2870" s="16" t="str">
        <f t="shared" si="106"/>
        <v/>
      </c>
      <c r="H2870" s="70" t="str">
        <f t="shared" si="107"/>
        <v/>
      </c>
    </row>
    <row r="2871" spans="1:8">
      <c r="A2871" s="2"/>
      <c r="B2871" s="12"/>
      <c r="C2871" s="12"/>
      <c r="E2871" t="str">
        <f>IF(LEN(D2871)=0,"",[1]!i_pq_tradedays($B$3,A2872,A2871)-1)</f>
        <v/>
      </c>
      <c r="G2871" s="16" t="str">
        <f t="shared" si="106"/>
        <v/>
      </c>
      <c r="H2871" s="70" t="str">
        <f t="shared" si="107"/>
        <v/>
      </c>
    </row>
    <row r="2872" spans="1:8">
      <c r="A2872" s="2"/>
      <c r="B2872" s="12"/>
      <c r="C2872" s="12"/>
      <c r="E2872" t="str">
        <f>IF(LEN(D2872)=0,"",[1]!i_pq_tradedays($B$3,A2873,A2872)-1)</f>
        <v/>
      </c>
      <c r="G2872" s="16" t="str">
        <f t="shared" si="106"/>
        <v/>
      </c>
      <c r="H2872" s="70" t="str">
        <f t="shared" si="107"/>
        <v/>
      </c>
    </row>
    <row r="2873" spans="1:8">
      <c r="A2873" s="2"/>
      <c r="B2873" s="12"/>
      <c r="C2873" s="12"/>
      <c r="E2873" t="str">
        <f>IF(LEN(D2873)=0,"",[1]!i_pq_tradedays($B$3,A2874,A2873)-1)</f>
        <v/>
      </c>
      <c r="G2873" s="16" t="str">
        <f t="shared" si="106"/>
        <v/>
      </c>
      <c r="H2873" s="70" t="str">
        <f t="shared" si="107"/>
        <v/>
      </c>
    </row>
    <row r="2874" spans="1:8">
      <c r="A2874" s="2"/>
      <c r="B2874" s="12"/>
      <c r="C2874" s="12"/>
      <c r="E2874" t="str">
        <f>IF(LEN(D2874)=0,"",[1]!i_pq_tradedays($B$3,A2875,A2874)-1)</f>
        <v/>
      </c>
      <c r="G2874" s="16" t="str">
        <f t="shared" si="106"/>
        <v/>
      </c>
      <c r="H2874" s="70" t="str">
        <f t="shared" si="107"/>
        <v/>
      </c>
    </row>
    <row r="2875" spans="1:8">
      <c r="A2875" s="2"/>
      <c r="B2875" s="12"/>
      <c r="C2875" s="12"/>
      <c r="E2875" t="str">
        <f>IF(LEN(D2875)=0,"",[1]!i_pq_tradedays($B$3,A2876,A2875)-1)</f>
        <v/>
      </c>
      <c r="G2875" s="16" t="str">
        <f t="shared" si="106"/>
        <v/>
      </c>
      <c r="H2875" s="70" t="str">
        <f t="shared" si="107"/>
        <v/>
      </c>
    </row>
    <row r="2876" spans="1:8">
      <c r="A2876" s="2"/>
      <c r="B2876" s="12"/>
      <c r="C2876" s="12"/>
      <c r="E2876" t="str">
        <f>IF(LEN(D2876)=0,"",[1]!i_pq_tradedays($B$3,A2877,A2876)-1)</f>
        <v/>
      </c>
      <c r="G2876" s="16" t="str">
        <f t="shared" si="106"/>
        <v/>
      </c>
      <c r="H2876" s="70" t="str">
        <f t="shared" si="107"/>
        <v/>
      </c>
    </row>
    <row r="2877" spans="1:8">
      <c r="A2877" s="2"/>
      <c r="B2877" s="12"/>
      <c r="C2877" s="12"/>
      <c r="E2877" t="str">
        <f>IF(LEN(D2877)=0,"",[1]!i_pq_tradedays($B$3,A2878,A2877)-1)</f>
        <v/>
      </c>
      <c r="G2877" s="16" t="str">
        <f t="shared" si="106"/>
        <v/>
      </c>
      <c r="H2877" s="70" t="str">
        <f t="shared" si="107"/>
        <v/>
      </c>
    </row>
    <row r="2878" spans="1:8">
      <c r="A2878" s="2"/>
      <c r="B2878" s="12"/>
      <c r="C2878" s="12"/>
      <c r="E2878" t="str">
        <f>IF(LEN(D2878)=0,"",[1]!i_pq_tradedays($B$3,A2879,A2878)-1)</f>
        <v/>
      </c>
      <c r="G2878" s="16" t="str">
        <f t="shared" si="106"/>
        <v/>
      </c>
      <c r="H2878" s="70" t="str">
        <f t="shared" si="107"/>
        <v/>
      </c>
    </row>
    <row r="2879" spans="1:8">
      <c r="A2879" s="2"/>
      <c r="B2879" s="12"/>
      <c r="C2879" s="12"/>
      <c r="E2879" t="str">
        <f>IF(LEN(D2879)=0,"",[1]!i_pq_tradedays($B$3,A2880,A2879)-1)</f>
        <v/>
      </c>
      <c r="G2879" s="16" t="str">
        <f t="shared" si="106"/>
        <v/>
      </c>
      <c r="H2879" s="70" t="str">
        <f t="shared" si="107"/>
        <v/>
      </c>
    </row>
    <row r="2880" spans="1:8">
      <c r="A2880" s="2"/>
      <c r="B2880" s="12"/>
      <c r="C2880" s="12"/>
      <c r="E2880" t="str">
        <f>IF(LEN(D2880)=0,"",[1]!i_pq_tradedays($B$3,A2881,A2880)-1)</f>
        <v/>
      </c>
      <c r="G2880" s="16" t="str">
        <f t="shared" si="106"/>
        <v/>
      </c>
      <c r="H2880" s="70" t="str">
        <f t="shared" si="107"/>
        <v/>
      </c>
    </row>
    <row r="2881" spans="1:8">
      <c r="A2881" s="2"/>
      <c r="B2881" s="12"/>
      <c r="C2881" s="12"/>
      <c r="E2881" t="str">
        <f>IF(LEN(D2881)=0,"",[1]!i_pq_tradedays($B$3,A2882,A2881)-1)</f>
        <v/>
      </c>
      <c r="G2881" s="16" t="str">
        <f t="shared" si="106"/>
        <v/>
      </c>
      <c r="H2881" s="70" t="str">
        <f t="shared" si="107"/>
        <v/>
      </c>
    </row>
    <row r="2882" spans="1:8">
      <c r="A2882" s="2"/>
      <c r="B2882" s="12"/>
      <c r="C2882" s="12"/>
      <c r="E2882" t="str">
        <f>IF(LEN(D2882)=0,"",[1]!i_pq_tradedays($B$3,A2883,A2882)-1)</f>
        <v/>
      </c>
      <c r="G2882" s="16" t="str">
        <f t="shared" si="106"/>
        <v/>
      </c>
      <c r="H2882" s="70" t="str">
        <f t="shared" si="107"/>
        <v/>
      </c>
    </row>
    <row r="2883" spans="1:8">
      <c r="A2883" s="2"/>
      <c r="B2883" s="12"/>
      <c r="C2883" s="12"/>
      <c r="E2883" t="str">
        <f>IF(LEN(D2883)=0,"",[1]!i_pq_tradedays($B$3,A2884,A2883)-1)</f>
        <v/>
      </c>
      <c r="G2883" s="16" t="str">
        <f t="shared" si="106"/>
        <v/>
      </c>
      <c r="H2883" s="70" t="str">
        <f t="shared" si="107"/>
        <v/>
      </c>
    </row>
    <row r="2884" spans="1:8">
      <c r="A2884" s="2"/>
      <c r="B2884" s="12"/>
      <c r="C2884" s="12"/>
      <c r="E2884" t="str">
        <f>IF(LEN(D2884)=0,"",[1]!i_pq_tradedays($B$3,A2885,A2884)-1)</f>
        <v/>
      </c>
      <c r="G2884" s="16" t="str">
        <f t="shared" si="106"/>
        <v/>
      </c>
      <c r="H2884" s="70" t="str">
        <f t="shared" si="107"/>
        <v/>
      </c>
    </row>
    <row r="2885" spans="1:8">
      <c r="A2885" s="2"/>
      <c r="B2885" s="12"/>
      <c r="C2885" s="12"/>
      <c r="E2885" t="str">
        <f>IF(LEN(D2885)=0,"",[1]!i_pq_tradedays($B$3,A2886,A2885)-1)</f>
        <v/>
      </c>
      <c r="G2885" s="16" t="str">
        <f t="shared" si="106"/>
        <v/>
      </c>
      <c r="H2885" s="70" t="str">
        <f t="shared" si="107"/>
        <v/>
      </c>
    </row>
    <row r="2886" spans="1:8">
      <c r="A2886" s="2"/>
      <c r="B2886" s="12"/>
      <c r="C2886" s="12"/>
      <c r="E2886" t="str">
        <f>IF(LEN(D2886)=0,"",[1]!i_pq_tradedays($B$3,A2887,A2886)-1)</f>
        <v/>
      </c>
      <c r="G2886" s="16" t="str">
        <f t="shared" si="106"/>
        <v/>
      </c>
      <c r="H2886" s="70" t="str">
        <f t="shared" si="107"/>
        <v/>
      </c>
    </row>
    <row r="2887" spans="1:8">
      <c r="A2887" s="2"/>
      <c r="B2887" s="12"/>
      <c r="C2887" s="12"/>
      <c r="E2887" t="str">
        <f>IF(LEN(D2887)=0,"",[1]!i_pq_tradedays($B$3,A2888,A2887)-1)</f>
        <v/>
      </c>
      <c r="G2887" s="16" t="str">
        <f t="shared" si="106"/>
        <v/>
      </c>
      <c r="H2887" s="70" t="str">
        <f t="shared" si="107"/>
        <v/>
      </c>
    </row>
    <row r="2888" spans="1:8">
      <c r="A2888" s="2"/>
      <c r="B2888" s="12"/>
      <c r="C2888" s="12"/>
      <c r="E2888" t="str">
        <f>IF(LEN(D2888)=0,"",[1]!i_pq_tradedays($B$3,A2889,A2888)-1)</f>
        <v/>
      </c>
      <c r="G2888" s="16" t="str">
        <f t="shared" si="106"/>
        <v/>
      </c>
      <c r="H2888" s="70" t="str">
        <f t="shared" si="107"/>
        <v/>
      </c>
    </row>
    <row r="2889" spans="1:8">
      <c r="A2889" s="2"/>
      <c r="B2889" s="12"/>
      <c r="C2889" s="12"/>
      <c r="E2889" t="str">
        <f>IF(LEN(D2889)=0,"",[1]!i_pq_tradedays($B$3,A2890,A2889)-1)</f>
        <v/>
      </c>
      <c r="G2889" s="16" t="str">
        <f t="shared" si="106"/>
        <v/>
      </c>
      <c r="H2889" s="70" t="str">
        <f t="shared" si="107"/>
        <v/>
      </c>
    </row>
    <row r="2890" spans="1:8">
      <c r="A2890" s="2"/>
      <c r="B2890" s="12"/>
      <c r="C2890" s="12"/>
      <c r="E2890" t="str">
        <f>IF(LEN(D2890)=0,"",[1]!i_pq_tradedays($B$3,A2891,A2890)-1)</f>
        <v/>
      </c>
      <c r="G2890" s="16" t="str">
        <f t="shared" si="106"/>
        <v/>
      </c>
      <c r="H2890" s="70" t="str">
        <f t="shared" si="107"/>
        <v/>
      </c>
    </row>
    <row r="2891" spans="1:8">
      <c r="A2891" s="2"/>
      <c r="B2891" s="12"/>
      <c r="C2891" s="12"/>
      <c r="E2891" t="str">
        <f>IF(LEN(D2891)=0,"",[1]!i_pq_tradedays($B$3,A2892,A2891)-1)</f>
        <v/>
      </c>
      <c r="G2891" s="16" t="str">
        <f t="shared" si="106"/>
        <v/>
      </c>
      <c r="H2891" s="70" t="str">
        <f t="shared" si="107"/>
        <v/>
      </c>
    </row>
    <row r="2892" spans="1:8">
      <c r="A2892" s="2"/>
      <c r="B2892" s="12"/>
      <c r="C2892" s="12"/>
      <c r="E2892" t="str">
        <f>IF(LEN(D2892)=0,"",[1]!i_pq_tradedays($B$3,A2893,A2892)-1)</f>
        <v/>
      </c>
      <c r="G2892" s="16" t="str">
        <f t="shared" si="106"/>
        <v/>
      </c>
      <c r="H2892" s="70" t="str">
        <f t="shared" si="107"/>
        <v/>
      </c>
    </row>
    <row r="2893" spans="1:8">
      <c r="A2893" s="2"/>
      <c r="B2893" s="12"/>
      <c r="C2893" s="12"/>
      <c r="E2893" t="str">
        <f>IF(LEN(D2893)=0,"",[1]!i_pq_tradedays($B$3,A2894,A2893)-1)</f>
        <v/>
      </c>
      <c r="G2893" s="16" t="str">
        <f t="shared" si="106"/>
        <v/>
      </c>
      <c r="H2893" s="70" t="str">
        <f t="shared" si="107"/>
        <v/>
      </c>
    </row>
    <row r="2894" spans="1:8">
      <c r="A2894" s="2"/>
      <c r="B2894" s="12"/>
      <c r="C2894" s="12"/>
      <c r="E2894" t="str">
        <f>IF(LEN(D2894)=0,"",[1]!i_pq_tradedays($B$3,A2895,A2894)-1)</f>
        <v/>
      </c>
      <c r="G2894" s="16" t="str">
        <f t="shared" si="106"/>
        <v/>
      </c>
      <c r="H2894" s="70" t="str">
        <f t="shared" si="107"/>
        <v/>
      </c>
    </row>
    <row r="2895" spans="1:8">
      <c r="A2895" s="2"/>
      <c r="B2895" s="12"/>
      <c r="C2895" s="12"/>
      <c r="E2895" t="str">
        <f>IF(LEN(D2895)=0,"",[1]!i_pq_tradedays($B$3,A2896,A2895)-1)</f>
        <v/>
      </c>
      <c r="G2895" s="16" t="str">
        <f t="shared" si="106"/>
        <v/>
      </c>
      <c r="H2895" s="70" t="str">
        <f t="shared" si="107"/>
        <v/>
      </c>
    </row>
    <row r="2896" spans="1:8">
      <c r="A2896" s="2"/>
      <c r="B2896" s="12"/>
      <c r="C2896" s="12"/>
      <c r="E2896" t="str">
        <f>IF(LEN(D2896)=0,"",[1]!i_pq_tradedays($B$3,A2897,A2896)-1)</f>
        <v/>
      </c>
      <c r="G2896" s="16" t="str">
        <f t="shared" si="106"/>
        <v/>
      </c>
      <c r="H2896" s="70" t="str">
        <f t="shared" si="107"/>
        <v/>
      </c>
    </row>
    <row r="2897" spans="1:8">
      <c r="A2897" s="2"/>
      <c r="B2897" s="12"/>
      <c r="C2897" s="12"/>
      <c r="E2897" t="str">
        <f>IF(LEN(D2897)=0,"",[1]!i_pq_tradedays($B$3,A2898,A2897)-1)</f>
        <v/>
      </c>
      <c r="G2897" s="16" t="str">
        <f t="shared" si="106"/>
        <v/>
      </c>
      <c r="H2897" s="70" t="str">
        <f t="shared" si="107"/>
        <v/>
      </c>
    </row>
    <row r="2898" spans="1:8">
      <c r="A2898" s="2"/>
      <c r="B2898" s="12"/>
      <c r="C2898" s="12"/>
      <c r="E2898" t="str">
        <f>IF(LEN(D2898)=0,"",[1]!i_pq_tradedays($B$3,A2899,A2898)-1)</f>
        <v/>
      </c>
      <c r="G2898" s="16" t="str">
        <f t="shared" si="106"/>
        <v/>
      </c>
      <c r="H2898" s="70" t="str">
        <f t="shared" si="107"/>
        <v/>
      </c>
    </row>
    <row r="2899" spans="1:8">
      <c r="A2899" s="2"/>
      <c r="B2899" s="12"/>
      <c r="C2899" s="12"/>
      <c r="E2899" t="str">
        <f>IF(LEN(D2899)=0,"",[1]!i_pq_tradedays($B$3,A2900,A2899)-1)</f>
        <v/>
      </c>
      <c r="G2899" s="16" t="str">
        <f t="shared" si="106"/>
        <v/>
      </c>
      <c r="H2899" s="70" t="str">
        <f t="shared" si="107"/>
        <v/>
      </c>
    </row>
    <row r="2900" spans="1:8">
      <c r="A2900" s="2"/>
      <c r="B2900" s="12"/>
      <c r="C2900" s="12"/>
      <c r="E2900" t="str">
        <f>IF(LEN(D2900)=0,"",[1]!i_pq_tradedays($B$3,A2901,A2900)-1)</f>
        <v/>
      </c>
      <c r="G2900" s="16" t="str">
        <f t="shared" si="106"/>
        <v/>
      </c>
      <c r="H2900" s="70" t="str">
        <f t="shared" si="107"/>
        <v/>
      </c>
    </row>
    <row r="2901" spans="1:8">
      <c r="A2901" s="2"/>
      <c r="B2901" s="12"/>
      <c r="C2901" s="12"/>
      <c r="E2901" t="str">
        <f>IF(LEN(D2901)=0,"",[1]!i_pq_tradedays($B$3,A2902,A2901)-1)</f>
        <v/>
      </c>
      <c r="G2901" s="16" t="str">
        <f t="shared" si="106"/>
        <v/>
      </c>
      <c r="H2901" s="70" t="str">
        <f t="shared" si="107"/>
        <v/>
      </c>
    </row>
    <row r="2902" spans="1:8">
      <c r="A2902" s="2"/>
      <c r="B2902" s="12"/>
      <c r="C2902" s="12"/>
      <c r="E2902" t="str">
        <f>IF(LEN(D2902)=0,"",[1]!i_pq_tradedays($B$3,A2903,A2902)-1)</f>
        <v/>
      </c>
      <c r="G2902" s="16" t="str">
        <f t="shared" si="106"/>
        <v/>
      </c>
      <c r="H2902" s="70" t="str">
        <f t="shared" si="107"/>
        <v/>
      </c>
    </row>
    <row r="2903" spans="1:8">
      <c r="A2903" s="2"/>
      <c r="B2903" s="12"/>
      <c r="C2903" s="12"/>
      <c r="E2903" t="str">
        <f>IF(LEN(D2903)=0,"",[1]!i_pq_tradedays($B$3,A2904,A2903)-1)</f>
        <v/>
      </c>
      <c r="G2903" s="16" t="str">
        <f t="shared" si="106"/>
        <v/>
      </c>
      <c r="H2903" s="70" t="str">
        <f t="shared" si="107"/>
        <v/>
      </c>
    </row>
    <row r="2904" spans="1:8">
      <c r="A2904" s="2"/>
      <c r="B2904" s="12"/>
      <c r="C2904" s="12"/>
      <c r="E2904" t="str">
        <f>IF(LEN(D2904)=0,"",[1]!i_pq_tradedays($B$3,A2905,A2904)-1)</f>
        <v/>
      </c>
      <c r="G2904" s="16" t="str">
        <f t="shared" si="106"/>
        <v/>
      </c>
      <c r="H2904" s="70" t="str">
        <f t="shared" si="107"/>
        <v/>
      </c>
    </row>
    <row r="2905" spans="1:8">
      <c r="A2905" s="2"/>
      <c r="B2905" s="12"/>
      <c r="C2905" s="12"/>
      <c r="E2905" t="str">
        <f>IF(LEN(D2905)=0,"",[1]!i_pq_tradedays($B$3,A2906,A2905)-1)</f>
        <v/>
      </c>
      <c r="G2905" s="16" t="str">
        <f t="shared" si="106"/>
        <v/>
      </c>
      <c r="H2905" s="70" t="str">
        <f t="shared" si="107"/>
        <v/>
      </c>
    </row>
    <row r="2906" spans="1:8">
      <c r="A2906" s="2"/>
      <c r="B2906" s="12"/>
      <c r="C2906" s="12"/>
      <c r="E2906" t="str">
        <f>IF(LEN(D2906)=0,"",[1]!i_pq_tradedays($B$3,A2907,A2906)-1)</f>
        <v/>
      </c>
      <c r="G2906" s="16" t="str">
        <f t="shared" si="106"/>
        <v/>
      </c>
      <c r="H2906" s="70" t="str">
        <f t="shared" si="107"/>
        <v/>
      </c>
    </row>
    <row r="2907" spans="1:8">
      <c r="A2907" s="2"/>
      <c r="B2907" s="12"/>
      <c r="C2907" s="12"/>
      <c r="E2907" t="str">
        <f>IF(LEN(D2907)=0,"",[1]!i_pq_tradedays($B$3,A2908,A2907)-1)</f>
        <v/>
      </c>
      <c r="G2907" s="16" t="str">
        <f t="shared" si="106"/>
        <v/>
      </c>
      <c r="H2907" s="70" t="str">
        <f t="shared" si="107"/>
        <v/>
      </c>
    </row>
    <row r="2908" spans="1:8">
      <c r="A2908" s="2"/>
      <c r="B2908" s="12"/>
      <c r="C2908" s="12"/>
      <c r="E2908" t="str">
        <f>IF(LEN(D2908)=0,"",[1]!i_pq_tradedays($B$3,A2909,A2908)-1)</f>
        <v/>
      </c>
      <c r="G2908" s="16" t="str">
        <f t="shared" si="106"/>
        <v/>
      </c>
      <c r="H2908" s="70" t="str">
        <f t="shared" si="107"/>
        <v/>
      </c>
    </row>
    <row r="2909" spans="1:8">
      <c r="A2909" s="2"/>
      <c r="B2909" s="12"/>
      <c r="C2909" s="12"/>
      <c r="E2909" t="str">
        <f>IF(LEN(D2909)=0,"",[1]!i_pq_tradedays($B$3,A2910,A2909)-1)</f>
        <v/>
      </c>
      <c r="G2909" s="16" t="str">
        <f t="shared" si="106"/>
        <v/>
      </c>
      <c r="H2909" s="70" t="str">
        <f t="shared" si="107"/>
        <v/>
      </c>
    </row>
    <row r="2910" spans="1:8">
      <c r="A2910" s="2"/>
      <c r="B2910" s="12"/>
      <c r="C2910" s="12"/>
      <c r="E2910" t="str">
        <f>IF(LEN(D2910)=0,"",[1]!i_pq_tradedays($B$3,A2911,A2910)-1)</f>
        <v/>
      </c>
      <c r="G2910" s="16" t="str">
        <f t="shared" si="106"/>
        <v/>
      </c>
      <c r="H2910" s="70" t="str">
        <f t="shared" si="107"/>
        <v/>
      </c>
    </row>
    <row r="2911" spans="1:8">
      <c r="A2911" s="2"/>
      <c r="B2911" s="12"/>
      <c r="C2911" s="12"/>
      <c r="E2911" t="str">
        <f>IF(LEN(D2911)=0,"",[1]!i_pq_tradedays($B$3,A2912,A2911)-1)</f>
        <v/>
      </c>
      <c r="G2911" s="16" t="str">
        <f t="shared" si="106"/>
        <v/>
      </c>
      <c r="H2911" s="70" t="str">
        <f t="shared" si="107"/>
        <v/>
      </c>
    </row>
    <row r="2912" spans="1:8">
      <c r="A2912" s="2"/>
      <c r="B2912" s="12"/>
      <c r="C2912" s="12"/>
      <c r="E2912" t="str">
        <f>IF(LEN(D2912)=0,"",[1]!i_pq_tradedays($B$3,A2913,A2912)-1)</f>
        <v/>
      </c>
      <c r="G2912" s="16" t="str">
        <f t="shared" si="106"/>
        <v/>
      </c>
      <c r="H2912" s="70" t="str">
        <f t="shared" si="107"/>
        <v/>
      </c>
    </row>
    <row r="2913" spans="1:8">
      <c r="A2913" s="2"/>
      <c r="B2913" s="12"/>
      <c r="C2913" s="12"/>
      <c r="E2913" t="str">
        <f>IF(LEN(D2913)=0,"",[1]!i_pq_tradedays($B$3,A2914,A2913)-1)</f>
        <v/>
      </c>
      <c r="G2913" s="16" t="str">
        <f t="shared" si="106"/>
        <v/>
      </c>
      <c r="H2913" s="70" t="str">
        <f t="shared" si="107"/>
        <v/>
      </c>
    </row>
    <row r="2914" spans="1:8">
      <c r="A2914" s="2"/>
      <c r="B2914" s="12"/>
      <c r="C2914" s="12"/>
      <c r="E2914" t="str">
        <f>IF(LEN(D2914)=0,"",[1]!i_pq_tradedays($B$3,A2915,A2914)-1)</f>
        <v/>
      </c>
      <c r="G2914" s="16" t="str">
        <f t="shared" si="106"/>
        <v/>
      </c>
      <c r="H2914" s="70" t="str">
        <f t="shared" si="107"/>
        <v/>
      </c>
    </row>
    <row r="2915" spans="1:8">
      <c r="A2915" s="2"/>
      <c r="B2915" s="12"/>
      <c r="C2915" s="12"/>
      <c r="E2915" t="str">
        <f>IF(LEN(D2915)=0,"",[1]!i_pq_tradedays($B$3,A2916,A2915)-1)</f>
        <v/>
      </c>
      <c r="G2915" s="16" t="str">
        <f t="shared" si="106"/>
        <v/>
      </c>
      <c r="H2915" s="70" t="str">
        <f t="shared" si="107"/>
        <v/>
      </c>
    </row>
    <row r="2916" spans="1:8">
      <c r="A2916" s="2"/>
      <c r="B2916" s="12"/>
      <c r="C2916" s="12"/>
      <c r="E2916" t="str">
        <f>IF(LEN(D2916)=0,"",[1]!i_pq_tradedays($B$3,A2917,A2916)-1)</f>
        <v/>
      </c>
      <c r="G2916" s="16" t="str">
        <f t="shared" si="106"/>
        <v/>
      </c>
      <c r="H2916" s="70" t="str">
        <f t="shared" si="107"/>
        <v/>
      </c>
    </row>
    <row r="2917" spans="1:8">
      <c r="A2917" s="2"/>
      <c r="B2917" s="12"/>
      <c r="C2917" s="12"/>
      <c r="E2917" t="str">
        <f>IF(LEN(D2917)=0,"",[1]!i_pq_tradedays($B$3,A2918,A2917)-1)</f>
        <v/>
      </c>
      <c r="G2917" s="16" t="str">
        <f t="shared" si="106"/>
        <v/>
      </c>
      <c r="H2917" s="70" t="str">
        <f t="shared" si="107"/>
        <v/>
      </c>
    </row>
    <row r="2918" spans="1:8">
      <c r="A2918" s="2"/>
      <c r="B2918" s="12"/>
      <c r="C2918" s="12"/>
      <c r="E2918" t="str">
        <f>IF(LEN(D2918)=0,"",[1]!i_pq_tradedays($B$3,A2919,A2918)-1)</f>
        <v/>
      </c>
      <c r="G2918" s="16" t="str">
        <f t="shared" si="106"/>
        <v/>
      </c>
      <c r="H2918" s="70" t="str">
        <f t="shared" si="107"/>
        <v/>
      </c>
    </row>
    <row r="2919" spans="1:8">
      <c r="A2919" s="2"/>
      <c r="B2919" s="12"/>
      <c r="C2919" s="12"/>
      <c r="E2919" t="str">
        <f>IF(LEN(D2919)=0,"",[1]!i_pq_tradedays($B$3,A2920,A2919)-1)</f>
        <v/>
      </c>
      <c r="G2919" s="16" t="str">
        <f t="shared" si="106"/>
        <v/>
      </c>
      <c r="H2919" s="70" t="str">
        <f t="shared" si="107"/>
        <v/>
      </c>
    </row>
    <row r="2920" spans="1:8">
      <c r="A2920" s="2"/>
      <c r="B2920" s="12"/>
      <c r="C2920" s="12"/>
      <c r="E2920" t="str">
        <f>IF(LEN(D2920)=0,"",[1]!i_pq_tradedays($B$3,A2921,A2920)-1)</f>
        <v/>
      </c>
      <c r="G2920" s="16" t="str">
        <f t="shared" si="106"/>
        <v/>
      </c>
      <c r="H2920" s="70" t="str">
        <f t="shared" si="107"/>
        <v/>
      </c>
    </row>
    <row r="2921" spans="1:8">
      <c r="A2921" s="2"/>
      <c r="B2921" s="12"/>
      <c r="C2921" s="12"/>
      <c r="E2921" t="str">
        <f>IF(LEN(D2921)=0,"",[1]!i_pq_tradedays($B$3,A2922,A2921)-1)</f>
        <v/>
      </c>
      <c r="G2921" s="16" t="str">
        <f t="shared" si="106"/>
        <v/>
      </c>
      <c r="H2921" s="70" t="str">
        <f t="shared" si="107"/>
        <v/>
      </c>
    </row>
    <row r="2922" spans="1:8">
      <c r="A2922" s="2"/>
      <c r="B2922" s="12"/>
      <c r="C2922" s="12"/>
      <c r="E2922" t="str">
        <f>IF(LEN(D2922)=0,"",[1]!i_pq_tradedays($B$3,A2923,A2922)-1)</f>
        <v/>
      </c>
      <c r="G2922" s="16" t="str">
        <f t="shared" si="106"/>
        <v/>
      </c>
      <c r="H2922" s="70" t="str">
        <f t="shared" si="107"/>
        <v/>
      </c>
    </row>
    <row r="2923" spans="1:8">
      <c r="A2923" s="2"/>
      <c r="B2923" s="12"/>
      <c r="C2923" s="12"/>
      <c r="E2923" t="str">
        <f>IF(LEN(D2923)=0,"",[1]!i_pq_tradedays($B$3,A2924,A2923)-1)</f>
        <v/>
      </c>
      <c r="G2923" s="16" t="str">
        <f t="shared" si="106"/>
        <v/>
      </c>
      <c r="H2923" s="70" t="str">
        <f t="shared" si="107"/>
        <v/>
      </c>
    </row>
    <row r="2924" spans="1:8">
      <c r="A2924" s="2"/>
      <c r="B2924" s="12"/>
      <c r="C2924" s="12"/>
      <c r="E2924" t="str">
        <f>IF(LEN(D2924)=0,"",[1]!i_pq_tradedays($B$3,A2925,A2924)-1)</f>
        <v/>
      </c>
      <c r="G2924" s="16" t="str">
        <f t="shared" si="106"/>
        <v/>
      </c>
      <c r="H2924" s="70" t="str">
        <f t="shared" si="107"/>
        <v/>
      </c>
    </row>
    <row r="2925" spans="1:8">
      <c r="A2925" s="2"/>
      <c r="B2925" s="12"/>
      <c r="C2925" s="12"/>
      <c r="E2925" t="str">
        <f>IF(LEN(D2925)=0,"",[1]!i_pq_tradedays($B$3,A2926,A2925)-1)</f>
        <v/>
      </c>
      <c r="G2925" s="16" t="str">
        <f t="shared" si="106"/>
        <v/>
      </c>
      <c r="H2925" s="70" t="str">
        <f t="shared" si="107"/>
        <v/>
      </c>
    </row>
    <row r="2926" spans="1:8">
      <c r="A2926" s="2"/>
      <c r="B2926" s="12"/>
      <c r="C2926" s="12"/>
      <c r="E2926" t="str">
        <f>IF(LEN(D2926)=0,"",[1]!i_pq_tradedays($B$3,A2927,A2926)-1)</f>
        <v/>
      </c>
      <c r="G2926" s="16" t="str">
        <f t="shared" si="106"/>
        <v/>
      </c>
      <c r="H2926" s="70" t="str">
        <f t="shared" si="107"/>
        <v/>
      </c>
    </row>
    <row r="2927" spans="1:8">
      <c r="A2927" s="2"/>
      <c r="B2927" s="12"/>
      <c r="C2927" s="12"/>
      <c r="E2927" t="str">
        <f>IF(LEN(D2927)=0,"",[1]!i_pq_tradedays($B$3,A2928,A2927)-1)</f>
        <v/>
      </c>
      <c r="G2927" s="16" t="str">
        <f t="shared" si="106"/>
        <v/>
      </c>
      <c r="H2927" s="70" t="str">
        <f t="shared" si="107"/>
        <v/>
      </c>
    </row>
    <row r="2928" spans="1:8">
      <c r="A2928" s="2"/>
      <c r="B2928" s="12"/>
      <c r="C2928" s="12"/>
      <c r="E2928" t="str">
        <f>IF(LEN(D2928)=0,"",[1]!i_pq_tradedays($B$3,A2929,A2928)-1)</f>
        <v/>
      </c>
      <c r="G2928" s="16" t="str">
        <f t="shared" si="106"/>
        <v/>
      </c>
      <c r="H2928" s="70" t="str">
        <f t="shared" si="107"/>
        <v/>
      </c>
    </row>
    <row r="2929" spans="1:8">
      <c r="A2929" s="2"/>
      <c r="B2929" s="12"/>
      <c r="C2929" s="12"/>
      <c r="E2929" t="str">
        <f>IF(LEN(D2929)=0,"",[1]!i_pq_tradedays($B$3,A2930,A2929)-1)</f>
        <v/>
      </c>
      <c r="G2929" s="16" t="str">
        <f t="shared" si="106"/>
        <v/>
      </c>
      <c r="H2929" s="70" t="str">
        <f t="shared" si="107"/>
        <v/>
      </c>
    </row>
    <row r="2930" spans="1:8">
      <c r="A2930" s="2"/>
      <c r="B2930" s="12"/>
      <c r="C2930" s="12"/>
      <c r="E2930" t="str">
        <f>IF(LEN(D2930)=0,"",[1]!i_pq_tradedays($B$3,A2931,A2930)-1)</f>
        <v/>
      </c>
      <c r="G2930" s="16" t="str">
        <f t="shared" si="106"/>
        <v/>
      </c>
      <c r="H2930" s="70" t="str">
        <f t="shared" si="107"/>
        <v/>
      </c>
    </row>
    <row r="2931" spans="1:8">
      <c r="A2931" s="2"/>
      <c r="B2931" s="12"/>
      <c r="C2931" s="12"/>
      <c r="E2931" t="str">
        <f>IF(LEN(D2931)=0,"",[1]!i_pq_tradedays($B$3,A2932,A2931)-1)</f>
        <v/>
      </c>
      <c r="G2931" s="16" t="str">
        <f t="shared" si="106"/>
        <v/>
      </c>
      <c r="H2931" s="70" t="str">
        <f t="shared" si="107"/>
        <v/>
      </c>
    </row>
    <row r="2932" spans="1:8">
      <c r="A2932" s="2"/>
      <c r="B2932" s="12"/>
      <c r="C2932" s="12"/>
      <c r="E2932" t="str">
        <f>IF(LEN(D2932)=0,"",[1]!i_pq_tradedays($B$3,A2933,A2932)-1)</f>
        <v/>
      </c>
      <c r="G2932" s="16" t="str">
        <f t="shared" si="106"/>
        <v/>
      </c>
      <c r="H2932" s="70" t="str">
        <f t="shared" si="107"/>
        <v/>
      </c>
    </row>
    <row r="2933" spans="1:8">
      <c r="A2933" s="2"/>
      <c r="B2933" s="12"/>
      <c r="C2933" s="12"/>
      <c r="E2933" t="str">
        <f>IF(LEN(D2933)=0,"",[1]!i_pq_tradedays($B$3,A2934,A2933)-1)</f>
        <v/>
      </c>
      <c r="G2933" s="16" t="str">
        <f t="shared" ref="G2933:G2996" si="108">IF(LEN(D2933)=0,"",D2933/E2933)</f>
        <v/>
      </c>
      <c r="H2933" s="70" t="str">
        <f t="shared" ref="H2933:H2996" si="109">IF(LEN(D2933)=0,"",G2933/G2934-1)</f>
        <v/>
      </c>
    </row>
    <row r="2934" spans="1:8">
      <c r="A2934" s="2"/>
      <c r="B2934" s="12"/>
      <c r="C2934" s="12"/>
      <c r="E2934" t="str">
        <f>IF(LEN(D2934)=0,"",[1]!i_pq_tradedays($B$3,A2935,A2934)-1)</f>
        <v/>
      </c>
      <c r="G2934" s="16" t="str">
        <f t="shared" si="108"/>
        <v/>
      </c>
      <c r="H2934" s="70" t="str">
        <f t="shared" si="109"/>
        <v/>
      </c>
    </row>
    <row r="2935" spans="1:8">
      <c r="A2935" s="2"/>
      <c r="B2935" s="12"/>
      <c r="C2935" s="12"/>
      <c r="E2935" t="str">
        <f>IF(LEN(D2935)=0,"",[1]!i_pq_tradedays($B$3,A2936,A2935)-1)</f>
        <v/>
      </c>
      <c r="G2935" s="16" t="str">
        <f t="shared" si="108"/>
        <v/>
      </c>
      <c r="H2935" s="70" t="str">
        <f t="shared" si="109"/>
        <v/>
      </c>
    </row>
    <row r="2936" spans="1:8">
      <c r="A2936" s="2"/>
      <c r="B2936" s="12"/>
      <c r="C2936" s="12"/>
      <c r="E2936" t="str">
        <f>IF(LEN(D2936)=0,"",[1]!i_pq_tradedays($B$3,A2937,A2936)-1)</f>
        <v/>
      </c>
      <c r="G2936" s="16" t="str">
        <f t="shared" si="108"/>
        <v/>
      </c>
      <c r="H2936" s="70" t="str">
        <f t="shared" si="109"/>
        <v/>
      </c>
    </row>
    <row r="2937" spans="1:8">
      <c r="A2937" s="2"/>
      <c r="B2937" s="12"/>
      <c r="C2937" s="12"/>
      <c r="E2937" t="str">
        <f>IF(LEN(D2937)=0,"",[1]!i_pq_tradedays($B$3,A2938,A2937)-1)</f>
        <v/>
      </c>
      <c r="G2937" s="16" t="str">
        <f t="shared" si="108"/>
        <v/>
      </c>
      <c r="H2937" s="70" t="str">
        <f t="shared" si="109"/>
        <v/>
      </c>
    </row>
    <row r="2938" spans="1:8">
      <c r="A2938" s="2"/>
      <c r="B2938" s="12"/>
      <c r="C2938" s="12"/>
      <c r="E2938" t="str">
        <f>IF(LEN(D2938)=0,"",[1]!i_pq_tradedays($B$3,A2939,A2938)-1)</f>
        <v/>
      </c>
      <c r="G2938" s="16" t="str">
        <f t="shared" si="108"/>
        <v/>
      </c>
      <c r="H2938" s="70" t="str">
        <f t="shared" si="109"/>
        <v/>
      </c>
    </row>
    <row r="2939" spans="1:8">
      <c r="A2939" s="2"/>
      <c r="B2939" s="12"/>
      <c r="C2939" s="12"/>
      <c r="E2939" t="str">
        <f>IF(LEN(D2939)=0,"",[1]!i_pq_tradedays($B$3,A2940,A2939)-1)</f>
        <v/>
      </c>
      <c r="G2939" s="16" t="str">
        <f t="shared" si="108"/>
        <v/>
      </c>
      <c r="H2939" s="70" t="str">
        <f t="shared" si="109"/>
        <v/>
      </c>
    </row>
    <row r="2940" spans="1:8">
      <c r="A2940" s="2"/>
      <c r="B2940" s="12"/>
      <c r="C2940" s="12"/>
      <c r="E2940" t="str">
        <f>IF(LEN(D2940)=0,"",[1]!i_pq_tradedays($B$3,A2941,A2940)-1)</f>
        <v/>
      </c>
      <c r="G2940" s="16" t="str">
        <f t="shared" si="108"/>
        <v/>
      </c>
      <c r="H2940" s="70" t="str">
        <f t="shared" si="109"/>
        <v/>
      </c>
    </row>
    <row r="2941" spans="1:8">
      <c r="A2941" s="2"/>
      <c r="B2941" s="12"/>
      <c r="C2941" s="12"/>
      <c r="E2941" t="str">
        <f>IF(LEN(D2941)=0,"",[1]!i_pq_tradedays($B$3,A2942,A2941)-1)</f>
        <v/>
      </c>
      <c r="G2941" s="16" t="str">
        <f t="shared" si="108"/>
        <v/>
      </c>
      <c r="H2941" s="70" t="str">
        <f t="shared" si="109"/>
        <v/>
      </c>
    </row>
    <row r="2942" spans="1:8">
      <c r="A2942" s="2"/>
      <c r="B2942" s="12"/>
      <c r="C2942" s="12"/>
      <c r="E2942" t="str">
        <f>IF(LEN(D2942)=0,"",[1]!i_pq_tradedays($B$3,A2943,A2942)-1)</f>
        <v/>
      </c>
      <c r="G2942" s="16" t="str">
        <f t="shared" si="108"/>
        <v/>
      </c>
      <c r="H2942" s="70" t="str">
        <f t="shared" si="109"/>
        <v/>
      </c>
    </row>
    <row r="2943" spans="1:8">
      <c r="A2943" s="2"/>
      <c r="B2943" s="12"/>
      <c r="C2943" s="12"/>
      <c r="E2943" t="str">
        <f>IF(LEN(D2943)=0,"",[1]!i_pq_tradedays($B$3,A2944,A2943)-1)</f>
        <v/>
      </c>
      <c r="G2943" s="16" t="str">
        <f t="shared" si="108"/>
        <v/>
      </c>
      <c r="H2943" s="70" t="str">
        <f t="shared" si="109"/>
        <v/>
      </c>
    </row>
    <row r="2944" spans="1:8">
      <c r="A2944" s="2"/>
      <c r="B2944" s="12"/>
      <c r="C2944" s="12"/>
      <c r="E2944" t="str">
        <f>IF(LEN(D2944)=0,"",[1]!i_pq_tradedays($B$3,A2945,A2944)-1)</f>
        <v/>
      </c>
      <c r="G2944" s="16" t="str">
        <f t="shared" si="108"/>
        <v/>
      </c>
      <c r="H2944" s="70" t="str">
        <f t="shared" si="109"/>
        <v/>
      </c>
    </row>
    <row r="2945" spans="1:8">
      <c r="A2945" s="2"/>
      <c r="B2945" s="12"/>
      <c r="C2945" s="12"/>
      <c r="E2945" t="str">
        <f>IF(LEN(D2945)=0,"",[1]!i_pq_tradedays($B$3,A2946,A2945)-1)</f>
        <v/>
      </c>
      <c r="G2945" s="16" t="str">
        <f t="shared" si="108"/>
        <v/>
      </c>
      <c r="H2945" s="70" t="str">
        <f t="shared" si="109"/>
        <v/>
      </c>
    </row>
    <row r="2946" spans="1:8">
      <c r="A2946" s="2"/>
      <c r="B2946" s="12"/>
      <c r="C2946" s="12"/>
      <c r="E2946" t="str">
        <f>IF(LEN(D2946)=0,"",[1]!i_pq_tradedays($B$3,A2947,A2946)-1)</f>
        <v/>
      </c>
      <c r="G2946" s="16" t="str">
        <f t="shared" si="108"/>
        <v/>
      </c>
      <c r="H2946" s="70" t="str">
        <f t="shared" si="109"/>
        <v/>
      </c>
    </row>
    <row r="2947" spans="1:8">
      <c r="A2947" s="2"/>
      <c r="B2947" s="12"/>
      <c r="C2947" s="12"/>
      <c r="E2947" t="str">
        <f>IF(LEN(D2947)=0,"",[1]!i_pq_tradedays($B$3,A2948,A2947)-1)</f>
        <v/>
      </c>
      <c r="G2947" s="16" t="str">
        <f t="shared" si="108"/>
        <v/>
      </c>
      <c r="H2947" s="70" t="str">
        <f t="shared" si="109"/>
        <v/>
      </c>
    </row>
    <row r="2948" spans="1:8">
      <c r="A2948" s="2"/>
      <c r="B2948" s="12"/>
      <c r="C2948" s="12"/>
      <c r="E2948" t="str">
        <f>IF(LEN(D2948)=0,"",[1]!i_pq_tradedays($B$3,A2949,A2948)-1)</f>
        <v/>
      </c>
      <c r="G2948" s="16" t="str">
        <f t="shared" si="108"/>
        <v/>
      </c>
      <c r="H2948" s="70" t="str">
        <f t="shared" si="109"/>
        <v/>
      </c>
    </row>
    <row r="2949" spans="1:8">
      <c r="A2949" s="2"/>
      <c r="B2949" s="12"/>
      <c r="C2949" s="12"/>
      <c r="E2949" t="str">
        <f>IF(LEN(D2949)=0,"",[1]!i_pq_tradedays($B$3,A2950,A2949)-1)</f>
        <v/>
      </c>
      <c r="G2949" s="16" t="str">
        <f t="shared" si="108"/>
        <v/>
      </c>
      <c r="H2949" s="70" t="str">
        <f t="shared" si="109"/>
        <v/>
      </c>
    </row>
    <row r="2950" spans="1:8">
      <c r="A2950" s="2"/>
      <c r="B2950" s="12"/>
      <c r="C2950" s="12"/>
      <c r="E2950" t="str">
        <f>IF(LEN(D2950)=0,"",[1]!i_pq_tradedays($B$3,A2951,A2950)-1)</f>
        <v/>
      </c>
      <c r="G2950" s="16" t="str">
        <f t="shared" si="108"/>
        <v/>
      </c>
      <c r="H2950" s="70" t="str">
        <f t="shared" si="109"/>
        <v/>
      </c>
    </row>
    <row r="2951" spans="1:8">
      <c r="A2951" s="2"/>
      <c r="B2951" s="12"/>
      <c r="C2951" s="12"/>
      <c r="E2951" t="str">
        <f>IF(LEN(D2951)=0,"",[1]!i_pq_tradedays($B$3,A2952,A2951)-1)</f>
        <v/>
      </c>
      <c r="G2951" s="16" t="str">
        <f t="shared" si="108"/>
        <v/>
      </c>
      <c r="H2951" s="70" t="str">
        <f t="shared" si="109"/>
        <v/>
      </c>
    </row>
    <row r="2952" spans="1:8">
      <c r="A2952" s="2"/>
      <c r="B2952" s="12"/>
      <c r="C2952" s="12"/>
      <c r="E2952" t="str">
        <f>IF(LEN(D2952)=0,"",[1]!i_pq_tradedays($B$3,A2953,A2952)-1)</f>
        <v/>
      </c>
      <c r="G2952" s="16" t="str">
        <f t="shared" si="108"/>
        <v/>
      </c>
      <c r="H2952" s="70" t="str">
        <f t="shared" si="109"/>
        <v/>
      </c>
    </row>
    <row r="2953" spans="1:8">
      <c r="A2953" s="2"/>
      <c r="B2953" s="12"/>
      <c r="C2953" s="12"/>
      <c r="E2953" t="str">
        <f>IF(LEN(D2953)=0,"",[1]!i_pq_tradedays($B$3,A2954,A2953)-1)</f>
        <v/>
      </c>
      <c r="G2953" s="16" t="str">
        <f t="shared" si="108"/>
        <v/>
      </c>
      <c r="H2953" s="70" t="str">
        <f t="shared" si="109"/>
        <v/>
      </c>
    </row>
    <row r="2954" spans="1:8">
      <c r="A2954" s="2"/>
      <c r="B2954" s="12"/>
      <c r="C2954" s="12"/>
      <c r="E2954" t="str">
        <f>IF(LEN(D2954)=0,"",[1]!i_pq_tradedays($B$3,A2955,A2954)-1)</f>
        <v/>
      </c>
      <c r="G2954" s="16" t="str">
        <f t="shared" si="108"/>
        <v/>
      </c>
      <c r="H2954" s="70" t="str">
        <f t="shared" si="109"/>
        <v/>
      </c>
    </row>
    <row r="2955" spans="1:8">
      <c r="A2955" s="2"/>
      <c r="B2955" s="12"/>
      <c r="C2955" s="12"/>
      <c r="E2955" t="str">
        <f>IF(LEN(D2955)=0,"",[1]!i_pq_tradedays($B$3,A2956,A2955)-1)</f>
        <v/>
      </c>
      <c r="G2955" s="16" t="str">
        <f t="shared" si="108"/>
        <v/>
      </c>
      <c r="H2955" s="70" t="str">
        <f t="shared" si="109"/>
        <v/>
      </c>
    </row>
    <row r="2956" spans="1:8">
      <c r="A2956" s="2"/>
      <c r="B2956" s="12"/>
      <c r="C2956" s="12"/>
      <c r="E2956" t="str">
        <f>IF(LEN(D2956)=0,"",[1]!i_pq_tradedays($B$3,A2957,A2956)-1)</f>
        <v/>
      </c>
      <c r="G2956" s="16" t="str">
        <f t="shared" si="108"/>
        <v/>
      </c>
      <c r="H2956" s="70" t="str">
        <f t="shared" si="109"/>
        <v/>
      </c>
    </row>
    <row r="2957" spans="1:8">
      <c r="A2957" s="2"/>
      <c r="B2957" s="12"/>
      <c r="C2957" s="12"/>
      <c r="E2957" t="str">
        <f>IF(LEN(D2957)=0,"",[1]!i_pq_tradedays($B$3,A2958,A2957)-1)</f>
        <v/>
      </c>
      <c r="G2957" s="16" t="str">
        <f t="shared" si="108"/>
        <v/>
      </c>
      <c r="H2957" s="70" t="str">
        <f t="shared" si="109"/>
        <v/>
      </c>
    </row>
    <row r="2958" spans="1:8">
      <c r="A2958" s="2"/>
      <c r="B2958" s="12"/>
      <c r="C2958" s="12"/>
      <c r="E2958" t="str">
        <f>IF(LEN(D2958)=0,"",[1]!i_pq_tradedays($B$3,A2959,A2958)-1)</f>
        <v/>
      </c>
      <c r="G2958" s="16" t="str">
        <f t="shared" si="108"/>
        <v/>
      </c>
      <c r="H2958" s="70" t="str">
        <f t="shared" si="109"/>
        <v/>
      </c>
    </row>
    <row r="2959" spans="1:8">
      <c r="A2959" s="2"/>
      <c r="B2959" s="12"/>
      <c r="C2959" s="12"/>
      <c r="E2959" t="str">
        <f>IF(LEN(D2959)=0,"",[1]!i_pq_tradedays($B$3,A2960,A2959)-1)</f>
        <v/>
      </c>
      <c r="G2959" s="16" t="str">
        <f t="shared" si="108"/>
        <v/>
      </c>
      <c r="H2959" s="70" t="str">
        <f t="shared" si="109"/>
        <v/>
      </c>
    </row>
    <row r="2960" spans="1:8">
      <c r="A2960" s="2"/>
      <c r="B2960" s="12"/>
      <c r="C2960" s="12"/>
      <c r="E2960" t="str">
        <f>IF(LEN(D2960)=0,"",[1]!i_pq_tradedays($B$3,A2961,A2960)-1)</f>
        <v/>
      </c>
      <c r="G2960" s="16" t="str">
        <f t="shared" si="108"/>
        <v/>
      </c>
      <c r="H2960" s="70" t="str">
        <f t="shared" si="109"/>
        <v/>
      </c>
    </row>
    <row r="2961" spans="1:8">
      <c r="A2961" s="2"/>
      <c r="B2961" s="12"/>
      <c r="C2961" s="12"/>
      <c r="E2961" t="str">
        <f>IF(LEN(D2961)=0,"",[1]!i_pq_tradedays($B$3,A2962,A2961)-1)</f>
        <v/>
      </c>
      <c r="G2961" s="16" t="str">
        <f t="shared" si="108"/>
        <v/>
      </c>
      <c r="H2961" s="70" t="str">
        <f t="shared" si="109"/>
        <v/>
      </c>
    </row>
    <row r="2962" spans="1:8">
      <c r="A2962" s="2"/>
      <c r="B2962" s="12"/>
      <c r="C2962" s="12"/>
      <c r="E2962" t="str">
        <f>IF(LEN(D2962)=0,"",[1]!i_pq_tradedays($B$3,A2963,A2962)-1)</f>
        <v/>
      </c>
      <c r="G2962" s="16" t="str">
        <f t="shared" si="108"/>
        <v/>
      </c>
      <c r="H2962" s="70" t="str">
        <f t="shared" si="109"/>
        <v/>
      </c>
    </row>
    <row r="2963" spans="1:8">
      <c r="A2963" s="2"/>
      <c r="B2963" s="12"/>
      <c r="C2963" s="12"/>
      <c r="E2963" t="str">
        <f>IF(LEN(D2963)=0,"",[1]!i_pq_tradedays($B$3,A2964,A2963)-1)</f>
        <v/>
      </c>
      <c r="G2963" s="16" t="str">
        <f t="shared" si="108"/>
        <v/>
      </c>
      <c r="H2963" s="70" t="str">
        <f t="shared" si="109"/>
        <v/>
      </c>
    </row>
    <row r="2964" spans="1:8">
      <c r="A2964" s="2"/>
      <c r="B2964" s="12"/>
      <c r="C2964" s="12"/>
      <c r="E2964" t="str">
        <f>IF(LEN(D2964)=0,"",[1]!i_pq_tradedays($B$3,A2965,A2964)-1)</f>
        <v/>
      </c>
      <c r="G2964" s="16" t="str">
        <f t="shared" si="108"/>
        <v/>
      </c>
      <c r="H2964" s="70" t="str">
        <f t="shared" si="109"/>
        <v/>
      </c>
    </row>
    <row r="2965" spans="1:8">
      <c r="A2965" s="2"/>
      <c r="B2965" s="12"/>
      <c r="C2965" s="12"/>
      <c r="E2965" t="str">
        <f>IF(LEN(D2965)=0,"",[1]!i_pq_tradedays($B$3,A2966,A2965)-1)</f>
        <v/>
      </c>
      <c r="G2965" s="16" t="str">
        <f t="shared" si="108"/>
        <v/>
      </c>
      <c r="H2965" s="70" t="str">
        <f t="shared" si="109"/>
        <v/>
      </c>
    </row>
    <row r="2966" spans="1:8">
      <c r="A2966" s="2"/>
      <c r="B2966" s="12"/>
      <c r="C2966" s="12"/>
      <c r="E2966" t="str">
        <f>IF(LEN(D2966)=0,"",[1]!i_pq_tradedays($B$3,A2967,A2966)-1)</f>
        <v/>
      </c>
      <c r="G2966" s="16" t="str">
        <f t="shared" si="108"/>
        <v/>
      </c>
      <c r="H2966" s="70" t="str">
        <f t="shared" si="109"/>
        <v/>
      </c>
    </row>
    <row r="2967" spans="1:8">
      <c r="A2967" s="2"/>
      <c r="B2967" s="12"/>
      <c r="C2967" s="12"/>
      <c r="E2967" t="str">
        <f>IF(LEN(D2967)=0,"",[1]!i_pq_tradedays($B$3,A2968,A2967)-1)</f>
        <v/>
      </c>
      <c r="G2967" s="16" t="str">
        <f t="shared" si="108"/>
        <v/>
      </c>
      <c r="H2967" s="70" t="str">
        <f t="shared" si="109"/>
        <v/>
      </c>
    </row>
    <row r="2968" spans="1:8">
      <c r="A2968" s="2"/>
      <c r="B2968" s="12"/>
      <c r="C2968" s="12"/>
      <c r="E2968" t="str">
        <f>IF(LEN(D2968)=0,"",[1]!i_pq_tradedays($B$3,A2969,A2968)-1)</f>
        <v/>
      </c>
      <c r="G2968" s="16" t="str">
        <f t="shared" si="108"/>
        <v/>
      </c>
      <c r="H2968" s="70" t="str">
        <f t="shared" si="109"/>
        <v/>
      </c>
    </row>
    <row r="2969" spans="1:8">
      <c r="A2969" s="2"/>
      <c r="B2969" s="12"/>
      <c r="C2969" s="12"/>
      <c r="E2969" t="str">
        <f>IF(LEN(D2969)=0,"",[1]!i_pq_tradedays($B$3,A2970,A2969)-1)</f>
        <v/>
      </c>
      <c r="G2969" s="16" t="str">
        <f t="shared" si="108"/>
        <v/>
      </c>
      <c r="H2969" s="70" t="str">
        <f t="shared" si="109"/>
        <v/>
      </c>
    </row>
    <row r="2970" spans="1:8">
      <c r="A2970" s="2"/>
      <c r="B2970" s="12"/>
      <c r="C2970" s="12"/>
      <c r="E2970" t="str">
        <f>IF(LEN(D2970)=0,"",[1]!i_pq_tradedays($B$3,A2971,A2970)-1)</f>
        <v/>
      </c>
      <c r="G2970" s="16" t="str">
        <f t="shared" si="108"/>
        <v/>
      </c>
      <c r="H2970" s="70" t="str">
        <f t="shared" si="109"/>
        <v/>
      </c>
    </row>
    <row r="2971" spans="1:8">
      <c r="A2971" s="2"/>
      <c r="B2971" s="12"/>
      <c r="C2971" s="12"/>
      <c r="E2971" t="str">
        <f>IF(LEN(D2971)=0,"",[1]!i_pq_tradedays($B$3,A2972,A2971)-1)</f>
        <v/>
      </c>
      <c r="G2971" s="16" t="str">
        <f t="shared" si="108"/>
        <v/>
      </c>
      <c r="H2971" s="70" t="str">
        <f t="shared" si="109"/>
        <v/>
      </c>
    </row>
    <row r="2972" spans="1:8">
      <c r="A2972" s="2"/>
      <c r="B2972" s="12"/>
      <c r="C2972" s="12"/>
      <c r="E2972" t="str">
        <f>IF(LEN(D2972)=0,"",[1]!i_pq_tradedays($B$3,A2973,A2972)-1)</f>
        <v/>
      </c>
      <c r="G2972" s="16" t="str">
        <f t="shared" si="108"/>
        <v/>
      </c>
      <c r="H2972" s="70" t="str">
        <f t="shared" si="109"/>
        <v/>
      </c>
    </row>
    <row r="2973" spans="1:8">
      <c r="A2973" s="2"/>
      <c r="B2973" s="12"/>
      <c r="C2973" s="12"/>
      <c r="E2973" t="str">
        <f>IF(LEN(D2973)=0,"",[1]!i_pq_tradedays($B$3,A2974,A2973)-1)</f>
        <v/>
      </c>
      <c r="G2973" s="16" t="str">
        <f t="shared" si="108"/>
        <v/>
      </c>
      <c r="H2973" s="70" t="str">
        <f t="shared" si="109"/>
        <v/>
      </c>
    </row>
    <row r="2974" spans="1:8">
      <c r="A2974" s="2"/>
      <c r="B2974" s="12"/>
      <c r="C2974" s="12"/>
      <c r="E2974" t="str">
        <f>IF(LEN(D2974)=0,"",[1]!i_pq_tradedays($B$3,A2975,A2974)-1)</f>
        <v/>
      </c>
      <c r="G2974" s="16" t="str">
        <f t="shared" si="108"/>
        <v/>
      </c>
      <c r="H2974" s="70" t="str">
        <f t="shared" si="109"/>
        <v/>
      </c>
    </row>
    <row r="2975" spans="1:8">
      <c r="A2975" s="2"/>
      <c r="B2975" s="12"/>
      <c r="C2975" s="12"/>
      <c r="E2975" t="str">
        <f>IF(LEN(D2975)=0,"",[1]!i_pq_tradedays($B$3,A2976,A2975)-1)</f>
        <v/>
      </c>
      <c r="G2975" s="16" t="str">
        <f t="shared" si="108"/>
        <v/>
      </c>
      <c r="H2975" s="70" t="str">
        <f t="shared" si="109"/>
        <v/>
      </c>
    </row>
    <row r="2976" spans="1:8">
      <c r="A2976" s="2"/>
      <c r="B2976" s="12"/>
      <c r="C2976" s="12"/>
      <c r="E2976" t="str">
        <f>IF(LEN(D2976)=0,"",[1]!i_pq_tradedays($B$3,A2977,A2976)-1)</f>
        <v/>
      </c>
      <c r="G2976" s="16" t="str">
        <f t="shared" si="108"/>
        <v/>
      </c>
      <c r="H2976" s="70" t="str">
        <f t="shared" si="109"/>
        <v/>
      </c>
    </row>
    <row r="2977" spans="1:8">
      <c r="A2977" s="2"/>
      <c r="B2977" s="12"/>
      <c r="C2977" s="12"/>
      <c r="E2977" t="str">
        <f>IF(LEN(D2977)=0,"",[1]!i_pq_tradedays($B$3,A2978,A2977)-1)</f>
        <v/>
      </c>
      <c r="G2977" s="16" t="str">
        <f t="shared" si="108"/>
        <v/>
      </c>
      <c r="H2977" s="70" t="str">
        <f t="shared" si="109"/>
        <v/>
      </c>
    </row>
    <row r="2978" spans="1:8">
      <c r="A2978" s="2"/>
      <c r="B2978" s="12"/>
      <c r="C2978" s="12"/>
      <c r="E2978" t="str">
        <f>IF(LEN(D2978)=0,"",[1]!i_pq_tradedays($B$3,A2979,A2978)-1)</f>
        <v/>
      </c>
      <c r="G2978" s="16" t="str">
        <f t="shared" si="108"/>
        <v/>
      </c>
      <c r="H2978" s="70" t="str">
        <f t="shared" si="109"/>
        <v/>
      </c>
    </row>
    <row r="2979" spans="1:8">
      <c r="A2979" s="2"/>
      <c r="B2979" s="12"/>
      <c r="C2979" s="12"/>
      <c r="E2979" t="str">
        <f>IF(LEN(D2979)=0,"",[1]!i_pq_tradedays($B$3,A2980,A2979)-1)</f>
        <v/>
      </c>
      <c r="G2979" s="16" t="str">
        <f t="shared" si="108"/>
        <v/>
      </c>
      <c r="H2979" s="70" t="str">
        <f t="shared" si="109"/>
        <v/>
      </c>
    </row>
    <row r="2980" spans="1:8">
      <c r="A2980" s="2"/>
      <c r="B2980" s="12"/>
      <c r="C2980" s="12"/>
      <c r="E2980" t="str">
        <f>IF(LEN(D2980)=0,"",[1]!i_pq_tradedays($B$3,A2981,A2980)-1)</f>
        <v/>
      </c>
      <c r="G2980" s="16" t="str">
        <f t="shared" si="108"/>
        <v/>
      </c>
      <c r="H2980" s="70" t="str">
        <f t="shared" si="109"/>
        <v/>
      </c>
    </row>
    <row r="2981" spans="1:8">
      <c r="A2981" s="2"/>
      <c r="B2981" s="12"/>
      <c r="C2981" s="12"/>
      <c r="E2981" t="str">
        <f>IF(LEN(D2981)=0,"",[1]!i_pq_tradedays($B$3,A2982,A2981)-1)</f>
        <v/>
      </c>
      <c r="G2981" s="16" t="str">
        <f t="shared" si="108"/>
        <v/>
      </c>
      <c r="H2981" s="70" t="str">
        <f t="shared" si="109"/>
        <v/>
      </c>
    </row>
    <row r="2982" spans="1:8">
      <c r="A2982" s="2"/>
      <c r="B2982" s="12"/>
      <c r="C2982" s="12"/>
      <c r="E2982" t="str">
        <f>IF(LEN(D2982)=0,"",[1]!i_pq_tradedays($B$3,A2983,A2982)-1)</f>
        <v/>
      </c>
      <c r="G2982" s="16" t="str">
        <f t="shared" si="108"/>
        <v/>
      </c>
      <c r="H2982" s="70" t="str">
        <f t="shared" si="109"/>
        <v/>
      </c>
    </row>
    <row r="2983" spans="1:8">
      <c r="A2983" s="2"/>
      <c r="B2983" s="12"/>
      <c r="C2983" s="12"/>
      <c r="E2983" t="str">
        <f>IF(LEN(D2983)=0,"",[1]!i_pq_tradedays($B$3,A2984,A2983)-1)</f>
        <v/>
      </c>
      <c r="G2983" s="16" t="str">
        <f t="shared" si="108"/>
        <v/>
      </c>
      <c r="H2983" s="70" t="str">
        <f t="shared" si="109"/>
        <v/>
      </c>
    </row>
    <row r="2984" spans="1:8">
      <c r="A2984" s="2"/>
      <c r="B2984" s="12"/>
      <c r="C2984" s="12"/>
      <c r="E2984" t="str">
        <f>IF(LEN(D2984)=0,"",[1]!i_pq_tradedays($B$3,A2985,A2984)-1)</f>
        <v/>
      </c>
      <c r="G2984" s="16" t="str">
        <f t="shared" si="108"/>
        <v/>
      </c>
      <c r="H2984" s="70" t="str">
        <f t="shared" si="109"/>
        <v/>
      </c>
    </row>
    <row r="2985" spans="1:8">
      <c r="A2985" s="2"/>
      <c r="B2985" s="12"/>
      <c r="C2985" s="12"/>
      <c r="E2985" t="str">
        <f>IF(LEN(D2985)=0,"",[1]!i_pq_tradedays($B$3,A2986,A2985)-1)</f>
        <v/>
      </c>
      <c r="G2985" s="16" t="str">
        <f t="shared" si="108"/>
        <v/>
      </c>
      <c r="H2985" s="70" t="str">
        <f t="shared" si="109"/>
        <v/>
      </c>
    </row>
    <row r="2986" spans="1:8">
      <c r="A2986" s="2"/>
      <c r="B2986" s="12"/>
      <c r="C2986" s="12"/>
      <c r="E2986" t="str">
        <f>IF(LEN(D2986)=0,"",[1]!i_pq_tradedays($B$3,A2987,A2986)-1)</f>
        <v/>
      </c>
      <c r="G2986" s="16" t="str">
        <f t="shared" si="108"/>
        <v/>
      </c>
      <c r="H2986" s="70" t="str">
        <f t="shared" si="109"/>
        <v/>
      </c>
    </row>
    <row r="2987" spans="1:8">
      <c r="A2987" s="2"/>
      <c r="B2987" s="12"/>
      <c r="C2987" s="12"/>
      <c r="E2987" t="str">
        <f>IF(LEN(D2987)=0,"",[1]!i_pq_tradedays($B$3,A2988,A2987)-1)</f>
        <v/>
      </c>
      <c r="G2987" s="16" t="str">
        <f t="shared" si="108"/>
        <v/>
      </c>
      <c r="H2987" s="70" t="str">
        <f t="shared" si="109"/>
        <v/>
      </c>
    </row>
    <row r="2988" spans="1:8">
      <c r="A2988" s="2"/>
      <c r="B2988" s="12"/>
      <c r="C2988" s="12"/>
      <c r="E2988" t="str">
        <f>IF(LEN(D2988)=0,"",[1]!i_pq_tradedays($B$3,A2989,A2988)-1)</f>
        <v/>
      </c>
      <c r="G2988" s="16" t="str">
        <f t="shared" si="108"/>
        <v/>
      </c>
      <c r="H2988" s="70" t="str">
        <f t="shared" si="109"/>
        <v/>
      </c>
    </row>
    <row r="2989" spans="1:8">
      <c r="A2989" s="2"/>
      <c r="B2989" s="12"/>
      <c r="C2989" s="12"/>
      <c r="E2989" t="str">
        <f>IF(LEN(D2989)=0,"",[1]!i_pq_tradedays($B$3,A2990,A2989)-1)</f>
        <v/>
      </c>
      <c r="G2989" s="16" t="str">
        <f t="shared" si="108"/>
        <v/>
      </c>
      <c r="H2989" s="70" t="str">
        <f t="shared" si="109"/>
        <v/>
      </c>
    </row>
    <row r="2990" spans="1:8">
      <c r="A2990" s="2"/>
      <c r="B2990" s="12"/>
      <c r="C2990" s="12"/>
      <c r="E2990" t="str">
        <f>IF(LEN(D2990)=0,"",[1]!i_pq_tradedays($B$3,A2991,A2990)-1)</f>
        <v/>
      </c>
      <c r="G2990" s="16" t="str">
        <f t="shared" si="108"/>
        <v/>
      </c>
      <c r="H2990" s="70" t="str">
        <f t="shared" si="109"/>
        <v/>
      </c>
    </row>
    <row r="2991" spans="1:8">
      <c r="A2991" s="2"/>
      <c r="B2991" s="12"/>
      <c r="C2991" s="12"/>
      <c r="E2991" t="str">
        <f>IF(LEN(D2991)=0,"",[1]!i_pq_tradedays($B$3,A2992,A2991)-1)</f>
        <v/>
      </c>
      <c r="G2991" s="16" t="str">
        <f t="shared" si="108"/>
        <v/>
      </c>
      <c r="H2991" s="70" t="str">
        <f t="shared" si="109"/>
        <v/>
      </c>
    </row>
    <row r="2992" spans="1:8">
      <c r="A2992" s="2"/>
      <c r="B2992" s="12"/>
      <c r="C2992" s="12"/>
      <c r="E2992" t="str">
        <f>IF(LEN(D2992)=0,"",[1]!i_pq_tradedays($B$3,A2993,A2992)-1)</f>
        <v/>
      </c>
      <c r="G2992" s="16" t="str">
        <f t="shared" si="108"/>
        <v/>
      </c>
      <c r="H2992" s="70" t="str">
        <f t="shared" si="109"/>
        <v/>
      </c>
    </row>
    <row r="2993" spans="1:8">
      <c r="A2993" s="2"/>
      <c r="B2993" s="12"/>
      <c r="C2993" s="12"/>
      <c r="E2993" t="str">
        <f>IF(LEN(D2993)=0,"",[1]!i_pq_tradedays($B$3,A2994,A2993)-1)</f>
        <v/>
      </c>
      <c r="G2993" s="16" t="str">
        <f t="shared" si="108"/>
        <v/>
      </c>
      <c r="H2993" s="70" t="str">
        <f t="shared" si="109"/>
        <v/>
      </c>
    </row>
    <row r="2994" spans="1:8">
      <c r="A2994" s="2"/>
      <c r="B2994" s="12"/>
      <c r="C2994" s="12"/>
      <c r="E2994" t="str">
        <f>IF(LEN(D2994)=0,"",[1]!i_pq_tradedays($B$3,A2995,A2994)-1)</f>
        <v/>
      </c>
      <c r="G2994" s="16" t="str">
        <f t="shared" si="108"/>
        <v/>
      </c>
      <c r="H2994" s="70" t="str">
        <f t="shared" si="109"/>
        <v/>
      </c>
    </row>
    <row r="2995" spans="1:8">
      <c r="A2995" s="2"/>
      <c r="B2995" s="12"/>
      <c r="C2995" s="12"/>
      <c r="E2995" t="str">
        <f>IF(LEN(D2995)=0,"",[1]!i_pq_tradedays($B$3,A2996,A2995)-1)</f>
        <v/>
      </c>
      <c r="G2995" s="16" t="str">
        <f t="shared" si="108"/>
        <v/>
      </c>
      <c r="H2995" s="70" t="str">
        <f t="shared" si="109"/>
        <v/>
      </c>
    </row>
    <row r="2996" spans="1:8">
      <c r="A2996" s="2"/>
      <c r="B2996" s="12"/>
      <c r="C2996" s="12"/>
      <c r="E2996" t="str">
        <f>IF(LEN(D2996)=0,"",[1]!i_pq_tradedays($B$3,A2997,A2996)-1)</f>
        <v/>
      </c>
      <c r="G2996" s="16" t="str">
        <f t="shared" si="108"/>
        <v/>
      </c>
      <c r="H2996" s="70" t="str">
        <f t="shared" si="109"/>
        <v/>
      </c>
    </row>
    <row r="2997" spans="1:8">
      <c r="A2997" s="2"/>
      <c r="B2997" s="12"/>
      <c r="C2997" s="12"/>
      <c r="E2997" t="str">
        <f>IF(LEN(D2997)=0,"",[1]!i_pq_tradedays($B$3,A2998,A2997)-1)</f>
        <v/>
      </c>
      <c r="G2997" s="16" t="str">
        <f t="shared" ref="G2997:G3060" si="110">IF(LEN(D2997)=0,"",D2997/E2997)</f>
        <v/>
      </c>
      <c r="H2997" s="70" t="str">
        <f t="shared" ref="H2997:H3060" si="111">IF(LEN(D2997)=0,"",G2997/G2998-1)</f>
        <v/>
      </c>
    </row>
    <row r="2998" spans="1:8">
      <c r="A2998" s="2"/>
      <c r="B2998" s="12"/>
      <c r="C2998" s="12"/>
      <c r="E2998" t="str">
        <f>IF(LEN(D2998)=0,"",[1]!i_pq_tradedays($B$3,A2999,A2998)-1)</f>
        <v/>
      </c>
      <c r="G2998" s="16" t="str">
        <f t="shared" si="110"/>
        <v/>
      </c>
      <c r="H2998" s="70" t="str">
        <f t="shared" si="111"/>
        <v/>
      </c>
    </row>
    <row r="2999" spans="1:8">
      <c r="A2999" s="2"/>
      <c r="B2999" s="12"/>
      <c r="C2999" s="12"/>
      <c r="E2999" t="str">
        <f>IF(LEN(D2999)=0,"",[1]!i_pq_tradedays($B$3,A3000,A2999)-1)</f>
        <v/>
      </c>
      <c r="G2999" s="16" t="str">
        <f t="shared" si="110"/>
        <v/>
      </c>
      <c r="H2999" s="70" t="str">
        <f t="shared" si="111"/>
        <v/>
      </c>
    </row>
    <row r="3000" spans="1:8">
      <c r="A3000" s="2"/>
      <c r="B3000" s="12"/>
      <c r="C3000" s="12"/>
      <c r="E3000" t="str">
        <f>IF(LEN(D3000)=0,"",[1]!i_pq_tradedays($B$3,A3001,A3000)-1)</f>
        <v/>
      </c>
      <c r="G3000" s="16" t="str">
        <f t="shared" si="110"/>
        <v/>
      </c>
      <c r="H3000" s="70" t="str">
        <f t="shared" si="111"/>
        <v/>
      </c>
    </row>
    <row r="3001" spans="1:8">
      <c r="A3001" s="2"/>
      <c r="B3001" s="12"/>
      <c r="C3001" s="12"/>
      <c r="E3001" t="str">
        <f>IF(LEN(D3001)=0,"",[1]!i_pq_tradedays($B$3,A3002,A3001)-1)</f>
        <v/>
      </c>
      <c r="G3001" s="16" t="str">
        <f t="shared" si="110"/>
        <v/>
      </c>
      <c r="H3001" s="70" t="str">
        <f t="shared" si="111"/>
        <v/>
      </c>
    </row>
    <row r="3002" spans="1:8">
      <c r="A3002" s="2"/>
      <c r="B3002" s="12"/>
      <c r="C3002" s="12"/>
      <c r="E3002" t="str">
        <f>IF(LEN(D3002)=0,"",[1]!i_pq_tradedays($B$3,A3003,A3002)-1)</f>
        <v/>
      </c>
      <c r="G3002" s="16" t="str">
        <f t="shared" si="110"/>
        <v/>
      </c>
      <c r="H3002" s="70" t="str">
        <f t="shared" si="111"/>
        <v/>
      </c>
    </row>
    <row r="3003" spans="1:8">
      <c r="A3003" s="2"/>
      <c r="B3003" s="12"/>
      <c r="C3003" s="12"/>
      <c r="E3003" t="str">
        <f>IF(LEN(D3003)=0,"",[1]!i_pq_tradedays($B$3,A3004,A3003)-1)</f>
        <v/>
      </c>
      <c r="G3003" s="16" t="str">
        <f t="shared" si="110"/>
        <v/>
      </c>
      <c r="H3003" s="70" t="str">
        <f t="shared" si="111"/>
        <v/>
      </c>
    </row>
    <row r="3004" spans="1:8">
      <c r="A3004" s="2"/>
      <c r="B3004" s="12"/>
      <c r="C3004" s="12"/>
      <c r="E3004" t="str">
        <f>IF(LEN(D3004)=0,"",[1]!i_pq_tradedays($B$3,A3005,A3004)-1)</f>
        <v/>
      </c>
      <c r="G3004" s="16" t="str">
        <f t="shared" si="110"/>
        <v/>
      </c>
      <c r="H3004" s="70" t="str">
        <f t="shared" si="111"/>
        <v/>
      </c>
    </row>
    <row r="3005" spans="1:8">
      <c r="A3005" s="2"/>
      <c r="B3005" s="12"/>
      <c r="C3005" s="12"/>
      <c r="E3005" t="str">
        <f>IF(LEN(D3005)=0,"",[1]!i_pq_tradedays($B$3,A3006,A3005)-1)</f>
        <v/>
      </c>
      <c r="G3005" s="16" t="str">
        <f t="shared" si="110"/>
        <v/>
      </c>
      <c r="H3005" s="70" t="str">
        <f t="shared" si="111"/>
        <v/>
      </c>
    </row>
    <row r="3006" spans="1:8">
      <c r="A3006" s="2"/>
      <c r="B3006" s="12"/>
      <c r="C3006" s="12"/>
      <c r="E3006" t="str">
        <f>IF(LEN(D3006)=0,"",[1]!i_pq_tradedays($B$3,A3007,A3006)-1)</f>
        <v/>
      </c>
      <c r="G3006" s="16" t="str">
        <f t="shared" si="110"/>
        <v/>
      </c>
      <c r="H3006" s="70" t="str">
        <f t="shared" si="111"/>
        <v/>
      </c>
    </row>
    <row r="3007" spans="1:8">
      <c r="A3007" s="2"/>
      <c r="B3007" s="12"/>
      <c r="C3007" s="12"/>
      <c r="E3007" t="str">
        <f>IF(LEN(D3007)=0,"",[1]!i_pq_tradedays($B$3,A3008,A3007)-1)</f>
        <v/>
      </c>
      <c r="G3007" s="16" t="str">
        <f t="shared" si="110"/>
        <v/>
      </c>
      <c r="H3007" s="70" t="str">
        <f t="shared" si="111"/>
        <v/>
      </c>
    </row>
    <row r="3008" spans="1:8">
      <c r="A3008" s="2"/>
      <c r="B3008" s="12"/>
      <c r="C3008" s="12"/>
      <c r="E3008" t="str">
        <f>IF(LEN(D3008)=0,"",[1]!i_pq_tradedays($B$3,A3009,A3008)-1)</f>
        <v/>
      </c>
      <c r="G3008" s="16" t="str">
        <f t="shared" si="110"/>
        <v/>
      </c>
      <c r="H3008" s="70" t="str">
        <f t="shared" si="111"/>
        <v/>
      </c>
    </row>
    <row r="3009" spans="1:8">
      <c r="A3009" s="2"/>
      <c r="B3009" s="12"/>
      <c r="C3009" s="12"/>
      <c r="E3009" t="str">
        <f>IF(LEN(D3009)=0,"",[1]!i_pq_tradedays($B$3,A3010,A3009)-1)</f>
        <v/>
      </c>
      <c r="G3009" s="16" t="str">
        <f t="shared" si="110"/>
        <v/>
      </c>
      <c r="H3009" s="70" t="str">
        <f t="shared" si="111"/>
        <v/>
      </c>
    </row>
    <row r="3010" spans="1:8">
      <c r="A3010" s="2"/>
      <c r="B3010" s="12"/>
      <c r="C3010" s="12"/>
      <c r="E3010" t="str">
        <f>IF(LEN(D3010)=0,"",[1]!i_pq_tradedays($B$3,A3011,A3010)-1)</f>
        <v/>
      </c>
      <c r="G3010" s="16" t="str">
        <f t="shared" si="110"/>
        <v/>
      </c>
      <c r="H3010" s="70" t="str">
        <f t="shared" si="111"/>
        <v/>
      </c>
    </row>
    <row r="3011" spans="1:8">
      <c r="A3011" s="2"/>
      <c r="B3011" s="12"/>
      <c r="C3011" s="12"/>
      <c r="E3011" t="str">
        <f>IF(LEN(D3011)=0,"",[1]!i_pq_tradedays($B$3,A3012,A3011)-1)</f>
        <v/>
      </c>
      <c r="G3011" s="16" t="str">
        <f t="shared" si="110"/>
        <v/>
      </c>
      <c r="H3011" s="70" t="str">
        <f t="shared" si="111"/>
        <v/>
      </c>
    </row>
    <row r="3012" spans="1:8">
      <c r="A3012" s="2"/>
      <c r="B3012" s="12"/>
      <c r="C3012" s="12"/>
      <c r="E3012" t="str">
        <f>IF(LEN(D3012)=0,"",[1]!i_pq_tradedays($B$3,A3013,A3012)-1)</f>
        <v/>
      </c>
      <c r="G3012" s="16" t="str">
        <f t="shared" si="110"/>
        <v/>
      </c>
      <c r="H3012" s="70" t="str">
        <f t="shared" si="111"/>
        <v/>
      </c>
    </row>
    <row r="3013" spans="1:8">
      <c r="A3013" s="2"/>
      <c r="B3013" s="12"/>
      <c r="C3013" s="12"/>
      <c r="E3013" t="str">
        <f>IF(LEN(D3013)=0,"",[1]!i_pq_tradedays($B$3,A3014,A3013)-1)</f>
        <v/>
      </c>
      <c r="G3013" s="16" t="str">
        <f t="shared" si="110"/>
        <v/>
      </c>
      <c r="H3013" s="70" t="str">
        <f t="shared" si="111"/>
        <v/>
      </c>
    </row>
    <row r="3014" spans="1:8">
      <c r="A3014" s="2"/>
      <c r="B3014" s="12"/>
      <c r="C3014" s="12"/>
      <c r="E3014" t="str">
        <f>IF(LEN(D3014)=0,"",[1]!i_pq_tradedays($B$3,A3015,A3014)-1)</f>
        <v/>
      </c>
      <c r="G3014" s="16" t="str">
        <f t="shared" si="110"/>
        <v/>
      </c>
      <c r="H3014" s="70" t="str">
        <f t="shared" si="111"/>
        <v/>
      </c>
    </row>
    <row r="3015" spans="1:8">
      <c r="A3015" s="2"/>
      <c r="B3015" s="12"/>
      <c r="C3015" s="12"/>
      <c r="E3015" t="str">
        <f>IF(LEN(D3015)=0,"",[1]!i_pq_tradedays($B$3,A3016,A3015)-1)</f>
        <v/>
      </c>
      <c r="G3015" s="16" t="str">
        <f t="shared" si="110"/>
        <v/>
      </c>
      <c r="H3015" s="70" t="str">
        <f t="shared" si="111"/>
        <v/>
      </c>
    </row>
    <row r="3016" spans="1:8">
      <c r="A3016" s="2"/>
      <c r="B3016" s="12"/>
      <c r="C3016" s="12"/>
      <c r="E3016" t="str">
        <f>IF(LEN(D3016)=0,"",[1]!i_pq_tradedays($B$3,A3017,A3016)-1)</f>
        <v/>
      </c>
      <c r="G3016" s="16" t="str">
        <f t="shared" si="110"/>
        <v/>
      </c>
      <c r="H3016" s="70" t="str">
        <f t="shared" si="111"/>
        <v/>
      </c>
    </row>
    <row r="3017" spans="1:8">
      <c r="A3017" s="2"/>
      <c r="B3017" s="12"/>
      <c r="C3017" s="12"/>
      <c r="E3017" t="str">
        <f>IF(LEN(D3017)=0,"",[1]!i_pq_tradedays($B$3,A3018,A3017)-1)</f>
        <v/>
      </c>
      <c r="G3017" s="16" t="str">
        <f t="shared" si="110"/>
        <v/>
      </c>
      <c r="H3017" s="70" t="str">
        <f t="shared" si="111"/>
        <v/>
      </c>
    </row>
    <row r="3018" spans="1:8">
      <c r="A3018" s="2"/>
      <c r="B3018" s="12"/>
      <c r="C3018" s="12"/>
      <c r="E3018" t="str">
        <f>IF(LEN(D3018)=0,"",[1]!i_pq_tradedays($B$3,A3019,A3018)-1)</f>
        <v/>
      </c>
      <c r="G3018" s="16" t="str">
        <f t="shared" si="110"/>
        <v/>
      </c>
      <c r="H3018" s="70" t="str">
        <f t="shared" si="111"/>
        <v/>
      </c>
    </row>
    <row r="3019" spans="1:8">
      <c r="A3019" s="2"/>
      <c r="B3019" s="12"/>
      <c r="C3019" s="12"/>
      <c r="E3019" t="str">
        <f>IF(LEN(D3019)=0,"",[1]!i_pq_tradedays($B$3,A3020,A3019)-1)</f>
        <v/>
      </c>
      <c r="G3019" s="16" t="str">
        <f t="shared" si="110"/>
        <v/>
      </c>
      <c r="H3019" s="70" t="str">
        <f t="shared" si="111"/>
        <v/>
      </c>
    </row>
    <row r="3020" spans="1:8">
      <c r="A3020" s="2"/>
      <c r="B3020" s="12"/>
      <c r="C3020" s="12"/>
      <c r="E3020" t="str">
        <f>IF(LEN(D3020)=0,"",[1]!i_pq_tradedays($B$3,A3021,A3020)-1)</f>
        <v/>
      </c>
      <c r="G3020" s="16" t="str">
        <f t="shared" si="110"/>
        <v/>
      </c>
      <c r="H3020" s="70" t="str">
        <f t="shared" si="111"/>
        <v/>
      </c>
    </row>
    <row r="3021" spans="1:8">
      <c r="A3021" s="2"/>
      <c r="B3021" s="12"/>
      <c r="C3021" s="12"/>
      <c r="E3021" t="str">
        <f>IF(LEN(D3021)=0,"",[1]!i_pq_tradedays($B$3,A3022,A3021)-1)</f>
        <v/>
      </c>
      <c r="G3021" s="16" t="str">
        <f t="shared" si="110"/>
        <v/>
      </c>
      <c r="H3021" s="70" t="str">
        <f t="shared" si="111"/>
        <v/>
      </c>
    </row>
    <row r="3022" spans="1:8">
      <c r="A3022" s="2"/>
      <c r="B3022" s="12"/>
      <c r="C3022" s="12"/>
      <c r="E3022" t="str">
        <f>IF(LEN(D3022)=0,"",[1]!i_pq_tradedays($B$3,A3023,A3022)-1)</f>
        <v/>
      </c>
      <c r="G3022" s="16" t="str">
        <f t="shared" si="110"/>
        <v/>
      </c>
      <c r="H3022" s="70" t="str">
        <f t="shared" si="111"/>
        <v/>
      </c>
    </row>
    <row r="3023" spans="1:8">
      <c r="A3023" s="2"/>
      <c r="B3023" s="12"/>
      <c r="C3023" s="12"/>
      <c r="E3023" t="str">
        <f>IF(LEN(D3023)=0,"",[1]!i_pq_tradedays($B$3,A3024,A3023)-1)</f>
        <v/>
      </c>
      <c r="G3023" s="16" t="str">
        <f t="shared" si="110"/>
        <v/>
      </c>
      <c r="H3023" s="70" t="str">
        <f t="shared" si="111"/>
        <v/>
      </c>
    </row>
    <row r="3024" spans="1:8">
      <c r="A3024" s="2"/>
      <c r="B3024" s="12"/>
      <c r="C3024" s="12"/>
      <c r="E3024" t="str">
        <f>IF(LEN(D3024)=0,"",[1]!i_pq_tradedays($B$3,A3025,A3024)-1)</f>
        <v/>
      </c>
      <c r="G3024" s="16" t="str">
        <f t="shared" si="110"/>
        <v/>
      </c>
      <c r="H3024" s="70" t="str">
        <f t="shared" si="111"/>
        <v/>
      </c>
    </row>
    <row r="3025" spans="1:8">
      <c r="A3025" s="2"/>
      <c r="B3025" s="12"/>
      <c r="C3025" s="12"/>
      <c r="E3025" t="str">
        <f>IF(LEN(D3025)=0,"",[1]!i_pq_tradedays($B$3,A3026,A3025)-1)</f>
        <v/>
      </c>
      <c r="G3025" s="16" t="str">
        <f t="shared" si="110"/>
        <v/>
      </c>
      <c r="H3025" s="70" t="str">
        <f t="shared" si="111"/>
        <v/>
      </c>
    </row>
    <row r="3026" spans="1:8">
      <c r="A3026" s="2"/>
      <c r="B3026" s="12"/>
      <c r="C3026" s="12"/>
      <c r="E3026" t="str">
        <f>IF(LEN(D3026)=0,"",[1]!i_pq_tradedays($B$3,A3027,A3026)-1)</f>
        <v/>
      </c>
      <c r="G3026" s="16" t="str">
        <f t="shared" si="110"/>
        <v/>
      </c>
      <c r="H3026" s="70" t="str">
        <f t="shared" si="111"/>
        <v/>
      </c>
    </row>
    <row r="3027" spans="1:8">
      <c r="A3027" s="2"/>
      <c r="B3027" s="12"/>
      <c r="C3027" s="12"/>
      <c r="E3027" t="str">
        <f>IF(LEN(D3027)=0,"",[1]!i_pq_tradedays($B$3,A3028,A3027)-1)</f>
        <v/>
      </c>
      <c r="G3027" s="16" t="str">
        <f t="shared" si="110"/>
        <v/>
      </c>
      <c r="H3027" s="70" t="str">
        <f t="shared" si="111"/>
        <v/>
      </c>
    </row>
    <row r="3028" spans="1:8">
      <c r="A3028" s="2"/>
      <c r="B3028" s="12"/>
      <c r="C3028" s="12"/>
      <c r="E3028" t="str">
        <f>IF(LEN(D3028)=0,"",[1]!i_pq_tradedays($B$3,A3029,A3028)-1)</f>
        <v/>
      </c>
      <c r="G3028" s="16" t="str">
        <f t="shared" si="110"/>
        <v/>
      </c>
      <c r="H3028" s="70" t="str">
        <f t="shared" si="111"/>
        <v/>
      </c>
    </row>
    <row r="3029" spans="1:8">
      <c r="A3029" s="2"/>
      <c r="B3029" s="12"/>
      <c r="C3029" s="12"/>
      <c r="E3029" t="str">
        <f>IF(LEN(D3029)=0,"",[1]!i_pq_tradedays($B$3,A3030,A3029)-1)</f>
        <v/>
      </c>
      <c r="G3029" s="16" t="str">
        <f t="shared" si="110"/>
        <v/>
      </c>
      <c r="H3029" s="70" t="str">
        <f t="shared" si="111"/>
        <v/>
      </c>
    </row>
    <row r="3030" spans="1:8">
      <c r="A3030" s="2"/>
      <c r="B3030" s="12"/>
      <c r="C3030" s="12"/>
      <c r="E3030" t="str">
        <f>IF(LEN(D3030)=0,"",[1]!i_pq_tradedays($B$3,A3031,A3030)-1)</f>
        <v/>
      </c>
      <c r="G3030" s="16" t="str">
        <f t="shared" si="110"/>
        <v/>
      </c>
      <c r="H3030" s="70" t="str">
        <f t="shared" si="111"/>
        <v/>
      </c>
    </row>
    <row r="3031" spans="1:8">
      <c r="A3031" s="2"/>
      <c r="B3031" s="12"/>
      <c r="C3031" s="12"/>
      <c r="E3031" t="str">
        <f>IF(LEN(D3031)=0,"",[1]!i_pq_tradedays($B$3,A3032,A3031)-1)</f>
        <v/>
      </c>
      <c r="G3031" s="16" t="str">
        <f t="shared" si="110"/>
        <v/>
      </c>
      <c r="H3031" s="70" t="str">
        <f t="shared" si="111"/>
        <v/>
      </c>
    </row>
    <row r="3032" spans="1:8">
      <c r="A3032" s="2"/>
      <c r="B3032" s="12"/>
      <c r="C3032" s="12"/>
      <c r="E3032" t="str">
        <f>IF(LEN(D3032)=0,"",[1]!i_pq_tradedays($B$3,A3033,A3032)-1)</f>
        <v/>
      </c>
      <c r="G3032" s="16" t="str">
        <f t="shared" si="110"/>
        <v/>
      </c>
      <c r="H3032" s="70" t="str">
        <f t="shared" si="111"/>
        <v/>
      </c>
    </row>
    <row r="3033" spans="1:8">
      <c r="A3033" s="2"/>
      <c r="B3033" s="12"/>
      <c r="C3033" s="12"/>
      <c r="E3033" t="str">
        <f>IF(LEN(D3033)=0,"",[1]!i_pq_tradedays($B$3,A3034,A3033)-1)</f>
        <v/>
      </c>
      <c r="G3033" s="16" t="str">
        <f t="shared" si="110"/>
        <v/>
      </c>
      <c r="H3033" s="70" t="str">
        <f t="shared" si="111"/>
        <v/>
      </c>
    </row>
    <row r="3034" spans="1:8">
      <c r="A3034" s="2"/>
      <c r="B3034" s="12"/>
      <c r="C3034" s="12"/>
      <c r="E3034" t="str">
        <f>IF(LEN(D3034)=0,"",[1]!i_pq_tradedays($B$3,A3035,A3034)-1)</f>
        <v/>
      </c>
      <c r="G3034" s="16" t="str">
        <f t="shared" si="110"/>
        <v/>
      </c>
      <c r="H3034" s="70" t="str">
        <f t="shared" si="111"/>
        <v/>
      </c>
    </row>
    <row r="3035" spans="1:8">
      <c r="A3035" s="2"/>
      <c r="B3035" s="12"/>
      <c r="C3035" s="12"/>
      <c r="E3035" t="str">
        <f>IF(LEN(D3035)=0,"",[1]!i_pq_tradedays($B$3,A3036,A3035)-1)</f>
        <v/>
      </c>
      <c r="G3035" s="16" t="str">
        <f t="shared" si="110"/>
        <v/>
      </c>
      <c r="H3035" s="70" t="str">
        <f t="shared" si="111"/>
        <v/>
      </c>
    </row>
    <row r="3036" spans="1:8">
      <c r="A3036" s="2"/>
      <c r="B3036" s="12"/>
      <c r="C3036" s="12"/>
      <c r="E3036" t="str">
        <f>IF(LEN(D3036)=0,"",[1]!i_pq_tradedays($B$3,A3037,A3036)-1)</f>
        <v/>
      </c>
      <c r="G3036" s="16" t="str">
        <f t="shared" si="110"/>
        <v/>
      </c>
      <c r="H3036" s="70" t="str">
        <f t="shared" si="111"/>
        <v/>
      </c>
    </row>
    <row r="3037" spans="1:8">
      <c r="A3037" s="2"/>
      <c r="B3037" s="12"/>
      <c r="C3037" s="12"/>
      <c r="E3037" t="str">
        <f>IF(LEN(D3037)=0,"",[1]!i_pq_tradedays($B$3,A3038,A3037)-1)</f>
        <v/>
      </c>
      <c r="G3037" s="16" t="str">
        <f t="shared" si="110"/>
        <v/>
      </c>
      <c r="H3037" s="70" t="str">
        <f t="shared" si="111"/>
        <v/>
      </c>
    </row>
    <row r="3038" spans="1:8">
      <c r="A3038" s="2"/>
      <c r="B3038" s="12"/>
      <c r="C3038" s="12"/>
      <c r="E3038" t="str">
        <f>IF(LEN(D3038)=0,"",[1]!i_pq_tradedays($B$3,A3039,A3038)-1)</f>
        <v/>
      </c>
      <c r="G3038" s="16" t="str">
        <f t="shared" si="110"/>
        <v/>
      </c>
      <c r="H3038" s="70" t="str">
        <f t="shared" si="111"/>
        <v/>
      </c>
    </row>
    <row r="3039" spans="1:8">
      <c r="A3039" s="2"/>
      <c r="B3039" s="12"/>
      <c r="C3039" s="12"/>
      <c r="E3039" t="str">
        <f>IF(LEN(D3039)=0,"",[1]!i_pq_tradedays($B$3,A3040,A3039)-1)</f>
        <v/>
      </c>
      <c r="G3039" s="16" t="str">
        <f t="shared" si="110"/>
        <v/>
      </c>
      <c r="H3039" s="70" t="str">
        <f t="shared" si="111"/>
        <v/>
      </c>
    </row>
    <row r="3040" spans="1:8">
      <c r="A3040" s="2"/>
      <c r="B3040" s="12"/>
      <c r="C3040" s="12"/>
      <c r="E3040" t="str">
        <f>IF(LEN(D3040)=0,"",[1]!i_pq_tradedays($B$3,A3041,A3040)-1)</f>
        <v/>
      </c>
      <c r="G3040" s="16" t="str">
        <f t="shared" si="110"/>
        <v/>
      </c>
      <c r="H3040" s="70" t="str">
        <f t="shared" si="111"/>
        <v/>
      </c>
    </row>
    <row r="3041" spans="1:8">
      <c r="A3041" s="2"/>
      <c r="B3041" s="12"/>
      <c r="C3041" s="12"/>
      <c r="E3041" t="str">
        <f>IF(LEN(D3041)=0,"",[1]!i_pq_tradedays($B$3,A3042,A3041)-1)</f>
        <v/>
      </c>
      <c r="G3041" s="16" t="str">
        <f t="shared" si="110"/>
        <v/>
      </c>
      <c r="H3041" s="70" t="str">
        <f t="shared" si="111"/>
        <v/>
      </c>
    </row>
    <row r="3042" spans="1:8">
      <c r="A3042" s="2"/>
      <c r="B3042" s="12"/>
      <c r="C3042" s="12"/>
      <c r="E3042" t="str">
        <f>IF(LEN(D3042)=0,"",[1]!i_pq_tradedays($B$3,A3043,A3042)-1)</f>
        <v/>
      </c>
      <c r="G3042" s="16" t="str">
        <f t="shared" si="110"/>
        <v/>
      </c>
      <c r="H3042" s="70" t="str">
        <f t="shared" si="111"/>
        <v/>
      </c>
    </row>
    <row r="3043" spans="1:8">
      <c r="A3043" s="2"/>
      <c r="B3043" s="12"/>
      <c r="C3043" s="12"/>
      <c r="E3043" t="str">
        <f>IF(LEN(D3043)=0,"",[1]!i_pq_tradedays($B$3,A3044,A3043)-1)</f>
        <v/>
      </c>
      <c r="G3043" s="16" t="str">
        <f t="shared" si="110"/>
        <v/>
      </c>
      <c r="H3043" s="70" t="str">
        <f t="shared" si="111"/>
        <v/>
      </c>
    </row>
    <row r="3044" spans="1:8">
      <c r="A3044" s="2"/>
      <c r="B3044" s="12"/>
      <c r="C3044" s="12"/>
      <c r="E3044" t="str">
        <f>IF(LEN(D3044)=0,"",[1]!i_pq_tradedays($B$3,A3045,A3044)-1)</f>
        <v/>
      </c>
      <c r="G3044" s="16" t="str">
        <f t="shared" si="110"/>
        <v/>
      </c>
      <c r="H3044" s="70" t="str">
        <f t="shared" si="111"/>
        <v/>
      </c>
    </row>
    <row r="3045" spans="1:8">
      <c r="A3045" s="2"/>
      <c r="B3045" s="12"/>
      <c r="C3045" s="12"/>
      <c r="E3045" t="str">
        <f>IF(LEN(D3045)=0,"",[1]!i_pq_tradedays($B$3,A3046,A3045)-1)</f>
        <v/>
      </c>
      <c r="G3045" s="16" t="str">
        <f t="shared" si="110"/>
        <v/>
      </c>
      <c r="H3045" s="70" t="str">
        <f t="shared" si="111"/>
        <v/>
      </c>
    </row>
    <row r="3046" spans="1:8">
      <c r="A3046" s="2"/>
      <c r="B3046" s="12"/>
      <c r="C3046" s="12"/>
      <c r="E3046" t="str">
        <f>IF(LEN(D3046)=0,"",[1]!i_pq_tradedays($B$3,A3047,A3046)-1)</f>
        <v/>
      </c>
      <c r="G3046" s="16" t="str">
        <f t="shared" si="110"/>
        <v/>
      </c>
      <c r="H3046" s="70" t="str">
        <f t="shared" si="111"/>
        <v/>
      </c>
    </row>
    <row r="3047" spans="1:8">
      <c r="A3047" s="2"/>
      <c r="B3047" s="12"/>
      <c r="C3047" s="12"/>
      <c r="E3047" t="str">
        <f>IF(LEN(D3047)=0,"",[1]!i_pq_tradedays($B$3,A3048,A3047)-1)</f>
        <v/>
      </c>
      <c r="G3047" s="16" t="str">
        <f t="shared" si="110"/>
        <v/>
      </c>
      <c r="H3047" s="70" t="str">
        <f t="shared" si="111"/>
        <v/>
      </c>
    </row>
    <row r="3048" spans="1:8">
      <c r="A3048" s="2"/>
      <c r="B3048" s="12"/>
      <c r="C3048" s="12"/>
      <c r="E3048" t="str">
        <f>IF(LEN(D3048)=0,"",[1]!i_pq_tradedays($B$3,A3049,A3048)-1)</f>
        <v/>
      </c>
      <c r="G3048" s="16" t="str">
        <f t="shared" si="110"/>
        <v/>
      </c>
      <c r="H3048" s="70" t="str">
        <f t="shared" si="111"/>
        <v/>
      </c>
    </row>
    <row r="3049" spans="1:8">
      <c r="A3049" s="2"/>
      <c r="B3049" s="12"/>
      <c r="C3049" s="12"/>
      <c r="E3049" t="str">
        <f>IF(LEN(D3049)=0,"",[1]!i_pq_tradedays($B$3,A3050,A3049)-1)</f>
        <v/>
      </c>
      <c r="G3049" s="16" t="str">
        <f t="shared" si="110"/>
        <v/>
      </c>
      <c r="H3049" s="70" t="str">
        <f t="shared" si="111"/>
        <v/>
      </c>
    </row>
    <row r="3050" spans="1:8">
      <c r="A3050" s="2"/>
      <c r="B3050" s="12"/>
      <c r="C3050" s="12"/>
      <c r="E3050" t="str">
        <f>IF(LEN(D3050)=0,"",[1]!i_pq_tradedays($B$3,A3051,A3050)-1)</f>
        <v/>
      </c>
      <c r="G3050" s="16" t="str">
        <f t="shared" si="110"/>
        <v/>
      </c>
      <c r="H3050" s="70" t="str">
        <f t="shared" si="111"/>
        <v/>
      </c>
    </row>
    <row r="3051" spans="1:8">
      <c r="A3051" s="2"/>
      <c r="B3051" s="12"/>
      <c r="C3051" s="12"/>
      <c r="E3051" t="str">
        <f>IF(LEN(D3051)=0,"",[1]!i_pq_tradedays($B$3,A3052,A3051)-1)</f>
        <v/>
      </c>
      <c r="G3051" s="16" t="str">
        <f t="shared" si="110"/>
        <v/>
      </c>
      <c r="H3051" s="70" t="str">
        <f t="shared" si="111"/>
        <v/>
      </c>
    </row>
    <row r="3052" spans="1:8">
      <c r="A3052" s="2"/>
      <c r="B3052" s="12"/>
      <c r="C3052" s="12"/>
      <c r="E3052" t="str">
        <f>IF(LEN(D3052)=0,"",[1]!i_pq_tradedays($B$3,A3053,A3052)-1)</f>
        <v/>
      </c>
      <c r="G3052" s="16" t="str">
        <f t="shared" si="110"/>
        <v/>
      </c>
      <c r="H3052" s="70" t="str">
        <f t="shared" si="111"/>
        <v/>
      </c>
    </row>
    <row r="3053" spans="1:8">
      <c r="A3053" s="2"/>
      <c r="B3053" s="12"/>
      <c r="C3053" s="12"/>
      <c r="E3053" t="str">
        <f>IF(LEN(D3053)=0,"",[1]!i_pq_tradedays($B$3,A3054,A3053)-1)</f>
        <v/>
      </c>
      <c r="G3053" s="16" t="str">
        <f t="shared" si="110"/>
        <v/>
      </c>
      <c r="H3053" s="70" t="str">
        <f t="shared" si="111"/>
        <v/>
      </c>
    </row>
    <row r="3054" spans="1:8">
      <c r="A3054" s="2"/>
      <c r="B3054" s="12"/>
      <c r="C3054" s="12"/>
      <c r="E3054" t="str">
        <f>IF(LEN(D3054)=0,"",[1]!i_pq_tradedays($B$3,A3055,A3054)-1)</f>
        <v/>
      </c>
      <c r="G3054" s="16" t="str">
        <f t="shared" si="110"/>
        <v/>
      </c>
      <c r="H3054" s="70" t="str">
        <f t="shared" si="111"/>
        <v/>
      </c>
    </row>
    <row r="3055" spans="1:8">
      <c r="A3055" s="2"/>
      <c r="B3055" s="12"/>
      <c r="C3055" s="12"/>
      <c r="E3055" t="str">
        <f>IF(LEN(D3055)=0,"",[1]!i_pq_tradedays($B$3,A3056,A3055)-1)</f>
        <v/>
      </c>
      <c r="G3055" s="16" t="str">
        <f t="shared" si="110"/>
        <v/>
      </c>
      <c r="H3055" s="70" t="str">
        <f t="shared" si="111"/>
        <v/>
      </c>
    </row>
    <row r="3056" spans="1:8">
      <c r="A3056" s="2"/>
      <c r="B3056" s="12"/>
      <c r="C3056" s="12"/>
      <c r="E3056" t="str">
        <f>IF(LEN(D3056)=0,"",[1]!i_pq_tradedays($B$3,A3057,A3056)-1)</f>
        <v/>
      </c>
      <c r="G3056" s="16" t="str">
        <f t="shared" si="110"/>
        <v/>
      </c>
      <c r="H3056" s="70" t="str">
        <f t="shared" si="111"/>
        <v/>
      </c>
    </row>
    <row r="3057" spans="1:8">
      <c r="A3057" s="2"/>
      <c r="B3057" s="12"/>
      <c r="C3057" s="12"/>
      <c r="E3057" t="str">
        <f>IF(LEN(D3057)=0,"",[1]!i_pq_tradedays($B$3,A3058,A3057)-1)</f>
        <v/>
      </c>
      <c r="G3057" s="16" t="str">
        <f t="shared" si="110"/>
        <v/>
      </c>
      <c r="H3057" s="70" t="str">
        <f t="shared" si="111"/>
        <v/>
      </c>
    </row>
    <row r="3058" spans="1:8">
      <c r="A3058" s="2"/>
      <c r="B3058" s="12"/>
      <c r="C3058" s="12"/>
      <c r="E3058" t="str">
        <f>IF(LEN(D3058)=0,"",[1]!i_pq_tradedays($B$3,A3059,A3058)-1)</f>
        <v/>
      </c>
      <c r="G3058" s="16" t="str">
        <f t="shared" si="110"/>
        <v/>
      </c>
      <c r="H3058" s="70" t="str">
        <f t="shared" si="111"/>
        <v/>
      </c>
    </row>
    <row r="3059" spans="1:8">
      <c r="A3059" s="2"/>
      <c r="B3059" s="12"/>
      <c r="C3059" s="12"/>
      <c r="E3059" t="str">
        <f>IF(LEN(D3059)=0,"",[1]!i_pq_tradedays($B$3,A3060,A3059)-1)</f>
        <v/>
      </c>
      <c r="G3059" s="16" t="str">
        <f t="shared" si="110"/>
        <v/>
      </c>
      <c r="H3059" s="70" t="str">
        <f t="shared" si="111"/>
        <v/>
      </c>
    </row>
    <row r="3060" spans="1:8">
      <c r="A3060" s="2"/>
      <c r="B3060" s="12"/>
      <c r="C3060" s="12"/>
      <c r="E3060" t="str">
        <f>IF(LEN(D3060)=0,"",[1]!i_pq_tradedays($B$3,A3061,A3060)-1)</f>
        <v/>
      </c>
      <c r="G3060" s="16" t="str">
        <f t="shared" si="110"/>
        <v/>
      </c>
      <c r="H3060" s="70" t="str">
        <f t="shared" si="111"/>
        <v/>
      </c>
    </row>
    <row r="3061" spans="1:8">
      <c r="A3061" s="2"/>
      <c r="B3061" s="12"/>
      <c r="C3061" s="12"/>
      <c r="E3061" t="str">
        <f>IF(LEN(D3061)=0,"",[1]!i_pq_tradedays($B$3,A3062,A3061)-1)</f>
        <v/>
      </c>
      <c r="G3061" s="16" t="str">
        <f t="shared" ref="G3061:G3124" si="112">IF(LEN(D3061)=0,"",D3061/E3061)</f>
        <v/>
      </c>
      <c r="H3061" s="70" t="str">
        <f t="shared" ref="H3061:H3124" si="113">IF(LEN(D3061)=0,"",G3061/G3062-1)</f>
        <v/>
      </c>
    </row>
    <row r="3062" spans="1:8">
      <c r="A3062" s="2"/>
      <c r="B3062" s="12"/>
      <c r="C3062" s="12"/>
      <c r="E3062" t="str">
        <f>IF(LEN(D3062)=0,"",[1]!i_pq_tradedays($B$3,A3063,A3062)-1)</f>
        <v/>
      </c>
      <c r="G3062" s="16" t="str">
        <f t="shared" si="112"/>
        <v/>
      </c>
      <c r="H3062" s="70" t="str">
        <f t="shared" si="113"/>
        <v/>
      </c>
    </row>
    <row r="3063" spans="1:8">
      <c r="A3063" s="2"/>
      <c r="B3063" s="12"/>
      <c r="C3063" s="12"/>
      <c r="E3063" t="str">
        <f>IF(LEN(D3063)=0,"",[1]!i_pq_tradedays($B$3,A3064,A3063)-1)</f>
        <v/>
      </c>
      <c r="G3063" s="16" t="str">
        <f t="shared" si="112"/>
        <v/>
      </c>
      <c r="H3063" s="70" t="str">
        <f t="shared" si="113"/>
        <v/>
      </c>
    </row>
    <row r="3064" spans="1:8">
      <c r="A3064" s="2"/>
      <c r="B3064" s="12"/>
      <c r="C3064" s="12"/>
      <c r="E3064" t="str">
        <f>IF(LEN(D3064)=0,"",[1]!i_pq_tradedays($B$3,A3065,A3064)-1)</f>
        <v/>
      </c>
      <c r="G3064" s="16" t="str">
        <f t="shared" si="112"/>
        <v/>
      </c>
      <c r="H3064" s="70" t="str">
        <f t="shared" si="113"/>
        <v/>
      </c>
    </row>
    <row r="3065" spans="1:8">
      <c r="A3065" s="2"/>
      <c r="B3065" s="12"/>
      <c r="C3065" s="12"/>
      <c r="E3065" t="str">
        <f>IF(LEN(D3065)=0,"",[1]!i_pq_tradedays($B$3,A3066,A3065)-1)</f>
        <v/>
      </c>
      <c r="G3065" s="16" t="str">
        <f t="shared" si="112"/>
        <v/>
      </c>
      <c r="H3065" s="70" t="str">
        <f t="shared" si="113"/>
        <v/>
      </c>
    </row>
    <row r="3066" spans="1:8">
      <c r="A3066" s="2"/>
      <c r="B3066" s="12"/>
      <c r="C3066" s="12"/>
      <c r="E3066" t="str">
        <f>IF(LEN(D3066)=0,"",[1]!i_pq_tradedays($B$3,A3067,A3066)-1)</f>
        <v/>
      </c>
      <c r="G3066" s="16" t="str">
        <f t="shared" si="112"/>
        <v/>
      </c>
      <c r="H3066" s="70" t="str">
        <f t="shared" si="113"/>
        <v/>
      </c>
    </row>
    <row r="3067" spans="1:8">
      <c r="A3067" s="2"/>
      <c r="B3067" s="12"/>
      <c r="C3067" s="12"/>
      <c r="E3067" t="str">
        <f>IF(LEN(D3067)=0,"",[1]!i_pq_tradedays($B$3,A3068,A3067)-1)</f>
        <v/>
      </c>
      <c r="G3067" s="16" t="str">
        <f t="shared" si="112"/>
        <v/>
      </c>
      <c r="H3067" s="70" t="str">
        <f t="shared" si="113"/>
        <v/>
      </c>
    </row>
    <row r="3068" spans="1:8">
      <c r="A3068" s="2"/>
      <c r="B3068" s="12"/>
      <c r="C3068" s="12"/>
      <c r="E3068" t="str">
        <f>IF(LEN(D3068)=0,"",[1]!i_pq_tradedays($B$3,A3069,A3068)-1)</f>
        <v/>
      </c>
      <c r="G3068" s="16" t="str">
        <f t="shared" si="112"/>
        <v/>
      </c>
      <c r="H3068" s="70" t="str">
        <f t="shared" si="113"/>
        <v/>
      </c>
    </row>
    <row r="3069" spans="1:8">
      <c r="A3069" s="2"/>
      <c r="B3069" s="12"/>
      <c r="C3069" s="12"/>
      <c r="E3069" t="str">
        <f>IF(LEN(D3069)=0,"",[1]!i_pq_tradedays($B$3,A3070,A3069)-1)</f>
        <v/>
      </c>
      <c r="G3069" s="16" t="str">
        <f t="shared" si="112"/>
        <v/>
      </c>
      <c r="H3069" s="70" t="str">
        <f t="shared" si="113"/>
        <v/>
      </c>
    </row>
    <row r="3070" spans="1:8">
      <c r="A3070" s="2"/>
      <c r="B3070" s="12"/>
      <c r="C3070" s="12"/>
      <c r="E3070" t="str">
        <f>IF(LEN(D3070)=0,"",[1]!i_pq_tradedays($B$3,A3071,A3070)-1)</f>
        <v/>
      </c>
      <c r="G3070" s="16" t="str">
        <f t="shared" si="112"/>
        <v/>
      </c>
      <c r="H3070" s="70" t="str">
        <f t="shared" si="113"/>
        <v/>
      </c>
    </row>
    <row r="3071" spans="1:8">
      <c r="A3071" s="2"/>
      <c r="B3071" s="12"/>
      <c r="C3071" s="12"/>
      <c r="E3071" t="str">
        <f>IF(LEN(D3071)=0,"",[1]!i_pq_tradedays($B$3,A3072,A3071)-1)</f>
        <v/>
      </c>
      <c r="G3071" s="16" t="str">
        <f t="shared" si="112"/>
        <v/>
      </c>
      <c r="H3071" s="70" t="str">
        <f t="shared" si="113"/>
        <v/>
      </c>
    </row>
    <row r="3072" spans="1:8">
      <c r="A3072" s="2"/>
      <c r="B3072" s="12"/>
      <c r="C3072" s="12"/>
      <c r="E3072" t="str">
        <f>IF(LEN(D3072)=0,"",[1]!i_pq_tradedays($B$3,A3073,A3072)-1)</f>
        <v/>
      </c>
      <c r="G3072" s="16" t="str">
        <f t="shared" si="112"/>
        <v/>
      </c>
      <c r="H3072" s="70" t="str">
        <f t="shared" si="113"/>
        <v/>
      </c>
    </row>
    <row r="3073" spans="1:8">
      <c r="A3073" s="2"/>
      <c r="B3073" s="12"/>
      <c r="C3073" s="12"/>
      <c r="E3073" t="str">
        <f>IF(LEN(D3073)=0,"",[1]!i_pq_tradedays($B$3,A3074,A3073)-1)</f>
        <v/>
      </c>
      <c r="G3073" s="16" t="str">
        <f t="shared" si="112"/>
        <v/>
      </c>
      <c r="H3073" s="70" t="str">
        <f t="shared" si="113"/>
        <v/>
      </c>
    </row>
    <row r="3074" spans="1:8">
      <c r="A3074" s="2"/>
      <c r="B3074" s="12"/>
      <c r="C3074" s="12"/>
      <c r="E3074" t="str">
        <f>IF(LEN(D3074)=0,"",[1]!i_pq_tradedays($B$3,A3075,A3074)-1)</f>
        <v/>
      </c>
      <c r="G3074" s="16" t="str">
        <f t="shared" si="112"/>
        <v/>
      </c>
      <c r="H3074" s="70" t="str">
        <f t="shared" si="113"/>
        <v/>
      </c>
    </row>
    <row r="3075" spans="1:8">
      <c r="A3075" s="2"/>
      <c r="B3075" s="12"/>
      <c r="C3075" s="12"/>
      <c r="E3075" t="str">
        <f>IF(LEN(D3075)=0,"",[1]!i_pq_tradedays($B$3,A3076,A3075)-1)</f>
        <v/>
      </c>
      <c r="G3075" s="16" t="str">
        <f t="shared" si="112"/>
        <v/>
      </c>
      <c r="H3075" s="70" t="str">
        <f t="shared" si="113"/>
        <v/>
      </c>
    </row>
    <row r="3076" spans="1:8">
      <c r="A3076" s="2"/>
      <c r="B3076" s="12"/>
      <c r="C3076" s="12"/>
      <c r="E3076" t="str">
        <f>IF(LEN(D3076)=0,"",[1]!i_pq_tradedays($B$3,A3077,A3076)-1)</f>
        <v/>
      </c>
      <c r="G3076" s="16" t="str">
        <f t="shared" si="112"/>
        <v/>
      </c>
      <c r="H3076" s="70" t="str">
        <f t="shared" si="113"/>
        <v/>
      </c>
    </row>
    <row r="3077" spans="1:8">
      <c r="A3077" s="2"/>
      <c r="B3077" s="12"/>
      <c r="C3077" s="12"/>
      <c r="E3077" t="str">
        <f>IF(LEN(D3077)=0,"",[1]!i_pq_tradedays($B$3,A3078,A3077)-1)</f>
        <v/>
      </c>
      <c r="G3077" s="16" t="str">
        <f t="shared" si="112"/>
        <v/>
      </c>
      <c r="H3077" s="70" t="str">
        <f t="shared" si="113"/>
        <v/>
      </c>
    </row>
    <row r="3078" spans="1:8">
      <c r="A3078" s="2"/>
      <c r="B3078" s="12"/>
      <c r="C3078" s="12"/>
      <c r="E3078" t="str">
        <f>IF(LEN(D3078)=0,"",[1]!i_pq_tradedays($B$3,A3079,A3078)-1)</f>
        <v/>
      </c>
      <c r="G3078" s="16" t="str">
        <f t="shared" si="112"/>
        <v/>
      </c>
      <c r="H3078" s="70" t="str">
        <f t="shared" si="113"/>
        <v/>
      </c>
    </row>
    <row r="3079" spans="1:8">
      <c r="A3079" s="2"/>
      <c r="B3079" s="12"/>
      <c r="C3079" s="12"/>
      <c r="E3079" t="str">
        <f>IF(LEN(D3079)=0,"",[1]!i_pq_tradedays($B$3,A3080,A3079)-1)</f>
        <v/>
      </c>
      <c r="G3079" s="16" t="str">
        <f t="shared" si="112"/>
        <v/>
      </c>
      <c r="H3079" s="70" t="str">
        <f t="shared" si="113"/>
        <v/>
      </c>
    </row>
    <row r="3080" spans="1:8">
      <c r="A3080" s="2"/>
      <c r="B3080" s="12"/>
      <c r="C3080" s="12"/>
      <c r="E3080" t="str">
        <f>IF(LEN(D3080)=0,"",[1]!i_pq_tradedays($B$3,A3081,A3080)-1)</f>
        <v/>
      </c>
      <c r="G3080" s="16" t="str">
        <f t="shared" si="112"/>
        <v/>
      </c>
      <c r="H3080" s="70" t="str">
        <f t="shared" si="113"/>
        <v/>
      </c>
    </row>
    <row r="3081" spans="1:8">
      <c r="A3081" s="2"/>
      <c r="B3081" s="12"/>
      <c r="C3081" s="12"/>
      <c r="E3081" t="str">
        <f>IF(LEN(D3081)=0,"",[1]!i_pq_tradedays($B$3,A3082,A3081)-1)</f>
        <v/>
      </c>
      <c r="G3081" s="16" t="str">
        <f t="shared" si="112"/>
        <v/>
      </c>
      <c r="H3081" s="70" t="str">
        <f t="shared" si="113"/>
        <v/>
      </c>
    </row>
    <row r="3082" spans="1:8">
      <c r="A3082" s="2"/>
      <c r="B3082" s="12"/>
      <c r="C3082" s="12"/>
      <c r="E3082" t="str">
        <f>IF(LEN(D3082)=0,"",[1]!i_pq_tradedays($B$3,A3083,A3082)-1)</f>
        <v/>
      </c>
      <c r="G3082" s="16" t="str">
        <f t="shared" si="112"/>
        <v/>
      </c>
      <c r="H3082" s="70" t="str">
        <f t="shared" si="113"/>
        <v/>
      </c>
    </row>
    <row r="3083" spans="1:8">
      <c r="A3083" s="2"/>
      <c r="B3083" s="12"/>
      <c r="C3083" s="12"/>
      <c r="E3083" t="str">
        <f>IF(LEN(D3083)=0,"",[1]!i_pq_tradedays($B$3,A3084,A3083)-1)</f>
        <v/>
      </c>
      <c r="G3083" s="16" t="str">
        <f t="shared" si="112"/>
        <v/>
      </c>
      <c r="H3083" s="70" t="str">
        <f t="shared" si="113"/>
        <v/>
      </c>
    </row>
    <row r="3084" spans="1:8">
      <c r="A3084" s="2"/>
      <c r="B3084" s="12"/>
      <c r="C3084" s="12"/>
      <c r="E3084" t="str">
        <f>IF(LEN(D3084)=0,"",[1]!i_pq_tradedays($B$3,A3085,A3084)-1)</f>
        <v/>
      </c>
      <c r="G3084" s="16" t="str">
        <f t="shared" si="112"/>
        <v/>
      </c>
      <c r="H3084" s="70" t="str">
        <f t="shared" si="113"/>
        <v/>
      </c>
    </row>
    <row r="3085" spans="1:8">
      <c r="A3085" s="2"/>
      <c r="B3085" s="12"/>
      <c r="C3085" s="12"/>
      <c r="E3085" t="str">
        <f>IF(LEN(D3085)=0,"",[1]!i_pq_tradedays($B$3,A3086,A3085)-1)</f>
        <v/>
      </c>
      <c r="G3085" s="16" t="str">
        <f t="shared" si="112"/>
        <v/>
      </c>
      <c r="H3085" s="70" t="str">
        <f t="shared" si="113"/>
        <v/>
      </c>
    </row>
    <row r="3086" spans="1:8">
      <c r="A3086" s="2"/>
      <c r="B3086" s="12"/>
      <c r="C3086" s="12"/>
      <c r="E3086" t="str">
        <f>IF(LEN(D3086)=0,"",[1]!i_pq_tradedays($B$3,A3087,A3086)-1)</f>
        <v/>
      </c>
      <c r="G3086" s="16" t="str">
        <f t="shared" si="112"/>
        <v/>
      </c>
      <c r="H3086" s="70" t="str">
        <f t="shared" si="113"/>
        <v/>
      </c>
    </row>
    <row r="3087" spans="1:8">
      <c r="A3087" s="2"/>
      <c r="B3087" s="12"/>
      <c r="C3087" s="12"/>
      <c r="E3087" t="str">
        <f>IF(LEN(D3087)=0,"",[1]!i_pq_tradedays($B$3,A3088,A3087)-1)</f>
        <v/>
      </c>
      <c r="G3087" s="16" t="str">
        <f t="shared" si="112"/>
        <v/>
      </c>
      <c r="H3087" s="70" t="str">
        <f t="shared" si="113"/>
        <v/>
      </c>
    </row>
    <row r="3088" spans="1:8">
      <c r="A3088" s="2"/>
      <c r="B3088" s="12"/>
      <c r="C3088" s="12"/>
      <c r="E3088" t="str">
        <f>IF(LEN(D3088)=0,"",[1]!i_pq_tradedays($B$3,A3089,A3088)-1)</f>
        <v/>
      </c>
      <c r="G3088" s="16" t="str">
        <f t="shared" si="112"/>
        <v/>
      </c>
      <c r="H3088" s="70" t="str">
        <f t="shared" si="113"/>
        <v/>
      </c>
    </row>
    <row r="3089" spans="1:8">
      <c r="A3089" s="2"/>
      <c r="B3089" s="12"/>
      <c r="C3089" s="12"/>
      <c r="E3089" t="str">
        <f>IF(LEN(D3089)=0,"",[1]!i_pq_tradedays($B$3,A3090,A3089)-1)</f>
        <v/>
      </c>
      <c r="G3089" s="16" t="str">
        <f t="shared" si="112"/>
        <v/>
      </c>
      <c r="H3089" s="70" t="str">
        <f t="shared" si="113"/>
        <v/>
      </c>
    </row>
    <row r="3090" spans="1:8">
      <c r="A3090" s="2"/>
      <c r="B3090" s="12"/>
      <c r="C3090" s="12"/>
      <c r="E3090" t="str">
        <f>IF(LEN(D3090)=0,"",[1]!i_pq_tradedays($B$3,A3091,A3090)-1)</f>
        <v/>
      </c>
      <c r="G3090" s="16" t="str">
        <f t="shared" si="112"/>
        <v/>
      </c>
      <c r="H3090" s="70" t="str">
        <f t="shared" si="113"/>
        <v/>
      </c>
    </row>
    <row r="3091" spans="1:8">
      <c r="A3091" s="2"/>
      <c r="B3091" s="12"/>
      <c r="C3091" s="12"/>
      <c r="E3091" t="str">
        <f>IF(LEN(D3091)=0,"",[1]!i_pq_tradedays($B$3,A3092,A3091)-1)</f>
        <v/>
      </c>
      <c r="G3091" s="16" t="str">
        <f t="shared" si="112"/>
        <v/>
      </c>
      <c r="H3091" s="70" t="str">
        <f t="shared" si="113"/>
        <v/>
      </c>
    </row>
    <row r="3092" spans="1:8">
      <c r="A3092" s="2"/>
      <c r="B3092" s="12"/>
      <c r="C3092" s="12"/>
      <c r="E3092" t="str">
        <f>IF(LEN(D3092)=0,"",[1]!i_pq_tradedays($B$3,A3093,A3092)-1)</f>
        <v/>
      </c>
      <c r="G3092" s="16" t="str">
        <f t="shared" si="112"/>
        <v/>
      </c>
      <c r="H3092" s="70" t="str">
        <f t="shared" si="113"/>
        <v/>
      </c>
    </row>
    <row r="3093" spans="1:8">
      <c r="A3093" s="2"/>
      <c r="B3093" s="12"/>
      <c r="C3093" s="12"/>
      <c r="E3093" t="str">
        <f>IF(LEN(D3093)=0,"",[1]!i_pq_tradedays($B$3,A3094,A3093)-1)</f>
        <v/>
      </c>
      <c r="G3093" s="16" t="str">
        <f t="shared" si="112"/>
        <v/>
      </c>
      <c r="H3093" s="70" t="str">
        <f t="shared" si="113"/>
        <v/>
      </c>
    </row>
    <row r="3094" spans="1:8">
      <c r="A3094" s="2"/>
      <c r="B3094" s="12"/>
      <c r="C3094" s="12"/>
      <c r="E3094" t="str">
        <f>IF(LEN(D3094)=0,"",[1]!i_pq_tradedays($B$3,A3095,A3094)-1)</f>
        <v/>
      </c>
      <c r="G3094" s="16" t="str">
        <f t="shared" si="112"/>
        <v/>
      </c>
      <c r="H3094" s="70" t="str">
        <f t="shared" si="113"/>
        <v/>
      </c>
    </row>
    <row r="3095" spans="1:8">
      <c r="A3095" s="2"/>
      <c r="B3095" s="12"/>
      <c r="C3095" s="12"/>
      <c r="E3095" t="str">
        <f>IF(LEN(D3095)=0,"",[1]!i_pq_tradedays($B$3,A3096,A3095)-1)</f>
        <v/>
      </c>
      <c r="G3095" s="16" t="str">
        <f t="shared" si="112"/>
        <v/>
      </c>
      <c r="H3095" s="70" t="str">
        <f t="shared" si="113"/>
        <v/>
      </c>
    </row>
    <row r="3096" spans="1:8">
      <c r="A3096" s="2"/>
      <c r="B3096" s="12"/>
      <c r="C3096" s="12"/>
      <c r="E3096" t="str">
        <f>IF(LEN(D3096)=0,"",[1]!i_pq_tradedays($B$3,A3097,A3096)-1)</f>
        <v/>
      </c>
      <c r="G3096" s="16" t="str">
        <f t="shared" si="112"/>
        <v/>
      </c>
      <c r="H3096" s="70" t="str">
        <f t="shared" si="113"/>
        <v/>
      </c>
    </row>
    <row r="3097" spans="1:8">
      <c r="A3097" s="2"/>
      <c r="B3097" s="12"/>
      <c r="C3097" s="12"/>
      <c r="E3097" t="str">
        <f>IF(LEN(D3097)=0,"",[1]!i_pq_tradedays($B$3,A3098,A3097)-1)</f>
        <v/>
      </c>
      <c r="G3097" s="16" t="str">
        <f t="shared" si="112"/>
        <v/>
      </c>
      <c r="H3097" s="70" t="str">
        <f t="shared" si="113"/>
        <v/>
      </c>
    </row>
    <row r="3098" spans="1:8">
      <c r="A3098" s="2"/>
      <c r="B3098" s="12"/>
      <c r="C3098" s="12"/>
      <c r="E3098" t="str">
        <f>IF(LEN(D3098)=0,"",[1]!i_pq_tradedays($B$3,A3099,A3098)-1)</f>
        <v/>
      </c>
      <c r="G3098" s="16" t="str">
        <f t="shared" si="112"/>
        <v/>
      </c>
      <c r="H3098" s="70" t="str">
        <f t="shared" si="113"/>
        <v/>
      </c>
    </row>
    <row r="3099" spans="1:8">
      <c r="A3099" s="2"/>
      <c r="B3099" s="12"/>
      <c r="C3099" s="12"/>
      <c r="E3099" t="str">
        <f>IF(LEN(D3099)=0,"",[1]!i_pq_tradedays($B$3,A3100,A3099)-1)</f>
        <v/>
      </c>
      <c r="G3099" s="16" t="str">
        <f t="shared" si="112"/>
        <v/>
      </c>
      <c r="H3099" s="70" t="str">
        <f t="shared" si="113"/>
        <v/>
      </c>
    </row>
    <row r="3100" spans="1:8">
      <c r="A3100" s="2"/>
      <c r="B3100" s="12"/>
      <c r="C3100" s="12"/>
      <c r="E3100" t="str">
        <f>IF(LEN(D3100)=0,"",[1]!i_pq_tradedays($B$3,A3101,A3100)-1)</f>
        <v/>
      </c>
      <c r="G3100" s="16" t="str">
        <f t="shared" si="112"/>
        <v/>
      </c>
      <c r="H3100" s="70" t="str">
        <f t="shared" si="113"/>
        <v/>
      </c>
    </row>
    <row r="3101" spans="1:8">
      <c r="A3101" s="2"/>
      <c r="B3101" s="12"/>
      <c r="C3101" s="12"/>
      <c r="E3101" t="str">
        <f>IF(LEN(D3101)=0,"",[1]!i_pq_tradedays($B$3,A3102,A3101)-1)</f>
        <v/>
      </c>
      <c r="G3101" s="16" t="str">
        <f t="shared" si="112"/>
        <v/>
      </c>
      <c r="H3101" s="70" t="str">
        <f t="shared" si="113"/>
        <v/>
      </c>
    </row>
    <row r="3102" spans="1:8">
      <c r="A3102" s="2"/>
      <c r="B3102" s="12"/>
      <c r="C3102" s="12"/>
      <c r="E3102" t="str">
        <f>IF(LEN(D3102)=0,"",[1]!i_pq_tradedays($B$3,A3103,A3102)-1)</f>
        <v/>
      </c>
      <c r="G3102" s="16" t="str">
        <f t="shared" si="112"/>
        <v/>
      </c>
      <c r="H3102" s="70" t="str">
        <f t="shared" si="113"/>
        <v/>
      </c>
    </row>
    <row r="3103" spans="1:8">
      <c r="A3103" s="2"/>
      <c r="B3103" s="12"/>
      <c r="C3103" s="12"/>
      <c r="E3103" t="str">
        <f>IF(LEN(D3103)=0,"",[1]!i_pq_tradedays($B$3,A3104,A3103)-1)</f>
        <v/>
      </c>
      <c r="G3103" s="16" t="str">
        <f t="shared" si="112"/>
        <v/>
      </c>
      <c r="H3103" s="70" t="str">
        <f t="shared" si="113"/>
        <v/>
      </c>
    </row>
    <row r="3104" spans="1:8">
      <c r="A3104" s="2"/>
      <c r="B3104" s="12"/>
      <c r="C3104" s="12"/>
      <c r="E3104" t="str">
        <f>IF(LEN(D3104)=0,"",[1]!i_pq_tradedays($B$3,A3105,A3104)-1)</f>
        <v/>
      </c>
      <c r="G3104" s="16" t="str">
        <f t="shared" si="112"/>
        <v/>
      </c>
      <c r="H3104" s="70" t="str">
        <f t="shared" si="113"/>
        <v/>
      </c>
    </row>
    <row r="3105" spans="1:8">
      <c r="A3105" s="2"/>
      <c r="B3105" s="12"/>
      <c r="C3105" s="12"/>
      <c r="E3105" t="str">
        <f>IF(LEN(D3105)=0,"",[1]!i_pq_tradedays($B$3,A3106,A3105)-1)</f>
        <v/>
      </c>
      <c r="G3105" s="16" t="str">
        <f t="shared" si="112"/>
        <v/>
      </c>
      <c r="H3105" s="70" t="str">
        <f t="shared" si="113"/>
        <v/>
      </c>
    </row>
    <row r="3106" spans="1:8">
      <c r="A3106" s="2"/>
      <c r="B3106" s="12"/>
      <c r="C3106" s="12"/>
      <c r="E3106" t="str">
        <f>IF(LEN(D3106)=0,"",[1]!i_pq_tradedays($B$3,A3107,A3106)-1)</f>
        <v/>
      </c>
      <c r="G3106" s="16" t="str">
        <f t="shared" si="112"/>
        <v/>
      </c>
      <c r="H3106" s="70" t="str">
        <f t="shared" si="113"/>
        <v/>
      </c>
    </row>
    <row r="3107" spans="1:8">
      <c r="A3107" s="2"/>
      <c r="B3107" s="12"/>
      <c r="C3107" s="12"/>
      <c r="E3107" t="str">
        <f>IF(LEN(D3107)=0,"",[1]!i_pq_tradedays($B$3,A3108,A3107)-1)</f>
        <v/>
      </c>
      <c r="G3107" s="16" t="str">
        <f t="shared" si="112"/>
        <v/>
      </c>
      <c r="H3107" s="70" t="str">
        <f t="shared" si="113"/>
        <v/>
      </c>
    </row>
    <row r="3108" spans="1:8">
      <c r="A3108" s="2"/>
      <c r="B3108" s="12"/>
      <c r="C3108" s="12"/>
      <c r="E3108" t="str">
        <f>IF(LEN(D3108)=0,"",[1]!i_pq_tradedays($B$3,A3109,A3108)-1)</f>
        <v/>
      </c>
      <c r="G3108" s="16" t="str">
        <f t="shared" si="112"/>
        <v/>
      </c>
      <c r="H3108" s="70" t="str">
        <f t="shared" si="113"/>
        <v/>
      </c>
    </row>
    <row r="3109" spans="1:8">
      <c r="A3109" s="2"/>
      <c r="B3109" s="12"/>
      <c r="C3109" s="12"/>
      <c r="E3109" t="str">
        <f>IF(LEN(D3109)=0,"",[1]!i_pq_tradedays($B$3,A3110,A3109)-1)</f>
        <v/>
      </c>
      <c r="G3109" s="16" t="str">
        <f t="shared" si="112"/>
        <v/>
      </c>
      <c r="H3109" s="70" t="str">
        <f t="shared" si="113"/>
        <v/>
      </c>
    </row>
    <row r="3110" spans="1:8">
      <c r="A3110" s="2"/>
      <c r="B3110" s="12"/>
      <c r="C3110" s="12"/>
      <c r="E3110" t="str">
        <f>IF(LEN(D3110)=0,"",[1]!i_pq_tradedays($B$3,A3111,A3110)-1)</f>
        <v/>
      </c>
      <c r="G3110" s="16" t="str">
        <f t="shared" si="112"/>
        <v/>
      </c>
      <c r="H3110" s="70" t="str">
        <f t="shared" si="113"/>
        <v/>
      </c>
    </row>
    <row r="3111" spans="1:8">
      <c r="A3111" s="2"/>
      <c r="B3111" s="12"/>
      <c r="C3111" s="12"/>
      <c r="E3111" t="str">
        <f>IF(LEN(D3111)=0,"",[1]!i_pq_tradedays($B$3,A3112,A3111)-1)</f>
        <v/>
      </c>
      <c r="G3111" s="16" t="str">
        <f t="shared" si="112"/>
        <v/>
      </c>
      <c r="H3111" s="70" t="str">
        <f t="shared" si="113"/>
        <v/>
      </c>
    </row>
    <row r="3112" spans="1:8">
      <c r="A3112" s="2"/>
      <c r="B3112" s="12"/>
      <c r="C3112" s="12"/>
      <c r="E3112" t="str">
        <f>IF(LEN(D3112)=0,"",[1]!i_pq_tradedays($B$3,A3113,A3112)-1)</f>
        <v/>
      </c>
      <c r="G3112" s="16" t="str">
        <f t="shared" si="112"/>
        <v/>
      </c>
      <c r="H3112" s="70" t="str">
        <f t="shared" si="113"/>
        <v/>
      </c>
    </row>
    <row r="3113" spans="1:8">
      <c r="A3113" s="2"/>
      <c r="B3113" s="12"/>
      <c r="C3113" s="12"/>
      <c r="E3113" t="str">
        <f>IF(LEN(D3113)=0,"",[1]!i_pq_tradedays($B$3,A3114,A3113)-1)</f>
        <v/>
      </c>
      <c r="G3113" s="16" t="str">
        <f t="shared" si="112"/>
        <v/>
      </c>
      <c r="H3113" s="70" t="str">
        <f t="shared" si="113"/>
        <v/>
      </c>
    </row>
    <row r="3114" spans="1:8">
      <c r="A3114" s="2"/>
      <c r="B3114" s="12"/>
      <c r="C3114" s="12"/>
      <c r="E3114" t="str">
        <f>IF(LEN(D3114)=0,"",[1]!i_pq_tradedays($B$3,A3115,A3114)-1)</f>
        <v/>
      </c>
      <c r="G3114" s="16" t="str">
        <f t="shared" si="112"/>
        <v/>
      </c>
      <c r="H3114" s="70" t="str">
        <f t="shared" si="113"/>
        <v/>
      </c>
    </row>
    <row r="3115" spans="1:8">
      <c r="A3115" s="2"/>
      <c r="B3115" s="12"/>
      <c r="C3115" s="12"/>
      <c r="E3115" t="str">
        <f>IF(LEN(D3115)=0,"",[1]!i_pq_tradedays($B$3,A3116,A3115)-1)</f>
        <v/>
      </c>
      <c r="G3115" s="16" t="str">
        <f t="shared" si="112"/>
        <v/>
      </c>
      <c r="H3115" s="70" t="str">
        <f t="shared" si="113"/>
        <v/>
      </c>
    </row>
    <row r="3116" spans="1:8">
      <c r="A3116" s="2"/>
      <c r="B3116" s="12"/>
      <c r="C3116" s="12"/>
      <c r="E3116" t="str">
        <f>IF(LEN(D3116)=0,"",[1]!i_pq_tradedays($B$3,A3117,A3116)-1)</f>
        <v/>
      </c>
      <c r="G3116" s="16" t="str">
        <f t="shared" si="112"/>
        <v/>
      </c>
      <c r="H3116" s="70" t="str">
        <f t="shared" si="113"/>
        <v/>
      </c>
    </row>
    <row r="3117" spans="1:8">
      <c r="A3117" s="2"/>
      <c r="B3117" s="12"/>
      <c r="C3117" s="12"/>
      <c r="E3117" t="str">
        <f>IF(LEN(D3117)=0,"",[1]!i_pq_tradedays($B$3,A3118,A3117)-1)</f>
        <v/>
      </c>
      <c r="G3117" s="16" t="str">
        <f t="shared" si="112"/>
        <v/>
      </c>
      <c r="H3117" s="70" t="str">
        <f t="shared" si="113"/>
        <v/>
      </c>
    </row>
    <row r="3118" spans="1:8">
      <c r="A3118" s="2"/>
      <c r="B3118" s="12"/>
      <c r="C3118" s="12"/>
      <c r="E3118" t="str">
        <f>IF(LEN(D3118)=0,"",[1]!i_pq_tradedays($B$3,A3119,A3118)-1)</f>
        <v/>
      </c>
      <c r="G3118" s="16" t="str">
        <f t="shared" si="112"/>
        <v/>
      </c>
      <c r="H3118" s="70" t="str">
        <f t="shared" si="113"/>
        <v/>
      </c>
    </row>
    <row r="3119" spans="1:8">
      <c r="A3119" s="2"/>
      <c r="B3119" s="12"/>
      <c r="C3119" s="12"/>
      <c r="E3119" t="str">
        <f>IF(LEN(D3119)=0,"",[1]!i_pq_tradedays($B$3,A3120,A3119)-1)</f>
        <v/>
      </c>
      <c r="G3119" s="16" t="str">
        <f t="shared" si="112"/>
        <v/>
      </c>
      <c r="H3119" s="70" t="str">
        <f t="shared" si="113"/>
        <v/>
      </c>
    </row>
    <row r="3120" spans="1:8">
      <c r="A3120" s="2"/>
      <c r="B3120" s="12"/>
      <c r="C3120" s="12"/>
      <c r="E3120" t="str">
        <f>IF(LEN(D3120)=0,"",[1]!i_pq_tradedays($B$3,A3121,A3120)-1)</f>
        <v/>
      </c>
      <c r="G3120" s="16" t="str">
        <f t="shared" si="112"/>
        <v/>
      </c>
      <c r="H3120" s="70" t="str">
        <f t="shared" si="113"/>
        <v/>
      </c>
    </row>
    <row r="3121" spans="1:8">
      <c r="A3121" s="2"/>
      <c r="B3121" s="12"/>
      <c r="C3121" s="12"/>
      <c r="E3121" t="str">
        <f>IF(LEN(D3121)=0,"",[1]!i_pq_tradedays($B$3,A3122,A3121)-1)</f>
        <v/>
      </c>
      <c r="G3121" s="16" t="str">
        <f t="shared" si="112"/>
        <v/>
      </c>
      <c r="H3121" s="70" t="str">
        <f t="shared" si="113"/>
        <v/>
      </c>
    </row>
    <row r="3122" spans="1:8">
      <c r="A3122" s="2"/>
      <c r="B3122" s="12"/>
      <c r="C3122" s="12"/>
      <c r="E3122" t="str">
        <f>IF(LEN(D3122)=0,"",[1]!i_pq_tradedays($B$3,A3123,A3122)-1)</f>
        <v/>
      </c>
      <c r="G3122" s="16" t="str">
        <f t="shared" si="112"/>
        <v/>
      </c>
      <c r="H3122" s="70" t="str">
        <f t="shared" si="113"/>
        <v/>
      </c>
    </row>
    <row r="3123" spans="1:8">
      <c r="A3123" s="2"/>
      <c r="B3123" s="12"/>
      <c r="C3123" s="12"/>
      <c r="E3123" t="str">
        <f>IF(LEN(D3123)=0,"",[1]!i_pq_tradedays($B$3,A3124,A3123)-1)</f>
        <v/>
      </c>
      <c r="G3123" s="16" t="str">
        <f t="shared" si="112"/>
        <v/>
      </c>
      <c r="H3123" s="70" t="str">
        <f t="shared" si="113"/>
        <v/>
      </c>
    </row>
    <row r="3124" spans="1:8">
      <c r="A3124" s="2"/>
      <c r="B3124" s="12"/>
      <c r="C3124" s="12"/>
      <c r="E3124" t="str">
        <f>IF(LEN(D3124)=0,"",[1]!i_pq_tradedays($B$3,A3125,A3124)-1)</f>
        <v/>
      </c>
      <c r="G3124" s="16" t="str">
        <f t="shared" si="112"/>
        <v/>
      </c>
      <c r="H3124" s="70" t="str">
        <f t="shared" si="113"/>
        <v/>
      </c>
    </row>
    <row r="3125" spans="1:8">
      <c r="A3125" s="2"/>
      <c r="B3125" s="12"/>
      <c r="C3125" s="12"/>
      <c r="E3125" t="str">
        <f>IF(LEN(D3125)=0,"",[1]!i_pq_tradedays($B$3,A3126,A3125)-1)</f>
        <v/>
      </c>
      <c r="G3125" s="16" t="str">
        <f t="shared" ref="G3125:G3188" si="114">IF(LEN(D3125)=0,"",D3125/E3125)</f>
        <v/>
      </c>
      <c r="H3125" s="70" t="str">
        <f t="shared" ref="H3125:H3188" si="115">IF(LEN(D3125)=0,"",G3125/G3126-1)</f>
        <v/>
      </c>
    </row>
    <row r="3126" spans="1:8">
      <c r="A3126" s="2"/>
      <c r="B3126" s="12"/>
      <c r="C3126" s="12"/>
      <c r="E3126" t="str">
        <f>IF(LEN(D3126)=0,"",[1]!i_pq_tradedays($B$3,A3127,A3126)-1)</f>
        <v/>
      </c>
      <c r="G3126" s="16" t="str">
        <f t="shared" si="114"/>
        <v/>
      </c>
      <c r="H3126" s="70" t="str">
        <f t="shared" si="115"/>
        <v/>
      </c>
    </row>
    <row r="3127" spans="1:8">
      <c r="A3127" s="2"/>
      <c r="B3127" s="12"/>
      <c r="C3127" s="12"/>
      <c r="E3127" t="str">
        <f>IF(LEN(D3127)=0,"",[1]!i_pq_tradedays($B$3,A3128,A3127)-1)</f>
        <v/>
      </c>
      <c r="G3127" s="16" t="str">
        <f t="shared" si="114"/>
        <v/>
      </c>
      <c r="H3127" s="70" t="str">
        <f t="shared" si="115"/>
        <v/>
      </c>
    </row>
    <row r="3128" spans="1:8">
      <c r="A3128" s="2"/>
      <c r="B3128" s="12"/>
      <c r="C3128" s="12"/>
      <c r="E3128" t="str">
        <f>IF(LEN(D3128)=0,"",[1]!i_pq_tradedays($B$3,A3129,A3128)-1)</f>
        <v/>
      </c>
      <c r="G3128" s="16" t="str">
        <f t="shared" si="114"/>
        <v/>
      </c>
      <c r="H3128" s="70" t="str">
        <f t="shared" si="115"/>
        <v/>
      </c>
    </row>
    <row r="3129" spans="1:8">
      <c r="A3129" s="2"/>
      <c r="B3129" s="12"/>
      <c r="C3129" s="12"/>
      <c r="E3129" t="str">
        <f>IF(LEN(D3129)=0,"",[1]!i_pq_tradedays($B$3,A3130,A3129)-1)</f>
        <v/>
      </c>
      <c r="G3129" s="16" t="str">
        <f t="shared" si="114"/>
        <v/>
      </c>
      <c r="H3129" s="70" t="str">
        <f t="shared" si="115"/>
        <v/>
      </c>
    </row>
    <row r="3130" spans="1:8">
      <c r="A3130" s="2"/>
      <c r="B3130" s="12"/>
      <c r="C3130" s="12"/>
      <c r="E3130" t="str">
        <f>IF(LEN(D3130)=0,"",[1]!i_pq_tradedays($B$3,A3131,A3130)-1)</f>
        <v/>
      </c>
      <c r="G3130" s="16" t="str">
        <f t="shared" si="114"/>
        <v/>
      </c>
      <c r="H3130" s="70" t="str">
        <f t="shared" si="115"/>
        <v/>
      </c>
    </row>
    <row r="3131" spans="1:8">
      <c r="A3131" s="2"/>
      <c r="B3131" s="12"/>
      <c r="C3131" s="12"/>
      <c r="E3131" t="str">
        <f>IF(LEN(D3131)=0,"",[1]!i_pq_tradedays($B$3,A3132,A3131)-1)</f>
        <v/>
      </c>
      <c r="G3131" s="16" t="str">
        <f t="shared" si="114"/>
        <v/>
      </c>
      <c r="H3131" s="70" t="str">
        <f t="shared" si="115"/>
        <v/>
      </c>
    </row>
    <row r="3132" spans="1:8">
      <c r="A3132" s="2"/>
      <c r="B3132" s="12"/>
      <c r="C3132" s="12"/>
      <c r="E3132" t="str">
        <f>IF(LEN(D3132)=0,"",[1]!i_pq_tradedays($B$3,A3133,A3132)-1)</f>
        <v/>
      </c>
      <c r="G3132" s="16" t="str">
        <f t="shared" si="114"/>
        <v/>
      </c>
      <c r="H3132" s="70" t="str">
        <f t="shared" si="115"/>
        <v/>
      </c>
    </row>
    <row r="3133" spans="1:8">
      <c r="A3133" s="2"/>
      <c r="B3133" s="12"/>
      <c r="C3133" s="12"/>
      <c r="E3133" t="str">
        <f>IF(LEN(D3133)=0,"",[1]!i_pq_tradedays($B$3,A3134,A3133)-1)</f>
        <v/>
      </c>
      <c r="G3133" s="16" t="str">
        <f t="shared" si="114"/>
        <v/>
      </c>
      <c r="H3133" s="70" t="str">
        <f t="shared" si="115"/>
        <v/>
      </c>
    </row>
    <row r="3134" spans="1:8">
      <c r="A3134" s="2"/>
      <c r="B3134" s="12"/>
      <c r="C3134" s="12"/>
      <c r="E3134" t="str">
        <f>IF(LEN(D3134)=0,"",[1]!i_pq_tradedays($B$3,A3135,A3134)-1)</f>
        <v/>
      </c>
      <c r="G3134" s="16" t="str">
        <f t="shared" si="114"/>
        <v/>
      </c>
      <c r="H3134" s="70" t="str">
        <f t="shared" si="115"/>
        <v/>
      </c>
    </row>
    <row r="3135" spans="1:8">
      <c r="A3135" s="2"/>
      <c r="B3135" s="12"/>
      <c r="C3135" s="12"/>
      <c r="E3135" t="str">
        <f>IF(LEN(D3135)=0,"",[1]!i_pq_tradedays($B$3,A3136,A3135)-1)</f>
        <v/>
      </c>
      <c r="G3135" s="16" t="str">
        <f t="shared" si="114"/>
        <v/>
      </c>
      <c r="H3135" s="70" t="str">
        <f t="shared" si="115"/>
        <v/>
      </c>
    </row>
    <row r="3136" spans="1:8">
      <c r="A3136" s="2"/>
      <c r="B3136" s="12"/>
      <c r="C3136" s="12"/>
      <c r="E3136" t="str">
        <f>IF(LEN(D3136)=0,"",[1]!i_pq_tradedays($B$3,A3137,A3136)-1)</f>
        <v/>
      </c>
      <c r="G3136" s="16" t="str">
        <f t="shared" si="114"/>
        <v/>
      </c>
      <c r="H3136" s="70" t="str">
        <f t="shared" si="115"/>
        <v/>
      </c>
    </row>
    <row r="3137" spans="1:8">
      <c r="A3137" s="2"/>
      <c r="B3137" s="12"/>
      <c r="C3137" s="12"/>
      <c r="E3137" t="str">
        <f>IF(LEN(D3137)=0,"",[1]!i_pq_tradedays($B$3,A3138,A3137)-1)</f>
        <v/>
      </c>
      <c r="G3137" s="16" t="str">
        <f t="shared" si="114"/>
        <v/>
      </c>
      <c r="H3137" s="70" t="str">
        <f t="shared" si="115"/>
        <v/>
      </c>
    </row>
    <row r="3138" spans="1:8">
      <c r="A3138" s="2"/>
      <c r="B3138" s="12"/>
      <c r="C3138" s="12"/>
      <c r="E3138" t="str">
        <f>IF(LEN(D3138)=0,"",[1]!i_pq_tradedays($B$3,A3139,A3138)-1)</f>
        <v/>
      </c>
      <c r="G3138" s="16" t="str">
        <f t="shared" si="114"/>
        <v/>
      </c>
      <c r="H3138" s="70" t="str">
        <f t="shared" si="115"/>
        <v/>
      </c>
    </row>
    <row r="3139" spans="1:8">
      <c r="A3139" s="2"/>
      <c r="B3139" s="12"/>
      <c r="C3139" s="12"/>
      <c r="E3139" t="str">
        <f>IF(LEN(D3139)=0,"",[1]!i_pq_tradedays($B$3,A3140,A3139)-1)</f>
        <v/>
      </c>
      <c r="G3139" s="16" t="str">
        <f t="shared" si="114"/>
        <v/>
      </c>
      <c r="H3139" s="70" t="str">
        <f t="shared" si="115"/>
        <v/>
      </c>
    </row>
    <row r="3140" spans="1:8">
      <c r="A3140" s="2"/>
      <c r="B3140" s="12"/>
      <c r="C3140" s="12"/>
      <c r="E3140" t="str">
        <f>IF(LEN(D3140)=0,"",[1]!i_pq_tradedays($B$3,A3141,A3140)-1)</f>
        <v/>
      </c>
      <c r="G3140" s="16" t="str">
        <f t="shared" si="114"/>
        <v/>
      </c>
      <c r="H3140" s="70" t="str">
        <f t="shared" si="115"/>
        <v/>
      </c>
    </row>
    <row r="3141" spans="1:8">
      <c r="A3141" s="2"/>
      <c r="B3141" s="12"/>
      <c r="C3141" s="12"/>
      <c r="E3141" t="str">
        <f>IF(LEN(D3141)=0,"",[1]!i_pq_tradedays($B$3,A3142,A3141)-1)</f>
        <v/>
      </c>
      <c r="G3141" s="16" t="str">
        <f t="shared" si="114"/>
        <v/>
      </c>
      <c r="H3141" s="70" t="str">
        <f t="shared" si="115"/>
        <v/>
      </c>
    </row>
    <row r="3142" spans="1:8">
      <c r="A3142" s="2"/>
      <c r="B3142" s="12"/>
      <c r="C3142" s="12"/>
      <c r="E3142" t="str">
        <f>IF(LEN(D3142)=0,"",[1]!i_pq_tradedays($B$3,A3143,A3142)-1)</f>
        <v/>
      </c>
      <c r="G3142" s="16" t="str">
        <f t="shared" si="114"/>
        <v/>
      </c>
      <c r="H3142" s="70" t="str">
        <f t="shared" si="115"/>
        <v/>
      </c>
    </row>
    <row r="3143" spans="1:8">
      <c r="A3143" s="2"/>
      <c r="B3143" s="12"/>
      <c r="C3143" s="12"/>
      <c r="E3143" t="str">
        <f>IF(LEN(D3143)=0,"",[1]!i_pq_tradedays($B$3,A3144,A3143)-1)</f>
        <v/>
      </c>
      <c r="G3143" s="16" t="str">
        <f t="shared" si="114"/>
        <v/>
      </c>
      <c r="H3143" s="70" t="str">
        <f t="shared" si="115"/>
        <v/>
      </c>
    </row>
    <row r="3144" spans="1:8">
      <c r="A3144" s="2"/>
      <c r="B3144" s="12"/>
      <c r="C3144" s="12"/>
      <c r="E3144" t="str">
        <f>IF(LEN(D3144)=0,"",[1]!i_pq_tradedays($B$3,A3145,A3144)-1)</f>
        <v/>
      </c>
      <c r="G3144" s="16" t="str">
        <f t="shared" si="114"/>
        <v/>
      </c>
      <c r="H3144" s="70" t="str">
        <f t="shared" si="115"/>
        <v/>
      </c>
    </row>
    <row r="3145" spans="1:8">
      <c r="A3145" s="2"/>
      <c r="B3145" s="12"/>
      <c r="C3145" s="12"/>
      <c r="E3145" t="str">
        <f>IF(LEN(D3145)=0,"",[1]!i_pq_tradedays($B$3,A3146,A3145)-1)</f>
        <v/>
      </c>
      <c r="G3145" s="16" t="str">
        <f t="shared" si="114"/>
        <v/>
      </c>
      <c r="H3145" s="70" t="str">
        <f t="shared" si="115"/>
        <v/>
      </c>
    </row>
    <row r="3146" spans="1:8">
      <c r="A3146" s="2"/>
      <c r="B3146" s="12"/>
      <c r="C3146" s="12"/>
      <c r="E3146" t="str">
        <f>IF(LEN(D3146)=0,"",[1]!i_pq_tradedays($B$3,A3147,A3146)-1)</f>
        <v/>
      </c>
      <c r="G3146" s="16" t="str">
        <f t="shared" si="114"/>
        <v/>
      </c>
      <c r="H3146" s="70" t="str">
        <f t="shared" si="115"/>
        <v/>
      </c>
    </row>
    <row r="3147" spans="1:8">
      <c r="A3147" s="2"/>
      <c r="B3147" s="12"/>
      <c r="C3147" s="12"/>
      <c r="E3147" t="str">
        <f>IF(LEN(D3147)=0,"",[1]!i_pq_tradedays($B$3,A3148,A3147)-1)</f>
        <v/>
      </c>
      <c r="G3147" s="16" t="str">
        <f t="shared" si="114"/>
        <v/>
      </c>
      <c r="H3147" s="70" t="str">
        <f t="shared" si="115"/>
        <v/>
      </c>
    </row>
    <row r="3148" spans="1:8">
      <c r="A3148" s="2"/>
      <c r="B3148" s="12"/>
      <c r="C3148" s="12"/>
      <c r="E3148" t="str">
        <f>IF(LEN(D3148)=0,"",[1]!i_pq_tradedays($B$3,A3149,A3148)-1)</f>
        <v/>
      </c>
      <c r="G3148" s="16" t="str">
        <f t="shared" si="114"/>
        <v/>
      </c>
      <c r="H3148" s="70" t="str">
        <f t="shared" si="115"/>
        <v/>
      </c>
    </row>
    <row r="3149" spans="1:8">
      <c r="A3149" s="2"/>
      <c r="B3149" s="12"/>
      <c r="C3149" s="12"/>
      <c r="E3149" t="str">
        <f>IF(LEN(D3149)=0,"",[1]!i_pq_tradedays($B$3,A3150,A3149)-1)</f>
        <v/>
      </c>
      <c r="G3149" s="16" t="str">
        <f t="shared" si="114"/>
        <v/>
      </c>
      <c r="H3149" s="70" t="str">
        <f t="shared" si="115"/>
        <v/>
      </c>
    </row>
    <row r="3150" spans="1:8">
      <c r="A3150" s="2"/>
      <c r="B3150" s="12"/>
      <c r="C3150" s="12"/>
      <c r="E3150" t="str">
        <f>IF(LEN(D3150)=0,"",[1]!i_pq_tradedays($B$3,A3151,A3150)-1)</f>
        <v/>
      </c>
      <c r="G3150" s="16" t="str">
        <f t="shared" si="114"/>
        <v/>
      </c>
      <c r="H3150" s="70" t="str">
        <f t="shared" si="115"/>
        <v/>
      </c>
    </row>
    <row r="3151" spans="1:8">
      <c r="A3151" s="2"/>
      <c r="B3151" s="12"/>
      <c r="C3151" s="12"/>
      <c r="E3151" t="str">
        <f>IF(LEN(D3151)=0,"",[1]!i_pq_tradedays($B$3,A3152,A3151)-1)</f>
        <v/>
      </c>
      <c r="G3151" s="16" t="str">
        <f t="shared" si="114"/>
        <v/>
      </c>
      <c r="H3151" s="70" t="str">
        <f t="shared" si="115"/>
        <v/>
      </c>
    </row>
    <row r="3152" spans="1:8">
      <c r="A3152" s="2"/>
      <c r="B3152" s="12"/>
      <c r="C3152" s="12"/>
      <c r="E3152" t="str">
        <f>IF(LEN(D3152)=0,"",[1]!i_pq_tradedays($B$3,A3153,A3152)-1)</f>
        <v/>
      </c>
      <c r="G3152" s="16" t="str">
        <f t="shared" si="114"/>
        <v/>
      </c>
      <c r="H3152" s="70" t="str">
        <f t="shared" si="115"/>
        <v/>
      </c>
    </row>
    <row r="3153" spans="1:8">
      <c r="A3153" s="2"/>
      <c r="B3153" s="12"/>
      <c r="C3153" s="12"/>
      <c r="E3153" t="str">
        <f>IF(LEN(D3153)=0,"",[1]!i_pq_tradedays($B$3,A3154,A3153)-1)</f>
        <v/>
      </c>
      <c r="G3153" s="16" t="str">
        <f t="shared" si="114"/>
        <v/>
      </c>
      <c r="H3153" s="70" t="str">
        <f t="shared" si="115"/>
        <v/>
      </c>
    </row>
    <row r="3154" spans="1:8">
      <c r="A3154" s="2"/>
      <c r="B3154" s="12"/>
      <c r="C3154" s="12"/>
      <c r="E3154" t="str">
        <f>IF(LEN(D3154)=0,"",[1]!i_pq_tradedays($B$3,A3155,A3154)-1)</f>
        <v/>
      </c>
      <c r="G3154" s="16" t="str">
        <f t="shared" si="114"/>
        <v/>
      </c>
      <c r="H3154" s="70" t="str">
        <f t="shared" si="115"/>
        <v/>
      </c>
    </row>
    <row r="3155" spans="1:8">
      <c r="A3155" s="2"/>
      <c r="B3155" s="12"/>
      <c r="C3155" s="12"/>
      <c r="E3155" t="str">
        <f>IF(LEN(D3155)=0,"",[1]!i_pq_tradedays($B$3,A3156,A3155)-1)</f>
        <v/>
      </c>
      <c r="G3155" s="16" t="str">
        <f t="shared" si="114"/>
        <v/>
      </c>
      <c r="H3155" s="70" t="str">
        <f t="shared" si="115"/>
        <v/>
      </c>
    </row>
    <row r="3156" spans="1:8">
      <c r="A3156" s="2"/>
      <c r="B3156" s="12"/>
      <c r="C3156" s="12"/>
      <c r="E3156" t="str">
        <f>IF(LEN(D3156)=0,"",[1]!i_pq_tradedays($B$3,A3157,A3156)-1)</f>
        <v/>
      </c>
      <c r="G3156" s="16" t="str">
        <f t="shared" si="114"/>
        <v/>
      </c>
      <c r="H3156" s="70" t="str">
        <f t="shared" si="115"/>
        <v/>
      </c>
    </row>
    <row r="3157" spans="1:8">
      <c r="A3157" s="2"/>
      <c r="B3157" s="12"/>
      <c r="C3157" s="12"/>
      <c r="E3157" t="str">
        <f>IF(LEN(D3157)=0,"",[1]!i_pq_tradedays($B$3,A3158,A3157)-1)</f>
        <v/>
      </c>
      <c r="G3157" s="16" t="str">
        <f t="shared" si="114"/>
        <v/>
      </c>
      <c r="H3157" s="70" t="str">
        <f t="shared" si="115"/>
        <v/>
      </c>
    </row>
    <row r="3158" spans="1:8">
      <c r="A3158" s="2"/>
      <c r="B3158" s="12"/>
      <c r="C3158" s="12"/>
      <c r="E3158" t="str">
        <f>IF(LEN(D3158)=0,"",[1]!i_pq_tradedays($B$3,A3159,A3158)-1)</f>
        <v/>
      </c>
      <c r="G3158" s="16" t="str">
        <f t="shared" si="114"/>
        <v/>
      </c>
      <c r="H3158" s="70" t="str">
        <f t="shared" si="115"/>
        <v/>
      </c>
    </row>
    <row r="3159" spans="1:8">
      <c r="A3159" s="2"/>
      <c r="B3159" s="12"/>
      <c r="C3159" s="12"/>
      <c r="E3159" t="str">
        <f>IF(LEN(D3159)=0,"",[1]!i_pq_tradedays($B$3,A3160,A3159)-1)</f>
        <v/>
      </c>
      <c r="G3159" s="16" t="str">
        <f t="shared" si="114"/>
        <v/>
      </c>
      <c r="H3159" s="70" t="str">
        <f t="shared" si="115"/>
        <v/>
      </c>
    </row>
    <row r="3160" spans="1:8">
      <c r="A3160" s="2"/>
      <c r="B3160" s="12"/>
      <c r="C3160" s="12"/>
      <c r="E3160" t="str">
        <f>IF(LEN(D3160)=0,"",[1]!i_pq_tradedays($B$3,A3161,A3160)-1)</f>
        <v/>
      </c>
      <c r="G3160" s="16" t="str">
        <f t="shared" si="114"/>
        <v/>
      </c>
      <c r="H3160" s="70" t="str">
        <f t="shared" si="115"/>
        <v/>
      </c>
    </row>
    <row r="3161" spans="1:8">
      <c r="A3161" s="2"/>
      <c r="B3161" s="12"/>
      <c r="C3161" s="12"/>
      <c r="E3161" t="str">
        <f>IF(LEN(D3161)=0,"",[1]!i_pq_tradedays($B$3,A3162,A3161)-1)</f>
        <v/>
      </c>
      <c r="G3161" s="16" t="str">
        <f t="shared" si="114"/>
        <v/>
      </c>
      <c r="H3161" s="70" t="str">
        <f t="shared" si="115"/>
        <v/>
      </c>
    </row>
    <row r="3162" spans="1:8">
      <c r="A3162" s="2"/>
      <c r="B3162" s="12"/>
      <c r="C3162" s="12"/>
      <c r="E3162" t="str">
        <f>IF(LEN(D3162)=0,"",[1]!i_pq_tradedays($B$3,A3163,A3162)-1)</f>
        <v/>
      </c>
      <c r="G3162" s="16" t="str">
        <f t="shared" si="114"/>
        <v/>
      </c>
      <c r="H3162" s="70" t="str">
        <f t="shared" si="115"/>
        <v/>
      </c>
    </row>
    <row r="3163" spans="1:8">
      <c r="A3163" s="2"/>
      <c r="B3163" s="12"/>
      <c r="C3163" s="12"/>
      <c r="E3163" t="str">
        <f>IF(LEN(D3163)=0,"",[1]!i_pq_tradedays($B$3,A3164,A3163)-1)</f>
        <v/>
      </c>
      <c r="G3163" s="16" t="str">
        <f t="shared" si="114"/>
        <v/>
      </c>
      <c r="H3163" s="70" t="str">
        <f t="shared" si="115"/>
        <v/>
      </c>
    </row>
    <row r="3164" spans="1:8">
      <c r="A3164" s="2"/>
      <c r="B3164" s="12"/>
      <c r="C3164" s="12"/>
      <c r="E3164" t="str">
        <f>IF(LEN(D3164)=0,"",[1]!i_pq_tradedays($B$3,A3165,A3164)-1)</f>
        <v/>
      </c>
      <c r="G3164" s="16" t="str">
        <f t="shared" si="114"/>
        <v/>
      </c>
      <c r="H3164" s="70" t="str">
        <f t="shared" si="115"/>
        <v/>
      </c>
    </row>
    <row r="3165" spans="1:8">
      <c r="A3165" s="2"/>
      <c r="B3165" s="12"/>
      <c r="C3165" s="12"/>
      <c r="E3165" t="str">
        <f>IF(LEN(D3165)=0,"",[1]!i_pq_tradedays($B$3,A3166,A3165)-1)</f>
        <v/>
      </c>
      <c r="G3165" s="16" t="str">
        <f t="shared" si="114"/>
        <v/>
      </c>
      <c r="H3165" s="70" t="str">
        <f t="shared" si="115"/>
        <v/>
      </c>
    </row>
    <row r="3166" spans="1:8">
      <c r="A3166" s="2"/>
      <c r="B3166" s="12"/>
      <c r="C3166" s="12"/>
      <c r="E3166" t="str">
        <f>IF(LEN(D3166)=0,"",[1]!i_pq_tradedays($B$3,A3167,A3166)-1)</f>
        <v/>
      </c>
      <c r="G3166" s="16" t="str">
        <f t="shared" si="114"/>
        <v/>
      </c>
      <c r="H3166" s="70" t="str">
        <f t="shared" si="115"/>
        <v/>
      </c>
    </row>
    <row r="3167" spans="1:8">
      <c r="A3167" s="2"/>
      <c r="B3167" s="12"/>
      <c r="C3167" s="12"/>
      <c r="E3167" t="str">
        <f>IF(LEN(D3167)=0,"",[1]!i_pq_tradedays($B$3,A3168,A3167)-1)</f>
        <v/>
      </c>
      <c r="G3167" s="16" t="str">
        <f t="shared" si="114"/>
        <v/>
      </c>
      <c r="H3167" s="70" t="str">
        <f t="shared" si="115"/>
        <v/>
      </c>
    </row>
    <row r="3168" spans="1:8">
      <c r="A3168" s="2"/>
      <c r="B3168" s="12"/>
      <c r="C3168" s="12"/>
      <c r="E3168" t="str">
        <f>IF(LEN(D3168)=0,"",[1]!i_pq_tradedays($B$3,A3169,A3168)-1)</f>
        <v/>
      </c>
      <c r="G3168" s="16" t="str">
        <f t="shared" si="114"/>
        <v/>
      </c>
      <c r="H3168" s="70" t="str">
        <f t="shared" si="115"/>
        <v/>
      </c>
    </row>
    <row r="3169" spans="1:8">
      <c r="A3169" s="2"/>
      <c r="B3169" s="12"/>
      <c r="C3169" s="12"/>
      <c r="E3169" t="str">
        <f>IF(LEN(D3169)=0,"",[1]!i_pq_tradedays($B$3,A3170,A3169)-1)</f>
        <v/>
      </c>
      <c r="G3169" s="16" t="str">
        <f t="shared" si="114"/>
        <v/>
      </c>
      <c r="H3169" s="70" t="str">
        <f t="shared" si="115"/>
        <v/>
      </c>
    </row>
    <row r="3170" spans="1:8">
      <c r="A3170" s="2"/>
      <c r="B3170" s="12"/>
      <c r="C3170" s="12"/>
      <c r="E3170" t="str">
        <f>IF(LEN(D3170)=0,"",[1]!i_pq_tradedays($B$3,A3171,A3170)-1)</f>
        <v/>
      </c>
      <c r="G3170" s="16" t="str">
        <f t="shared" si="114"/>
        <v/>
      </c>
      <c r="H3170" s="70" t="str">
        <f t="shared" si="115"/>
        <v/>
      </c>
    </row>
    <row r="3171" spans="1:8">
      <c r="A3171" s="2"/>
      <c r="B3171" s="12"/>
      <c r="C3171" s="12"/>
      <c r="E3171" t="str">
        <f>IF(LEN(D3171)=0,"",[1]!i_pq_tradedays($B$3,A3172,A3171)-1)</f>
        <v/>
      </c>
      <c r="G3171" s="16" t="str">
        <f t="shared" si="114"/>
        <v/>
      </c>
      <c r="H3171" s="70" t="str">
        <f t="shared" si="115"/>
        <v/>
      </c>
    </row>
    <row r="3172" spans="1:8">
      <c r="A3172" s="2"/>
      <c r="B3172" s="12"/>
      <c r="C3172" s="12"/>
      <c r="E3172" t="str">
        <f>IF(LEN(D3172)=0,"",[1]!i_pq_tradedays($B$3,A3173,A3172)-1)</f>
        <v/>
      </c>
      <c r="G3172" s="16" t="str">
        <f t="shared" si="114"/>
        <v/>
      </c>
      <c r="H3172" s="70" t="str">
        <f t="shared" si="115"/>
        <v/>
      </c>
    </row>
    <row r="3173" spans="1:8">
      <c r="A3173" s="2"/>
      <c r="B3173" s="12"/>
      <c r="C3173" s="12"/>
      <c r="E3173" t="str">
        <f>IF(LEN(D3173)=0,"",[1]!i_pq_tradedays($B$3,A3174,A3173)-1)</f>
        <v/>
      </c>
      <c r="G3173" s="16" t="str">
        <f t="shared" si="114"/>
        <v/>
      </c>
      <c r="H3173" s="70" t="str">
        <f t="shared" si="115"/>
        <v/>
      </c>
    </row>
    <row r="3174" spans="1:8">
      <c r="A3174" s="2"/>
      <c r="B3174" s="12"/>
      <c r="C3174" s="12"/>
      <c r="E3174" t="str">
        <f>IF(LEN(D3174)=0,"",[1]!i_pq_tradedays($B$3,A3175,A3174)-1)</f>
        <v/>
      </c>
      <c r="G3174" s="16" t="str">
        <f t="shared" si="114"/>
        <v/>
      </c>
      <c r="H3174" s="70" t="str">
        <f t="shared" si="115"/>
        <v/>
      </c>
    </row>
    <row r="3175" spans="1:8">
      <c r="A3175" s="2"/>
      <c r="B3175" s="12"/>
      <c r="C3175" s="12"/>
      <c r="E3175" t="str">
        <f>IF(LEN(D3175)=0,"",[1]!i_pq_tradedays($B$3,A3176,A3175)-1)</f>
        <v/>
      </c>
      <c r="G3175" s="16" t="str">
        <f t="shared" si="114"/>
        <v/>
      </c>
      <c r="H3175" s="70" t="str">
        <f t="shared" si="115"/>
        <v/>
      </c>
    </row>
    <row r="3176" spans="1:8">
      <c r="A3176" s="2"/>
      <c r="B3176" s="12"/>
      <c r="C3176" s="12"/>
      <c r="E3176" t="str">
        <f>IF(LEN(D3176)=0,"",[1]!i_pq_tradedays($B$3,A3177,A3176)-1)</f>
        <v/>
      </c>
      <c r="G3176" s="16" t="str">
        <f t="shared" si="114"/>
        <v/>
      </c>
      <c r="H3176" s="70" t="str">
        <f t="shared" si="115"/>
        <v/>
      </c>
    </row>
    <row r="3177" spans="1:8">
      <c r="A3177" s="2"/>
      <c r="B3177" s="12"/>
      <c r="C3177" s="12"/>
      <c r="E3177" t="str">
        <f>IF(LEN(D3177)=0,"",[1]!i_pq_tradedays($B$3,A3178,A3177)-1)</f>
        <v/>
      </c>
      <c r="G3177" s="16" t="str">
        <f t="shared" si="114"/>
        <v/>
      </c>
      <c r="H3177" s="70" t="str">
        <f t="shared" si="115"/>
        <v/>
      </c>
    </row>
    <row r="3178" spans="1:8">
      <c r="A3178" s="2"/>
      <c r="B3178" s="12"/>
      <c r="C3178" s="12"/>
      <c r="E3178" t="str">
        <f>IF(LEN(D3178)=0,"",[1]!i_pq_tradedays($B$3,A3179,A3178)-1)</f>
        <v/>
      </c>
      <c r="G3178" s="16" t="str">
        <f t="shared" si="114"/>
        <v/>
      </c>
      <c r="H3178" s="70" t="str">
        <f t="shared" si="115"/>
        <v/>
      </c>
    </row>
    <row r="3179" spans="1:8">
      <c r="A3179" s="2"/>
      <c r="B3179" s="12"/>
      <c r="C3179" s="12"/>
      <c r="E3179" t="str">
        <f>IF(LEN(D3179)=0,"",[1]!i_pq_tradedays($B$3,A3180,A3179)-1)</f>
        <v/>
      </c>
      <c r="G3179" s="16" t="str">
        <f t="shared" si="114"/>
        <v/>
      </c>
      <c r="H3179" s="70" t="str">
        <f t="shared" si="115"/>
        <v/>
      </c>
    </row>
    <row r="3180" spans="1:8">
      <c r="A3180" s="2"/>
      <c r="B3180" s="12"/>
      <c r="C3180" s="12"/>
      <c r="E3180" t="str">
        <f>IF(LEN(D3180)=0,"",[1]!i_pq_tradedays($B$3,A3181,A3180)-1)</f>
        <v/>
      </c>
      <c r="G3180" s="16" t="str">
        <f t="shared" si="114"/>
        <v/>
      </c>
      <c r="H3180" s="70" t="str">
        <f t="shared" si="115"/>
        <v/>
      </c>
    </row>
    <row r="3181" spans="1:8">
      <c r="A3181" s="2"/>
      <c r="B3181" s="12"/>
      <c r="C3181" s="12"/>
      <c r="E3181" t="str">
        <f>IF(LEN(D3181)=0,"",[1]!i_pq_tradedays($B$3,A3182,A3181)-1)</f>
        <v/>
      </c>
      <c r="G3181" s="16" t="str">
        <f t="shared" si="114"/>
        <v/>
      </c>
      <c r="H3181" s="70" t="str">
        <f t="shared" si="115"/>
        <v/>
      </c>
    </row>
    <row r="3182" spans="1:8">
      <c r="A3182" s="2"/>
      <c r="B3182" s="12"/>
      <c r="C3182" s="12"/>
      <c r="E3182" t="str">
        <f>IF(LEN(D3182)=0,"",[1]!i_pq_tradedays($B$3,A3183,A3182)-1)</f>
        <v/>
      </c>
      <c r="G3182" s="16" t="str">
        <f t="shared" si="114"/>
        <v/>
      </c>
      <c r="H3182" s="70" t="str">
        <f t="shared" si="115"/>
        <v/>
      </c>
    </row>
    <row r="3183" spans="1:8">
      <c r="A3183" s="2"/>
      <c r="B3183" s="12"/>
      <c r="C3183" s="12"/>
      <c r="E3183" t="str">
        <f>IF(LEN(D3183)=0,"",[1]!i_pq_tradedays($B$3,A3184,A3183)-1)</f>
        <v/>
      </c>
      <c r="G3183" s="16" t="str">
        <f t="shared" si="114"/>
        <v/>
      </c>
      <c r="H3183" s="70" t="str">
        <f t="shared" si="115"/>
        <v/>
      </c>
    </row>
    <row r="3184" spans="1:8">
      <c r="A3184" s="2"/>
      <c r="B3184" s="12"/>
      <c r="C3184" s="12"/>
      <c r="E3184" t="str">
        <f>IF(LEN(D3184)=0,"",[1]!i_pq_tradedays($B$3,A3185,A3184)-1)</f>
        <v/>
      </c>
      <c r="G3184" s="16" t="str">
        <f t="shared" si="114"/>
        <v/>
      </c>
      <c r="H3184" s="70" t="str">
        <f t="shared" si="115"/>
        <v/>
      </c>
    </row>
    <row r="3185" spans="1:8">
      <c r="A3185" s="2"/>
      <c r="B3185" s="12"/>
      <c r="C3185" s="12"/>
      <c r="E3185" t="str">
        <f>IF(LEN(D3185)=0,"",[1]!i_pq_tradedays($B$3,A3186,A3185)-1)</f>
        <v/>
      </c>
      <c r="G3185" s="16" t="str">
        <f t="shared" si="114"/>
        <v/>
      </c>
      <c r="H3185" s="70" t="str">
        <f t="shared" si="115"/>
        <v/>
      </c>
    </row>
    <row r="3186" spans="1:8">
      <c r="A3186" s="2"/>
      <c r="B3186" s="12"/>
      <c r="C3186" s="12"/>
      <c r="E3186" t="str">
        <f>IF(LEN(D3186)=0,"",[1]!i_pq_tradedays($B$3,A3187,A3186)-1)</f>
        <v/>
      </c>
      <c r="G3186" s="16" t="str">
        <f t="shared" si="114"/>
        <v/>
      </c>
      <c r="H3186" s="70" t="str">
        <f t="shared" si="115"/>
        <v/>
      </c>
    </row>
    <row r="3187" spans="1:8">
      <c r="A3187" s="2"/>
      <c r="B3187" s="12"/>
      <c r="C3187" s="12"/>
      <c r="E3187" t="str">
        <f>IF(LEN(D3187)=0,"",[1]!i_pq_tradedays($B$3,A3188,A3187)-1)</f>
        <v/>
      </c>
      <c r="G3187" s="16" t="str">
        <f t="shared" si="114"/>
        <v/>
      </c>
      <c r="H3187" s="70" t="str">
        <f t="shared" si="115"/>
        <v/>
      </c>
    </row>
    <row r="3188" spans="1:8">
      <c r="A3188" s="2"/>
      <c r="B3188" s="12"/>
      <c r="C3188" s="12"/>
      <c r="E3188" t="str">
        <f>IF(LEN(D3188)=0,"",[1]!i_pq_tradedays($B$3,A3189,A3188)-1)</f>
        <v/>
      </c>
      <c r="G3188" s="16" t="str">
        <f t="shared" si="114"/>
        <v/>
      </c>
      <c r="H3188" s="70" t="str">
        <f t="shared" si="115"/>
        <v/>
      </c>
    </row>
    <row r="3189" spans="1:8">
      <c r="A3189" s="2"/>
      <c r="B3189" s="12"/>
      <c r="C3189" s="12"/>
      <c r="E3189" t="str">
        <f>IF(LEN(D3189)=0,"",[1]!i_pq_tradedays($B$3,A3190,A3189)-1)</f>
        <v/>
      </c>
      <c r="G3189" s="16" t="str">
        <f t="shared" ref="G3189:G3252" si="116">IF(LEN(D3189)=0,"",D3189/E3189)</f>
        <v/>
      </c>
      <c r="H3189" s="70" t="str">
        <f t="shared" ref="H3189:H3252" si="117">IF(LEN(D3189)=0,"",G3189/G3190-1)</f>
        <v/>
      </c>
    </row>
    <row r="3190" spans="1:8">
      <c r="A3190" s="2"/>
      <c r="B3190" s="12"/>
      <c r="C3190" s="12"/>
      <c r="E3190" t="str">
        <f>IF(LEN(D3190)=0,"",[1]!i_pq_tradedays($B$3,A3191,A3190)-1)</f>
        <v/>
      </c>
      <c r="G3190" s="16" t="str">
        <f t="shared" si="116"/>
        <v/>
      </c>
      <c r="H3190" s="70" t="str">
        <f t="shared" si="117"/>
        <v/>
      </c>
    </row>
    <row r="3191" spans="1:8">
      <c r="A3191" s="2"/>
      <c r="B3191" s="12"/>
      <c r="C3191" s="12"/>
      <c r="E3191" t="str">
        <f>IF(LEN(D3191)=0,"",[1]!i_pq_tradedays($B$3,A3192,A3191)-1)</f>
        <v/>
      </c>
      <c r="G3191" s="16" t="str">
        <f t="shared" si="116"/>
        <v/>
      </c>
      <c r="H3191" s="70" t="str">
        <f t="shared" si="117"/>
        <v/>
      </c>
    </row>
    <row r="3192" spans="1:8">
      <c r="A3192" s="2"/>
      <c r="B3192" s="12"/>
      <c r="C3192" s="12"/>
      <c r="E3192" t="str">
        <f>IF(LEN(D3192)=0,"",[1]!i_pq_tradedays($B$3,A3193,A3192)-1)</f>
        <v/>
      </c>
      <c r="G3192" s="16" t="str">
        <f t="shared" si="116"/>
        <v/>
      </c>
      <c r="H3192" s="70" t="str">
        <f t="shared" si="117"/>
        <v/>
      </c>
    </row>
    <row r="3193" spans="1:8">
      <c r="A3193" s="2"/>
      <c r="B3193" s="12"/>
      <c r="C3193" s="12"/>
      <c r="E3193" t="str">
        <f>IF(LEN(D3193)=0,"",[1]!i_pq_tradedays($B$3,A3194,A3193)-1)</f>
        <v/>
      </c>
      <c r="G3193" s="16" t="str">
        <f t="shared" si="116"/>
        <v/>
      </c>
      <c r="H3193" s="70" t="str">
        <f t="shared" si="117"/>
        <v/>
      </c>
    </row>
    <row r="3194" spans="1:8">
      <c r="A3194" s="2"/>
      <c r="B3194" s="12"/>
      <c r="C3194" s="12"/>
      <c r="E3194" t="str">
        <f>IF(LEN(D3194)=0,"",[1]!i_pq_tradedays($B$3,A3195,A3194)-1)</f>
        <v/>
      </c>
      <c r="G3194" s="16" t="str">
        <f t="shared" si="116"/>
        <v/>
      </c>
      <c r="H3194" s="70" t="str">
        <f t="shared" si="117"/>
        <v/>
      </c>
    </row>
    <row r="3195" spans="1:8">
      <c r="A3195" s="2"/>
      <c r="B3195" s="12"/>
      <c r="C3195" s="12"/>
      <c r="E3195" t="str">
        <f>IF(LEN(D3195)=0,"",[1]!i_pq_tradedays($B$3,A3196,A3195)-1)</f>
        <v/>
      </c>
      <c r="G3195" s="16" t="str">
        <f t="shared" si="116"/>
        <v/>
      </c>
      <c r="H3195" s="70" t="str">
        <f t="shared" si="117"/>
        <v/>
      </c>
    </row>
    <row r="3196" spans="1:8">
      <c r="A3196" s="2"/>
      <c r="B3196" s="12"/>
      <c r="C3196" s="12"/>
      <c r="E3196" t="str">
        <f>IF(LEN(D3196)=0,"",[1]!i_pq_tradedays($B$3,A3197,A3196)-1)</f>
        <v/>
      </c>
      <c r="G3196" s="16" t="str">
        <f t="shared" si="116"/>
        <v/>
      </c>
      <c r="H3196" s="70" t="str">
        <f t="shared" si="117"/>
        <v/>
      </c>
    </row>
    <row r="3197" spans="1:8">
      <c r="A3197" s="2"/>
      <c r="B3197" s="12"/>
      <c r="C3197" s="12"/>
      <c r="E3197" t="str">
        <f>IF(LEN(D3197)=0,"",[1]!i_pq_tradedays($B$3,A3198,A3197)-1)</f>
        <v/>
      </c>
      <c r="G3197" s="16" t="str">
        <f t="shared" si="116"/>
        <v/>
      </c>
      <c r="H3197" s="70" t="str">
        <f t="shared" si="117"/>
        <v/>
      </c>
    </row>
    <row r="3198" spans="1:8">
      <c r="A3198" s="2"/>
      <c r="B3198" s="12"/>
      <c r="C3198" s="12"/>
      <c r="E3198" t="str">
        <f>IF(LEN(D3198)=0,"",[1]!i_pq_tradedays($B$3,A3199,A3198)-1)</f>
        <v/>
      </c>
      <c r="G3198" s="16" t="str">
        <f t="shared" si="116"/>
        <v/>
      </c>
      <c r="H3198" s="70" t="str">
        <f t="shared" si="117"/>
        <v/>
      </c>
    </row>
    <row r="3199" spans="1:8">
      <c r="A3199" s="2"/>
      <c r="B3199" s="12"/>
      <c r="C3199" s="12"/>
      <c r="E3199" t="str">
        <f>IF(LEN(D3199)=0,"",[1]!i_pq_tradedays($B$3,A3200,A3199)-1)</f>
        <v/>
      </c>
      <c r="G3199" s="16" t="str">
        <f t="shared" si="116"/>
        <v/>
      </c>
      <c r="H3199" s="70" t="str">
        <f t="shared" si="117"/>
        <v/>
      </c>
    </row>
    <row r="3200" spans="1:8">
      <c r="A3200" s="2"/>
      <c r="B3200" s="12"/>
      <c r="C3200" s="12"/>
      <c r="E3200" t="str">
        <f>IF(LEN(D3200)=0,"",[1]!i_pq_tradedays($B$3,A3201,A3200)-1)</f>
        <v/>
      </c>
      <c r="G3200" s="16" t="str">
        <f t="shared" si="116"/>
        <v/>
      </c>
      <c r="H3200" s="70" t="str">
        <f t="shared" si="117"/>
        <v/>
      </c>
    </row>
    <row r="3201" spans="1:8">
      <c r="A3201" s="2"/>
      <c r="B3201" s="12"/>
      <c r="C3201" s="12"/>
      <c r="E3201" t="str">
        <f>IF(LEN(D3201)=0,"",[1]!i_pq_tradedays($B$3,A3202,A3201)-1)</f>
        <v/>
      </c>
      <c r="G3201" s="16" t="str">
        <f t="shared" si="116"/>
        <v/>
      </c>
      <c r="H3201" s="70" t="str">
        <f t="shared" si="117"/>
        <v/>
      </c>
    </row>
    <row r="3202" spans="1:8">
      <c r="A3202" s="2"/>
      <c r="B3202" s="12"/>
      <c r="C3202" s="12"/>
      <c r="E3202" t="str">
        <f>IF(LEN(D3202)=0,"",[1]!i_pq_tradedays($B$3,A3203,A3202)-1)</f>
        <v/>
      </c>
      <c r="G3202" s="16" t="str">
        <f t="shared" si="116"/>
        <v/>
      </c>
      <c r="H3202" s="70" t="str">
        <f t="shared" si="117"/>
        <v/>
      </c>
    </row>
    <row r="3203" spans="1:8">
      <c r="A3203" s="2"/>
      <c r="B3203" s="12"/>
      <c r="C3203" s="12"/>
      <c r="E3203" t="str">
        <f>IF(LEN(D3203)=0,"",[1]!i_pq_tradedays($B$3,A3204,A3203)-1)</f>
        <v/>
      </c>
      <c r="G3203" s="16" t="str">
        <f t="shared" si="116"/>
        <v/>
      </c>
      <c r="H3203" s="70" t="str">
        <f t="shared" si="117"/>
        <v/>
      </c>
    </row>
    <row r="3204" spans="1:8">
      <c r="A3204" s="2"/>
      <c r="B3204" s="12"/>
      <c r="C3204" s="12"/>
      <c r="E3204" t="str">
        <f>IF(LEN(D3204)=0,"",[1]!i_pq_tradedays($B$3,A3205,A3204)-1)</f>
        <v/>
      </c>
      <c r="G3204" s="16" t="str">
        <f t="shared" si="116"/>
        <v/>
      </c>
      <c r="H3204" s="70" t="str">
        <f t="shared" si="117"/>
        <v/>
      </c>
    </row>
    <row r="3205" spans="1:8">
      <c r="A3205" s="2"/>
      <c r="B3205" s="12"/>
      <c r="C3205" s="12"/>
      <c r="E3205" t="str">
        <f>IF(LEN(D3205)=0,"",[1]!i_pq_tradedays($B$3,A3206,A3205)-1)</f>
        <v/>
      </c>
      <c r="G3205" s="16" t="str">
        <f t="shared" si="116"/>
        <v/>
      </c>
      <c r="H3205" s="70" t="str">
        <f t="shared" si="117"/>
        <v/>
      </c>
    </row>
    <row r="3206" spans="1:8">
      <c r="A3206" s="2"/>
      <c r="B3206" s="12"/>
      <c r="C3206" s="12"/>
      <c r="E3206" t="str">
        <f>IF(LEN(D3206)=0,"",[1]!i_pq_tradedays($B$3,A3207,A3206)-1)</f>
        <v/>
      </c>
      <c r="G3206" s="16" t="str">
        <f t="shared" si="116"/>
        <v/>
      </c>
      <c r="H3206" s="70" t="str">
        <f t="shared" si="117"/>
        <v/>
      </c>
    </row>
    <row r="3207" spans="1:8">
      <c r="A3207" s="2"/>
      <c r="B3207" s="12"/>
      <c r="C3207" s="12"/>
      <c r="E3207" t="str">
        <f>IF(LEN(D3207)=0,"",[1]!i_pq_tradedays($B$3,A3208,A3207)-1)</f>
        <v/>
      </c>
      <c r="G3207" s="16" t="str">
        <f t="shared" si="116"/>
        <v/>
      </c>
      <c r="H3207" s="70" t="str">
        <f t="shared" si="117"/>
        <v/>
      </c>
    </row>
    <row r="3208" spans="1:8">
      <c r="A3208" s="2"/>
      <c r="B3208" s="12"/>
      <c r="C3208" s="12"/>
      <c r="E3208" t="str">
        <f>IF(LEN(D3208)=0,"",[1]!i_pq_tradedays($B$3,A3209,A3208)-1)</f>
        <v/>
      </c>
      <c r="G3208" s="16" t="str">
        <f t="shared" si="116"/>
        <v/>
      </c>
      <c r="H3208" s="70" t="str">
        <f t="shared" si="117"/>
        <v/>
      </c>
    </row>
    <row r="3209" spans="1:8">
      <c r="A3209" s="2"/>
      <c r="B3209" s="12"/>
      <c r="C3209" s="12"/>
      <c r="E3209" t="str">
        <f>IF(LEN(D3209)=0,"",[1]!i_pq_tradedays($B$3,A3210,A3209)-1)</f>
        <v/>
      </c>
      <c r="G3209" s="16" t="str">
        <f t="shared" si="116"/>
        <v/>
      </c>
      <c r="H3209" s="70" t="str">
        <f t="shared" si="117"/>
        <v/>
      </c>
    </row>
    <row r="3210" spans="1:8">
      <c r="A3210" s="2"/>
      <c r="B3210" s="12"/>
      <c r="C3210" s="12"/>
      <c r="E3210" t="str">
        <f>IF(LEN(D3210)=0,"",[1]!i_pq_tradedays($B$3,A3211,A3210)-1)</f>
        <v/>
      </c>
      <c r="G3210" s="16" t="str">
        <f t="shared" si="116"/>
        <v/>
      </c>
      <c r="H3210" s="70" t="str">
        <f t="shared" si="117"/>
        <v/>
      </c>
    </row>
    <row r="3211" spans="1:8">
      <c r="A3211" s="2"/>
      <c r="B3211" s="12"/>
      <c r="C3211" s="12"/>
      <c r="E3211" t="str">
        <f>IF(LEN(D3211)=0,"",[1]!i_pq_tradedays($B$3,A3212,A3211)-1)</f>
        <v/>
      </c>
      <c r="G3211" s="16" t="str">
        <f t="shared" si="116"/>
        <v/>
      </c>
      <c r="H3211" s="70" t="str">
        <f t="shared" si="117"/>
        <v/>
      </c>
    </row>
    <row r="3212" spans="1:8">
      <c r="A3212" s="2"/>
      <c r="B3212" s="12"/>
      <c r="C3212" s="12"/>
      <c r="E3212" t="str">
        <f>IF(LEN(D3212)=0,"",[1]!i_pq_tradedays($B$3,A3213,A3212)-1)</f>
        <v/>
      </c>
      <c r="G3212" s="16" t="str">
        <f t="shared" si="116"/>
        <v/>
      </c>
      <c r="H3212" s="70" t="str">
        <f t="shared" si="117"/>
        <v/>
      </c>
    </row>
    <row r="3213" spans="1:8">
      <c r="A3213" s="2"/>
      <c r="B3213" s="12"/>
      <c r="C3213" s="12"/>
      <c r="E3213" t="str">
        <f>IF(LEN(D3213)=0,"",[1]!i_pq_tradedays($B$3,A3214,A3213)-1)</f>
        <v/>
      </c>
      <c r="G3213" s="16" t="str">
        <f t="shared" si="116"/>
        <v/>
      </c>
      <c r="H3213" s="70" t="str">
        <f t="shared" si="117"/>
        <v/>
      </c>
    </row>
    <row r="3214" spans="1:8">
      <c r="A3214" s="2"/>
      <c r="B3214" s="12"/>
      <c r="C3214" s="12"/>
      <c r="E3214" t="str">
        <f>IF(LEN(D3214)=0,"",[1]!i_pq_tradedays($B$3,A3215,A3214)-1)</f>
        <v/>
      </c>
      <c r="G3214" s="16" t="str">
        <f t="shared" si="116"/>
        <v/>
      </c>
      <c r="H3214" s="70" t="str">
        <f t="shared" si="117"/>
        <v/>
      </c>
    </row>
    <row r="3215" spans="1:8">
      <c r="A3215" s="2"/>
      <c r="B3215" s="12"/>
      <c r="C3215" s="12"/>
      <c r="E3215" t="str">
        <f>IF(LEN(D3215)=0,"",[1]!i_pq_tradedays($B$3,A3216,A3215)-1)</f>
        <v/>
      </c>
      <c r="G3215" s="16" t="str">
        <f t="shared" si="116"/>
        <v/>
      </c>
      <c r="H3215" s="70" t="str">
        <f t="shared" si="117"/>
        <v/>
      </c>
    </row>
    <row r="3216" spans="1:8">
      <c r="A3216" s="2"/>
      <c r="B3216" s="12"/>
      <c r="C3216" s="12"/>
      <c r="E3216" t="str">
        <f>IF(LEN(D3216)=0,"",[1]!i_pq_tradedays($B$3,A3217,A3216)-1)</f>
        <v/>
      </c>
      <c r="G3216" s="16" t="str">
        <f t="shared" si="116"/>
        <v/>
      </c>
      <c r="H3216" s="70" t="str">
        <f t="shared" si="117"/>
        <v/>
      </c>
    </row>
    <row r="3217" spans="1:8">
      <c r="A3217" s="2"/>
      <c r="B3217" s="12"/>
      <c r="C3217" s="12"/>
      <c r="E3217" t="str">
        <f>IF(LEN(D3217)=0,"",[1]!i_pq_tradedays($B$3,A3218,A3217)-1)</f>
        <v/>
      </c>
      <c r="G3217" s="16" t="str">
        <f t="shared" si="116"/>
        <v/>
      </c>
      <c r="H3217" s="70" t="str">
        <f t="shared" si="117"/>
        <v/>
      </c>
    </row>
    <row r="3218" spans="1:8">
      <c r="A3218" s="2"/>
      <c r="B3218" s="12"/>
      <c r="C3218" s="12"/>
      <c r="E3218" t="str">
        <f>IF(LEN(D3218)=0,"",[1]!i_pq_tradedays($B$3,A3219,A3218)-1)</f>
        <v/>
      </c>
      <c r="G3218" s="16" t="str">
        <f t="shared" si="116"/>
        <v/>
      </c>
      <c r="H3218" s="70" t="str">
        <f t="shared" si="117"/>
        <v/>
      </c>
    </row>
    <row r="3219" spans="1:8">
      <c r="A3219" s="2"/>
      <c r="B3219" s="12"/>
      <c r="C3219" s="12"/>
      <c r="E3219" t="str">
        <f>IF(LEN(D3219)=0,"",[1]!i_pq_tradedays($B$3,A3220,A3219)-1)</f>
        <v/>
      </c>
      <c r="G3219" s="16" t="str">
        <f t="shared" si="116"/>
        <v/>
      </c>
      <c r="H3219" s="70" t="str">
        <f t="shared" si="117"/>
        <v/>
      </c>
    </row>
    <row r="3220" spans="1:8">
      <c r="A3220" s="2"/>
      <c r="B3220" s="12"/>
      <c r="C3220" s="12"/>
      <c r="E3220" t="str">
        <f>IF(LEN(D3220)=0,"",[1]!i_pq_tradedays($B$3,A3221,A3220)-1)</f>
        <v/>
      </c>
      <c r="G3220" s="16" t="str">
        <f t="shared" si="116"/>
        <v/>
      </c>
      <c r="H3220" s="70" t="str">
        <f t="shared" si="117"/>
        <v/>
      </c>
    </row>
    <row r="3221" spans="1:8">
      <c r="A3221" s="2"/>
      <c r="B3221" s="12"/>
      <c r="C3221" s="12"/>
      <c r="E3221" t="str">
        <f>IF(LEN(D3221)=0,"",[1]!i_pq_tradedays($B$3,A3222,A3221)-1)</f>
        <v/>
      </c>
      <c r="G3221" s="16" t="str">
        <f t="shared" si="116"/>
        <v/>
      </c>
      <c r="H3221" s="70" t="str">
        <f t="shared" si="117"/>
        <v/>
      </c>
    </row>
    <row r="3222" spans="1:8">
      <c r="A3222" s="2"/>
      <c r="B3222" s="12"/>
      <c r="C3222" s="12"/>
      <c r="E3222" t="str">
        <f>IF(LEN(D3222)=0,"",[1]!i_pq_tradedays($B$3,A3223,A3222)-1)</f>
        <v/>
      </c>
      <c r="G3222" s="16" t="str">
        <f t="shared" si="116"/>
        <v/>
      </c>
      <c r="H3222" s="70" t="str">
        <f t="shared" si="117"/>
        <v/>
      </c>
    </row>
    <row r="3223" spans="1:8">
      <c r="A3223" s="2"/>
      <c r="B3223" s="12"/>
      <c r="C3223" s="12"/>
      <c r="E3223" t="str">
        <f>IF(LEN(D3223)=0,"",[1]!i_pq_tradedays($B$3,A3224,A3223)-1)</f>
        <v/>
      </c>
      <c r="G3223" s="16" t="str">
        <f t="shared" si="116"/>
        <v/>
      </c>
      <c r="H3223" s="70" t="str">
        <f t="shared" si="117"/>
        <v/>
      </c>
    </row>
    <row r="3224" spans="1:8">
      <c r="A3224" s="2"/>
      <c r="B3224" s="12"/>
      <c r="C3224" s="12"/>
      <c r="E3224" t="str">
        <f>IF(LEN(D3224)=0,"",[1]!i_pq_tradedays($B$3,A3225,A3224)-1)</f>
        <v/>
      </c>
      <c r="G3224" s="16" t="str">
        <f t="shared" si="116"/>
        <v/>
      </c>
      <c r="H3224" s="70" t="str">
        <f t="shared" si="117"/>
        <v/>
      </c>
    </row>
    <row r="3225" spans="1:8">
      <c r="A3225" s="2"/>
      <c r="B3225" s="12"/>
      <c r="C3225" s="12"/>
      <c r="E3225" t="str">
        <f>IF(LEN(D3225)=0,"",[1]!i_pq_tradedays($B$3,A3226,A3225)-1)</f>
        <v/>
      </c>
      <c r="G3225" s="16" t="str">
        <f t="shared" si="116"/>
        <v/>
      </c>
      <c r="H3225" s="70" t="str">
        <f t="shared" si="117"/>
        <v/>
      </c>
    </row>
    <row r="3226" spans="1:8">
      <c r="A3226" s="2"/>
      <c r="B3226" s="12"/>
      <c r="C3226" s="12"/>
      <c r="E3226" t="str">
        <f>IF(LEN(D3226)=0,"",[1]!i_pq_tradedays($B$3,A3227,A3226)-1)</f>
        <v/>
      </c>
      <c r="G3226" s="16" t="str">
        <f t="shared" si="116"/>
        <v/>
      </c>
      <c r="H3226" s="70" t="str">
        <f t="shared" si="117"/>
        <v/>
      </c>
    </row>
    <row r="3227" spans="1:8">
      <c r="A3227" s="2"/>
      <c r="B3227" s="12"/>
      <c r="C3227" s="12"/>
      <c r="E3227" t="str">
        <f>IF(LEN(D3227)=0,"",[1]!i_pq_tradedays($B$3,A3228,A3227)-1)</f>
        <v/>
      </c>
      <c r="G3227" s="16" t="str">
        <f t="shared" si="116"/>
        <v/>
      </c>
      <c r="H3227" s="70" t="str">
        <f t="shared" si="117"/>
        <v/>
      </c>
    </row>
    <row r="3228" spans="1:8">
      <c r="A3228" s="2"/>
      <c r="B3228" s="12"/>
      <c r="C3228" s="12"/>
      <c r="E3228" t="str">
        <f>IF(LEN(D3228)=0,"",[1]!i_pq_tradedays($B$3,A3229,A3228)-1)</f>
        <v/>
      </c>
      <c r="G3228" s="16" t="str">
        <f t="shared" si="116"/>
        <v/>
      </c>
      <c r="H3228" s="70" t="str">
        <f t="shared" si="117"/>
        <v/>
      </c>
    </row>
    <row r="3229" spans="1:8">
      <c r="A3229" s="2"/>
      <c r="B3229" s="12"/>
      <c r="C3229" s="12"/>
      <c r="E3229" t="str">
        <f>IF(LEN(D3229)=0,"",[1]!i_pq_tradedays($B$3,A3230,A3229)-1)</f>
        <v/>
      </c>
      <c r="G3229" s="16" t="str">
        <f t="shared" si="116"/>
        <v/>
      </c>
      <c r="H3229" s="70" t="str">
        <f t="shared" si="117"/>
        <v/>
      </c>
    </row>
    <row r="3230" spans="1:8">
      <c r="A3230" s="2"/>
      <c r="B3230" s="12"/>
      <c r="C3230" s="12"/>
      <c r="E3230" t="str">
        <f>IF(LEN(D3230)=0,"",[1]!i_pq_tradedays($B$3,A3231,A3230)-1)</f>
        <v/>
      </c>
      <c r="G3230" s="16" t="str">
        <f t="shared" si="116"/>
        <v/>
      </c>
      <c r="H3230" s="70" t="str">
        <f t="shared" si="117"/>
        <v/>
      </c>
    </row>
    <row r="3231" spans="1:8">
      <c r="A3231" s="2"/>
      <c r="B3231" s="12"/>
      <c r="C3231" s="12"/>
      <c r="E3231" t="str">
        <f>IF(LEN(D3231)=0,"",[1]!i_pq_tradedays($B$3,A3232,A3231)-1)</f>
        <v/>
      </c>
      <c r="G3231" s="16" t="str">
        <f t="shared" si="116"/>
        <v/>
      </c>
      <c r="H3231" s="70" t="str">
        <f t="shared" si="117"/>
        <v/>
      </c>
    </row>
    <row r="3232" spans="1:8">
      <c r="A3232" s="2"/>
      <c r="B3232" s="12"/>
      <c r="C3232" s="12"/>
      <c r="E3232" t="str">
        <f>IF(LEN(D3232)=0,"",[1]!i_pq_tradedays($B$3,A3233,A3232)-1)</f>
        <v/>
      </c>
      <c r="G3232" s="16" t="str">
        <f t="shared" si="116"/>
        <v/>
      </c>
      <c r="H3232" s="70" t="str">
        <f t="shared" si="117"/>
        <v/>
      </c>
    </row>
    <row r="3233" spans="1:8">
      <c r="A3233" s="2"/>
      <c r="B3233" s="12"/>
      <c r="C3233" s="12"/>
      <c r="E3233" t="str">
        <f>IF(LEN(D3233)=0,"",[1]!i_pq_tradedays($B$3,A3234,A3233)-1)</f>
        <v/>
      </c>
      <c r="G3233" s="16" t="str">
        <f t="shared" si="116"/>
        <v/>
      </c>
      <c r="H3233" s="70" t="str">
        <f t="shared" si="117"/>
        <v/>
      </c>
    </row>
    <row r="3234" spans="1:8">
      <c r="A3234" s="2"/>
      <c r="B3234" s="12"/>
      <c r="C3234" s="12"/>
      <c r="E3234" t="str">
        <f>IF(LEN(D3234)=0,"",[1]!i_pq_tradedays($B$3,A3235,A3234)-1)</f>
        <v/>
      </c>
      <c r="G3234" s="16" t="str">
        <f t="shared" si="116"/>
        <v/>
      </c>
      <c r="H3234" s="70" t="str">
        <f t="shared" si="117"/>
        <v/>
      </c>
    </row>
    <row r="3235" spans="1:8">
      <c r="A3235" s="2"/>
      <c r="B3235" s="12"/>
      <c r="C3235" s="12"/>
      <c r="E3235" t="str">
        <f>IF(LEN(D3235)=0,"",[1]!i_pq_tradedays($B$3,A3236,A3235)-1)</f>
        <v/>
      </c>
      <c r="G3235" s="16" t="str">
        <f t="shared" si="116"/>
        <v/>
      </c>
      <c r="H3235" s="70" t="str">
        <f t="shared" si="117"/>
        <v/>
      </c>
    </row>
    <row r="3236" spans="1:8">
      <c r="A3236" s="2"/>
      <c r="B3236" s="12"/>
      <c r="C3236" s="12"/>
      <c r="E3236" t="str">
        <f>IF(LEN(D3236)=0,"",[1]!i_pq_tradedays($B$3,A3237,A3236)-1)</f>
        <v/>
      </c>
      <c r="G3236" s="16" t="str">
        <f t="shared" si="116"/>
        <v/>
      </c>
      <c r="H3236" s="70" t="str">
        <f t="shared" si="117"/>
        <v/>
      </c>
    </row>
    <row r="3237" spans="1:8">
      <c r="A3237" s="2"/>
      <c r="B3237" s="12"/>
      <c r="C3237" s="12"/>
      <c r="E3237" t="str">
        <f>IF(LEN(D3237)=0,"",[1]!i_pq_tradedays($B$3,A3238,A3237)-1)</f>
        <v/>
      </c>
      <c r="G3237" s="16" t="str">
        <f t="shared" si="116"/>
        <v/>
      </c>
      <c r="H3237" s="70" t="str">
        <f t="shared" si="117"/>
        <v/>
      </c>
    </row>
    <row r="3238" spans="1:8">
      <c r="A3238" s="2"/>
      <c r="B3238" s="12"/>
      <c r="C3238" s="12"/>
      <c r="E3238" t="str">
        <f>IF(LEN(D3238)=0,"",[1]!i_pq_tradedays($B$3,A3239,A3238)-1)</f>
        <v/>
      </c>
      <c r="G3238" s="16" t="str">
        <f t="shared" si="116"/>
        <v/>
      </c>
      <c r="H3238" s="70" t="str">
        <f t="shared" si="117"/>
        <v/>
      </c>
    </row>
    <row r="3239" spans="1:8">
      <c r="A3239" s="2"/>
      <c r="B3239" s="12"/>
      <c r="C3239" s="12"/>
      <c r="E3239" t="str">
        <f>IF(LEN(D3239)=0,"",[1]!i_pq_tradedays($B$3,A3240,A3239)-1)</f>
        <v/>
      </c>
      <c r="G3239" s="16" t="str">
        <f t="shared" si="116"/>
        <v/>
      </c>
      <c r="H3239" s="70" t="str">
        <f t="shared" si="117"/>
        <v/>
      </c>
    </row>
    <row r="3240" spans="1:8">
      <c r="A3240" s="2"/>
      <c r="B3240" s="12"/>
      <c r="C3240" s="12"/>
      <c r="E3240" t="str">
        <f>IF(LEN(D3240)=0,"",[1]!i_pq_tradedays($B$3,A3241,A3240)-1)</f>
        <v/>
      </c>
      <c r="G3240" s="16" t="str">
        <f t="shared" si="116"/>
        <v/>
      </c>
      <c r="H3240" s="70" t="str">
        <f t="shared" si="117"/>
        <v/>
      </c>
    </row>
    <row r="3241" spans="1:8">
      <c r="A3241" s="2"/>
      <c r="B3241" s="12"/>
      <c r="C3241" s="12"/>
      <c r="E3241" t="str">
        <f>IF(LEN(D3241)=0,"",[1]!i_pq_tradedays($B$3,A3242,A3241)-1)</f>
        <v/>
      </c>
      <c r="G3241" s="16" t="str">
        <f t="shared" si="116"/>
        <v/>
      </c>
      <c r="H3241" s="70" t="str">
        <f t="shared" si="117"/>
        <v/>
      </c>
    </row>
    <row r="3242" spans="1:8">
      <c r="A3242" s="2"/>
      <c r="B3242" s="12"/>
      <c r="C3242" s="12"/>
      <c r="E3242" t="str">
        <f>IF(LEN(D3242)=0,"",[1]!i_pq_tradedays($B$3,A3243,A3242)-1)</f>
        <v/>
      </c>
      <c r="G3242" s="16" t="str">
        <f t="shared" si="116"/>
        <v/>
      </c>
      <c r="H3242" s="70" t="str">
        <f t="shared" si="117"/>
        <v/>
      </c>
    </row>
    <row r="3243" spans="1:8">
      <c r="A3243" s="2"/>
      <c r="B3243" s="12"/>
      <c r="C3243" s="12"/>
      <c r="E3243" t="str">
        <f>IF(LEN(D3243)=0,"",[1]!i_pq_tradedays($B$3,A3244,A3243)-1)</f>
        <v/>
      </c>
      <c r="G3243" s="16" t="str">
        <f t="shared" si="116"/>
        <v/>
      </c>
      <c r="H3243" s="70" t="str">
        <f t="shared" si="117"/>
        <v/>
      </c>
    </row>
    <row r="3244" spans="1:8">
      <c r="A3244" s="2"/>
      <c r="B3244" s="12"/>
      <c r="C3244" s="12"/>
      <c r="E3244" t="str">
        <f>IF(LEN(D3244)=0,"",[1]!i_pq_tradedays($B$3,A3245,A3244)-1)</f>
        <v/>
      </c>
      <c r="G3244" s="16" t="str">
        <f t="shared" si="116"/>
        <v/>
      </c>
      <c r="H3244" s="70" t="str">
        <f t="shared" si="117"/>
        <v/>
      </c>
    </row>
    <row r="3245" spans="1:8">
      <c r="A3245" s="2"/>
      <c r="B3245" s="12"/>
      <c r="C3245" s="12"/>
      <c r="E3245" t="str">
        <f>IF(LEN(D3245)=0,"",[1]!i_pq_tradedays($B$3,A3246,A3245)-1)</f>
        <v/>
      </c>
      <c r="G3245" s="16" t="str">
        <f t="shared" si="116"/>
        <v/>
      </c>
      <c r="H3245" s="70" t="str">
        <f t="shared" si="117"/>
        <v/>
      </c>
    </row>
    <row r="3246" spans="1:8">
      <c r="A3246" s="2"/>
      <c r="B3246" s="12"/>
      <c r="C3246" s="12"/>
      <c r="E3246" t="str">
        <f>IF(LEN(D3246)=0,"",[1]!i_pq_tradedays($B$3,A3247,A3246)-1)</f>
        <v/>
      </c>
      <c r="G3246" s="16" t="str">
        <f t="shared" si="116"/>
        <v/>
      </c>
      <c r="H3246" s="70" t="str">
        <f t="shared" si="117"/>
        <v/>
      </c>
    </row>
    <row r="3247" spans="1:8">
      <c r="A3247" s="2"/>
      <c r="B3247" s="12"/>
      <c r="C3247" s="12"/>
      <c r="E3247" t="str">
        <f>IF(LEN(D3247)=0,"",[1]!i_pq_tradedays($B$3,A3248,A3247)-1)</f>
        <v/>
      </c>
      <c r="G3247" s="16" t="str">
        <f t="shared" si="116"/>
        <v/>
      </c>
      <c r="H3247" s="70" t="str">
        <f t="shared" si="117"/>
        <v/>
      </c>
    </row>
    <row r="3248" spans="1:8">
      <c r="A3248" s="2"/>
      <c r="B3248" s="12"/>
      <c r="C3248" s="12"/>
      <c r="E3248" t="str">
        <f>IF(LEN(D3248)=0,"",[1]!i_pq_tradedays($B$3,A3249,A3248)-1)</f>
        <v/>
      </c>
      <c r="G3248" s="16" t="str">
        <f t="shared" si="116"/>
        <v/>
      </c>
      <c r="H3248" s="70" t="str">
        <f t="shared" si="117"/>
        <v/>
      </c>
    </row>
    <row r="3249" spans="1:8">
      <c r="A3249" s="2"/>
      <c r="B3249" s="12"/>
      <c r="C3249" s="12"/>
      <c r="E3249" t="str">
        <f>IF(LEN(D3249)=0,"",[1]!i_pq_tradedays($B$3,A3250,A3249)-1)</f>
        <v/>
      </c>
      <c r="G3249" s="16" t="str">
        <f t="shared" si="116"/>
        <v/>
      </c>
      <c r="H3249" s="70" t="str">
        <f t="shared" si="117"/>
        <v/>
      </c>
    </row>
    <row r="3250" spans="1:8">
      <c r="A3250" s="2"/>
      <c r="B3250" s="12"/>
      <c r="C3250" s="12"/>
      <c r="E3250" t="str">
        <f>IF(LEN(D3250)=0,"",[1]!i_pq_tradedays($B$3,A3251,A3250)-1)</f>
        <v/>
      </c>
      <c r="G3250" s="16" t="str">
        <f t="shared" si="116"/>
        <v/>
      </c>
      <c r="H3250" s="70" t="str">
        <f t="shared" si="117"/>
        <v/>
      </c>
    </row>
    <row r="3251" spans="1:8">
      <c r="A3251" s="2"/>
      <c r="B3251" s="12"/>
      <c r="C3251" s="12"/>
      <c r="E3251" t="str">
        <f>IF(LEN(D3251)=0,"",[1]!i_pq_tradedays($B$3,A3252,A3251)-1)</f>
        <v/>
      </c>
      <c r="G3251" s="16" t="str">
        <f t="shared" si="116"/>
        <v/>
      </c>
      <c r="H3251" s="70" t="str">
        <f t="shared" si="117"/>
        <v/>
      </c>
    </row>
    <row r="3252" spans="1:8">
      <c r="A3252" s="2"/>
      <c r="B3252" s="12"/>
      <c r="C3252" s="12"/>
      <c r="E3252" t="str">
        <f>IF(LEN(D3252)=0,"",[1]!i_pq_tradedays($B$3,A3253,A3252)-1)</f>
        <v/>
      </c>
      <c r="G3252" s="16" t="str">
        <f t="shared" si="116"/>
        <v/>
      </c>
      <c r="H3252" s="70" t="str">
        <f t="shared" si="117"/>
        <v/>
      </c>
    </row>
    <row r="3253" spans="1:8">
      <c r="A3253" s="2"/>
      <c r="B3253" s="12"/>
      <c r="C3253" s="12"/>
      <c r="E3253" t="str">
        <f>IF(LEN(D3253)=0,"",[1]!i_pq_tradedays($B$3,A3254,A3253)-1)</f>
        <v/>
      </c>
      <c r="G3253" s="16" t="str">
        <f t="shared" ref="G3253:G3316" si="118">IF(LEN(D3253)=0,"",D3253/E3253)</f>
        <v/>
      </c>
      <c r="H3253" s="70" t="str">
        <f t="shared" ref="H3253:H3316" si="119">IF(LEN(D3253)=0,"",G3253/G3254-1)</f>
        <v/>
      </c>
    </row>
    <row r="3254" spans="1:8">
      <c r="A3254" s="2"/>
      <c r="B3254" s="12"/>
      <c r="C3254" s="12"/>
      <c r="E3254" t="str">
        <f>IF(LEN(D3254)=0,"",[1]!i_pq_tradedays($B$3,A3255,A3254)-1)</f>
        <v/>
      </c>
      <c r="G3254" s="16" t="str">
        <f t="shared" si="118"/>
        <v/>
      </c>
      <c r="H3254" s="70" t="str">
        <f t="shared" si="119"/>
        <v/>
      </c>
    </row>
    <row r="3255" spans="1:8">
      <c r="A3255" s="2"/>
      <c r="B3255" s="12"/>
      <c r="C3255" s="12"/>
      <c r="E3255" t="str">
        <f>IF(LEN(D3255)=0,"",[1]!i_pq_tradedays($B$3,A3256,A3255)-1)</f>
        <v/>
      </c>
      <c r="G3255" s="16" t="str">
        <f t="shared" si="118"/>
        <v/>
      </c>
      <c r="H3255" s="70" t="str">
        <f t="shared" si="119"/>
        <v/>
      </c>
    </row>
    <row r="3256" spans="1:8">
      <c r="A3256" s="2"/>
      <c r="B3256" s="12"/>
      <c r="C3256" s="12"/>
      <c r="E3256" t="str">
        <f>IF(LEN(D3256)=0,"",[1]!i_pq_tradedays($B$3,A3257,A3256)-1)</f>
        <v/>
      </c>
      <c r="G3256" s="16" t="str">
        <f t="shared" si="118"/>
        <v/>
      </c>
      <c r="H3256" s="70" t="str">
        <f t="shared" si="119"/>
        <v/>
      </c>
    </row>
    <row r="3257" spans="1:8">
      <c r="A3257" s="2"/>
      <c r="B3257" s="12"/>
      <c r="C3257" s="12"/>
      <c r="E3257" t="str">
        <f>IF(LEN(D3257)=0,"",[1]!i_pq_tradedays($B$3,A3258,A3257)-1)</f>
        <v/>
      </c>
      <c r="G3257" s="16" t="str">
        <f t="shared" si="118"/>
        <v/>
      </c>
      <c r="H3257" s="70" t="str">
        <f t="shared" si="119"/>
        <v/>
      </c>
    </row>
    <row r="3258" spans="1:8">
      <c r="A3258" s="2"/>
      <c r="B3258" s="12"/>
      <c r="C3258" s="12"/>
      <c r="E3258" t="str">
        <f>IF(LEN(D3258)=0,"",[1]!i_pq_tradedays($B$3,A3259,A3258)-1)</f>
        <v/>
      </c>
      <c r="G3258" s="16" t="str">
        <f t="shared" si="118"/>
        <v/>
      </c>
      <c r="H3258" s="70" t="str">
        <f t="shared" si="119"/>
        <v/>
      </c>
    </row>
    <row r="3259" spans="1:8">
      <c r="A3259" s="2"/>
      <c r="B3259" s="12"/>
      <c r="C3259" s="12"/>
      <c r="E3259" t="str">
        <f>IF(LEN(D3259)=0,"",[1]!i_pq_tradedays($B$3,A3260,A3259)-1)</f>
        <v/>
      </c>
      <c r="G3259" s="16" t="str">
        <f t="shared" si="118"/>
        <v/>
      </c>
      <c r="H3259" s="70" t="str">
        <f t="shared" si="119"/>
        <v/>
      </c>
    </row>
    <row r="3260" spans="1:8">
      <c r="A3260" s="2"/>
      <c r="B3260" s="12"/>
      <c r="C3260" s="12"/>
      <c r="E3260" t="str">
        <f>IF(LEN(D3260)=0,"",[1]!i_pq_tradedays($B$3,A3261,A3260)-1)</f>
        <v/>
      </c>
      <c r="G3260" s="16" t="str">
        <f t="shared" si="118"/>
        <v/>
      </c>
      <c r="H3260" s="70" t="str">
        <f t="shared" si="119"/>
        <v/>
      </c>
    </row>
    <row r="3261" spans="1:8">
      <c r="A3261" s="2"/>
      <c r="B3261" s="12"/>
      <c r="C3261" s="12"/>
      <c r="E3261" t="str">
        <f>IF(LEN(D3261)=0,"",[1]!i_pq_tradedays($B$3,A3262,A3261)-1)</f>
        <v/>
      </c>
      <c r="G3261" s="16" t="str">
        <f t="shared" si="118"/>
        <v/>
      </c>
      <c r="H3261" s="70" t="str">
        <f t="shared" si="119"/>
        <v/>
      </c>
    </row>
    <row r="3262" spans="1:8">
      <c r="A3262" s="2"/>
      <c r="B3262" s="12"/>
      <c r="C3262" s="12"/>
      <c r="E3262" t="str">
        <f>IF(LEN(D3262)=0,"",[1]!i_pq_tradedays($B$3,A3263,A3262)-1)</f>
        <v/>
      </c>
      <c r="G3262" s="16" t="str">
        <f t="shared" si="118"/>
        <v/>
      </c>
      <c r="H3262" s="70" t="str">
        <f t="shared" si="119"/>
        <v/>
      </c>
    </row>
    <row r="3263" spans="1:8">
      <c r="A3263" s="2"/>
      <c r="B3263" s="12"/>
      <c r="C3263" s="12"/>
      <c r="E3263" t="str">
        <f>IF(LEN(D3263)=0,"",[1]!i_pq_tradedays($B$3,A3264,A3263)-1)</f>
        <v/>
      </c>
      <c r="G3263" s="16" t="str">
        <f t="shared" si="118"/>
        <v/>
      </c>
      <c r="H3263" s="70" t="str">
        <f t="shared" si="119"/>
        <v/>
      </c>
    </row>
    <row r="3264" spans="1:8">
      <c r="A3264" s="2"/>
      <c r="B3264" s="12"/>
      <c r="C3264" s="12"/>
      <c r="E3264" t="str">
        <f>IF(LEN(D3264)=0,"",[1]!i_pq_tradedays($B$3,A3265,A3264)-1)</f>
        <v/>
      </c>
      <c r="G3264" s="16" t="str">
        <f t="shared" si="118"/>
        <v/>
      </c>
      <c r="H3264" s="70" t="str">
        <f t="shared" si="119"/>
        <v/>
      </c>
    </row>
    <row r="3265" spans="1:8">
      <c r="A3265" s="2"/>
      <c r="B3265" s="12"/>
      <c r="C3265" s="12"/>
      <c r="E3265" t="str">
        <f>IF(LEN(D3265)=0,"",[1]!i_pq_tradedays($B$3,A3266,A3265)-1)</f>
        <v/>
      </c>
      <c r="G3265" s="16" t="str">
        <f t="shared" si="118"/>
        <v/>
      </c>
      <c r="H3265" s="70" t="str">
        <f t="shared" si="119"/>
        <v/>
      </c>
    </row>
    <row r="3266" spans="1:8">
      <c r="A3266" s="2"/>
      <c r="B3266" s="12"/>
      <c r="C3266" s="12"/>
      <c r="E3266" t="str">
        <f>IF(LEN(D3266)=0,"",[1]!i_pq_tradedays($B$3,A3267,A3266)-1)</f>
        <v/>
      </c>
      <c r="G3266" s="16" t="str">
        <f t="shared" si="118"/>
        <v/>
      </c>
      <c r="H3266" s="70" t="str">
        <f t="shared" si="119"/>
        <v/>
      </c>
    </row>
    <row r="3267" spans="1:8">
      <c r="A3267" s="2"/>
      <c r="B3267" s="12"/>
      <c r="C3267" s="12"/>
      <c r="E3267" t="str">
        <f>IF(LEN(D3267)=0,"",[1]!i_pq_tradedays($B$3,A3268,A3267)-1)</f>
        <v/>
      </c>
      <c r="G3267" s="16" t="str">
        <f t="shared" si="118"/>
        <v/>
      </c>
      <c r="H3267" s="70" t="str">
        <f t="shared" si="119"/>
        <v/>
      </c>
    </row>
    <row r="3268" spans="1:8">
      <c r="A3268" s="2"/>
      <c r="B3268" s="12"/>
      <c r="C3268" s="12"/>
      <c r="E3268" t="str">
        <f>IF(LEN(D3268)=0,"",[1]!i_pq_tradedays($B$3,A3269,A3268)-1)</f>
        <v/>
      </c>
      <c r="G3268" s="16" t="str">
        <f t="shared" si="118"/>
        <v/>
      </c>
      <c r="H3268" s="70" t="str">
        <f t="shared" si="119"/>
        <v/>
      </c>
    </row>
    <row r="3269" spans="1:8">
      <c r="A3269" s="2"/>
      <c r="B3269" s="12"/>
      <c r="C3269" s="12"/>
      <c r="E3269" t="str">
        <f>IF(LEN(D3269)=0,"",[1]!i_pq_tradedays($B$3,A3270,A3269)-1)</f>
        <v/>
      </c>
      <c r="G3269" s="16" t="str">
        <f t="shared" si="118"/>
        <v/>
      </c>
      <c r="H3269" s="70" t="str">
        <f t="shared" si="119"/>
        <v/>
      </c>
    </row>
    <row r="3270" spans="1:8">
      <c r="A3270" s="2"/>
      <c r="B3270" s="12"/>
      <c r="C3270" s="12"/>
      <c r="E3270" t="str">
        <f>IF(LEN(D3270)=0,"",[1]!i_pq_tradedays($B$3,A3271,A3270)-1)</f>
        <v/>
      </c>
      <c r="G3270" s="16" t="str">
        <f t="shared" si="118"/>
        <v/>
      </c>
      <c r="H3270" s="70" t="str">
        <f t="shared" si="119"/>
        <v/>
      </c>
    </row>
    <row r="3271" spans="1:8">
      <c r="A3271" s="2"/>
      <c r="B3271" s="12"/>
      <c r="C3271" s="12"/>
      <c r="E3271" t="str">
        <f>IF(LEN(D3271)=0,"",[1]!i_pq_tradedays($B$3,A3272,A3271)-1)</f>
        <v/>
      </c>
      <c r="G3271" s="16" t="str">
        <f t="shared" si="118"/>
        <v/>
      </c>
      <c r="H3271" s="70" t="str">
        <f t="shared" si="119"/>
        <v/>
      </c>
    </row>
    <row r="3272" spans="1:8">
      <c r="A3272" s="2"/>
      <c r="B3272" s="12"/>
      <c r="C3272" s="12"/>
      <c r="E3272" t="str">
        <f>IF(LEN(D3272)=0,"",[1]!i_pq_tradedays($B$3,A3273,A3272)-1)</f>
        <v/>
      </c>
      <c r="G3272" s="16" t="str">
        <f t="shared" si="118"/>
        <v/>
      </c>
      <c r="H3272" s="70" t="str">
        <f t="shared" si="119"/>
        <v/>
      </c>
    </row>
    <row r="3273" spans="1:8">
      <c r="A3273" s="2"/>
      <c r="B3273" s="12"/>
      <c r="C3273" s="12"/>
      <c r="E3273" t="str">
        <f>IF(LEN(D3273)=0,"",[1]!i_pq_tradedays($B$3,A3274,A3273)-1)</f>
        <v/>
      </c>
      <c r="G3273" s="16" t="str">
        <f t="shared" si="118"/>
        <v/>
      </c>
      <c r="H3273" s="70" t="str">
        <f t="shared" si="119"/>
        <v/>
      </c>
    </row>
    <row r="3274" spans="1:8">
      <c r="A3274" s="2"/>
      <c r="B3274" s="12"/>
      <c r="C3274" s="12"/>
      <c r="E3274" t="str">
        <f>IF(LEN(D3274)=0,"",[1]!i_pq_tradedays($B$3,A3275,A3274)-1)</f>
        <v/>
      </c>
      <c r="G3274" s="16" t="str">
        <f t="shared" si="118"/>
        <v/>
      </c>
      <c r="H3274" s="70" t="str">
        <f t="shared" si="119"/>
        <v/>
      </c>
    </row>
    <row r="3275" spans="1:8">
      <c r="A3275" s="2"/>
      <c r="B3275" s="12"/>
      <c r="C3275" s="12"/>
      <c r="E3275" t="str">
        <f>IF(LEN(D3275)=0,"",[1]!i_pq_tradedays($B$3,A3276,A3275)-1)</f>
        <v/>
      </c>
      <c r="G3275" s="16" t="str">
        <f t="shared" si="118"/>
        <v/>
      </c>
      <c r="H3275" s="70" t="str">
        <f t="shared" si="119"/>
        <v/>
      </c>
    </row>
    <row r="3276" spans="1:8">
      <c r="A3276" s="2"/>
      <c r="B3276" s="12"/>
      <c r="C3276" s="12"/>
      <c r="E3276" t="str">
        <f>IF(LEN(D3276)=0,"",[1]!i_pq_tradedays($B$3,A3277,A3276)-1)</f>
        <v/>
      </c>
      <c r="G3276" s="16" t="str">
        <f t="shared" si="118"/>
        <v/>
      </c>
      <c r="H3276" s="70" t="str">
        <f t="shared" si="119"/>
        <v/>
      </c>
    </row>
    <row r="3277" spans="1:8">
      <c r="A3277" s="2"/>
      <c r="B3277" s="12"/>
      <c r="C3277" s="12"/>
      <c r="E3277" t="str">
        <f>IF(LEN(D3277)=0,"",[1]!i_pq_tradedays($B$3,A3278,A3277)-1)</f>
        <v/>
      </c>
      <c r="G3277" s="16" t="str">
        <f t="shared" si="118"/>
        <v/>
      </c>
      <c r="H3277" s="70" t="str">
        <f t="shared" si="119"/>
        <v/>
      </c>
    </row>
    <row r="3278" spans="1:8">
      <c r="A3278" s="2"/>
      <c r="B3278" s="12"/>
      <c r="C3278" s="12"/>
      <c r="E3278" t="str">
        <f>IF(LEN(D3278)=0,"",[1]!i_pq_tradedays($B$3,A3279,A3278)-1)</f>
        <v/>
      </c>
      <c r="G3278" s="16" t="str">
        <f t="shared" si="118"/>
        <v/>
      </c>
      <c r="H3278" s="70" t="str">
        <f t="shared" si="119"/>
        <v/>
      </c>
    </row>
    <row r="3279" spans="1:8">
      <c r="A3279" s="2"/>
      <c r="B3279" s="12"/>
      <c r="C3279" s="12"/>
      <c r="E3279" t="str">
        <f>IF(LEN(D3279)=0,"",[1]!i_pq_tradedays($B$3,A3280,A3279)-1)</f>
        <v/>
      </c>
      <c r="G3279" s="16" t="str">
        <f t="shared" si="118"/>
        <v/>
      </c>
      <c r="H3279" s="70" t="str">
        <f t="shared" si="119"/>
        <v/>
      </c>
    </row>
    <row r="3280" spans="1:8">
      <c r="A3280" s="2"/>
      <c r="B3280" s="12"/>
      <c r="C3280" s="12"/>
      <c r="E3280" t="str">
        <f>IF(LEN(D3280)=0,"",[1]!i_pq_tradedays($B$3,A3281,A3280)-1)</f>
        <v/>
      </c>
      <c r="G3280" s="16" t="str">
        <f t="shared" si="118"/>
        <v/>
      </c>
      <c r="H3280" s="70" t="str">
        <f t="shared" si="119"/>
        <v/>
      </c>
    </row>
    <row r="3281" spans="1:8">
      <c r="A3281" s="2"/>
      <c r="B3281" s="12"/>
      <c r="C3281" s="12"/>
      <c r="E3281" t="str">
        <f>IF(LEN(D3281)=0,"",[1]!i_pq_tradedays($B$3,A3282,A3281)-1)</f>
        <v/>
      </c>
      <c r="G3281" s="16" t="str">
        <f t="shared" si="118"/>
        <v/>
      </c>
      <c r="H3281" s="70" t="str">
        <f t="shared" si="119"/>
        <v/>
      </c>
    </row>
    <row r="3282" spans="1:8">
      <c r="A3282" s="2"/>
      <c r="B3282" s="12"/>
      <c r="C3282" s="12"/>
      <c r="E3282" t="str">
        <f>IF(LEN(D3282)=0,"",[1]!i_pq_tradedays($B$3,A3283,A3282)-1)</f>
        <v/>
      </c>
      <c r="G3282" s="16" t="str">
        <f t="shared" si="118"/>
        <v/>
      </c>
      <c r="H3282" s="70" t="str">
        <f t="shared" si="119"/>
        <v/>
      </c>
    </row>
    <row r="3283" spans="1:8">
      <c r="A3283" s="2"/>
      <c r="B3283" s="12"/>
      <c r="C3283" s="12"/>
      <c r="E3283" t="str">
        <f>IF(LEN(D3283)=0,"",[1]!i_pq_tradedays($B$3,A3284,A3283)-1)</f>
        <v/>
      </c>
      <c r="G3283" s="16" t="str">
        <f t="shared" si="118"/>
        <v/>
      </c>
      <c r="H3283" s="70" t="str">
        <f t="shared" si="119"/>
        <v/>
      </c>
    </row>
    <row r="3284" spans="1:8">
      <c r="A3284" s="2"/>
      <c r="B3284" s="12"/>
      <c r="C3284" s="12"/>
      <c r="E3284" t="str">
        <f>IF(LEN(D3284)=0,"",[1]!i_pq_tradedays($B$3,A3285,A3284)-1)</f>
        <v/>
      </c>
      <c r="G3284" s="16" t="str">
        <f t="shared" si="118"/>
        <v/>
      </c>
      <c r="H3284" s="70" t="str">
        <f t="shared" si="119"/>
        <v/>
      </c>
    </row>
    <row r="3285" spans="1:8">
      <c r="A3285" s="2"/>
      <c r="B3285" s="12"/>
      <c r="C3285" s="12"/>
      <c r="E3285" t="str">
        <f>IF(LEN(D3285)=0,"",[1]!i_pq_tradedays($B$3,A3286,A3285)-1)</f>
        <v/>
      </c>
      <c r="G3285" s="16" t="str">
        <f t="shared" si="118"/>
        <v/>
      </c>
      <c r="H3285" s="70" t="str">
        <f t="shared" si="119"/>
        <v/>
      </c>
    </row>
    <row r="3286" spans="1:8">
      <c r="A3286" s="2"/>
      <c r="B3286" s="12"/>
      <c r="C3286" s="12"/>
      <c r="E3286" t="str">
        <f>IF(LEN(D3286)=0,"",[1]!i_pq_tradedays($B$3,A3287,A3286)-1)</f>
        <v/>
      </c>
      <c r="G3286" s="16" t="str">
        <f t="shared" si="118"/>
        <v/>
      </c>
      <c r="H3286" s="70" t="str">
        <f t="shared" si="119"/>
        <v/>
      </c>
    </row>
    <row r="3287" spans="1:8">
      <c r="A3287" s="2"/>
      <c r="B3287" s="12"/>
      <c r="C3287" s="12"/>
      <c r="E3287" t="str">
        <f>IF(LEN(D3287)=0,"",[1]!i_pq_tradedays($B$3,A3288,A3287)-1)</f>
        <v/>
      </c>
      <c r="G3287" s="16" t="str">
        <f t="shared" si="118"/>
        <v/>
      </c>
      <c r="H3287" s="70" t="str">
        <f t="shared" si="119"/>
        <v/>
      </c>
    </row>
    <row r="3288" spans="1:8">
      <c r="A3288" s="2"/>
      <c r="B3288" s="12"/>
      <c r="C3288" s="12"/>
      <c r="E3288" t="str">
        <f>IF(LEN(D3288)=0,"",[1]!i_pq_tradedays($B$3,A3289,A3288)-1)</f>
        <v/>
      </c>
      <c r="G3288" s="16" t="str">
        <f t="shared" si="118"/>
        <v/>
      </c>
      <c r="H3288" s="70" t="str">
        <f t="shared" si="119"/>
        <v/>
      </c>
    </row>
    <row r="3289" spans="1:8">
      <c r="A3289" s="2"/>
      <c r="B3289" s="12"/>
      <c r="C3289" s="12"/>
      <c r="E3289" t="str">
        <f>IF(LEN(D3289)=0,"",[1]!i_pq_tradedays($B$3,A3290,A3289)-1)</f>
        <v/>
      </c>
      <c r="G3289" s="16" t="str">
        <f t="shared" si="118"/>
        <v/>
      </c>
      <c r="H3289" s="70" t="str">
        <f t="shared" si="119"/>
        <v/>
      </c>
    </row>
    <row r="3290" spans="1:8">
      <c r="A3290" s="2"/>
      <c r="B3290" s="12"/>
      <c r="C3290" s="12"/>
      <c r="E3290" t="str">
        <f>IF(LEN(D3290)=0,"",[1]!i_pq_tradedays($B$3,A3291,A3290)-1)</f>
        <v/>
      </c>
      <c r="G3290" s="16" t="str">
        <f t="shared" si="118"/>
        <v/>
      </c>
      <c r="H3290" s="70" t="str">
        <f t="shared" si="119"/>
        <v/>
      </c>
    </row>
    <row r="3291" spans="1:8">
      <c r="A3291" s="2"/>
      <c r="B3291" s="12"/>
      <c r="C3291" s="12"/>
      <c r="E3291" t="str">
        <f>IF(LEN(D3291)=0,"",[1]!i_pq_tradedays($B$3,A3292,A3291)-1)</f>
        <v/>
      </c>
      <c r="G3291" s="16" t="str">
        <f t="shared" si="118"/>
        <v/>
      </c>
      <c r="H3291" s="70" t="str">
        <f t="shared" si="119"/>
        <v/>
      </c>
    </row>
    <row r="3292" spans="1:8">
      <c r="A3292" s="2"/>
      <c r="B3292" s="12"/>
      <c r="C3292" s="12"/>
      <c r="E3292" t="str">
        <f>IF(LEN(D3292)=0,"",[1]!i_pq_tradedays($B$3,A3293,A3292)-1)</f>
        <v/>
      </c>
      <c r="G3292" s="16" t="str">
        <f t="shared" si="118"/>
        <v/>
      </c>
      <c r="H3292" s="70" t="str">
        <f t="shared" si="119"/>
        <v/>
      </c>
    </row>
    <row r="3293" spans="1:8">
      <c r="A3293" s="2"/>
      <c r="B3293" s="12"/>
      <c r="C3293" s="12"/>
      <c r="E3293" t="str">
        <f>IF(LEN(D3293)=0,"",[1]!i_pq_tradedays($B$3,A3294,A3293)-1)</f>
        <v/>
      </c>
      <c r="G3293" s="16" t="str">
        <f t="shared" si="118"/>
        <v/>
      </c>
      <c r="H3293" s="70" t="str">
        <f t="shared" si="119"/>
        <v/>
      </c>
    </row>
    <row r="3294" spans="1:8">
      <c r="A3294" s="2"/>
      <c r="B3294" s="12"/>
      <c r="C3294" s="12"/>
      <c r="E3294" t="str">
        <f>IF(LEN(D3294)=0,"",[1]!i_pq_tradedays($B$3,A3295,A3294)-1)</f>
        <v/>
      </c>
      <c r="G3294" s="16" t="str">
        <f t="shared" si="118"/>
        <v/>
      </c>
      <c r="H3294" s="70" t="str">
        <f t="shared" si="119"/>
        <v/>
      </c>
    </row>
    <row r="3295" spans="1:8">
      <c r="A3295" s="2"/>
      <c r="B3295" s="12"/>
      <c r="C3295" s="12"/>
      <c r="E3295" t="str">
        <f>IF(LEN(D3295)=0,"",[1]!i_pq_tradedays($B$3,A3296,A3295)-1)</f>
        <v/>
      </c>
      <c r="G3295" s="16" t="str">
        <f t="shared" si="118"/>
        <v/>
      </c>
      <c r="H3295" s="70" t="str">
        <f t="shared" si="119"/>
        <v/>
      </c>
    </row>
    <row r="3296" spans="1:8">
      <c r="A3296" s="2"/>
      <c r="B3296" s="12"/>
      <c r="C3296" s="12"/>
      <c r="E3296" t="str">
        <f>IF(LEN(D3296)=0,"",[1]!i_pq_tradedays($B$3,A3297,A3296)-1)</f>
        <v/>
      </c>
      <c r="G3296" s="16" t="str">
        <f t="shared" si="118"/>
        <v/>
      </c>
      <c r="H3296" s="70" t="str">
        <f t="shared" si="119"/>
        <v/>
      </c>
    </row>
    <row r="3297" spans="1:8">
      <c r="A3297" s="2"/>
      <c r="B3297" s="12"/>
      <c r="C3297" s="12"/>
      <c r="E3297" t="str">
        <f>IF(LEN(D3297)=0,"",[1]!i_pq_tradedays($B$3,A3298,A3297)-1)</f>
        <v/>
      </c>
      <c r="G3297" s="16" t="str">
        <f t="shared" si="118"/>
        <v/>
      </c>
      <c r="H3297" s="70" t="str">
        <f t="shared" si="119"/>
        <v/>
      </c>
    </row>
    <row r="3298" spans="1:8">
      <c r="A3298" s="2"/>
      <c r="B3298" s="12"/>
      <c r="C3298" s="12"/>
      <c r="E3298" t="str">
        <f>IF(LEN(D3298)=0,"",[1]!i_pq_tradedays($B$3,A3299,A3298)-1)</f>
        <v/>
      </c>
      <c r="G3298" s="16" t="str">
        <f t="shared" si="118"/>
        <v/>
      </c>
      <c r="H3298" s="70" t="str">
        <f t="shared" si="119"/>
        <v/>
      </c>
    </row>
    <row r="3299" spans="1:8">
      <c r="A3299" s="2"/>
      <c r="B3299" s="12"/>
      <c r="C3299" s="12"/>
      <c r="E3299" t="str">
        <f>IF(LEN(D3299)=0,"",[1]!i_pq_tradedays($B$3,A3300,A3299)-1)</f>
        <v/>
      </c>
      <c r="G3299" s="16" t="str">
        <f t="shared" si="118"/>
        <v/>
      </c>
      <c r="H3299" s="70" t="str">
        <f t="shared" si="119"/>
        <v/>
      </c>
    </row>
    <row r="3300" spans="1:8">
      <c r="A3300" s="2"/>
      <c r="B3300" s="12"/>
      <c r="C3300" s="12"/>
      <c r="E3300" t="str">
        <f>IF(LEN(D3300)=0,"",[1]!i_pq_tradedays($B$3,A3301,A3300)-1)</f>
        <v/>
      </c>
      <c r="G3300" s="16" t="str">
        <f t="shared" si="118"/>
        <v/>
      </c>
      <c r="H3300" s="70" t="str">
        <f t="shared" si="119"/>
        <v/>
      </c>
    </row>
    <row r="3301" spans="1:8">
      <c r="A3301" s="2"/>
      <c r="B3301" s="12"/>
      <c r="C3301" s="12"/>
      <c r="E3301" t="str">
        <f>IF(LEN(D3301)=0,"",[1]!i_pq_tradedays($B$3,A3302,A3301)-1)</f>
        <v/>
      </c>
      <c r="G3301" s="16" t="str">
        <f t="shared" si="118"/>
        <v/>
      </c>
      <c r="H3301" s="70" t="str">
        <f t="shared" si="119"/>
        <v/>
      </c>
    </row>
    <row r="3302" spans="1:8">
      <c r="A3302" s="2"/>
      <c r="B3302" s="12"/>
      <c r="C3302" s="12"/>
      <c r="E3302" t="str">
        <f>IF(LEN(D3302)=0,"",[1]!i_pq_tradedays($B$3,A3303,A3302)-1)</f>
        <v/>
      </c>
      <c r="G3302" s="16" t="str">
        <f t="shared" si="118"/>
        <v/>
      </c>
      <c r="H3302" s="70" t="str">
        <f t="shared" si="119"/>
        <v/>
      </c>
    </row>
    <row r="3303" spans="1:8">
      <c r="A3303" s="2"/>
      <c r="B3303" s="12"/>
      <c r="C3303" s="12"/>
      <c r="E3303" t="str">
        <f>IF(LEN(D3303)=0,"",[1]!i_pq_tradedays($B$3,A3304,A3303)-1)</f>
        <v/>
      </c>
      <c r="G3303" s="16" t="str">
        <f t="shared" si="118"/>
        <v/>
      </c>
      <c r="H3303" s="70" t="str">
        <f t="shared" si="119"/>
        <v/>
      </c>
    </row>
    <row r="3304" spans="1:8">
      <c r="A3304" s="2"/>
      <c r="B3304" s="12"/>
      <c r="C3304" s="12"/>
      <c r="E3304" t="str">
        <f>IF(LEN(D3304)=0,"",[1]!i_pq_tradedays($B$3,A3305,A3304)-1)</f>
        <v/>
      </c>
      <c r="G3304" s="16" t="str">
        <f t="shared" si="118"/>
        <v/>
      </c>
      <c r="H3304" s="70" t="str">
        <f t="shared" si="119"/>
        <v/>
      </c>
    </row>
    <row r="3305" spans="1:8">
      <c r="A3305" s="2"/>
      <c r="B3305" s="12"/>
      <c r="C3305" s="12"/>
      <c r="E3305" t="str">
        <f>IF(LEN(D3305)=0,"",[1]!i_pq_tradedays($B$3,A3306,A3305)-1)</f>
        <v/>
      </c>
      <c r="G3305" s="16" t="str">
        <f t="shared" si="118"/>
        <v/>
      </c>
      <c r="H3305" s="70" t="str">
        <f t="shared" si="119"/>
        <v/>
      </c>
    </row>
    <row r="3306" spans="1:8">
      <c r="A3306" s="2"/>
      <c r="B3306" s="12"/>
      <c r="C3306" s="12"/>
      <c r="E3306" t="str">
        <f>IF(LEN(D3306)=0,"",[1]!i_pq_tradedays($B$3,A3307,A3306)-1)</f>
        <v/>
      </c>
      <c r="G3306" s="16" t="str">
        <f t="shared" si="118"/>
        <v/>
      </c>
      <c r="H3306" s="70" t="str">
        <f t="shared" si="119"/>
        <v/>
      </c>
    </row>
    <row r="3307" spans="1:8">
      <c r="A3307" s="2"/>
      <c r="B3307" s="12"/>
      <c r="C3307" s="12"/>
      <c r="E3307" t="str">
        <f>IF(LEN(D3307)=0,"",[1]!i_pq_tradedays($B$3,A3308,A3307)-1)</f>
        <v/>
      </c>
      <c r="G3307" s="16" t="str">
        <f t="shared" si="118"/>
        <v/>
      </c>
      <c r="H3307" s="70" t="str">
        <f t="shared" si="119"/>
        <v/>
      </c>
    </row>
    <row r="3308" spans="1:8">
      <c r="A3308" s="2"/>
      <c r="B3308" s="12"/>
      <c r="C3308" s="12"/>
      <c r="E3308" t="str">
        <f>IF(LEN(D3308)=0,"",[1]!i_pq_tradedays($B$3,A3309,A3308)-1)</f>
        <v/>
      </c>
      <c r="G3308" s="16" t="str">
        <f t="shared" si="118"/>
        <v/>
      </c>
      <c r="H3308" s="70" t="str">
        <f t="shared" si="119"/>
        <v/>
      </c>
    </row>
    <row r="3309" spans="1:8">
      <c r="A3309" s="2"/>
      <c r="B3309" s="12"/>
      <c r="C3309" s="12"/>
      <c r="E3309" t="str">
        <f>IF(LEN(D3309)=0,"",[1]!i_pq_tradedays($B$3,A3310,A3309)-1)</f>
        <v/>
      </c>
      <c r="G3309" s="16" t="str">
        <f t="shared" si="118"/>
        <v/>
      </c>
      <c r="H3309" s="70" t="str">
        <f t="shared" si="119"/>
        <v/>
      </c>
    </row>
    <row r="3310" spans="1:8">
      <c r="A3310" s="2"/>
      <c r="B3310" s="12"/>
      <c r="C3310" s="12"/>
      <c r="E3310" t="str">
        <f>IF(LEN(D3310)=0,"",[1]!i_pq_tradedays($B$3,A3311,A3310)-1)</f>
        <v/>
      </c>
      <c r="G3310" s="16" t="str">
        <f t="shared" si="118"/>
        <v/>
      </c>
      <c r="H3310" s="70" t="str">
        <f t="shared" si="119"/>
        <v/>
      </c>
    </row>
    <row r="3311" spans="1:8">
      <c r="A3311" s="2"/>
      <c r="B3311" s="12"/>
      <c r="C3311" s="12"/>
      <c r="E3311" t="str">
        <f>IF(LEN(D3311)=0,"",[1]!i_pq_tradedays($B$3,A3312,A3311)-1)</f>
        <v/>
      </c>
      <c r="G3311" s="16" t="str">
        <f t="shared" si="118"/>
        <v/>
      </c>
      <c r="H3311" s="70" t="str">
        <f t="shared" si="119"/>
        <v/>
      </c>
    </row>
    <row r="3312" spans="1:8">
      <c r="A3312" s="2"/>
      <c r="B3312" s="12"/>
      <c r="C3312" s="12"/>
      <c r="E3312" t="str">
        <f>IF(LEN(D3312)=0,"",[1]!i_pq_tradedays($B$3,A3313,A3312)-1)</f>
        <v/>
      </c>
      <c r="G3312" s="16" t="str">
        <f t="shared" si="118"/>
        <v/>
      </c>
      <c r="H3312" s="70" t="str">
        <f t="shared" si="119"/>
        <v/>
      </c>
    </row>
    <row r="3313" spans="1:8">
      <c r="A3313" s="2"/>
      <c r="B3313" s="12"/>
      <c r="C3313" s="12"/>
      <c r="E3313" t="str">
        <f>IF(LEN(D3313)=0,"",[1]!i_pq_tradedays($B$3,A3314,A3313)-1)</f>
        <v/>
      </c>
      <c r="G3313" s="16" t="str">
        <f t="shared" si="118"/>
        <v/>
      </c>
      <c r="H3313" s="70" t="str">
        <f t="shared" si="119"/>
        <v/>
      </c>
    </row>
    <row r="3314" spans="1:8">
      <c r="A3314" s="2"/>
      <c r="B3314" s="12"/>
      <c r="C3314" s="12"/>
      <c r="E3314" t="str">
        <f>IF(LEN(D3314)=0,"",[1]!i_pq_tradedays($B$3,A3315,A3314)-1)</f>
        <v/>
      </c>
      <c r="G3314" s="16" t="str">
        <f t="shared" si="118"/>
        <v/>
      </c>
      <c r="H3314" s="70" t="str">
        <f t="shared" si="119"/>
        <v/>
      </c>
    </row>
    <row r="3315" spans="1:8">
      <c r="A3315" s="2"/>
      <c r="B3315" s="12"/>
      <c r="C3315" s="12"/>
      <c r="E3315" t="str">
        <f>IF(LEN(D3315)=0,"",[1]!i_pq_tradedays($B$3,A3316,A3315)-1)</f>
        <v/>
      </c>
      <c r="G3315" s="16" t="str">
        <f t="shared" si="118"/>
        <v/>
      </c>
      <c r="H3315" s="70" t="str">
        <f t="shared" si="119"/>
        <v/>
      </c>
    </row>
    <row r="3316" spans="1:8">
      <c r="A3316" s="2"/>
      <c r="B3316" s="12"/>
      <c r="C3316" s="12"/>
      <c r="E3316" t="str">
        <f>IF(LEN(D3316)=0,"",[1]!i_pq_tradedays($B$3,A3317,A3316)-1)</f>
        <v/>
      </c>
      <c r="G3316" s="16" t="str">
        <f t="shared" si="118"/>
        <v/>
      </c>
      <c r="H3316" s="70" t="str">
        <f t="shared" si="119"/>
        <v/>
      </c>
    </row>
    <row r="3317" spans="1:8">
      <c r="A3317" s="2"/>
      <c r="B3317" s="12"/>
      <c r="C3317" s="12"/>
      <c r="E3317" t="str">
        <f>IF(LEN(D3317)=0,"",[1]!i_pq_tradedays($B$3,A3318,A3317)-1)</f>
        <v/>
      </c>
      <c r="G3317" s="16" t="str">
        <f t="shared" ref="G3317:G3380" si="120">IF(LEN(D3317)=0,"",D3317/E3317)</f>
        <v/>
      </c>
      <c r="H3317" s="70" t="str">
        <f t="shared" ref="H3317:H3380" si="121">IF(LEN(D3317)=0,"",G3317/G3318-1)</f>
        <v/>
      </c>
    </row>
    <row r="3318" spans="1:8">
      <c r="A3318" s="2"/>
      <c r="B3318" s="12"/>
      <c r="C3318" s="12"/>
      <c r="E3318" t="str">
        <f>IF(LEN(D3318)=0,"",[1]!i_pq_tradedays($B$3,A3319,A3318)-1)</f>
        <v/>
      </c>
      <c r="G3318" s="16" t="str">
        <f t="shared" si="120"/>
        <v/>
      </c>
      <c r="H3318" s="70" t="str">
        <f t="shared" si="121"/>
        <v/>
      </c>
    </row>
    <row r="3319" spans="1:8">
      <c r="A3319" s="2"/>
      <c r="B3319" s="12"/>
      <c r="C3319" s="12"/>
      <c r="E3319" t="str">
        <f>IF(LEN(D3319)=0,"",[1]!i_pq_tradedays($B$3,A3320,A3319)-1)</f>
        <v/>
      </c>
      <c r="G3319" s="16" t="str">
        <f t="shared" si="120"/>
        <v/>
      </c>
      <c r="H3319" s="70" t="str">
        <f t="shared" si="121"/>
        <v/>
      </c>
    </row>
    <row r="3320" spans="1:8">
      <c r="A3320" s="2"/>
      <c r="B3320" s="12"/>
      <c r="C3320" s="12"/>
      <c r="E3320" t="str">
        <f>IF(LEN(D3320)=0,"",[1]!i_pq_tradedays($B$3,A3321,A3320)-1)</f>
        <v/>
      </c>
      <c r="G3320" s="16" t="str">
        <f t="shared" si="120"/>
        <v/>
      </c>
      <c r="H3320" s="70" t="str">
        <f t="shared" si="121"/>
        <v/>
      </c>
    </row>
    <row r="3321" spans="1:8">
      <c r="A3321" s="2"/>
      <c r="B3321" s="12"/>
      <c r="C3321" s="12"/>
      <c r="E3321" t="str">
        <f>IF(LEN(D3321)=0,"",[1]!i_pq_tradedays($B$3,A3322,A3321)-1)</f>
        <v/>
      </c>
      <c r="G3321" s="16" t="str">
        <f t="shared" si="120"/>
        <v/>
      </c>
      <c r="H3321" s="70" t="str">
        <f t="shared" si="121"/>
        <v/>
      </c>
    </row>
    <row r="3322" spans="1:8">
      <c r="A3322" s="2"/>
      <c r="B3322" s="12"/>
      <c r="C3322" s="12"/>
      <c r="E3322" t="str">
        <f>IF(LEN(D3322)=0,"",[1]!i_pq_tradedays($B$3,A3323,A3322)-1)</f>
        <v/>
      </c>
      <c r="G3322" s="16" t="str">
        <f t="shared" si="120"/>
        <v/>
      </c>
      <c r="H3322" s="70" t="str">
        <f t="shared" si="121"/>
        <v/>
      </c>
    </row>
    <row r="3323" spans="1:8">
      <c r="A3323" s="2"/>
      <c r="B3323" s="12"/>
      <c r="C3323" s="12"/>
      <c r="E3323" t="str">
        <f>IF(LEN(D3323)=0,"",[1]!i_pq_tradedays($B$3,A3324,A3323)-1)</f>
        <v/>
      </c>
      <c r="G3323" s="16" t="str">
        <f t="shared" si="120"/>
        <v/>
      </c>
      <c r="H3323" s="70" t="str">
        <f t="shared" si="121"/>
        <v/>
      </c>
    </row>
    <row r="3324" spans="1:8">
      <c r="A3324" s="2"/>
      <c r="B3324" s="12"/>
      <c r="C3324" s="12"/>
      <c r="E3324" t="str">
        <f>IF(LEN(D3324)=0,"",[1]!i_pq_tradedays($B$3,A3325,A3324)-1)</f>
        <v/>
      </c>
      <c r="G3324" s="16" t="str">
        <f t="shared" si="120"/>
        <v/>
      </c>
      <c r="H3324" s="70" t="str">
        <f t="shared" si="121"/>
        <v/>
      </c>
    </row>
    <row r="3325" spans="1:8">
      <c r="A3325" s="2"/>
      <c r="B3325" s="12"/>
      <c r="C3325" s="12"/>
      <c r="E3325" t="str">
        <f>IF(LEN(D3325)=0,"",[1]!i_pq_tradedays($B$3,A3326,A3325)-1)</f>
        <v/>
      </c>
      <c r="G3325" s="16" t="str">
        <f t="shared" si="120"/>
        <v/>
      </c>
      <c r="H3325" s="70" t="str">
        <f t="shared" si="121"/>
        <v/>
      </c>
    </row>
    <row r="3326" spans="1:8">
      <c r="A3326" s="2"/>
      <c r="B3326" s="12"/>
      <c r="C3326" s="12"/>
      <c r="E3326" t="str">
        <f>IF(LEN(D3326)=0,"",[1]!i_pq_tradedays($B$3,A3327,A3326)-1)</f>
        <v/>
      </c>
      <c r="G3326" s="16" t="str">
        <f t="shared" si="120"/>
        <v/>
      </c>
      <c r="H3326" s="70" t="str">
        <f t="shared" si="121"/>
        <v/>
      </c>
    </row>
    <row r="3327" spans="1:8">
      <c r="A3327" s="2"/>
      <c r="B3327" s="12"/>
      <c r="C3327" s="12"/>
      <c r="E3327" t="str">
        <f>IF(LEN(D3327)=0,"",[1]!i_pq_tradedays($B$3,A3328,A3327)-1)</f>
        <v/>
      </c>
      <c r="G3327" s="16" t="str">
        <f t="shared" si="120"/>
        <v/>
      </c>
      <c r="H3327" s="70" t="str">
        <f t="shared" si="121"/>
        <v/>
      </c>
    </row>
    <row r="3328" spans="1:8">
      <c r="A3328" s="2"/>
      <c r="B3328" s="12"/>
      <c r="C3328" s="12"/>
      <c r="E3328" t="str">
        <f>IF(LEN(D3328)=0,"",[1]!i_pq_tradedays($B$3,A3329,A3328)-1)</f>
        <v/>
      </c>
      <c r="G3328" s="16" t="str">
        <f t="shared" si="120"/>
        <v/>
      </c>
      <c r="H3328" s="70" t="str">
        <f t="shared" si="121"/>
        <v/>
      </c>
    </row>
    <row r="3329" spans="1:8">
      <c r="A3329" s="2"/>
      <c r="B3329" s="12"/>
      <c r="C3329" s="12"/>
      <c r="E3329" t="str">
        <f>IF(LEN(D3329)=0,"",[1]!i_pq_tradedays($B$3,A3330,A3329)-1)</f>
        <v/>
      </c>
      <c r="G3329" s="16" t="str">
        <f t="shared" si="120"/>
        <v/>
      </c>
      <c r="H3329" s="70" t="str">
        <f t="shared" si="121"/>
        <v/>
      </c>
    </row>
    <row r="3330" spans="1:8">
      <c r="A3330" s="2"/>
      <c r="B3330" s="12"/>
      <c r="C3330" s="12"/>
      <c r="E3330" t="str">
        <f>IF(LEN(D3330)=0,"",[1]!i_pq_tradedays($B$3,A3331,A3330)-1)</f>
        <v/>
      </c>
      <c r="G3330" s="16" t="str">
        <f t="shared" si="120"/>
        <v/>
      </c>
      <c r="H3330" s="70" t="str">
        <f t="shared" si="121"/>
        <v/>
      </c>
    </row>
    <row r="3331" spans="1:8">
      <c r="A3331" s="2"/>
      <c r="B3331" s="12"/>
      <c r="C3331" s="12"/>
      <c r="E3331" t="str">
        <f>IF(LEN(D3331)=0,"",[1]!i_pq_tradedays($B$3,A3332,A3331)-1)</f>
        <v/>
      </c>
      <c r="G3331" s="16" t="str">
        <f t="shared" si="120"/>
        <v/>
      </c>
      <c r="H3331" s="70" t="str">
        <f t="shared" si="121"/>
        <v/>
      </c>
    </row>
    <row r="3332" spans="1:8">
      <c r="A3332" s="2"/>
      <c r="B3332" s="12"/>
      <c r="C3332" s="12"/>
      <c r="E3332" t="str">
        <f>IF(LEN(D3332)=0,"",[1]!i_pq_tradedays($B$3,A3333,A3332)-1)</f>
        <v/>
      </c>
      <c r="G3332" s="16" t="str">
        <f t="shared" si="120"/>
        <v/>
      </c>
      <c r="H3332" s="70" t="str">
        <f t="shared" si="121"/>
        <v/>
      </c>
    </row>
    <row r="3333" spans="1:8">
      <c r="A3333" s="2"/>
      <c r="B3333" s="12"/>
      <c r="C3333" s="12"/>
      <c r="E3333" t="str">
        <f>IF(LEN(D3333)=0,"",[1]!i_pq_tradedays($B$3,A3334,A3333)-1)</f>
        <v/>
      </c>
      <c r="G3333" s="16" t="str">
        <f t="shared" si="120"/>
        <v/>
      </c>
      <c r="H3333" s="70" t="str">
        <f t="shared" si="121"/>
        <v/>
      </c>
    </row>
    <row r="3334" spans="1:8">
      <c r="A3334" s="2"/>
      <c r="B3334" s="12"/>
      <c r="C3334" s="12"/>
      <c r="E3334" t="str">
        <f>IF(LEN(D3334)=0,"",[1]!i_pq_tradedays($B$3,A3335,A3334)-1)</f>
        <v/>
      </c>
      <c r="G3334" s="16" t="str">
        <f t="shared" si="120"/>
        <v/>
      </c>
      <c r="H3334" s="70" t="str">
        <f t="shared" si="121"/>
        <v/>
      </c>
    </row>
    <row r="3335" spans="1:8">
      <c r="A3335" s="2"/>
      <c r="B3335" s="12"/>
      <c r="C3335" s="12"/>
      <c r="E3335" t="str">
        <f>IF(LEN(D3335)=0,"",[1]!i_pq_tradedays($B$3,A3336,A3335)-1)</f>
        <v/>
      </c>
      <c r="G3335" s="16" t="str">
        <f t="shared" si="120"/>
        <v/>
      </c>
      <c r="H3335" s="70" t="str">
        <f t="shared" si="121"/>
        <v/>
      </c>
    </row>
    <row r="3336" spans="1:8">
      <c r="A3336" s="2"/>
      <c r="B3336" s="12"/>
      <c r="C3336" s="12"/>
      <c r="E3336" t="str">
        <f>IF(LEN(D3336)=0,"",[1]!i_pq_tradedays($B$3,A3337,A3336)-1)</f>
        <v/>
      </c>
      <c r="G3336" s="16" t="str">
        <f t="shared" si="120"/>
        <v/>
      </c>
      <c r="H3336" s="70" t="str">
        <f t="shared" si="121"/>
        <v/>
      </c>
    </row>
    <row r="3337" spans="1:8">
      <c r="A3337" s="2"/>
      <c r="B3337" s="12"/>
      <c r="C3337" s="12"/>
      <c r="E3337" t="str">
        <f>IF(LEN(D3337)=0,"",[1]!i_pq_tradedays($B$3,A3338,A3337)-1)</f>
        <v/>
      </c>
      <c r="G3337" s="16" t="str">
        <f t="shared" si="120"/>
        <v/>
      </c>
      <c r="H3337" s="70" t="str">
        <f t="shared" si="121"/>
        <v/>
      </c>
    </row>
    <row r="3338" spans="1:8">
      <c r="A3338" s="2"/>
      <c r="B3338" s="12"/>
      <c r="C3338" s="12"/>
      <c r="E3338" t="str">
        <f>IF(LEN(D3338)=0,"",[1]!i_pq_tradedays($B$3,A3339,A3338)-1)</f>
        <v/>
      </c>
      <c r="G3338" s="16" t="str">
        <f t="shared" si="120"/>
        <v/>
      </c>
      <c r="H3338" s="70" t="str">
        <f t="shared" si="121"/>
        <v/>
      </c>
    </row>
    <row r="3339" spans="1:8">
      <c r="A3339" s="2"/>
      <c r="B3339" s="12"/>
      <c r="C3339" s="12"/>
      <c r="E3339" t="str">
        <f>IF(LEN(D3339)=0,"",[1]!i_pq_tradedays($B$3,A3340,A3339)-1)</f>
        <v/>
      </c>
      <c r="G3339" s="16" t="str">
        <f t="shared" si="120"/>
        <v/>
      </c>
      <c r="H3339" s="70" t="str">
        <f t="shared" si="121"/>
        <v/>
      </c>
    </row>
    <row r="3340" spans="1:8">
      <c r="A3340" s="2"/>
      <c r="B3340" s="12"/>
      <c r="C3340" s="12"/>
      <c r="E3340" t="str">
        <f>IF(LEN(D3340)=0,"",[1]!i_pq_tradedays($B$3,A3341,A3340)-1)</f>
        <v/>
      </c>
      <c r="G3340" s="16" t="str">
        <f t="shared" si="120"/>
        <v/>
      </c>
      <c r="H3340" s="70" t="str">
        <f t="shared" si="121"/>
        <v/>
      </c>
    </row>
    <row r="3341" spans="1:8">
      <c r="A3341" s="2"/>
      <c r="B3341" s="12"/>
      <c r="C3341" s="12"/>
      <c r="E3341" t="str">
        <f>IF(LEN(D3341)=0,"",[1]!i_pq_tradedays($B$3,A3342,A3341)-1)</f>
        <v/>
      </c>
      <c r="G3341" s="16" t="str">
        <f t="shared" si="120"/>
        <v/>
      </c>
      <c r="H3341" s="70" t="str">
        <f t="shared" si="121"/>
        <v/>
      </c>
    </row>
    <row r="3342" spans="1:8">
      <c r="A3342" s="2"/>
      <c r="B3342" s="12"/>
      <c r="C3342" s="12"/>
      <c r="E3342" t="str">
        <f>IF(LEN(D3342)=0,"",[1]!i_pq_tradedays($B$3,A3343,A3342)-1)</f>
        <v/>
      </c>
      <c r="G3342" s="16" t="str">
        <f t="shared" si="120"/>
        <v/>
      </c>
      <c r="H3342" s="70" t="str">
        <f t="shared" si="121"/>
        <v/>
      </c>
    </row>
    <row r="3343" spans="1:8">
      <c r="A3343" s="2"/>
      <c r="B3343" s="12"/>
      <c r="C3343" s="12"/>
      <c r="E3343" t="str">
        <f>IF(LEN(D3343)=0,"",[1]!i_pq_tradedays($B$3,A3344,A3343)-1)</f>
        <v/>
      </c>
      <c r="G3343" s="16" t="str">
        <f t="shared" si="120"/>
        <v/>
      </c>
      <c r="H3343" s="70" t="str">
        <f t="shared" si="121"/>
        <v/>
      </c>
    </row>
    <row r="3344" spans="1:8">
      <c r="A3344" s="2"/>
      <c r="B3344" s="12"/>
      <c r="C3344" s="12"/>
      <c r="E3344" t="str">
        <f>IF(LEN(D3344)=0,"",[1]!i_pq_tradedays($B$3,A3345,A3344)-1)</f>
        <v/>
      </c>
      <c r="G3344" s="16" t="str">
        <f t="shared" si="120"/>
        <v/>
      </c>
      <c r="H3344" s="70" t="str">
        <f t="shared" si="121"/>
        <v/>
      </c>
    </row>
    <row r="3345" spans="1:8">
      <c r="A3345" s="2"/>
      <c r="B3345" s="12"/>
      <c r="C3345" s="12"/>
      <c r="E3345" t="str">
        <f>IF(LEN(D3345)=0,"",[1]!i_pq_tradedays($B$3,A3346,A3345)-1)</f>
        <v/>
      </c>
      <c r="G3345" s="16" t="str">
        <f t="shared" si="120"/>
        <v/>
      </c>
      <c r="H3345" s="70" t="str">
        <f t="shared" si="121"/>
        <v/>
      </c>
    </row>
    <row r="3346" spans="1:8">
      <c r="A3346" s="2"/>
      <c r="B3346" s="12"/>
      <c r="C3346" s="12"/>
      <c r="E3346" t="str">
        <f>IF(LEN(D3346)=0,"",[1]!i_pq_tradedays($B$3,A3347,A3346)-1)</f>
        <v/>
      </c>
      <c r="G3346" s="16" t="str">
        <f t="shared" si="120"/>
        <v/>
      </c>
      <c r="H3346" s="70" t="str">
        <f t="shared" si="121"/>
        <v/>
      </c>
    </row>
    <row r="3347" spans="1:8">
      <c r="A3347" s="2"/>
      <c r="B3347" s="12"/>
      <c r="C3347" s="12"/>
      <c r="E3347" t="str">
        <f>IF(LEN(D3347)=0,"",[1]!i_pq_tradedays($B$3,A3348,A3347)-1)</f>
        <v/>
      </c>
      <c r="G3347" s="16" t="str">
        <f t="shared" si="120"/>
        <v/>
      </c>
      <c r="H3347" s="70" t="str">
        <f t="shared" si="121"/>
        <v/>
      </c>
    </row>
    <row r="3348" spans="1:8">
      <c r="A3348" s="2"/>
      <c r="B3348" s="12"/>
      <c r="C3348" s="12"/>
      <c r="E3348" t="str">
        <f>IF(LEN(D3348)=0,"",[1]!i_pq_tradedays($B$3,A3349,A3348)-1)</f>
        <v/>
      </c>
      <c r="G3348" s="16" t="str">
        <f t="shared" si="120"/>
        <v/>
      </c>
      <c r="H3348" s="70" t="str">
        <f t="shared" si="121"/>
        <v/>
      </c>
    </row>
    <row r="3349" spans="1:8">
      <c r="A3349" s="2"/>
      <c r="B3349" s="12"/>
      <c r="C3349" s="12"/>
      <c r="E3349" t="str">
        <f>IF(LEN(D3349)=0,"",[1]!i_pq_tradedays($B$3,A3350,A3349)-1)</f>
        <v/>
      </c>
      <c r="G3349" s="16" t="str">
        <f t="shared" si="120"/>
        <v/>
      </c>
      <c r="H3349" s="70" t="str">
        <f t="shared" si="121"/>
        <v/>
      </c>
    </row>
    <row r="3350" spans="1:8">
      <c r="A3350" s="2"/>
      <c r="B3350" s="12"/>
      <c r="C3350" s="12"/>
      <c r="E3350" t="str">
        <f>IF(LEN(D3350)=0,"",[1]!i_pq_tradedays($B$3,A3351,A3350)-1)</f>
        <v/>
      </c>
      <c r="G3350" s="16" t="str">
        <f t="shared" si="120"/>
        <v/>
      </c>
      <c r="H3350" s="70" t="str">
        <f t="shared" si="121"/>
        <v/>
      </c>
    </row>
    <row r="3351" spans="1:8">
      <c r="A3351" s="2"/>
      <c r="B3351" s="12"/>
      <c r="C3351" s="12"/>
      <c r="E3351" t="str">
        <f>IF(LEN(D3351)=0,"",[1]!i_pq_tradedays($B$3,A3352,A3351)-1)</f>
        <v/>
      </c>
      <c r="G3351" s="16" t="str">
        <f t="shared" si="120"/>
        <v/>
      </c>
      <c r="H3351" s="70" t="str">
        <f t="shared" si="121"/>
        <v/>
      </c>
    </row>
    <row r="3352" spans="1:8">
      <c r="A3352" s="2"/>
      <c r="B3352" s="12"/>
      <c r="C3352" s="12"/>
      <c r="E3352" t="str">
        <f>IF(LEN(D3352)=0,"",[1]!i_pq_tradedays($B$3,A3353,A3352)-1)</f>
        <v/>
      </c>
      <c r="G3352" s="16" t="str">
        <f t="shared" si="120"/>
        <v/>
      </c>
      <c r="H3352" s="70" t="str">
        <f t="shared" si="121"/>
        <v/>
      </c>
    </row>
    <row r="3353" spans="1:8">
      <c r="A3353" s="2"/>
      <c r="B3353" s="12"/>
      <c r="C3353" s="12"/>
      <c r="E3353" t="str">
        <f>IF(LEN(D3353)=0,"",[1]!i_pq_tradedays($B$3,A3354,A3353)-1)</f>
        <v/>
      </c>
      <c r="G3353" s="16" t="str">
        <f t="shared" si="120"/>
        <v/>
      </c>
      <c r="H3353" s="70" t="str">
        <f t="shared" si="121"/>
        <v/>
      </c>
    </row>
    <row r="3354" spans="1:8">
      <c r="A3354" s="2"/>
      <c r="B3354" s="12"/>
      <c r="C3354" s="12"/>
      <c r="E3354" t="str">
        <f>IF(LEN(D3354)=0,"",[1]!i_pq_tradedays($B$3,A3355,A3354)-1)</f>
        <v/>
      </c>
      <c r="G3354" s="16" t="str">
        <f t="shared" si="120"/>
        <v/>
      </c>
      <c r="H3354" s="70" t="str">
        <f t="shared" si="121"/>
        <v/>
      </c>
    </row>
    <row r="3355" spans="1:8">
      <c r="A3355" s="2"/>
      <c r="B3355" s="12"/>
      <c r="C3355" s="12"/>
      <c r="E3355" t="str">
        <f>IF(LEN(D3355)=0,"",[1]!i_pq_tradedays($B$3,A3356,A3355)-1)</f>
        <v/>
      </c>
      <c r="G3355" s="16" t="str">
        <f t="shared" si="120"/>
        <v/>
      </c>
      <c r="H3355" s="70" t="str">
        <f t="shared" si="121"/>
        <v/>
      </c>
    </row>
    <row r="3356" spans="1:8">
      <c r="A3356" s="2"/>
      <c r="B3356" s="12"/>
      <c r="C3356" s="12"/>
      <c r="E3356" t="str">
        <f>IF(LEN(D3356)=0,"",[1]!i_pq_tradedays($B$3,A3357,A3356)-1)</f>
        <v/>
      </c>
      <c r="G3356" s="16" t="str">
        <f t="shared" si="120"/>
        <v/>
      </c>
      <c r="H3356" s="70" t="str">
        <f t="shared" si="121"/>
        <v/>
      </c>
    </row>
    <row r="3357" spans="1:8">
      <c r="A3357" s="2"/>
      <c r="B3357" s="12"/>
      <c r="C3357" s="12"/>
      <c r="E3357" t="str">
        <f>IF(LEN(D3357)=0,"",[1]!i_pq_tradedays($B$3,A3358,A3357)-1)</f>
        <v/>
      </c>
      <c r="G3357" s="16" t="str">
        <f t="shared" si="120"/>
        <v/>
      </c>
      <c r="H3357" s="70" t="str">
        <f t="shared" si="121"/>
        <v/>
      </c>
    </row>
    <row r="3358" spans="1:8">
      <c r="A3358" s="2"/>
      <c r="B3358" s="12"/>
      <c r="C3358" s="12"/>
      <c r="E3358" t="str">
        <f>IF(LEN(D3358)=0,"",[1]!i_pq_tradedays($B$3,A3359,A3358)-1)</f>
        <v/>
      </c>
      <c r="G3358" s="16" t="str">
        <f t="shared" si="120"/>
        <v/>
      </c>
      <c r="H3358" s="70" t="str">
        <f t="shared" si="121"/>
        <v/>
      </c>
    </row>
    <row r="3359" spans="1:8">
      <c r="A3359" s="2"/>
      <c r="B3359" s="12"/>
      <c r="C3359" s="12"/>
      <c r="E3359" t="str">
        <f>IF(LEN(D3359)=0,"",[1]!i_pq_tradedays($B$3,A3360,A3359)-1)</f>
        <v/>
      </c>
      <c r="G3359" s="16" t="str">
        <f t="shared" si="120"/>
        <v/>
      </c>
      <c r="H3359" s="70" t="str">
        <f t="shared" si="121"/>
        <v/>
      </c>
    </row>
    <row r="3360" spans="1:8">
      <c r="A3360" s="2"/>
      <c r="B3360" s="12"/>
      <c r="C3360" s="12"/>
      <c r="E3360" t="str">
        <f>IF(LEN(D3360)=0,"",[1]!i_pq_tradedays($B$3,A3361,A3360)-1)</f>
        <v/>
      </c>
      <c r="G3360" s="16" t="str">
        <f t="shared" si="120"/>
        <v/>
      </c>
      <c r="H3360" s="70" t="str">
        <f t="shared" si="121"/>
        <v/>
      </c>
    </row>
    <row r="3361" spans="1:8">
      <c r="A3361" s="2"/>
      <c r="B3361" s="12"/>
      <c r="C3361" s="12"/>
      <c r="E3361" t="str">
        <f>IF(LEN(D3361)=0,"",[1]!i_pq_tradedays($B$3,A3362,A3361)-1)</f>
        <v/>
      </c>
      <c r="G3361" s="16" t="str">
        <f t="shared" si="120"/>
        <v/>
      </c>
      <c r="H3361" s="70" t="str">
        <f t="shared" si="121"/>
        <v/>
      </c>
    </row>
    <row r="3362" spans="1:8">
      <c r="A3362" s="2"/>
      <c r="B3362" s="12"/>
      <c r="C3362" s="12"/>
      <c r="E3362" t="str">
        <f>IF(LEN(D3362)=0,"",[1]!i_pq_tradedays($B$3,A3363,A3362)-1)</f>
        <v/>
      </c>
      <c r="G3362" s="16" t="str">
        <f t="shared" si="120"/>
        <v/>
      </c>
      <c r="H3362" s="70" t="str">
        <f t="shared" si="121"/>
        <v/>
      </c>
    </row>
    <row r="3363" spans="1:8">
      <c r="A3363" s="2"/>
      <c r="B3363" s="12"/>
      <c r="C3363" s="12"/>
      <c r="E3363" t="str">
        <f>IF(LEN(D3363)=0,"",[1]!i_pq_tradedays($B$3,A3364,A3363)-1)</f>
        <v/>
      </c>
      <c r="G3363" s="16" t="str">
        <f t="shared" si="120"/>
        <v/>
      </c>
      <c r="H3363" s="70" t="str">
        <f t="shared" si="121"/>
        <v/>
      </c>
    </row>
    <row r="3364" spans="1:8">
      <c r="A3364" s="2"/>
      <c r="B3364" s="12"/>
      <c r="C3364" s="12"/>
      <c r="E3364" t="str">
        <f>IF(LEN(D3364)=0,"",[1]!i_pq_tradedays($B$3,A3365,A3364)-1)</f>
        <v/>
      </c>
      <c r="G3364" s="16" t="str">
        <f t="shared" si="120"/>
        <v/>
      </c>
      <c r="H3364" s="70" t="str">
        <f t="shared" si="121"/>
        <v/>
      </c>
    </row>
    <row r="3365" spans="1:8">
      <c r="A3365" s="2"/>
      <c r="B3365" s="12"/>
      <c r="C3365" s="12"/>
      <c r="E3365" t="str">
        <f>IF(LEN(D3365)=0,"",[1]!i_pq_tradedays($B$3,A3366,A3365)-1)</f>
        <v/>
      </c>
      <c r="G3365" s="16" t="str">
        <f t="shared" si="120"/>
        <v/>
      </c>
      <c r="H3365" s="70" t="str">
        <f t="shared" si="121"/>
        <v/>
      </c>
    </row>
    <row r="3366" spans="1:8">
      <c r="A3366" s="2"/>
      <c r="B3366" s="12"/>
      <c r="C3366" s="12"/>
      <c r="E3366" t="str">
        <f>IF(LEN(D3366)=0,"",[1]!i_pq_tradedays($B$3,A3367,A3366)-1)</f>
        <v/>
      </c>
      <c r="G3366" s="16" t="str">
        <f t="shared" si="120"/>
        <v/>
      </c>
      <c r="H3366" s="70" t="str">
        <f t="shared" si="121"/>
        <v/>
      </c>
    </row>
    <row r="3367" spans="1:8">
      <c r="A3367" s="2"/>
      <c r="B3367" s="12"/>
      <c r="C3367" s="12"/>
      <c r="E3367" t="str">
        <f>IF(LEN(D3367)=0,"",[1]!i_pq_tradedays($B$3,A3368,A3367)-1)</f>
        <v/>
      </c>
      <c r="G3367" s="16" t="str">
        <f t="shared" si="120"/>
        <v/>
      </c>
      <c r="H3367" s="70" t="str">
        <f t="shared" si="121"/>
        <v/>
      </c>
    </row>
    <row r="3368" spans="1:8">
      <c r="A3368" s="2"/>
      <c r="B3368" s="12"/>
      <c r="C3368" s="12"/>
      <c r="E3368" t="str">
        <f>IF(LEN(D3368)=0,"",[1]!i_pq_tradedays($B$3,A3369,A3368)-1)</f>
        <v/>
      </c>
      <c r="G3368" s="16" t="str">
        <f t="shared" si="120"/>
        <v/>
      </c>
      <c r="H3368" s="70" t="str">
        <f t="shared" si="121"/>
        <v/>
      </c>
    </row>
    <row r="3369" spans="1:8">
      <c r="A3369" s="2"/>
      <c r="B3369" s="12"/>
      <c r="C3369" s="12"/>
      <c r="E3369" t="str">
        <f>IF(LEN(D3369)=0,"",[1]!i_pq_tradedays($B$3,A3370,A3369)-1)</f>
        <v/>
      </c>
      <c r="G3369" s="16" t="str">
        <f t="shared" si="120"/>
        <v/>
      </c>
      <c r="H3369" s="70" t="str">
        <f t="shared" si="121"/>
        <v/>
      </c>
    </row>
    <row r="3370" spans="1:8">
      <c r="A3370" s="2"/>
      <c r="B3370" s="12"/>
      <c r="C3370" s="12"/>
      <c r="E3370" t="str">
        <f>IF(LEN(D3370)=0,"",[1]!i_pq_tradedays($B$3,A3371,A3370)-1)</f>
        <v/>
      </c>
      <c r="G3370" s="16" t="str">
        <f t="shared" si="120"/>
        <v/>
      </c>
      <c r="H3370" s="70" t="str">
        <f t="shared" si="121"/>
        <v/>
      </c>
    </row>
    <row r="3371" spans="1:8">
      <c r="A3371" s="2"/>
      <c r="B3371" s="12"/>
      <c r="C3371" s="12"/>
      <c r="E3371" t="str">
        <f>IF(LEN(D3371)=0,"",[1]!i_pq_tradedays($B$3,A3372,A3371)-1)</f>
        <v/>
      </c>
      <c r="G3371" s="16" t="str">
        <f t="shared" si="120"/>
        <v/>
      </c>
      <c r="H3371" s="70" t="str">
        <f t="shared" si="121"/>
        <v/>
      </c>
    </row>
    <row r="3372" spans="1:8">
      <c r="A3372" s="2"/>
      <c r="B3372" s="12"/>
      <c r="C3372" s="12"/>
      <c r="E3372" t="str">
        <f>IF(LEN(D3372)=0,"",[1]!i_pq_tradedays($B$3,A3373,A3372)-1)</f>
        <v/>
      </c>
      <c r="G3372" s="16" t="str">
        <f t="shared" si="120"/>
        <v/>
      </c>
      <c r="H3372" s="70" t="str">
        <f t="shared" si="121"/>
        <v/>
      </c>
    </row>
    <row r="3373" spans="1:8">
      <c r="A3373" s="2"/>
      <c r="B3373" s="12"/>
      <c r="C3373" s="12"/>
      <c r="E3373" t="str">
        <f>IF(LEN(D3373)=0,"",[1]!i_pq_tradedays($B$3,A3374,A3373)-1)</f>
        <v/>
      </c>
      <c r="G3373" s="16" t="str">
        <f t="shared" si="120"/>
        <v/>
      </c>
      <c r="H3373" s="70" t="str">
        <f t="shared" si="121"/>
        <v/>
      </c>
    </row>
    <row r="3374" spans="1:8">
      <c r="A3374" s="2"/>
      <c r="B3374" s="12"/>
      <c r="C3374" s="12"/>
      <c r="E3374" t="str">
        <f>IF(LEN(D3374)=0,"",[1]!i_pq_tradedays($B$3,A3375,A3374)-1)</f>
        <v/>
      </c>
      <c r="G3374" s="16" t="str">
        <f t="shared" si="120"/>
        <v/>
      </c>
      <c r="H3374" s="70" t="str">
        <f t="shared" si="121"/>
        <v/>
      </c>
    </row>
    <row r="3375" spans="1:8">
      <c r="A3375" s="2"/>
      <c r="B3375" s="12"/>
      <c r="C3375" s="12"/>
      <c r="E3375" t="str">
        <f>IF(LEN(D3375)=0,"",[1]!i_pq_tradedays($B$3,A3376,A3375)-1)</f>
        <v/>
      </c>
      <c r="G3375" s="16" t="str">
        <f t="shared" si="120"/>
        <v/>
      </c>
      <c r="H3375" s="70" t="str">
        <f t="shared" si="121"/>
        <v/>
      </c>
    </row>
    <row r="3376" spans="1:8">
      <c r="A3376" s="2"/>
      <c r="B3376" s="12"/>
      <c r="C3376" s="12"/>
      <c r="E3376" t="str">
        <f>IF(LEN(D3376)=0,"",[1]!i_pq_tradedays($B$3,A3377,A3376)-1)</f>
        <v/>
      </c>
      <c r="G3376" s="16" t="str">
        <f t="shared" si="120"/>
        <v/>
      </c>
      <c r="H3376" s="70" t="str">
        <f t="shared" si="121"/>
        <v/>
      </c>
    </row>
    <row r="3377" spans="1:8">
      <c r="A3377" s="2"/>
      <c r="B3377" s="12"/>
      <c r="C3377" s="12"/>
      <c r="E3377" t="str">
        <f>IF(LEN(D3377)=0,"",[1]!i_pq_tradedays($B$3,A3378,A3377)-1)</f>
        <v/>
      </c>
      <c r="G3377" s="16" t="str">
        <f t="shared" si="120"/>
        <v/>
      </c>
      <c r="H3377" s="70" t="str">
        <f t="shared" si="121"/>
        <v/>
      </c>
    </row>
    <row r="3378" spans="1:8">
      <c r="A3378" s="2"/>
      <c r="B3378" s="12"/>
      <c r="C3378" s="12"/>
      <c r="E3378" t="str">
        <f>IF(LEN(D3378)=0,"",[1]!i_pq_tradedays($B$3,A3379,A3378)-1)</f>
        <v/>
      </c>
      <c r="G3378" s="16" t="str">
        <f t="shared" si="120"/>
        <v/>
      </c>
      <c r="H3378" s="70" t="str">
        <f t="shared" si="121"/>
        <v/>
      </c>
    </row>
    <row r="3379" spans="1:8">
      <c r="A3379" s="2"/>
      <c r="B3379" s="12"/>
      <c r="C3379" s="12"/>
      <c r="E3379" t="str">
        <f>IF(LEN(D3379)=0,"",[1]!i_pq_tradedays($B$3,A3380,A3379)-1)</f>
        <v/>
      </c>
      <c r="G3379" s="16" t="str">
        <f t="shared" si="120"/>
        <v/>
      </c>
      <c r="H3379" s="70" t="str">
        <f t="shared" si="121"/>
        <v/>
      </c>
    </row>
    <row r="3380" spans="1:8">
      <c r="A3380" s="2"/>
      <c r="B3380" s="12"/>
      <c r="C3380" s="12"/>
      <c r="E3380" t="str">
        <f>IF(LEN(D3380)=0,"",[1]!i_pq_tradedays($B$3,A3381,A3380)-1)</f>
        <v/>
      </c>
      <c r="G3380" s="16" t="str">
        <f t="shared" si="120"/>
        <v/>
      </c>
      <c r="H3380" s="70" t="str">
        <f t="shared" si="121"/>
        <v/>
      </c>
    </row>
    <row r="3381" spans="1:8">
      <c r="A3381" s="2"/>
      <c r="B3381" s="12"/>
      <c r="C3381" s="12"/>
      <c r="E3381" t="str">
        <f>IF(LEN(D3381)=0,"",[1]!i_pq_tradedays($B$3,A3382,A3381)-1)</f>
        <v/>
      </c>
      <c r="G3381" s="16" t="str">
        <f t="shared" ref="G3381:G3444" si="122">IF(LEN(D3381)=0,"",D3381/E3381)</f>
        <v/>
      </c>
      <c r="H3381" s="70" t="str">
        <f t="shared" ref="H3381:H3444" si="123">IF(LEN(D3381)=0,"",G3381/G3382-1)</f>
        <v/>
      </c>
    </row>
    <row r="3382" spans="1:8">
      <c r="A3382" s="2"/>
      <c r="B3382" s="12"/>
      <c r="C3382" s="12"/>
      <c r="E3382" t="str">
        <f>IF(LEN(D3382)=0,"",[1]!i_pq_tradedays($B$3,A3383,A3382)-1)</f>
        <v/>
      </c>
      <c r="G3382" s="16" t="str">
        <f t="shared" si="122"/>
        <v/>
      </c>
      <c r="H3382" s="70" t="str">
        <f t="shared" si="123"/>
        <v/>
      </c>
    </row>
    <row r="3383" spans="1:8">
      <c r="A3383" s="2"/>
      <c r="B3383" s="12"/>
      <c r="C3383" s="12"/>
      <c r="E3383" t="str">
        <f>IF(LEN(D3383)=0,"",[1]!i_pq_tradedays($B$3,A3384,A3383)-1)</f>
        <v/>
      </c>
      <c r="G3383" s="16" t="str">
        <f t="shared" si="122"/>
        <v/>
      </c>
      <c r="H3383" s="70" t="str">
        <f t="shared" si="123"/>
        <v/>
      </c>
    </row>
    <row r="3384" spans="1:8">
      <c r="A3384" s="2"/>
      <c r="B3384" s="12"/>
      <c r="C3384" s="12"/>
      <c r="E3384" t="str">
        <f>IF(LEN(D3384)=0,"",[1]!i_pq_tradedays($B$3,A3385,A3384)-1)</f>
        <v/>
      </c>
      <c r="G3384" s="16" t="str">
        <f t="shared" si="122"/>
        <v/>
      </c>
      <c r="H3384" s="70" t="str">
        <f t="shared" si="123"/>
        <v/>
      </c>
    </row>
    <row r="3385" spans="1:8">
      <c r="A3385" s="2"/>
      <c r="B3385" s="12"/>
      <c r="C3385" s="12"/>
      <c r="E3385" t="str">
        <f>IF(LEN(D3385)=0,"",[1]!i_pq_tradedays($B$3,A3386,A3385)-1)</f>
        <v/>
      </c>
      <c r="G3385" s="16" t="str">
        <f t="shared" si="122"/>
        <v/>
      </c>
      <c r="H3385" s="70" t="str">
        <f t="shared" si="123"/>
        <v/>
      </c>
    </row>
    <row r="3386" spans="1:8">
      <c r="A3386" s="2"/>
      <c r="B3386" s="12"/>
      <c r="C3386" s="12"/>
      <c r="E3386" t="str">
        <f>IF(LEN(D3386)=0,"",[1]!i_pq_tradedays($B$3,A3387,A3386)-1)</f>
        <v/>
      </c>
      <c r="G3386" s="16" t="str">
        <f t="shared" si="122"/>
        <v/>
      </c>
      <c r="H3386" s="70" t="str">
        <f t="shared" si="123"/>
        <v/>
      </c>
    </row>
    <row r="3387" spans="1:8">
      <c r="A3387" s="2"/>
      <c r="B3387" s="12"/>
      <c r="C3387" s="12"/>
      <c r="E3387" t="str">
        <f>IF(LEN(D3387)=0,"",[1]!i_pq_tradedays($B$3,A3388,A3387)-1)</f>
        <v/>
      </c>
      <c r="G3387" s="16" t="str">
        <f t="shared" si="122"/>
        <v/>
      </c>
      <c r="H3387" s="70" t="str">
        <f t="shared" si="123"/>
        <v/>
      </c>
    </row>
    <row r="3388" spans="1:8">
      <c r="A3388" s="2"/>
      <c r="B3388" s="12"/>
      <c r="C3388" s="12"/>
      <c r="E3388" t="str">
        <f>IF(LEN(D3388)=0,"",[1]!i_pq_tradedays($B$3,A3389,A3388)-1)</f>
        <v/>
      </c>
      <c r="G3388" s="16" t="str">
        <f t="shared" si="122"/>
        <v/>
      </c>
      <c r="H3388" s="70" t="str">
        <f t="shared" si="123"/>
        <v/>
      </c>
    </row>
    <row r="3389" spans="1:8">
      <c r="A3389" s="2"/>
      <c r="B3389" s="12"/>
      <c r="C3389" s="12"/>
      <c r="E3389" t="str">
        <f>IF(LEN(D3389)=0,"",[1]!i_pq_tradedays($B$3,A3390,A3389)-1)</f>
        <v/>
      </c>
      <c r="G3389" s="16" t="str">
        <f t="shared" si="122"/>
        <v/>
      </c>
      <c r="H3389" s="70" t="str">
        <f t="shared" si="123"/>
        <v/>
      </c>
    </row>
    <row r="3390" spans="1:8">
      <c r="A3390" s="2"/>
      <c r="B3390" s="12"/>
      <c r="C3390" s="12"/>
      <c r="E3390" t="str">
        <f>IF(LEN(D3390)=0,"",[1]!i_pq_tradedays($B$3,A3391,A3390)-1)</f>
        <v/>
      </c>
      <c r="G3390" s="16" t="str">
        <f t="shared" si="122"/>
        <v/>
      </c>
      <c r="H3390" s="70" t="str">
        <f t="shared" si="123"/>
        <v/>
      </c>
    </row>
    <row r="3391" spans="1:8">
      <c r="A3391" s="2"/>
      <c r="B3391" s="12"/>
      <c r="C3391" s="12"/>
      <c r="E3391" t="str">
        <f>IF(LEN(D3391)=0,"",[1]!i_pq_tradedays($B$3,A3392,A3391)-1)</f>
        <v/>
      </c>
      <c r="G3391" s="16" t="str">
        <f t="shared" si="122"/>
        <v/>
      </c>
      <c r="H3391" s="70" t="str">
        <f t="shared" si="123"/>
        <v/>
      </c>
    </row>
    <row r="3392" spans="1:8">
      <c r="A3392" s="2"/>
      <c r="B3392" s="12"/>
      <c r="C3392" s="12"/>
      <c r="E3392" t="str">
        <f>IF(LEN(D3392)=0,"",[1]!i_pq_tradedays($B$3,A3393,A3392)-1)</f>
        <v/>
      </c>
      <c r="G3392" s="16" t="str">
        <f t="shared" si="122"/>
        <v/>
      </c>
      <c r="H3392" s="70" t="str">
        <f t="shared" si="123"/>
        <v/>
      </c>
    </row>
    <row r="3393" spans="1:8">
      <c r="A3393" s="2"/>
      <c r="B3393" s="12"/>
      <c r="C3393" s="12"/>
      <c r="E3393" t="str">
        <f>IF(LEN(D3393)=0,"",[1]!i_pq_tradedays($B$3,A3394,A3393)-1)</f>
        <v/>
      </c>
      <c r="G3393" s="16" t="str">
        <f t="shared" si="122"/>
        <v/>
      </c>
      <c r="H3393" s="70" t="str">
        <f t="shared" si="123"/>
        <v/>
      </c>
    </row>
    <row r="3394" spans="1:8">
      <c r="A3394" s="2"/>
      <c r="B3394" s="12"/>
      <c r="C3394" s="12"/>
      <c r="E3394" t="str">
        <f>IF(LEN(D3394)=0,"",[1]!i_pq_tradedays($B$3,A3395,A3394)-1)</f>
        <v/>
      </c>
      <c r="G3394" s="16" t="str">
        <f t="shared" si="122"/>
        <v/>
      </c>
      <c r="H3394" s="70" t="str">
        <f t="shared" si="123"/>
        <v/>
      </c>
    </row>
    <row r="3395" spans="1:8">
      <c r="A3395" s="2"/>
      <c r="B3395" s="12"/>
      <c r="C3395" s="12"/>
      <c r="E3395" t="str">
        <f>IF(LEN(D3395)=0,"",[1]!i_pq_tradedays($B$3,A3396,A3395)-1)</f>
        <v/>
      </c>
      <c r="G3395" s="16" t="str">
        <f t="shared" si="122"/>
        <v/>
      </c>
      <c r="H3395" s="70" t="str">
        <f t="shared" si="123"/>
        <v/>
      </c>
    </row>
    <row r="3396" spans="1:8">
      <c r="A3396" s="2"/>
      <c r="B3396" s="12"/>
      <c r="C3396" s="12"/>
      <c r="E3396" t="str">
        <f>IF(LEN(D3396)=0,"",[1]!i_pq_tradedays($B$3,A3397,A3396)-1)</f>
        <v/>
      </c>
      <c r="G3396" s="16" t="str">
        <f t="shared" si="122"/>
        <v/>
      </c>
      <c r="H3396" s="70" t="str">
        <f t="shared" si="123"/>
        <v/>
      </c>
    </row>
    <row r="3397" spans="1:8">
      <c r="A3397" s="2"/>
      <c r="B3397" s="12"/>
      <c r="C3397" s="12"/>
      <c r="E3397" t="str">
        <f>IF(LEN(D3397)=0,"",[1]!i_pq_tradedays($B$3,A3398,A3397)-1)</f>
        <v/>
      </c>
      <c r="G3397" s="16" t="str">
        <f t="shared" si="122"/>
        <v/>
      </c>
      <c r="H3397" s="70" t="str">
        <f t="shared" si="123"/>
        <v/>
      </c>
    </row>
    <row r="3398" spans="1:8">
      <c r="A3398" s="2"/>
      <c r="B3398" s="12"/>
      <c r="C3398" s="12"/>
      <c r="E3398" t="str">
        <f>IF(LEN(D3398)=0,"",[1]!i_pq_tradedays($B$3,A3399,A3398)-1)</f>
        <v/>
      </c>
      <c r="G3398" s="16" t="str">
        <f t="shared" si="122"/>
        <v/>
      </c>
      <c r="H3398" s="70" t="str">
        <f t="shared" si="123"/>
        <v/>
      </c>
    </row>
    <row r="3399" spans="1:8">
      <c r="A3399" s="2"/>
      <c r="B3399" s="12"/>
      <c r="C3399" s="12"/>
      <c r="E3399" t="str">
        <f>IF(LEN(D3399)=0,"",[1]!i_pq_tradedays($B$3,A3400,A3399)-1)</f>
        <v/>
      </c>
      <c r="G3399" s="16" t="str">
        <f t="shared" si="122"/>
        <v/>
      </c>
      <c r="H3399" s="70" t="str">
        <f t="shared" si="123"/>
        <v/>
      </c>
    </row>
    <row r="3400" spans="1:8">
      <c r="A3400" s="2"/>
      <c r="B3400" s="12"/>
      <c r="C3400" s="12"/>
      <c r="E3400" t="str">
        <f>IF(LEN(D3400)=0,"",[1]!i_pq_tradedays($B$3,A3401,A3400)-1)</f>
        <v/>
      </c>
      <c r="G3400" s="16" t="str">
        <f t="shared" si="122"/>
        <v/>
      </c>
      <c r="H3400" s="70" t="str">
        <f t="shared" si="123"/>
        <v/>
      </c>
    </row>
    <row r="3401" spans="1:8">
      <c r="A3401" s="2"/>
      <c r="B3401" s="12"/>
      <c r="C3401" s="12"/>
      <c r="E3401" t="str">
        <f>IF(LEN(D3401)=0,"",[1]!i_pq_tradedays($B$3,A3402,A3401)-1)</f>
        <v/>
      </c>
      <c r="G3401" s="16" t="str">
        <f t="shared" si="122"/>
        <v/>
      </c>
      <c r="H3401" s="70" t="str">
        <f t="shared" si="123"/>
        <v/>
      </c>
    </row>
    <row r="3402" spans="1:8">
      <c r="A3402" s="2"/>
      <c r="B3402" s="12"/>
      <c r="C3402" s="12"/>
      <c r="E3402" t="str">
        <f>IF(LEN(D3402)=0,"",[1]!i_pq_tradedays($B$3,A3403,A3402)-1)</f>
        <v/>
      </c>
      <c r="G3402" s="16" t="str">
        <f t="shared" si="122"/>
        <v/>
      </c>
      <c r="H3402" s="70" t="str">
        <f t="shared" si="123"/>
        <v/>
      </c>
    </row>
    <row r="3403" spans="1:8">
      <c r="A3403" s="2"/>
      <c r="B3403" s="12"/>
      <c r="C3403" s="12"/>
      <c r="E3403" t="str">
        <f>IF(LEN(D3403)=0,"",[1]!i_pq_tradedays($B$3,A3404,A3403)-1)</f>
        <v/>
      </c>
      <c r="G3403" s="16" t="str">
        <f t="shared" si="122"/>
        <v/>
      </c>
      <c r="H3403" s="70" t="str">
        <f t="shared" si="123"/>
        <v/>
      </c>
    </row>
    <row r="3404" spans="1:8">
      <c r="A3404" s="2"/>
      <c r="B3404" s="12"/>
      <c r="C3404" s="12"/>
      <c r="E3404" t="str">
        <f>IF(LEN(D3404)=0,"",[1]!i_pq_tradedays($B$3,A3405,A3404)-1)</f>
        <v/>
      </c>
      <c r="G3404" s="16" t="str">
        <f t="shared" si="122"/>
        <v/>
      </c>
      <c r="H3404" s="70" t="str">
        <f t="shared" si="123"/>
        <v/>
      </c>
    </row>
    <row r="3405" spans="1:8">
      <c r="A3405" s="2"/>
      <c r="B3405" s="12"/>
      <c r="C3405" s="12"/>
      <c r="E3405" t="str">
        <f>IF(LEN(D3405)=0,"",[1]!i_pq_tradedays($B$3,A3406,A3405)-1)</f>
        <v/>
      </c>
      <c r="G3405" s="16" t="str">
        <f t="shared" si="122"/>
        <v/>
      </c>
      <c r="H3405" s="70" t="str">
        <f t="shared" si="123"/>
        <v/>
      </c>
    </row>
    <row r="3406" spans="1:8">
      <c r="A3406" s="2"/>
      <c r="B3406" s="12"/>
      <c r="C3406" s="12"/>
      <c r="E3406" t="str">
        <f>IF(LEN(D3406)=0,"",[1]!i_pq_tradedays($B$3,A3407,A3406)-1)</f>
        <v/>
      </c>
      <c r="G3406" s="16" t="str">
        <f t="shared" si="122"/>
        <v/>
      </c>
      <c r="H3406" s="70" t="str">
        <f t="shared" si="123"/>
        <v/>
      </c>
    </row>
    <row r="3407" spans="1:8">
      <c r="A3407" s="2"/>
      <c r="B3407" s="12"/>
      <c r="C3407" s="12"/>
      <c r="E3407" t="str">
        <f>IF(LEN(D3407)=0,"",[1]!i_pq_tradedays($B$3,A3408,A3407)-1)</f>
        <v/>
      </c>
      <c r="G3407" s="16" t="str">
        <f t="shared" si="122"/>
        <v/>
      </c>
      <c r="H3407" s="70" t="str">
        <f t="shared" si="123"/>
        <v/>
      </c>
    </row>
    <row r="3408" spans="1:8">
      <c r="A3408" s="2"/>
      <c r="B3408" s="12"/>
      <c r="C3408" s="12"/>
      <c r="E3408" t="str">
        <f>IF(LEN(D3408)=0,"",[1]!i_pq_tradedays($B$3,A3409,A3408)-1)</f>
        <v/>
      </c>
      <c r="G3408" s="16" t="str">
        <f t="shared" si="122"/>
        <v/>
      </c>
      <c r="H3408" s="70" t="str">
        <f t="shared" si="123"/>
        <v/>
      </c>
    </row>
    <row r="3409" spans="1:8">
      <c r="A3409" s="2"/>
      <c r="B3409" s="12"/>
      <c r="C3409" s="12"/>
      <c r="E3409" t="str">
        <f>IF(LEN(D3409)=0,"",[1]!i_pq_tradedays($B$3,A3410,A3409)-1)</f>
        <v/>
      </c>
      <c r="G3409" s="16" t="str">
        <f t="shared" si="122"/>
        <v/>
      </c>
      <c r="H3409" s="70" t="str">
        <f t="shared" si="123"/>
        <v/>
      </c>
    </row>
    <row r="3410" spans="1:8">
      <c r="A3410" s="2"/>
      <c r="B3410" s="12"/>
      <c r="C3410" s="12"/>
      <c r="E3410" t="str">
        <f>IF(LEN(D3410)=0,"",[1]!i_pq_tradedays($B$3,A3411,A3410)-1)</f>
        <v/>
      </c>
      <c r="G3410" s="16" t="str">
        <f t="shared" si="122"/>
        <v/>
      </c>
      <c r="H3410" s="70" t="str">
        <f t="shared" si="123"/>
        <v/>
      </c>
    </row>
    <row r="3411" spans="1:8">
      <c r="A3411" s="2"/>
      <c r="B3411" s="12"/>
      <c r="C3411" s="12"/>
      <c r="E3411" t="str">
        <f>IF(LEN(D3411)=0,"",[1]!i_pq_tradedays($B$3,A3412,A3411)-1)</f>
        <v/>
      </c>
      <c r="G3411" s="16" t="str">
        <f t="shared" si="122"/>
        <v/>
      </c>
      <c r="H3411" s="70" t="str">
        <f t="shared" si="123"/>
        <v/>
      </c>
    </row>
    <row r="3412" spans="1:8">
      <c r="A3412" s="2"/>
      <c r="B3412" s="12"/>
      <c r="C3412" s="12"/>
      <c r="E3412" t="str">
        <f>IF(LEN(D3412)=0,"",[1]!i_pq_tradedays($B$3,A3413,A3412)-1)</f>
        <v/>
      </c>
      <c r="G3412" s="16" t="str">
        <f t="shared" si="122"/>
        <v/>
      </c>
      <c r="H3412" s="70" t="str">
        <f t="shared" si="123"/>
        <v/>
      </c>
    </row>
    <row r="3413" spans="1:8">
      <c r="A3413" s="2"/>
      <c r="B3413" s="12"/>
      <c r="C3413" s="12"/>
      <c r="E3413" t="str">
        <f>IF(LEN(D3413)=0,"",[1]!i_pq_tradedays($B$3,A3414,A3413)-1)</f>
        <v/>
      </c>
      <c r="G3413" s="16" t="str">
        <f t="shared" si="122"/>
        <v/>
      </c>
      <c r="H3413" s="70" t="str">
        <f t="shared" si="123"/>
        <v/>
      </c>
    </row>
    <row r="3414" spans="1:8">
      <c r="A3414" s="2"/>
      <c r="B3414" s="12"/>
      <c r="C3414" s="12"/>
      <c r="E3414" t="str">
        <f>IF(LEN(D3414)=0,"",[1]!i_pq_tradedays($B$3,A3415,A3414)-1)</f>
        <v/>
      </c>
      <c r="G3414" s="16" t="str">
        <f t="shared" si="122"/>
        <v/>
      </c>
      <c r="H3414" s="70" t="str">
        <f t="shared" si="123"/>
        <v/>
      </c>
    </row>
    <row r="3415" spans="1:8">
      <c r="A3415" s="2"/>
      <c r="B3415" s="12"/>
      <c r="C3415" s="12"/>
      <c r="E3415" t="str">
        <f>IF(LEN(D3415)=0,"",[1]!i_pq_tradedays($B$3,A3416,A3415)-1)</f>
        <v/>
      </c>
      <c r="G3415" s="16" t="str">
        <f t="shared" si="122"/>
        <v/>
      </c>
      <c r="H3415" s="70" t="str">
        <f t="shared" si="123"/>
        <v/>
      </c>
    </row>
    <row r="3416" spans="1:8">
      <c r="A3416" s="2"/>
      <c r="B3416" s="12"/>
      <c r="C3416" s="12"/>
      <c r="E3416" t="str">
        <f>IF(LEN(D3416)=0,"",[1]!i_pq_tradedays($B$3,A3417,A3416)-1)</f>
        <v/>
      </c>
      <c r="G3416" s="16" t="str">
        <f t="shared" si="122"/>
        <v/>
      </c>
      <c r="H3416" s="70" t="str">
        <f t="shared" si="123"/>
        <v/>
      </c>
    </row>
    <row r="3417" spans="1:8">
      <c r="A3417" s="2"/>
      <c r="B3417" s="12"/>
      <c r="C3417" s="12"/>
      <c r="E3417" t="str">
        <f>IF(LEN(D3417)=0,"",[1]!i_pq_tradedays($B$3,A3418,A3417)-1)</f>
        <v/>
      </c>
      <c r="G3417" s="16" t="str">
        <f t="shared" si="122"/>
        <v/>
      </c>
      <c r="H3417" s="70" t="str">
        <f t="shared" si="123"/>
        <v/>
      </c>
    </row>
    <row r="3418" spans="1:8">
      <c r="A3418" s="2"/>
      <c r="B3418" s="12"/>
      <c r="C3418" s="12"/>
      <c r="E3418" t="str">
        <f>IF(LEN(D3418)=0,"",[1]!i_pq_tradedays($B$3,A3419,A3418)-1)</f>
        <v/>
      </c>
      <c r="G3418" s="16" t="str">
        <f t="shared" si="122"/>
        <v/>
      </c>
      <c r="H3418" s="70" t="str">
        <f t="shared" si="123"/>
        <v/>
      </c>
    </row>
    <row r="3419" spans="1:8">
      <c r="A3419" s="2"/>
      <c r="B3419" s="12"/>
      <c r="C3419" s="12"/>
      <c r="E3419" t="str">
        <f>IF(LEN(D3419)=0,"",[1]!i_pq_tradedays($B$3,A3420,A3419)-1)</f>
        <v/>
      </c>
      <c r="G3419" s="16" t="str">
        <f t="shared" si="122"/>
        <v/>
      </c>
      <c r="H3419" s="70" t="str">
        <f t="shared" si="123"/>
        <v/>
      </c>
    </row>
    <row r="3420" spans="1:8">
      <c r="A3420" s="2"/>
      <c r="B3420" s="12"/>
      <c r="C3420" s="12"/>
      <c r="E3420" t="str">
        <f>IF(LEN(D3420)=0,"",[1]!i_pq_tradedays($B$3,A3421,A3420)-1)</f>
        <v/>
      </c>
      <c r="G3420" s="16" t="str">
        <f t="shared" si="122"/>
        <v/>
      </c>
      <c r="H3420" s="70" t="str">
        <f t="shared" si="123"/>
        <v/>
      </c>
    </row>
    <row r="3421" spans="1:8">
      <c r="A3421" s="2"/>
      <c r="B3421" s="12"/>
      <c r="C3421" s="12"/>
      <c r="E3421" t="str">
        <f>IF(LEN(D3421)=0,"",[1]!i_pq_tradedays($B$3,A3422,A3421)-1)</f>
        <v/>
      </c>
      <c r="G3421" s="16" t="str">
        <f t="shared" si="122"/>
        <v/>
      </c>
      <c r="H3421" s="70" t="str">
        <f t="shared" si="123"/>
        <v/>
      </c>
    </row>
    <row r="3422" spans="1:8">
      <c r="A3422" s="2"/>
      <c r="B3422" s="12"/>
      <c r="C3422" s="12"/>
      <c r="E3422" t="str">
        <f>IF(LEN(D3422)=0,"",[1]!i_pq_tradedays($B$3,A3423,A3422)-1)</f>
        <v/>
      </c>
      <c r="G3422" s="16" t="str">
        <f t="shared" si="122"/>
        <v/>
      </c>
      <c r="H3422" s="70" t="str">
        <f t="shared" si="123"/>
        <v/>
      </c>
    </row>
    <row r="3423" spans="1:8">
      <c r="A3423" s="2"/>
      <c r="B3423" s="12"/>
      <c r="C3423" s="12"/>
      <c r="E3423" t="str">
        <f>IF(LEN(D3423)=0,"",[1]!i_pq_tradedays($B$3,A3424,A3423)-1)</f>
        <v/>
      </c>
      <c r="G3423" s="16" t="str">
        <f t="shared" si="122"/>
        <v/>
      </c>
      <c r="H3423" s="70" t="str">
        <f t="shared" si="123"/>
        <v/>
      </c>
    </row>
    <row r="3424" spans="1:8">
      <c r="A3424" s="2"/>
      <c r="B3424" s="12"/>
      <c r="C3424" s="12"/>
      <c r="E3424" t="str">
        <f>IF(LEN(D3424)=0,"",[1]!i_pq_tradedays($B$3,A3425,A3424)-1)</f>
        <v/>
      </c>
      <c r="G3424" s="16" t="str">
        <f t="shared" si="122"/>
        <v/>
      </c>
      <c r="H3424" s="70" t="str">
        <f t="shared" si="123"/>
        <v/>
      </c>
    </row>
    <row r="3425" spans="1:8">
      <c r="A3425" s="2"/>
      <c r="B3425" s="12"/>
      <c r="C3425" s="12"/>
      <c r="E3425" t="str">
        <f>IF(LEN(D3425)=0,"",[1]!i_pq_tradedays($B$3,A3426,A3425)-1)</f>
        <v/>
      </c>
      <c r="G3425" s="16" t="str">
        <f t="shared" si="122"/>
        <v/>
      </c>
      <c r="H3425" s="70" t="str">
        <f t="shared" si="123"/>
        <v/>
      </c>
    </row>
    <row r="3426" spans="1:8">
      <c r="A3426" s="2"/>
      <c r="B3426" s="12"/>
      <c r="C3426" s="12"/>
      <c r="E3426" t="str">
        <f>IF(LEN(D3426)=0,"",[1]!i_pq_tradedays($B$3,A3427,A3426)-1)</f>
        <v/>
      </c>
      <c r="G3426" s="16" t="str">
        <f t="shared" si="122"/>
        <v/>
      </c>
      <c r="H3426" s="70" t="str">
        <f t="shared" si="123"/>
        <v/>
      </c>
    </row>
    <row r="3427" spans="1:8">
      <c r="A3427" s="2"/>
      <c r="B3427" s="12"/>
      <c r="C3427" s="12"/>
      <c r="E3427" t="str">
        <f>IF(LEN(D3427)=0,"",[1]!i_pq_tradedays($B$3,A3428,A3427)-1)</f>
        <v/>
      </c>
      <c r="G3427" s="16" t="str">
        <f t="shared" si="122"/>
        <v/>
      </c>
      <c r="H3427" s="70" t="str">
        <f t="shared" si="123"/>
        <v/>
      </c>
    </row>
    <row r="3428" spans="1:8">
      <c r="A3428" s="2"/>
      <c r="B3428" s="12"/>
      <c r="C3428" s="12"/>
      <c r="E3428" t="str">
        <f>IF(LEN(D3428)=0,"",[1]!i_pq_tradedays($B$3,A3429,A3428)-1)</f>
        <v/>
      </c>
      <c r="G3428" s="16" t="str">
        <f t="shared" si="122"/>
        <v/>
      </c>
      <c r="H3428" s="70" t="str">
        <f t="shared" si="123"/>
        <v/>
      </c>
    </row>
    <row r="3429" spans="1:8">
      <c r="A3429" s="2"/>
      <c r="B3429" s="12"/>
      <c r="C3429" s="12"/>
      <c r="E3429" t="str">
        <f>IF(LEN(D3429)=0,"",[1]!i_pq_tradedays($B$3,A3430,A3429)-1)</f>
        <v/>
      </c>
      <c r="G3429" s="16" t="str">
        <f t="shared" si="122"/>
        <v/>
      </c>
      <c r="H3429" s="70" t="str">
        <f t="shared" si="123"/>
        <v/>
      </c>
    </row>
    <row r="3430" spans="1:8">
      <c r="A3430" s="2"/>
      <c r="B3430" s="12"/>
      <c r="C3430" s="12"/>
      <c r="E3430" t="str">
        <f>IF(LEN(D3430)=0,"",[1]!i_pq_tradedays($B$3,A3431,A3430)-1)</f>
        <v/>
      </c>
      <c r="G3430" s="16" t="str">
        <f t="shared" si="122"/>
        <v/>
      </c>
      <c r="H3430" s="70" t="str">
        <f t="shared" si="123"/>
        <v/>
      </c>
    </row>
    <row r="3431" spans="1:8">
      <c r="A3431" s="2"/>
      <c r="B3431" s="12"/>
      <c r="C3431" s="12"/>
      <c r="E3431" t="str">
        <f>IF(LEN(D3431)=0,"",[1]!i_pq_tradedays($B$3,A3432,A3431)-1)</f>
        <v/>
      </c>
      <c r="G3431" s="16" t="str">
        <f t="shared" si="122"/>
        <v/>
      </c>
      <c r="H3431" s="70" t="str">
        <f t="shared" si="123"/>
        <v/>
      </c>
    </row>
    <row r="3432" spans="1:8">
      <c r="A3432" s="2"/>
      <c r="B3432" s="12"/>
      <c r="C3432" s="12"/>
      <c r="E3432" t="str">
        <f>IF(LEN(D3432)=0,"",[1]!i_pq_tradedays($B$3,A3433,A3432)-1)</f>
        <v/>
      </c>
      <c r="G3432" s="16" t="str">
        <f t="shared" si="122"/>
        <v/>
      </c>
      <c r="H3432" s="70" t="str">
        <f t="shared" si="123"/>
        <v/>
      </c>
    </row>
    <row r="3433" spans="1:8">
      <c r="A3433" s="2"/>
      <c r="B3433" s="12"/>
      <c r="C3433" s="12"/>
      <c r="E3433" t="str">
        <f>IF(LEN(D3433)=0,"",[1]!i_pq_tradedays($B$3,A3434,A3433)-1)</f>
        <v/>
      </c>
      <c r="G3433" s="16" t="str">
        <f t="shared" si="122"/>
        <v/>
      </c>
      <c r="H3433" s="70" t="str">
        <f t="shared" si="123"/>
        <v/>
      </c>
    </row>
    <row r="3434" spans="1:8">
      <c r="A3434" s="2"/>
      <c r="B3434" s="12"/>
      <c r="C3434" s="12"/>
      <c r="E3434" t="str">
        <f>IF(LEN(D3434)=0,"",[1]!i_pq_tradedays($B$3,A3435,A3434)-1)</f>
        <v/>
      </c>
      <c r="G3434" s="16" t="str">
        <f t="shared" si="122"/>
        <v/>
      </c>
      <c r="H3434" s="70" t="str">
        <f t="shared" si="123"/>
        <v/>
      </c>
    </row>
    <row r="3435" spans="1:8">
      <c r="A3435" s="2"/>
      <c r="B3435" s="12"/>
      <c r="C3435" s="12"/>
      <c r="E3435" t="str">
        <f>IF(LEN(D3435)=0,"",[1]!i_pq_tradedays($B$3,A3436,A3435)-1)</f>
        <v/>
      </c>
      <c r="G3435" s="16" t="str">
        <f t="shared" si="122"/>
        <v/>
      </c>
      <c r="H3435" s="70" t="str">
        <f t="shared" si="123"/>
        <v/>
      </c>
    </row>
    <row r="3436" spans="1:8">
      <c r="A3436" s="2"/>
      <c r="B3436" s="12"/>
      <c r="C3436" s="12"/>
      <c r="E3436" t="str">
        <f>IF(LEN(D3436)=0,"",[1]!i_pq_tradedays($B$3,A3437,A3436)-1)</f>
        <v/>
      </c>
      <c r="G3436" s="16" t="str">
        <f t="shared" si="122"/>
        <v/>
      </c>
      <c r="H3436" s="70" t="str">
        <f t="shared" si="123"/>
        <v/>
      </c>
    </row>
    <row r="3437" spans="1:8">
      <c r="A3437" s="2"/>
      <c r="B3437" s="12"/>
      <c r="C3437" s="12"/>
      <c r="E3437" t="str">
        <f>IF(LEN(D3437)=0,"",[1]!i_pq_tradedays($B$3,A3438,A3437)-1)</f>
        <v/>
      </c>
      <c r="G3437" s="16" t="str">
        <f t="shared" si="122"/>
        <v/>
      </c>
      <c r="H3437" s="70" t="str">
        <f t="shared" si="123"/>
        <v/>
      </c>
    </row>
    <row r="3438" spans="1:8">
      <c r="A3438" s="2"/>
      <c r="B3438" s="12"/>
      <c r="C3438" s="12"/>
      <c r="E3438" t="str">
        <f>IF(LEN(D3438)=0,"",[1]!i_pq_tradedays($B$3,A3439,A3438)-1)</f>
        <v/>
      </c>
      <c r="G3438" s="16" t="str">
        <f t="shared" si="122"/>
        <v/>
      </c>
      <c r="H3438" s="70" t="str">
        <f t="shared" si="123"/>
        <v/>
      </c>
    </row>
    <row r="3439" spans="1:8">
      <c r="A3439" s="2"/>
      <c r="B3439" s="12"/>
      <c r="C3439" s="12"/>
      <c r="E3439" t="str">
        <f>IF(LEN(D3439)=0,"",[1]!i_pq_tradedays($B$3,A3440,A3439)-1)</f>
        <v/>
      </c>
      <c r="G3439" s="16" t="str">
        <f t="shared" si="122"/>
        <v/>
      </c>
      <c r="H3439" s="70" t="str">
        <f t="shared" si="123"/>
        <v/>
      </c>
    </row>
    <row r="3440" spans="1:8">
      <c r="A3440" s="2"/>
      <c r="B3440" s="12"/>
      <c r="C3440" s="12"/>
      <c r="E3440" t="str">
        <f>IF(LEN(D3440)=0,"",[1]!i_pq_tradedays($B$3,A3441,A3440)-1)</f>
        <v/>
      </c>
      <c r="G3440" s="16" t="str">
        <f t="shared" si="122"/>
        <v/>
      </c>
      <c r="H3440" s="70" t="str">
        <f t="shared" si="123"/>
        <v/>
      </c>
    </row>
    <row r="3441" spans="1:8">
      <c r="A3441" s="2"/>
      <c r="B3441" s="12"/>
      <c r="C3441" s="12"/>
      <c r="E3441" t="str">
        <f>IF(LEN(D3441)=0,"",[1]!i_pq_tradedays($B$3,A3442,A3441)-1)</f>
        <v/>
      </c>
      <c r="G3441" s="16" t="str">
        <f t="shared" si="122"/>
        <v/>
      </c>
      <c r="H3441" s="70" t="str">
        <f t="shared" si="123"/>
        <v/>
      </c>
    </row>
    <row r="3442" spans="1:8">
      <c r="A3442" s="2"/>
      <c r="B3442" s="12"/>
      <c r="C3442" s="12"/>
      <c r="E3442" t="str">
        <f>IF(LEN(D3442)=0,"",[1]!i_pq_tradedays($B$3,A3443,A3442)-1)</f>
        <v/>
      </c>
      <c r="G3442" s="16" t="str">
        <f t="shared" si="122"/>
        <v/>
      </c>
      <c r="H3442" s="70" t="str">
        <f t="shared" si="123"/>
        <v/>
      </c>
    </row>
    <row r="3443" spans="1:8">
      <c r="A3443" s="2"/>
      <c r="B3443" s="12"/>
      <c r="C3443" s="12"/>
      <c r="E3443" t="str">
        <f>IF(LEN(D3443)=0,"",[1]!i_pq_tradedays($B$3,A3444,A3443)-1)</f>
        <v/>
      </c>
      <c r="G3443" s="16" t="str">
        <f t="shared" si="122"/>
        <v/>
      </c>
      <c r="H3443" s="70" t="str">
        <f t="shared" si="123"/>
        <v/>
      </c>
    </row>
    <row r="3444" spans="1:8">
      <c r="A3444" s="2"/>
      <c r="B3444" s="12"/>
      <c r="C3444" s="12"/>
      <c r="E3444" t="str">
        <f>IF(LEN(D3444)=0,"",[1]!i_pq_tradedays($B$3,A3445,A3444)-1)</f>
        <v/>
      </c>
      <c r="G3444" s="16" t="str">
        <f t="shared" si="122"/>
        <v/>
      </c>
      <c r="H3444" s="70" t="str">
        <f t="shared" si="123"/>
        <v/>
      </c>
    </row>
    <row r="3445" spans="1:8">
      <c r="A3445" s="2"/>
      <c r="B3445" s="12"/>
      <c r="C3445" s="12"/>
      <c r="E3445" t="str">
        <f>IF(LEN(D3445)=0,"",[1]!i_pq_tradedays($B$3,A3446,A3445)-1)</f>
        <v/>
      </c>
      <c r="G3445" s="16" t="str">
        <f t="shared" ref="G3445:G3508" si="124">IF(LEN(D3445)=0,"",D3445/E3445)</f>
        <v/>
      </c>
      <c r="H3445" s="70" t="str">
        <f t="shared" ref="H3445:H3508" si="125">IF(LEN(D3445)=0,"",G3445/G3446-1)</f>
        <v/>
      </c>
    </row>
    <row r="3446" spans="1:8">
      <c r="A3446" s="2"/>
      <c r="B3446" s="12"/>
      <c r="C3446" s="12"/>
      <c r="E3446" t="str">
        <f>IF(LEN(D3446)=0,"",[1]!i_pq_tradedays($B$3,A3447,A3446)-1)</f>
        <v/>
      </c>
      <c r="G3446" s="16" t="str">
        <f t="shared" si="124"/>
        <v/>
      </c>
      <c r="H3446" s="70" t="str">
        <f t="shared" si="125"/>
        <v/>
      </c>
    </row>
    <row r="3447" spans="1:8">
      <c r="A3447" s="2"/>
      <c r="B3447" s="12"/>
      <c r="C3447" s="12"/>
      <c r="E3447" t="str">
        <f>IF(LEN(D3447)=0,"",[1]!i_pq_tradedays($B$3,A3448,A3447)-1)</f>
        <v/>
      </c>
      <c r="G3447" s="16" t="str">
        <f t="shared" si="124"/>
        <v/>
      </c>
      <c r="H3447" s="70" t="str">
        <f t="shared" si="125"/>
        <v/>
      </c>
    </row>
    <row r="3448" spans="1:8">
      <c r="A3448" s="2"/>
      <c r="B3448" s="12"/>
      <c r="C3448" s="12"/>
      <c r="E3448" t="str">
        <f>IF(LEN(D3448)=0,"",[1]!i_pq_tradedays($B$3,A3449,A3448)-1)</f>
        <v/>
      </c>
      <c r="G3448" s="16" t="str">
        <f t="shared" si="124"/>
        <v/>
      </c>
      <c r="H3448" s="70" t="str">
        <f t="shared" si="125"/>
        <v/>
      </c>
    </row>
    <row r="3449" spans="1:8">
      <c r="A3449" s="2"/>
      <c r="B3449" s="12"/>
      <c r="C3449" s="12"/>
      <c r="E3449" t="str">
        <f>IF(LEN(D3449)=0,"",[1]!i_pq_tradedays($B$3,A3450,A3449)-1)</f>
        <v/>
      </c>
      <c r="G3449" s="16" t="str">
        <f t="shared" si="124"/>
        <v/>
      </c>
      <c r="H3449" s="70" t="str">
        <f t="shared" si="125"/>
        <v/>
      </c>
    </row>
    <row r="3450" spans="1:8">
      <c r="A3450" s="2"/>
      <c r="B3450" s="12"/>
      <c r="C3450" s="12"/>
      <c r="E3450" t="str">
        <f>IF(LEN(D3450)=0,"",[1]!i_pq_tradedays($B$3,A3451,A3450)-1)</f>
        <v/>
      </c>
      <c r="G3450" s="16" t="str">
        <f t="shared" si="124"/>
        <v/>
      </c>
      <c r="H3450" s="70" t="str">
        <f t="shared" si="125"/>
        <v/>
      </c>
    </row>
    <row r="3451" spans="1:8">
      <c r="A3451" s="2"/>
      <c r="B3451" s="12"/>
      <c r="C3451" s="12"/>
      <c r="E3451" t="str">
        <f>IF(LEN(D3451)=0,"",[1]!i_pq_tradedays($B$3,A3452,A3451)-1)</f>
        <v/>
      </c>
      <c r="G3451" s="16" t="str">
        <f t="shared" si="124"/>
        <v/>
      </c>
      <c r="H3451" s="70" t="str">
        <f t="shared" si="125"/>
        <v/>
      </c>
    </row>
    <row r="3452" spans="1:8">
      <c r="A3452" s="2"/>
      <c r="B3452" s="12"/>
      <c r="C3452" s="12"/>
      <c r="E3452" t="str">
        <f>IF(LEN(D3452)=0,"",[1]!i_pq_tradedays($B$3,A3453,A3452)-1)</f>
        <v/>
      </c>
      <c r="G3452" s="16" t="str">
        <f t="shared" si="124"/>
        <v/>
      </c>
      <c r="H3452" s="70" t="str">
        <f t="shared" si="125"/>
        <v/>
      </c>
    </row>
    <row r="3453" spans="1:8">
      <c r="A3453" s="2"/>
      <c r="B3453" s="12"/>
      <c r="C3453" s="12"/>
      <c r="E3453" t="str">
        <f>IF(LEN(D3453)=0,"",[1]!i_pq_tradedays($B$3,A3454,A3453)-1)</f>
        <v/>
      </c>
      <c r="G3453" s="16" t="str">
        <f t="shared" si="124"/>
        <v/>
      </c>
      <c r="H3453" s="70" t="str">
        <f t="shared" si="125"/>
        <v/>
      </c>
    </row>
    <row r="3454" spans="1:8">
      <c r="A3454" s="2"/>
      <c r="B3454" s="12"/>
      <c r="C3454" s="12"/>
      <c r="E3454" t="str">
        <f>IF(LEN(D3454)=0,"",[1]!i_pq_tradedays($B$3,A3455,A3454)-1)</f>
        <v/>
      </c>
      <c r="G3454" s="16" t="str">
        <f t="shared" si="124"/>
        <v/>
      </c>
      <c r="H3454" s="70" t="str">
        <f t="shared" si="125"/>
        <v/>
      </c>
    </row>
    <row r="3455" spans="1:8">
      <c r="A3455" s="2"/>
      <c r="B3455" s="12"/>
      <c r="C3455" s="12"/>
      <c r="E3455" t="str">
        <f>IF(LEN(D3455)=0,"",[1]!i_pq_tradedays($B$3,A3456,A3455)-1)</f>
        <v/>
      </c>
      <c r="G3455" s="16" t="str">
        <f t="shared" si="124"/>
        <v/>
      </c>
      <c r="H3455" s="70" t="str">
        <f t="shared" si="125"/>
        <v/>
      </c>
    </row>
    <row r="3456" spans="1:8">
      <c r="A3456" s="2"/>
      <c r="B3456" s="12"/>
      <c r="C3456" s="12"/>
      <c r="E3456" t="str">
        <f>IF(LEN(D3456)=0,"",[1]!i_pq_tradedays($B$3,A3457,A3456)-1)</f>
        <v/>
      </c>
      <c r="G3456" s="16" t="str">
        <f t="shared" si="124"/>
        <v/>
      </c>
      <c r="H3456" s="70" t="str">
        <f t="shared" si="125"/>
        <v/>
      </c>
    </row>
    <row r="3457" spans="1:8">
      <c r="A3457" s="2"/>
      <c r="B3457" s="12"/>
      <c r="C3457" s="12"/>
      <c r="E3457" t="str">
        <f>IF(LEN(D3457)=0,"",[1]!i_pq_tradedays($B$3,A3458,A3457)-1)</f>
        <v/>
      </c>
      <c r="G3457" s="16" t="str">
        <f t="shared" si="124"/>
        <v/>
      </c>
      <c r="H3457" s="70" t="str">
        <f t="shared" si="125"/>
        <v/>
      </c>
    </row>
    <row r="3458" spans="1:8">
      <c r="A3458" s="2"/>
      <c r="B3458" s="12"/>
      <c r="C3458" s="12"/>
      <c r="E3458" t="str">
        <f>IF(LEN(D3458)=0,"",[1]!i_pq_tradedays($B$3,A3459,A3458)-1)</f>
        <v/>
      </c>
      <c r="G3458" s="16" t="str">
        <f t="shared" si="124"/>
        <v/>
      </c>
      <c r="H3458" s="70" t="str">
        <f t="shared" si="125"/>
        <v/>
      </c>
    </row>
    <row r="3459" spans="1:8">
      <c r="A3459" s="2"/>
      <c r="B3459" s="12"/>
      <c r="C3459" s="12"/>
      <c r="E3459" t="str">
        <f>IF(LEN(D3459)=0,"",[1]!i_pq_tradedays($B$3,A3460,A3459)-1)</f>
        <v/>
      </c>
      <c r="G3459" s="16" t="str">
        <f t="shared" si="124"/>
        <v/>
      </c>
      <c r="H3459" s="70" t="str">
        <f t="shared" si="125"/>
        <v/>
      </c>
    </row>
    <row r="3460" spans="1:8">
      <c r="A3460" s="2"/>
      <c r="B3460" s="12"/>
      <c r="C3460" s="12"/>
      <c r="E3460" t="str">
        <f>IF(LEN(D3460)=0,"",[1]!i_pq_tradedays($B$3,A3461,A3460)-1)</f>
        <v/>
      </c>
      <c r="G3460" s="16" t="str">
        <f t="shared" si="124"/>
        <v/>
      </c>
      <c r="H3460" s="70" t="str">
        <f t="shared" si="125"/>
        <v/>
      </c>
    </row>
    <row r="3461" spans="1:8">
      <c r="A3461" s="2"/>
      <c r="B3461" s="12"/>
      <c r="C3461" s="12"/>
      <c r="E3461" t="str">
        <f>IF(LEN(D3461)=0,"",[1]!i_pq_tradedays($B$3,A3462,A3461)-1)</f>
        <v/>
      </c>
      <c r="G3461" s="16" t="str">
        <f t="shared" si="124"/>
        <v/>
      </c>
      <c r="H3461" s="70" t="str">
        <f t="shared" si="125"/>
        <v/>
      </c>
    </row>
    <row r="3462" spans="1:8">
      <c r="A3462" s="2"/>
      <c r="B3462" s="12"/>
      <c r="C3462" s="12"/>
      <c r="E3462" t="str">
        <f>IF(LEN(D3462)=0,"",[1]!i_pq_tradedays($B$3,A3463,A3462)-1)</f>
        <v/>
      </c>
      <c r="G3462" s="16" t="str">
        <f t="shared" si="124"/>
        <v/>
      </c>
      <c r="H3462" s="70" t="str">
        <f t="shared" si="125"/>
        <v/>
      </c>
    </row>
    <row r="3463" spans="1:8">
      <c r="A3463" s="2"/>
      <c r="B3463" s="12"/>
      <c r="C3463" s="12"/>
      <c r="E3463" t="str">
        <f>IF(LEN(D3463)=0,"",[1]!i_pq_tradedays($B$3,A3464,A3463)-1)</f>
        <v/>
      </c>
      <c r="G3463" s="16" t="str">
        <f t="shared" si="124"/>
        <v/>
      </c>
      <c r="H3463" s="70" t="str">
        <f t="shared" si="125"/>
        <v/>
      </c>
    </row>
    <row r="3464" spans="1:8">
      <c r="A3464" s="2"/>
      <c r="B3464" s="12"/>
      <c r="C3464" s="12"/>
      <c r="E3464" t="str">
        <f>IF(LEN(D3464)=0,"",[1]!i_pq_tradedays($B$3,A3465,A3464)-1)</f>
        <v/>
      </c>
      <c r="G3464" s="16" t="str">
        <f t="shared" si="124"/>
        <v/>
      </c>
      <c r="H3464" s="70" t="str">
        <f t="shared" si="125"/>
        <v/>
      </c>
    </row>
    <row r="3465" spans="1:8">
      <c r="A3465" s="2"/>
      <c r="B3465" s="12"/>
      <c r="C3465" s="12"/>
      <c r="E3465" t="str">
        <f>IF(LEN(D3465)=0,"",[1]!i_pq_tradedays($B$3,A3466,A3465)-1)</f>
        <v/>
      </c>
      <c r="G3465" s="16" t="str">
        <f t="shared" si="124"/>
        <v/>
      </c>
      <c r="H3465" s="70" t="str">
        <f t="shared" si="125"/>
        <v/>
      </c>
    </row>
    <row r="3466" spans="1:8">
      <c r="A3466" s="2"/>
      <c r="B3466" s="12"/>
      <c r="C3466" s="12"/>
      <c r="E3466" t="str">
        <f>IF(LEN(D3466)=0,"",[1]!i_pq_tradedays($B$3,A3467,A3466)-1)</f>
        <v/>
      </c>
      <c r="G3466" s="16" t="str">
        <f t="shared" si="124"/>
        <v/>
      </c>
      <c r="H3466" s="70" t="str">
        <f t="shared" si="125"/>
        <v/>
      </c>
    </row>
    <row r="3467" spans="1:8">
      <c r="A3467" s="2"/>
      <c r="B3467" s="12"/>
      <c r="C3467" s="12"/>
      <c r="E3467" t="str">
        <f>IF(LEN(D3467)=0,"",[1]!i_pq_tradedays($B$3,A3468,A3467)-1)</f>
        <v/>
      </c>
      <c r="G3467" s="16" t="str">
        <f t="shared" si="124"/>
        <v/>
      </c>
      <c r="H3467" s="70" t="str">
        <f t="shared" si="125"/>
        <v/>
      </c>
    </row>
    <row r="3468" spans="1:8">
      <c r="A3468" s="2"/>
      <c r="B3468" s="12"/>
      <c r="C3468" s="12"/>
      <c r="E3468" t="str">
        <f>IF(LEN(D3468)=0,"",[1]!i_pq_tradedays($B$3,A3469,A3468)-1)</f>
        <v/>
      </c>
      <c r="G3468" s="16" t="str">
        <f t="shared" si="124"/>
        <v/>
      </c>
      <c r="H3468" s="70" t="str">
        <f t="shared" si="125"/>
        <v/>
      </c>
    </row>
    <row r="3469" spans="1:8">
      <c r="A3469" s="2"/>
      <c r="B3469" s="12"/>
      <c r="C3469" s="12"/>
      <c r="E3469" t="str">
        <f>IF(LEN(D3469)=0,"",[1]!i_pq_tradedays($B$3,A3470,A3469)-1)</f>
        <v/>
      </c>
      <c r="G3469" s="16" t="str">
        <f t="shared" si="124"/>
        <v/>
      </c>
      <c r="H3469" s="70" t="str">
        <f t="shared" si="125"/>
        <v/>
      </c>
    </row>
    <row r="3470" spans="1:8">
      <c r="A3470" s="2"/>
      <c r="B3470" s="12"/>
      <c r="C3470" s="12"/>
      <c r="E3470" t="str">
        <f>IF(LEN(D3470)=0,"",[1]!i_pq_tradedays($B$3,A3471,A3470)-1)</f>
        <v/>
      </c>
      <c r="G3470" s="16" t="str">
        <f t="shared" si="124"/>
        <v/>
      </c>
      <c r="H3470" s="70" t="str">
        <f t="shared" si="125"/>
        <v/>
      </c>
    </row>
    <row r="3471" spans="1:8">
      <c r="A3471" s="2"/>
      <c r="B3471" s="12"/>
      <c r="C3471" s="12"/>
      <c r="E3471" t="str">
        <f>IF(LEN(D3471)=0,"",[1]!i_pq_tradedays($B$3,A3472,A3471)-1)</f>
        <v/>
      </c>
      <c r="G3471" s="16" t="str">
        <f t="shared" si="124"/>
        <v/>
      </c>
      <c r="H3471" s="70" t="str">
        <f t="shared" si="125"/>
        <v/>
      </c>
    </row>
    <row r="3472" spans="1:8">
      <c r="A3472" s="2"/>
      <c r="B3472" s="12"/>
      <c r="C3472" s="12"/>
      <c r="E3472" t="str">
        <f>IF(LEN(D3472)=0,"",[1]!i_pq_tradedays($B$3,A3473,A3472)-1)</f>
        <v/>
      </c>
      <c r="G3472" s="16" t="str">
        <f t="shared" si="124"/>
        <v/>
      </c>
      <c r="H3472" s="70" t="str">
        <f t="shared" si="125"/>
        <v/>
      </c>
    </row>
    <row r="3473" spans="1:8">
      <c r="A3473" s="2"/>
      <c r="B3473" s="12"/>
      <c r="C3473" s="12"/>
      <c r="E3473" t="str">
        <f>IF(LEN(D3473)=0,"",[1]!i_pq_tradedays($B$3,A3474,A3473)-1)</f>
        <v/>
      </c>
      <c r="G3473" s="16" t="str">
        <f t="shared" si="124"/>
        <v/>
      </c>
      <c r="H3473" s="70" t="str">
        <f t="shared" si="125"/>
        <v/>
      </c>
    </row>
    <row r="3474" spans="1:8">
      <c r="A3474" s="2"/>
      <c r="B3474" s="12"/>
      <c r="C3474" s="12"/>
      <c r="E3474" t="str">
        <f>IF(LEN(D3474)=0,"",[1]!i_pq_tradedays($B$3,A3475,A3474)-1)</f>
        <v/>
      </c>
      <c r="G3474" s="16" t="str">
        <f t="shared" si="124"/>
        <v/>
      </c>
      <c r="H3474" s="70" t="str">
        <f t="shared" si="125"/>
        <v/>
      </c>
    </row>
    <row r="3475" spans="1:8">
      <c r="A3475" s="2"/>
      <c r="B3475" s="12"/>
      <c r="C3475" s="12"/>
      <c r="E3475" t="str">
        <f>IF(LEN(D3475)=0,"",[1]!i_pq_tradedays($B$3,A3476,A3475)-1)</f>
        <v/>
      </c>
      <c r="G3475" s="16" t="str">
        <f t="shared" si="124"/>
        <v/>
      </c>
      <c r="H3475" s="70" t="str">
        <f t="shared" si="125"/>
        <v/>
      </c>
    </row>
    <row r="3476" spans="1:8">
      <c r="A3476" s="2"/>
      <c r="B3476" s="12"/>
      <c r="C3476" s="12"/>
      <c r="E3476" t="str">
        <f>IF(LEN(D3476)=0,"",[1]!i_pq_tradedays($B$3,A3477,A3476)-1)</f>
        <v/>
      </c>
      <c r="G3476" s="16" t="str">
        <f t="shared" si="124"/>
        <v/>
      </c>
      <c r="H3476" s="70" t="str">
        <f t="shared" si="125"/>
        <v/>
      </c>
    </row>
    <row r="3477" spans="1:8">
      <c r="A3477" s="2"/>
      <c r="B3477" s="12"/>
      <c r="C3477" s="12"/>
      <c r="E3477" t="str">
        <f>IF(LEN(D3477)=0,"",[1]!i_pq_tradedays($B$3,A3478,A3477)-1)</f>
        <v/>
      </c>
      <c r="G3477" s="16" t="str">
        <f t="shared" si="124"/>
        <v/>
      </c>
      <c r="H3477" s="70" t="str">
        <f t="shared" si="125"/>
        <v/>
      </c>
    </row>
    <row r="3478" spans="1:8">
      <c r="A3478" s="2"/>
      <c r="B3478" s="12"/>
      <c r="C3478" s="12"/>
      <c r="E3478" t="str">
        <f>IF(LEN(D3478)=0,"",[1]!i_pq_tradedays($B$3,A3479,A3478)-1)</f>
        <v/>
      </c>
      <c r="G3478" s="16" t="str">
        <f t="shared" si="124"/>
        <v/>
      </c>
      <c r="H3478" s="70" t="str">
        <f t="shared" si="125"/>
        <v/>
      </c>
    </row>
    <row r="3479" spans="1:8">
      <c r="A3479" s="2"/>
      <c r="B3479" s="12"/>
      <c r="C3479" s="12"/>
      <c r="E3479" t="str">
        <f>IF(LEN(D3479)=0,"",[1]!i_pq_tradedays($B$3,A3480,A3479)-1)</f>
        <v/>
      </c>
      <c r="G3479" s="16" t="str">
        <f t="shared" si="124"/>
        <v/>
      </c>
      <c r="H3479" s="70" t="str">
        <f t="shared" si="125"/>
        <v/>
      </c>
    </row>
    <row r="3480" spans="1:8">
      <c r="A3480" s="2"/>
      <c r="B3480" s="12"/>
      <c r="C3480" s="12"/>
      <c r="E3480" t="str">
        <f>IF(LEN(D3480)=0,"",[1]!i_pq_tradedays($B$3,A3481,A3480)-1)</f>
        <v/>
      </c>
      <c r="G3480" s="16" t="str">
        <f t="shared" si="124"/>
        <v/>
      </c>
      <c r="H3480" s="70" t="str">
        <f t="shared" si="125"/>
        <v/>
      </c>
    </row>
    <row r="3481" spans="1:8">
      <c r="A3481" s="2"/>
      <c r="B3481" s="12"/>
      <c r="C3481" s="12"/>
      <c r="E3481" t="str">
        <f>IF(LEN(D3481)=0,"",[1]!i_pq_tradedays($B$3,A3482,A3481)-1)</f>
        <v/>
      </c>
      <c r="G3481" s="16" t="str">
        <f t="shared" si="124"/>
        <v/>
      </c>
      <c r="H3481" s="70" t="str">
        <f t="shared" si="125"/>
        <v/>
      </c>
    </row>
    <row r="3482" spans="1:8">
      <c r="A3482" s="2"/>
      <c r="B3482" s="12"/>
      <c r="C3482" s="12"/>
      <c r="E3482" t="str">
        <f>IF(LEN(D3482)=0,"",[1]!i_pq_tradedays($B$3,A3483,A3482)-1)</f>
        <v/>
      </c>
      <c r="G3482" s="16" t="str">
        <f t="shared" si="124"/>
        <v/>
      </c>
      <c r="H3482" s="70" t="str">
        <f t="shared" si="125"/>
        <v/>
      </c>
    </row>
    <row r="3483" spans="1:8">
      <c r="A3483" s="2"/>
      <c r="B3483" s="12"/>
      <c r="C3483" s="12"/>
      <c r="E3483" t="str">
        <f>IF(LEN(D3483)=0,"",[1]!i_pq_tradedays($B$3,A3484,A3483)-1)</f>
        <v/>
      </c>
      <c r="G3483" s="16" t="str">
        <f t="shared" si="124"/>
        <v/>
      </c>
      <c r="H3483" s="70" t="str">
        <f t="shared" si="125"/>
        <v/>
      </c>
    </row>
    <row r="3484" spans="1:8">
      <c r="A3484" s="2"/>
      <c r="B3484" s="12"/>
      <c r="C3484" s="12"/>
      <c r="E3484" t="str">
        <f>IF(LEN(D3484)=0,"",[1]!i_pq_tradedays($B$3,A3485,A3484)-1)</f>
        <v/>
      </c>
      <c r="G3484" s="16" t="str">
        <f t="shared" si="124"/>
        <v/>
      </c>
      <c r="H3484" s="70" t="str">
        <f t="shared" si="125"/>
        <v/>
      </c>
    </row>
    <row r="3485" spans="1:8">
      <c r="A3485" s="2"/>
      <c r="B3485" s="12"/>
      <c r="C3485" s="12"/>
      <c r="E3485" t="str">
        <f>IF(LEN(D3485)=0,"",[1]!i_pq_tradedays($B$3,A3486,A3485)-1)</f>
        <v/>
      </c>
      <c r="G3485" s="16" t="str">
        <f t="shared" si="124"/>
        <v/>
      </c>
      <c r="H3485" s="70" t="str">
        <f t="shared" si="125"/>
        <v/>
      </c>
    </row>
    <row r="3486" spans="1:8">
      <c r="A3486" s="2"/>
      <c r="B3486" s="12"/>
      <c r="C3486" s="12"/>
      <c r="E3486" t="str">
        <f>IF(LEN(D3486)=0,"",[1]!i_pq_tradedays($B$3,A3487,A3486)-1)</f>
        <v/>
      </c>
      <c r="G3486" s="16" t="str">
        <f t="shared" si="124"/>
        <v/>
      </c>
      <c r="H3486" s="70" t="str">
        <f t="shared" si="125"/>
        <v/>
      </c>
    </row>
    <row r="3487" spans="1:8">
      <c r="A3487" s="2"/>
      <c r="B3487" s="12"/>
      <c r="C3487" s="12"/>
      <c r="E3487" t="str">
        <f>IF(LEN(D3487)=0,"",[1]!i_pq_tradedays($B$3,A3488,A3487)-1)</f>
        <v/>
      </c>
      <c r="G3487" s="16" t="str">
        <f t="shared" si="124"/>
        <v/>
      </c>
      <c r="H3487" s="70" t="str">
        <f t="shared" si="125"/>
        <v/>
      </c>
    </row>
    <row r="3488" spans="1:8">
      <c r="A3488" s="2"/>
      <c r="B3488" s="12"/>
      <c r="C3488" s="12"/>
      <c r="E3488" t="str">
        <f>IF(LEN(D3488)=0,"",[1]!i_pq_tradedays($B$3,A3489,A3488)-1)</f>
        <v/>
      </c>
      <c r="G3488" s="16" t="str">
        <f t="shared" si="124"/>
        <v/>
      </c>
      <c r="H3488" s="70" t="str">
        <f t="shared" si="125"/>
        <v/>
      </c>
    </row>
    <row r="3489" spans="1:8">
      <c r="A3489" s="2"/>
      <c r="B3489" s="12"/>
      <c r="C3489" s="12"/>
      <c r="E3489" t="str">
        <f>IF(LEN(D3489)=0,"",[1]!i_pq_tradedays($B$3,A3490,A3489)-1)</f>
        <v/>
      </c>
      <c r="G3489" s="16" t="str">
        <f t="shared" si="124"/>
        <v/>
      </c>
      <c r="H3489" s="70" t="str">
        <f t="shared" si="125"/>
        <v/>
      </c>
    </row>
    <row r="3490" spans="1:8">
      <c r="A3490" s="2"/>
      <c r="B3490" s="12"/>
      <c r="C3490" s="12"/>
      <c r="E3490" t="str">
        <f>IF(LEN(D3490)=0,"",[1]!i_pq_tradedays($B$3,A3491,A3490)-1)</f>
        <v/>
      </c>
      <c r="G3490" s="16" t="str">
        <f t="shared" si="124"/>
        <v/>
      </c>
      <c r="H3490" s="70" t="str">
        <f t="shared" si="125"/>
        <v/>
      </c>
    </row>
    <row r="3491" spans="1:8">
      <c r="A3491" s="2"/>
      <c r="B3491" s="12"/>
      <c r="C3491" s="12"/>
      <c r="E3491" t="str">
        <f>IF(LEN(D3491)=0,"",[1]!i_pq_tradedays($B$3,A3492,A3491)-1)</f>
        <v/>
      </c>
      <c r="G3491" s="16" t="str">
        <f t="shared" si="124"/>
        <v/>
      </c>
      <c r="H3491" s="70" t="str">
        <f t="shared" si="125"/>
        <v/>
      </c>
    </row>
    <row r="3492" spans="1:8">
      <c r="A3492" s="2"/>
      <c r="B3492" s="12"/>
      <c r="C3492" s="12"/>
      <c r="E3492" t="str">
        <f>IF(LEN(D3492)=0,"",[1]!i_pq_tradedays($B$3,A3493,A3492)-1)</f>
        <v/>
      </c>
      <c r="G3492" s="16" t="str">
        <f t="shared" si="124"/>
        <v/>
      </c>
      <c r="H3492" s="70" t="str">
        <f t="shared" si="125"/>
        <v/>
      </c>
    </row>
    <row r="3493" spans="1:8">
      <c r="A3493" s="2"/>
      <c r="B3493" s="12"/>
      <c r="C3493" s="12"/>
      <c r="E3493" t="str">
        <f>IF(LEN(D3493)=0,"",[1]!i_pq_tradedays($B$3,A3494,A3493)-1)</f>
        <v/>
      </c>
      <c r="G3493" s="16" t="str">
        <f t="shared" si="124"/>
        <v/>
      </c>
      <c r="H3493" s="70" t="str">
        <f t="shared" si="125"/>
        <v/>
      </c>
    </row>
    <row r="3494" spans="1:8">
      <c r="A3494" s="2"/>
      <c r="B3494" s="12"/>
      <c r="C3494" s="12"/>
      <c r="E3494" t="str">
        <f>IF(LEN(D3494)=0,"",[1]!i_pq_tradedays($B$3,A3495,A3494)-1)</f>
        <v/>
      </c>
      <c r="G3494" s="16" t="str">
        <f t="shared" si="124"/>
        <v/>
      </c>
      <c r="H3494" s="70" t="str">
        <f t="shared" si="125"/>
        <v/>
      </c>
    </row>
    <row r="3495" spans="1:8">
      <c r="A3495" s="2"/>
      <c r="B3495" s="12"/>
      <c r="C3495" s="12"/>
      <c r="E3495" t="str">
        <f>IF(LEN(D3495)=0,"",[1]!i_pq_tradedays($B$3,A3496,A3495)-1)</f>
        <v/>
      </c>
      <c r="G3495" s="16" t="str">
        <f t="shared" si="124"/>
        <v/>
      </c>
      <c r="H3495" s="70" t="str">
        <f t="shared" si="125"/>
        <v/>
      </c>
    </row>
    <row r="3496" spans="1:8">
      <c r="A3496" s="2"/>
      <c r="B3496" s="12"/>
      <c r="C3496" s="12"/>
      <c r="E3496" t="str">
        <f>IF(LEN(D3496)=0,"",[1]!i_pq_tradedays($B$3,A3497,A3496)-1)</f>
        <v/>
      </c>
      <c r="G3496" s="16" t="str">
        <f t="shared" si="124"/>
        <v/>
      </c>
      <c r="H3496" s="70" t="str">
        <f t="shared" si="125"/>
        <v/>
      </c>
    </row>
    <row r="3497" spans="1:8">
      <c r="A3497" s="2"/>
      <c r="B3497" s="12"/>
      <c r="C3497" s="12"/>
      <c r="E3497" t="str">
        <f>IF(LEN(D3497)=0,"",[1]!i_pq_tradedays($B$3,A3498,A3497)-1)</f>
        <v/>
      </c>
      <c r="G3497" s="16" t="str">
        <f t="shared" si="124"/>
        <v/>
      </c>
      <c r="H3497" s="70" t="str">
        <f t="shared" si="125"/>
        <v/>
      </c>
    </row>
    <row r="3498" spans="1:8">
      <c r="A3498" s="2"/>
      <c r="B3498" s="12"/>
      <c r="C3498" s="12"/>
      <c r="E3498" t="str">
        <f>IF(LEN(D3498)=0,"",[1]!i_pq_tradedays($B$3,A3499,A3498)-1)</f>
        <v/>
      </c>
      <c r="G3498" s="16" t="str">
        <f t="shared" si="124"/>
        <v/>
      </c>
      <c r="H3498" s="70" t="str">
        <f t="shared" si="125"/>
        <v/>
      </c>
    </row>
    <row r="3499" spans="1:8">
      <c r="A3499" s="2"/>
      <c r="B3499" s="12"/>
      <c r="C3499" s="12"/>
      <c r="E3499" t="str">
        <f>IF(LEN(D3499)=0,"",[1]!i_pq_tradedays($B$3,A3500,A3499)-1)</f>
        <v/>
      </c>
      <c r="G3499" s="16" t="str">
        <f t="shared" si="124"/>
        <v/>
      </c>
      <c r="H3499" s="70" t="str">
        <f t="shared" si="125"/>
        <v/>
      </c>
    </row>
    <row r="3500" spans="1:8">
      <c r="A3500" s="2"/>
      <c r="B3500" s="12"/>
      <c r="C3500" s="12"/>
      <c r="E3500" t="str">
        <f>IF(LEN(D3500)=0,"",[1]!i_pq_tradedays($B$3,A3501,A3500)-1)</f>
        <v/>
      </c>
      <c r="G3500" s="16" t="str">
        <f t="shared" si="124"/>
        <v/>
      </c>
      <c r="H3500" s="70" t="str">
        <f t="shared" si="125"/>
        <v/>
      </c>
    </row>
    <row r="3501" spans="1:8">
      <c r="A3501" s="2"/>
      <c r="B3501" s="12"/>
      <c r="C3501" s="12"/>
      <c r="E3501" t="str">
        <f>IF(LEN(D3501)=0,"",[1]!i_pq_tradedays($B$3,A3502,A3501)-1)</f>
        <v/>
      </c>
      <c r="G3501" s="16" t="str">
        <f t="shared" si="124"/>
        <v/>
      </c>
      <c r="H3501" s="70" t="str">
        <f t="shared" si="125"/>
        <v/>
      </c>
    </row>
    <row r="3502" spans="1:8">
      <c r="A3502" s="2"/>
      <c r="B3502" s="12"/>
      <c r="C3502" s="12"/>
      <c r="E3502" t="str">
        <f>IF(LEN(D3502)=0,"",[1]!i_pq_tradedays($B$3,A3503,A3502)-1)</f>
        <v/>
      </c>
      <c r="G3502" s="16" t="str">
        <f t="shared" si="124"/>
        <v/>
      </c>
      <c r="H3502" s="70" t="str">
        <f t="shared" si="125"/>
        <v/>
      </c>
    </row>
    <row r="3503" spans="1:8">
      <c r="A3503" s="2"/>
      <c r="B3503" s="12"/>
      <c r="C3503" s="12"/>
      <c r="E3503" t="str">
        <f>IF(LEN(D3503)=0,"",[1]!i_pq_tradedays($B$3,A3504,A3503)-1)</f>
        <v/>
      </c>
      <c r="G3503" s="16" t="str">
        <f t="shared" si="124"/>
        <v/>
      </c>
      <c r="H3503" s="70" t="str">
        <f t="shared" si="125"/>
        <v/>
      </c>
    </row>
    <row r="3504" spans="1:8">
      <c r="A3504" s="2"/>
      <c r="B3504" s="12"/>
      <c r="C3504" s="12"/>
      <c r="E3504" t="str">
        <f>IF(LEN(D3504)=0,"",[1]!i_pq_tradedays($B$3,A3505,A3504)-1)</f>
        <v/>
      </c>
      <c r="G3504" s="16" t="str">
        <f t="shared" si="124"/>
        <v/>
      </c>
      <c r="H3504" s="70" t="str">
        <f t="shared" si="125"/>
        <v/>
      </c>
    </row>
    <row r="3505" spans="1:8">
      <c r="A3505" s="2"/>
      <c r="B3505" s="12"/>
      <c r="C3505" s="12"/>
      <c r="E3505" t="str">
        <f>IF(LEN(D3505)=0,"",[1]!i_pq_tradedays($B$3,A3506,A3505)-1)</f>
        <v/>
      </c>
      <c r="G3505" s="16" t="str">
        <f t="shared" si="124"/>
        <v/>
      </c>
      <c r="H3505" s="70" t="str">
        <f t="shared" si="125"/>
        <v/>
      </c>
    </row>
    <row r="3506" spans="1:8">
      <c r="A3506" s="2"/>
      <c r="B3506" s="12"/>
      <c r="C3506" s="12"/>
      <c r="E3506" t="str">
        <f>IF(LEN(D3506)=0,"",[1]!i_pq_tradedays($B$3,A3507,A3506)-1)</f>
        <v/>
      </c>
      <c r="G3506" s="16" t="str">
        <f t="shared" si="124"/>
        <v/>
      </c>
      <c r="H3506" s="70" t="str">
        <f t="shared" si="125"/>
        <v/>
      </c>
    </row>
    <row r="3507" spans="1:8">
      <c r="A3507" s="2"/>
      <c r="B3507" s="12"/>
      <c r="C3507" s="12"/>
      <c r="E3507" t="str">
        <f>IF(LEN(D3507)=0,"",[1]!i_pq_tradedays($B$3,A3508,A3507)-1)</f>
        <v/>
      </c>
      <c r="G3507" s="16" t="str">
        <f t="shared" si="124"/>
        <v/>
      </c>
      <c r="H3507" s="70" t="str">
        <f t="shared" si="125"/>
        <v/>
      </c>
    </row>
    <row r="3508" spans="1:8">
      <c r="A3508" s="2"/>
      <c r="B3508" s="12"/>
      <c r="C3508" s="12"/>
      <c r="E3508" t="str">
        <f>IF(LEN(D3508)=0,"",[1]!i_pq_tradedays($B$3,A3509,A3508)-1)</f>
        <v/>
      </c>
      <c r="G3508" s="16" t="str">
        <f t="shared" si="124"/>
        <v/>
      </c>
      <c r="H3508" s="70" t="str">
        <f t="shared" si="125"/>
        <v/>
      </c>
    </row>
    <row r="3509" spans="1:8">
      <c r="A3509" s="2"/>
      <c r="B3509" s="12"/>
      <c r="C3509" s="12"/>
      <c r="E3509" t="str">
        <f>IF(LEN(D3509)=0,"",[1]!i_pq_tradedays($B$3,A3510,A3509)-1)</f>
        <v/>
      </c>
      <c r="G3509" s="16" t="str">
        <f t="shared" ref="G3509:G3572" si="126">IF(LEN(D3509)=0,"",D3509/E3509)</f>
        <v/>
      </c>
      <c r="H3509" s="70" t="str">
        <f t="shared" ref="H3509:H3572" si="127">IF(LEN(D3509)=0,"",G3509/G3510-1)</f>
        <v/>
      </c>
    </row>
    <row r="3510" spans="1:8">
      <c r="A3510" s="2"/>
      <c r="B3510" s="12"/>
      <c r="C3510" s="12"/>
      <c r="E3510" t="str">
        <f>IF(LEN(D3510)=0,"",[1]!i_pq_tradedays($B$3,A3511,A3510)-1)</f>
        <v/>
      </c>
      <c r="G3510" s="16" t="str">
        <f t="shared" si="126"/>
        <v/>
      </c>
      <c r="H3510" s="70" t="str">
        <f t="shared" si="127"/>
        <v/>
      </c>
    </row>
    <row r="3511" spans="1:8">
      <c r="A3511" s="2"/>
      <c r="B3511" s="12"/>
      <c r="C3511" s="12"/>
      <c r="E3511" t="str">
        <f>IF(LEN(D3511)=0,"",[1]!i_pq_tradedays($B$3,A3512,A3511)-1)</f>
        <v/>
      </c>
      <c r="G3511" s="16" t="str">
        <f t="shared" si="126"/>
        <v/>
      </c>
      <c r="H3511" s="70" t="str">
        <f t="shared" si="127"/>
        <v/>
      </c>
    </row>
    <row r="3512" spans="1:8">
      <c r="A3512" s="2"/>
      <c r="B3512" s="12"/>
      <c r="C3512" s="12"/>
      <c r="E3512" t="str">
        <f>IF(LEN(D3512)=0,"",[1]!i_pq_tradedays($B$3,A3513,A3512)-1)</f>
        <v/>
      </c>
      <c r="G3512" s="16" t="str">
        <f t="shared" si="126"/>
        <v/>
      </c>
      <c r="H3512" s="70" t="str">
        <f t="shared" si="127"/>
        <v/>
      </c>
    </row>
    <row r="3513" spans="1:8">
      <c r="A3513" s="2"/>
      <c r="B3513" s="12"/>
      <c r="C3513" s="12"/>
      <c r="E3513" t="str">
        <f>IF(LEN(D3513)=0,"",[1]!i_pq_tradedays($B$3,A3514,A3513)-1)</f>
        <v/>
      </c>
      <c r="G3513" s="16" t="str">
        <f t="shared" si="126"/>
        <v/>
      </c>
      <c r="H3513" s="70" t="str">
        <f t="shared" si="127"/>
        <v/>
      </c>
    </row>
    <row r="3514" spans="1:8">
      <c r="A3514" s="2"/>
      <c r="B3514" s="12"/>
      <c r="C3514" s="12"/>
      <c r="E3514" t="str">
        <f>IF(LEN(D3514)=0,"",[1]!i_pq_tradedays($B$3,A3515,A3514)-1)</f>
        <v/>
      </c>
      <c r="G3514" s="16" t="str">
        <f t="shared" si="126"/>
        <v/>
      </c>
      <c r="H3514" s="70" t="str">
        <f t="shared" si="127"/>
        <v/>
      </c>
    </row>
    <row r="3515" spans="1:8">
      <c r="A3515" s="2"/>
      <c r="B3515" s="12"/>
      <c r="C3515" s="12"/>
      <c r="E3515" t="str">
        <f>IF(LEN(D3515)=0,"",[1]!i_pq_tradedays($B$3,A3516,A3515)-1)</f>
        <v/>
      </c>
      <c r="G3515" s="16" t="str">
        <f t="shared" si="126"/>
        <v/>
      </c>
      <c r="H3515" s="70" t="str">
        <f t="shared" si="127"/>
        <v/>
      </c>
    </row>
    <row r="3516" spans="1:8">
      <c r="A3516" s="2"/>
      <c r="B3516" s="12"/>
      <c r="C3516" s="12"/>
      <c r="E3516" t="str">
        <f>IF(LEN(D3516)=0,"",[1]!i_pq_tradedays($B$3,A3517,A3516)-1)</f>
        <v/>
      </c>
      <c r="G3516" s="16" t="str">
        <f t="shared" si="126"/>
        <v/>
      </c>
      <c r="H3516" s="70" t="str">
        <f t="shared" si="127"/>
        <v/>
      </c>
    </row>
    <row r="3517" spans="1:8">
      <c r="A3517" s="2"/>
      <c r="B3517" s="12"/>
      <c r="C3517" s="12"/>
      <c r="E3517" t="str">
        <f>IF(LEN(D3517)=0,"",[1]!i_pq_tradedays($B$3,A3518,A3517)-1)</f>
        <v/>
      </c>
      <c r="G3517" s="16" t="str">
        <f t="shared" si="126"/>
        <v/>
      </c>
      <c r="H3517" s="70" t="str">
        <f t="shared" si="127"/>
        <v/>
      </c>
    </row>
    <row r="3518" spans="1:8">
      <c r="A3518" s="2"/>
      <c r="B3518" s="12"/>
      <c r="C3518" s="12"/>
      <c r="E3518" t="str">
        <f>IF(LEN(D3518)=0,"",[1]!i_pq_tradedays($B$3,A3519,A3518)-1)</f>
        <v/>
      </c>
      <c r="G3518" s="16" t="str">
        <f t="shared" si="126"/>
        <v/>
      </c>
      <c r="H3518" s="70" t="str">
        <f t="shared" si="127"/>
        <v/>
      </c>
    </row>
    <row r="3519" spans="1:8">
      <c r="A3519" s="2"/>
      <c r="B3519" s="12"/>
      <c r="C3519" s="12"/>
      <c r="E3519" t="str">
        <f>IF(LEN(D3519)=0,"",[1]!i_pq_tradedays($B$3,A3520,A3519)-1)</f>
        <v/>
      </c>
      <c r="G3519" s="16" t="str">
        <f t="shared" si="126"/>
        <v/>
      </c>
      <c r="H3519" s="70" t="str">
        <f t="shared" si="127"/>
        <v/>
      </c>
    </row>
    <row r="3520" spans="1:8">
      <c r="A3520" s="2"/>
      <c r="B3520" s="12"/>
      <c r="C3520" s="12"/>
      <c r="E3520" t="str">
        <f>IF(LEN(D3520)=0,"",[1]!i_pq_tradedays($B$3,A3521,A3520)-1)</f>
        <v/>
      </c>
      <c r="G3520" s="16" t="str">
        <f t="shared" si="126"/>
        <v/>
      </c>
      <c r="H3520" s="70" t="str">
        <f t="shared" si="127"/>
        <v/>
      </c>
    </row>
    <row r="3521" spans="1:8">
      <c r="A3521" s="2"/>
      <c r="B3521" s="12"/>
      <c r="C3521" s="12"/>
      <c r="E3521" t="str">
        <f>IF(LEN(D3521)=0,"",[1]!i_pq_tradedays($B$3,A3522,A3521)-1)</f>
        <v/>
      </c>
      <c r="G3521" s="16" t="str">
        <f t="shared" si="126"/>
        <v/>
      </c>
      <c r="H3521" s="70" t="str">
        <f t="shared" si="127"/>
        <v/>
      </c>
    </row>
    <row r="3522" spans="1:8">
      <c r="A3522" s="2"/>
      <c r="B3522" s="12"/>
      <c r="C3522" s="12"/>
      <c r="E3522" t="str">
        <f>IF(LEN(D3522)=0,"",[1]!i_pq_tradedays($B$3,A3523,A3522)-1)</f>
        <v/>
      </c>
      <c r="G3522" s="16" t="str">
        <f t="shared" si="126"/>
        <v/>
      </c>
      <c r="H3522" s="70" t="str">
        <f t="shared" si="127"/>
        <v/>
      </c>
    </row>
    <row r="3523" spans="1:8">
      <c r="A3523" s="2"/>
      <c r="B3523" s="12"/>
      <c r="C3523" s="12"/>
      <c r="E3523" t="str">
        <f>IF(LEN(D3523)=0,"",[1]!i_pq_tradedays($B$3,A3524,A3523)-1)</f>
        <v/>
      </c>
      <c r="G3523" s="16" t="str">
        <f t="shared" si="126"/>
        <v/>
      </c>
      <c r="H3523" s="70" t="str">
        <f t="shared" si="127"/>
        <v/>
      </c>
    </row>
    <row r="3524" spans="1:8">
      <c r="A3524" s="2"/>
      <c r="B3524" s="12"/>
      <c r="C3524" s="12"/>
      <c r="E3524" t="str">
        <f>IF(LEN(D3524)=0,"",[1]!i_pq_tradedays($B$3,A3525,A3524)-1)</f>
        <v/>
      </c>
      <c r="G3524" s="16" t="str">
        <f t="shared" si="126"/>
        <v/>
      </c>
      <c r="H3524" s="70" t="str">
        <f t="shared" si="127"/>
        <v/>
      </c>
    </row>
    <row r="3525" spans="1:8">
      <c r="A3525" s="2"/>
      <c r="B3525" s="12"/>
      <c r="C3525" s="12"/>
      <c r="E3525" t="str">
        <f>IF(LEN(D3525)=0,"",[1]!i_pq_tradedays($B$3,A3526,A3525)-1)</f>
        <v/>
      </c>
      <c r="G3525" s="16" t="str">
        <f t="shared" si="126"/>
        <v/>
      </c>
      <c r="H3525" s="70" t="str">
        <f t="shared" si="127"/>
        <v/>
      </c>
    </row>
    <row r="3526" spans="1:8">
      <c r="A3526" s="2"/>
      <c r="B3526" s="12"/>
      <c r="C3526" s="12"/>
      <c r="E3526" t="str">
        <f>IF(LEN(D3526)=0,"",[1]!i_pq_tradedays($B$3,A3527,A3526)-1)</f>
        <v/>
      </c>
      <c r="G3526" s="16" t="str">
        <f t="shared" si="126"/>
        <v/>
      </c>
      <c r="H3526" s="70" t="str">
        <f t="shared" si="127"/>
        <v/>
      </c>
    </row>
    <row r="3527" spans="1:8">
      <c r="A3527" s="2"/>
      <c r="B3527" s="12"/>
      <c r="C3527" s="12"/>
      <c r="E3527" t="str">
        <f>IF(LEN(D3527)=0,"",[1]!i_pq_tradedays($B$3,A3528,A3527)-1)</f>
        <v/>
      </c>
      <c r="G3527" s="16" t="str">
        <f t="shared" si="126"/>
        <v/>
      </c>
      <c r="H3527" s="70" t="str">
        <f t="shared" si="127"/>
        <v/>
      </c>
    </row>
    <row r="3528" spans="1:8">
      <c r="A3528" s="2"/>
      <c r="B3528" s="12"/>
      <c r="C3528" s="12"/>
      <c r="E3528" t="str">
        <f>IF(LEN(D3528)=0,"",[1]!i_pq_tradedays($B$3,A3529,A3528)-1)</f>
        <v/>
      </c>
      <c r="G3528" s="16" t="str">
        <f t="shared" si="126"/>
        <v/>
      </c>
      <c r="H3528" s="70" t="str">
        <f t="shared" si="127"/>
        <v/>
      </c>
    </row>
    <row r="3529" spans="1:8">
      <c r="A3529" s="2"/>
      <c r="B3529" s="12"/>
      <c r="C3529" s="12"/>
      <c r="E3529" t="str">
        <f>IF(LEN(D3529)=0,"",[1]!i_pq_tradedays($B$3,A3530,A3529)-1)</f>
        <v/>
      </c>
      <c r="G3529" s="16" t="str">
        <f t="shared" si="126"/>
        <v/>
      </c>
      <c r="H3529" s="70" t="str">
        <f t="shared" si="127"/>
        <v/>
      </c>
    </row>
    <row r="3530" spans="1:8">
      <c r="A3530" s="2"/>
      <c r="B3530" s="12"/>
      <c r="C3530" s="12"/>
      <c r="E3530" t="str">
        <f>IF(LEN(D3530)=0,"",[1]!i_pq_tradedays($B$3,A3531,A3530)-1)</f>
        <v/>
      </c>
      <c r="G3530" s="16" t="str">
        <f t="shared" si="126"/>
        <v/>
      </c>
      <c r="H3530" s="70" t="str">
        <f t="shared" si="127"/>
        <v/>
      </c>
    </row>
    <row r="3531" spans="1:8">
      <c r="A3531" s="2"/>
      <c r="B3531" s="12"/>
      <c r="C3531" s="12"/>
      <c r="E3531" t="str">
        <f>IF(LEN(D3531)=0,"",[1]!i_pq_tradedays($B$3,A3532,A3531)-1)</f>
        <v/>
      </c>
      <c r="G3531" s="16" t="str">
        <f t="shared" si="126"/>
        <v/>
      </c>
      <c r="H3531" s="70" t="str">
        <f t="shared" si="127"/>
        <v/>
      </c>
    </row>
    <row r="3532" spans="1:8">
      <c r="A3532" s="2"/>
      <c r="B3532" s="12"/>
      <c r="C3532" s="12"/>
      <c r="E3532" t="str">
        <f>IF(LEN(D3532)=0,"",[1]!i_pq_tradedays($B$3,A3533,A3532)-1)</f>
        <v/>
      </c>
      <c r="G3532" s="16" t="str">
        <f t="shared" si="126"/>
        <v/>
      </c>
      <c r="H3532" s="70" t="str">
        <f t="shared" si="127"/>
        <v/>
      </c>
    </row>
    <row r="3533" spans="1:8">
      <c r="A3533" s="2"/>
      <c r="B3533" s="12"/>
      <c r="C3533" s="12"/>
      <c r="E3533" t="str">
        <f>IF(LEN(D3533)=0,"",[1]!i_pq_tradedays($B$3,A3534,A3533)-1)</f>
        <v/>
      </c>
      <c r="G3533" s="16" t="str">
        <f t="shared" si="126"/>
        <v/>
      </c>
      <c r="H3533" s="70" t="str">
        <f t="shared" si="127"/>
        <v/>
      </c>
    </row>
    <row r="3534" spans="1:8">
      <c r="A3534" s="2"/>
      <c r="B3534" s="12"/>
      <c r="C3534" s="12"/>
      <c r="E3534" t="str">
        <f>IF(LEN(D3534)=0,"",[1]!i_pq_tradedays($B$3,A3535,A3534)-1)</f>
        <v/>
      </c>
      <c r="G3534" s="16" t="str">
        <f t="shared" si="126"/>
        <v/>
      </c>
      <c r="H3534" s="70" t="str">
        <f t="shared" si="127"/>
        <v/>
      </c>
    </row>
    <row r="3535" spans="1:8">
      <c r="A3535" s="2"/>
      <c r="B3535" s="12"/>
      <c r="C3535" s="12"/>
      <c r="E3535" t="str">
        <f>IF(LEN(D3535)=0,"",[1]!i_pq_tradedays($B$3,A3536,A3535)-1)</f>
        <v/>
      </c>
      <c r="G3535" s="16" t="str">
        <f t="shared" si="126"/>
        <v/>
      </c>
      <c r="H3535" s="70" t="str">
        <f t="shared" si="127"/>
        <v/>
      </c>
    </row>
    <row r="3536" spans="1:8">
      <c r="A3536" s="2"/>
      <c r="B3536" s="12"/>
      <c r="C3536" s="12"/>
      <c r="E3536" t="str">
        <f>IF(LEN(D3536)=0,"",[1]!i_pq_tradedays($B$3,A3537,A3536)-1)</f>
        <v/>
      </c>
      <c r="G3536" s="16" t="str">
        <f t="shared" si="126"/>
        <v/>
      </c>
      <c r="H3536" s="70" t="str">
        <f t="shared" si="127"/>
        <v/>
      </c>
    </row>
    <row r="3537" spans="1:8">
      <c r="A3537" s="2"/>
      <c r="B3537" s="12"/>
      <c r="C3537" s="12"/>
      <c r="E3537" t="str">
        <f>IF(LEN(D3537)=0,"",[1]!i_pq_tradedays($B$3,A3538,A3537)-1)</f>
        <v/>
      </c>
      <c r="G3537" s="16" t="str">
        <f t="shared" si="126"/>
        <v/>
      </c>
      <c r="H3537" s="70" t="str">
        <f t="shared" si="127"/>
        <v/>
      </c>
    </row>
    <row r="3538" spans="1:8">
      <c r="A3538" s="2"/>
      <c r="B3538" s="12"/>
      <c r="C3538" s="12"/>
      <c r="E3538" t="str">
        <f>IF(LEN(D3538)=0,"",[1]!i_pq_tradedays($B$3,A3539,A3538)-1)</f>
        <v/>
      </c>
      <c r="G3538" s="16" t="str">
        <f t="shared" si="126"/>
        <v/>
      </c>
      <c r="H3538" s="70" t="str">
        <f t="shared" si="127"/>
        <v/>
      </c>
    </row>
    <row r="3539" spans="1:8">
      <c r="A3539" s="2"/>
      <c r="B3539" s="12"/>
      <c r="C3539" s="12"/>
      <c r="E3539" t="str">
        <f>IF(LEN(D3539)=0,"",[1]!i_pq_tradedays($B$3,A3540,A3539)-1)</f>
        <v/>
      </c>
      <c r="G3539" s="16" t="str">
        <f t="shared" si="126"/>
        <v/>
      </c>
      <c r="H3539" s="70" t="str">
        <f t="shared" si="127"/>
        <v/>
      </c>
    </row>
    <row r="3540" spans="1:8">
      <c r="A3540" s="2"/>
      <c r="B3540" s="12"/>
      <c r="C3540" s="12"/>
      <c r="E3540" t="str">
        <f>IF(LEN(D3540)=0,"",[1]!i_pq_tradedays($B$3,A3541,A3540)-1)</f>
        <v/>
      </c>
      <c r="G3540" s="16" t="str">
        <f t="shared" si="126"/>
        <v/>
      </c>
      <c r="H3540" s="70" t="str">
        <f t="shared" si="127"/>
        <v/>
      </c>
    </row>
    <row r="3541" spans="1:8">
      <c r="A3541" s="2"/>
      <c r="B3541" s="12"/>
      <c r="C3541" s="12"/>
      <c r="E3541" t="str">
        <f>IF(LEN(D3541)=0,"",[1]!i_pq_tradedays($B$3,A3542,A3541)-1)</f>
        <v/>
      </c>
      <c r="G3541" s="16" t="str">
        <f t="shared" si="126"/>
        <v/>
      </c>
      <c r="H3541" s="70" t="str">
        <f t="shared" si="127"/>
        <v/>
      </c>
    </row>
    <row r="3542" spans="1:8">
      <c r="A3542" s="2"/>
      <c r="B3542" s="12"/>
      <c r="C3542" s="12"/>
      <c r="E3542" t="str">
        <f>IF(LEN(D3542)=0,"",[1]!i_pq_tradedays($B$3,A3543,A3542)-1)</f>
        <v/>
      </c>
      <c r="G3542" s="16" t="str">
        <f t="shared" si="126"/>
        <v/>
      </c>
      <c r="H3542" s="70" t="str">
        <f t="shared" si="127"/>
        <v/>
      </c>
    </row>
    <row r="3543" spans="1:8">
      <c r="A3543" s="2"/>
      <c r="B3543" s="12"/>
      <c r="C3543" s="12"/>
      <c r="E3543" t="str">
        <f>IF(LEN(D3543)=0,"",[1]!i_pq_tradedays($B$3,A3544,A3543)-1)</f>
        <v/>
      </c>
      <c r="G3543" s="16" t="str">
        <f t="shared" si="126"/>
        <v/>
      </c>
      <c r="H3543" s="70" t="str">
        <f t="shared" si="127"/>
        <v/>
      </c>
    </row>
    <row r="3544" spans="1:8">
      <c r="A3544" s="2"/>
      <c r="B3544" s="12"/>
      <c r="C3544" s="12"/>
      <c r="E3544" t="str">
        <f>IF(LEN(D3544)=0,"",[1]!i_pq_tradedays($B$3,A3545,A3544)-1)</f>
        <v/>
      </c>
      <c r="G3544" s="16" t="str">
        <f t="shared" si="126"/>
        <v/>
      </c>
      <c r="H3544" s="70" t="str">
        <f t="shared" si="127"/>
        <v/>
      </c>
    </row>
    <row r="3545" spans="1:8">
      <c r="A3545" s="2"/>
      <c r="B3545" s="12"/>
      <c r="C3545" s="12"/>
      <c r="E3545" t="str">
        <f>IF(LEN(D3545)=0,"",[1]!i_pq_tradedays($B$3,A3546,A3545)-1)</f>
        <v/>
      </c>
      <c r="G3545" s="16" t="str">
        <f t="shared" si="126"/>
        <v/>
      </c>
      <c r="H3545" s="70" t="str">
        <f t="shared" si="127"/>
        <v/>
      </c>
    </row>
    <row r="3546" spans="1:8">
      <c r="A3546" s="2"/>
      <c r="B3546" s="12"/>
      <c r="C3546" s="12"/>
      <c r="E3546" t="str">
        <f>IF(LEN(D3546)=0,"",[1]!i_pq_tradedays($B$3,A3547,A3546)-1)</f>
        <v/>
      </c>
      <c r="G3546" s="16" t="str">
        <f t="shared" si="126"/>
        <v/>
      </c>
      <c r="H3546" s="70" t="str">
        <f t="shared" si="127"/>
        <v/>
      </c>
    </row>
    <row r="3547" spans="1:8">
      <c r="A3547" s="2"/>
      <c r="B3547" s="12"/>
      <c r="C3547" s="12"/>
      <c r="E3547" t="str">
        <f>IF(LEN(D3547)=0,"",[1]!i_pq_tradedays($B$3,A3548,A3547)-1)</f>
        <v/>
      </c>
      <c r="G3547" s="16" t="str">
        <f t="shared" si="126"/>
        <v/>
      </c>
      <c r="H3547" s="70" t="str">
        <f t="shared" si="127"/>
        <v/>
      </c>
    </row>
    <row r="3548" spans="1:8">
      <c r="A3548" s="2"/>
      <c r="B3548" s="12"/>
      <c r="C3548" s="12"/>
      <c r="E3548" t="str">
        <f>IF(LEN(D3548)=0,"",[1]!i_pq_tradedays($B$3,A3549,A3548)-1)</f>
        <v/>
      </c>
      <c r="G3548" s="16" t="str">
        <f t="shared" si="126"/>
        <v/>
      </c>
      <c r="H3548" s="70" t="str">
        <f t="shared" si="127"/>
        <v/>
      </c>
    </row>
    <row r="3549" spans="1:8">
      <c r="A3549" s="2"/>
      <c r="B3549" s="12"/>
      <c r="C3549" s="12"/>
      <c r="E3549" t="str">
        <f>IF(LEN(D3549)=0,"",[1]!i_pq_tradedays($B$3,A3550,A3549)-1)</f>
        <v/>
      </c>
      <c r="G3549" s="16" t="str">
        <f t="shared" si="126"/>
        <v/>
      </c>
      <c r="H3549" s="70" t="str">
        <f t="shared" si="127"/>
        <v/>
      </c>
    </row>
    <row r="3550" spans="1:8">
      <c r="A3550" s="2"/>
      <c r="B3550" s="12"/>
      <c r="C3550" s="12"/>
      <c r="E3550" t="str">
        <f>IF(LEN(D3550)=0,"",[1]!i_pq_tradedays($B$3,A3551,A3550)-1)</f>
        <v/>
      </c>
      <c r="G3550" s="16" t="str">
        <f t="shared" si="126"/>
        <v/>
      </c>
      <c r="H3550" s="70" t="str">
        <f t="shared" si="127"/>
        <v/>
      </c>
    </row>
    <row r="3551" spans="1:8">
      <c r="A3551" s="2"/>
      <c r="B3551" s="12"/>
      <c r="C3551" s="12"/>
      <c r="E3551" t="str">
        <f>IF(LEN(D3551)=0,"",[1]!i_pq_tradedays($B$3,A3552,A3551)-1)</f>
        <v/>
      </c>
      <c r="G3551" s="16" t="str">
        <f t="shared" si="126"/>
        <v/>
      </c>
      <c r="H3551" s="70" t="str">
        <f t="shared" si="127"/>
        <v/>
      </c>
    </row>
    <row r="3552" spans="1:8">
      <c r="A3552" s="2"/>
      <c r="B3552" s="12"/>
      <c r="C3552" s="12"/>
      <c r="E3552" t="str">
        <f>IF(LEN(D3552)=0,"",[1]!i_pq_tradedays($B$3,A3553,A3552)-1)</f>
        <v/>
      </c>
      <c r="G3552" s="16" t="str">
        <f t="shared" si="126"/>
        <v/>
      </c>
      <c r="H3552" s="70" t="str">
        <f t="shared" si="127"/>
        <v/>
      </c>
    </row>
    <row r="3553" spans="1:8">
      <c r="A3553" s="2"/>
      <c r="B3553" s="12"/>
      <c r="C3553" s="12"/>
      <c r="E3553" t="str">
        <f>IF(LEN(D3553)=0,"",[1]!i_pq_tradedays($B$3,A3554,A3553)-1)</f>
        <v/>
      </c>
      <c r="G3553" s="16" t="str">
        <f t="shared" si="126"/>
        <v/>
      </c>
      <c r="H3553" s="70" t="str">
        <f t="shared" si="127"/>
        <v/>
      </c>
    </row>
    <row r="3554" spans="1:8">
      <c r="A3554" s="2"/>
      <c r="B3554" s="12"/>
      <c r="C3554" s="12"/>
      <c r="E3554" t="str">
        <f>IF(LEN(D3554)=0,"",[1]!i_pq_tradedays($B$3,A3555,A3554)-1)</f>
        <v/>
      </c>
      <c r="G3554" s="16" t="str">
        <f t="shared" si="126"/>
        <v/>
      </c>
      <c r="H3554" s="70" t="str">
        <f t="shared" si="127"/>
        <v/>
      </c>
    </row>
    <row r="3555" spans="1:8">
      <c r="A3555" s="2"/>
      <c r="B3555" s="12"/>
      <c r="C3555" s="12"/>
      <c r="E3555" t="str">
        <f>IF(LEN(D3555)=0,"",[1]!i_pq_tradedays($B$3,A3556,A3555)-1)</f>
        <v/>
      </c>
      <c r="G3555" s="16" t="str">
        <f t="shared" si="126"/>
        <v/>
      </c>
      <c r="H3555" s="70" t="str">
        <f t="shared" si="127"/>
        <v/>
      </c>
    </row>
    <row r="3556" spans="1:8">
      <c r="A3556" s="2"/>
      <c r="B3556" s="12"/>
      <c r="C3556" s="12"/>
      <c r="E3556" t="str">
        <f>IF(LEN(D3556)=0,"",[1]!i_pq_tradedays($B$3,A3557,A3556)-1)</f>
        <v/>
      </c>
      <c r="G3556" s="16" t="str">
        <f t="shared" si="126"/>
        <v/>
      </c>
      <c r="H3556" s="70" t="str">
        <f t="shared" si="127"/>
        <v/>
      </c>
    </row>
    <row r="3557" spans="1:8">
      <c r="A3557" s="2"/>
      <c r="B3557" s="12"/>
      <c r="C3557" s="12"/>
      <c r="E3557" t="str">
        <f>IF(LEN(D3557)=0,"",[1]!i_pq_tradedays($B$3,A3558,A3557)-1)</f>
        <v/>
      </c>
      <c r="G3557" s="16" t="str">
        <f t="shared" si="126"/>
        <v/>
      </c>
      <c r="H3557" s="70" t="str">
        <f t="shared" si="127"/>
        <v/>
      </c>
    </row>
    <row r="3558" spans="1:8">
      <c r="A3558" s="2"/>
      <c r="B3558" s="12"/>
      <c r="C3558" s="12"/>
      <c r="E3558" t="str">
        <f>IF(LEN(D3558)=0,"",[1]!i_pq_tradedays($B$3,A3559,A3558)-1)</f>
        <v/>
      </c>
      <c r="G3558" s="16" t="str">
        <f t="shared" si="126"/>
        <v/>
      </c>
      <c r="H3558" s="70" t="str">
        <f t="shared" si="127"/>
        <v/>
      </c>
    </row>
    <row r="3559" spans="1:8">
      <c r="A3559" s="2"/>
      <c r="B3559" s="12"/>
      <c r="C3559" s="12"/>
      <c r="E3559" t="str">
        <f>IF(LEN(D3559)=0,"",[1]!i_pq_tradedays($B$3,A3560,A3559)-1)</f>
        <v/>
      </c>
      <c r="G3559" s="16" t="str">
        <f t="shared" si="126"/>
        <v/>
      </c>
      <c r="H3559" s="70" t="str">
        <f t="shared" si="127"/>
        <v/>
      </c>
    </row>
    <row r="3560" spans="1:8">
      <c r="A3560" s="2"/>
      <c r="B3560" s="12"/>
      <c r="C3560" s="12"/>
      <c r="E3560" t="str">
        <f>IF(LEN(D3560)=0,"",[1]!i_pq_tradedays($B$3,A3561,A3560)-1)</f>
        <v/>
      </c>
      <c r="G3560" s="16" t="str">
        <f t="shared" si="126"/>
        <v/>
      </c>
      <c r="H3560" s="70" t="str">
        <f t="shared" si="127"/>
        <v/>
      </c>
    </row>
    <row r="3561" spans="1:8">
      <c r="A3561" s="2"/>
      <c r="B3561" s="12"/>
      <c r="C3561" s="12"/>
      <c r="E3561" t="str">
        <f>IF(LEN(D3561)=0,"",[1]!i_pq_tradedays($B$3,A3562,A3561)-1)</f>
        <v/>
      </c>
      <c r="G3561" s="16" t="str">
        <f t="shared" si="126"/>
        <v/>
      </c>
      <c r="H3561" s="70" t="str">
        <f t="shared" si="127"/>
        <v/>
      </c>
    </row>
    <row r="3562" spans="1:8">
      <c r="A3562" s="2"/>
      <c r="B3562" s="12"/>
      <c r="C3562" s="12"/>
      <c r="E3562" t="str">
        <f>IF(LEN(D3562)=0,"",[1]!i_pq_tradedays($B$3,A3563,A3562)-1)</f>
        <v/>
      </c>
      <c r="G3562" s="16" t="str">
        <f t="shared" si="126"/>
        <v/>
      </c>
      <c r="H3562" s="70" t="str">
        <f t="shared" si="127"/>
        <v/>
      </c>
    </row>
    <row r="3563" spans="1:8">
      <c r="A3563" s="2"/>
      <c r="B3563" s="12"/>
      <c r="C3563" s="12"/>
      <c r="E3563" t="str">
        <f>IF(LEN(D3563)=0,"",[1]!i_pq_tradedays($B$3,A3564,A3563)-1)</f>
        <v/>
      </c>
      <c r="G3563" s="16" t="str">
        <f t="shared" si="126"/>
        <v/>
      </c>
      <c r="H3563" s="70" t="str">
        <f t="shared" si="127"/>
        <v/>
      </c>
    </row>
    <row r="3564" spans="1:8">
      <c r="A3564" s="2"/>
      <c r="B3564" s="12"/>
      <c r="C3564" s="12"/>
      <c r="E3564" t="str">
        <f>IF(LEN(D3564)=0,"",[1]!i_pq_tradedays($B$3,A3565,A3564)-1)</f>
        <v/>
      </c>
      <c r="G3564" s="16" t="str">
        <f t="shared" si="126"/>
        <v/>
      </c>
      <c r="H3564" s="70" t="str">
        <f t="shared" si="127"/>
        <v/>
      </c>
    </row>
    <row r="3565" spans="1:8">
      <c r="A3565" s="2"/>
      <c r="B3565" s="12"/>
      <c r="C3565" s="12"/>
      <c r="E3565" t="str">
        <f>IF(LEN(D3565)=0,"",[1]!i_pq_tradedays($B$3,A3566,A3565)-1)</f>
        <v/>
      </c>
      <c r="G3565" s="16" t="str">
        <f t="shared" si="126"/>
        <v/>
      </c>
      <c r="H3565" s="70" t="str">
        <f t="shared" si="127"/>
        <v/>
      </c>
    </row>
    <row r="3566" spans="1:8">
      <c r="A3566" s="2"/>
      <c r="B3566" s="12"/>
      <c r="C3566" s="12"/>
      <c r="E3566" t="str">
        <f>IF(LEN(D3566)=0,"",[1]!i_pq_tradedays($B$3,A3567,A3566)-1)</f>
        <v/>
      </c>
      <c r="G3566" s="16" t="str">
        <f t="shared" si="126"/>
        <v/>
      </c>
      <c r="H3566" s="70" t="str">
        <f t="shared" si="127"/>
        <v/>
      </c>
    </row>
    <row r="3567" spans="1:8">
      <c r="A3567" s="2"/>
      <c r="B3567" s="12"/>
      <c r="C3567" s="12"/>
      <c r="E3567" t="str">
        <f>IF(LEN(D3567)=0,"",[1]!i_pq_tradedays($B$3,A3568,A3567)-1)</f>
        <v/>
      </c>
      <c r="G3567" s="16" t="str">
        <f t="shared" si="126"/>
        <v/>
      </c>
      <c r="H3567" s="70" t="str">
        <f t="shared" si="127"/>
        <v/>
      </c>
    </row>
    <row r="3568" spans="1:8">
      <c r="A3568" s="2"/>
      <c r="B3568" s="12"/>
      <c r="C3568" s="12"/>
      <c r="E3568" t="str">
        <f>IF(LEN(D3568)=0,"",[1]!i_pq_tradedays($B$3,A3569,A3568)-1)</f>
        <v/>
      </c>
      <c r="G3568" s="16" t="str">
        <f t="shared" si="126"/>
        <v/>
      </c>
      <c r="H3568" s="70" t="str">
        <f t="shared" si="127"/>
        <v/>
      </c>
    </row>
    <row r="3569" spans="1:8">
      <c r="A3569" s="2"/>
      <c r="B3569" s="12"/>
      <c r="C3569" s="12"/>
      <c r="E3569" t="str">
        <f>IF(LEN(D3569)=0,"",[1]!i_pq_tradedays($B$3,A3570,A3569)-1)</f>
        <v/>
      </c>
      <c r="G3569" s="16" t="str">
        <f t="shared" si="126"/>
        <v/>
      </c>
      <c r="H3569" s="70" t="str">
        <f t="shared" si="127"/>
        <v/>
      </c>
    </row>
    <row r="3570" spans="1:8">
      <c r="A3570" s="2"/>
      <c r="B3570" s="12"/>
      <c r="C3570" s="12"/>
      <c r="E3570" t="str">
        <f>IF(LEN(D3570)=0,"",[1]!i_pq_tradedays($B$3,A3571,A3570)-1)</f>
        <v/>
      </c>
      <c r="G3570" s="16" t="str">
        <f t="shared" si="126"/>
        <v/>
      </c>
      <c r="H3570" s="70" t="str">
        <f t="shared" si="127"/>
        <v/>
      </c>
    </row>
    <row r="3571" spans="1:8">
      <c r="A3571" s="2"/>
      <c r="B3571" s="12"/>
      <c r="C3571" s="12"/>
      <c r="E3571" t="str">
        <f>IF(LEN(D3571)=0,"",[1]!i_pq_tradedays($B$3,A3572,A3571)-1)</f>
        <v/>
      </c>
      <c r="G3571" s="16" t="str">
        <f t="shared" si="126"/>
        <v/>
      </c>
      <c r="H3571" s="70" t="str">
        <f t="shared" si="127"/>
        <v/>
      </c>
    </row>
    <row r="3572" spans="1:8">
      <c r="A3572" s="2"/>
      <c r="B3572" s="12"/>
      <c r="C3572" s="12"/>
      <c r="E3572" t="str">
        <f>IF(LEN(D3572)=0,"",[1]!i_pq_tradedays($B$3,A3573,A3572)-1)</f>
        <v/>
      </c>
      <c r="G3572" s="16" t="str">
        <f t="shared" si="126"/>
        <v/>
      </c>
      <c r="H3572" s="70" t="str">
        <f t="shared" si="127"/>
        <v/>
      </c>
    </row>
    <row r="3573" spans="1:8">
      <c r="A3573" s="2"/>
      <c r="B3573" s="12"/>
      <c r="C3573" s="12"/>
      <c r="E3573" t="str">
        <f>IF(LEN(D3573)=0,"",[1]!i_pq_tradedays($B$3,A3574,A3573)-1)</f>
        <v/>
      </c>
      <c r="G3573" s="16" t="str">
        <f t="shared" ref="G3573:G3636" si="128">IF(LEN(D3573)=0,"",D3573/E3573)</f>
        <v/>
      </c>
      <c r="H3573" s="70" t="str">
        <f t="shared" ref="H3573:H3636" si="129">IF(LEN(D3573)=0,"",G3573/G3574-1)</f>
        <v/>
      </c>
    </row>
    <row r="3574" spans="1:8">
      <c r="A3574" s="2"/>
      <c r="B3574" s="12"/>
      <c r="C3574" s="12"/>
      <c r="E3574" t="str">
        <f>IF(LEN(D3574)=0,"",[1]!i_pq_tradedays($B$3,A3575,A3574)-1)</f>
        <v/>
      </c>
      <c r="G3574" s="16" t="str">
        <f t="shared" si="128"/>
        <v/>
      </c>
      <c r="H3574" s="70" t="str">
        <f t="shared" si="129"/>
        <v/>
      </c>
    </row>
    <row r="3575" spans="1:8">
      <c r="A3575" s="2"/>
      <c r="B3575" s="12"/>
      <c r="C3575" s="12"/>
      <c r="E3575" t="str">
        <f>IF(LEN(D3575)=0,"",[1]!i_pq_tradedays($B$3,A3576,A3575)-1)</f>
        <v/>
      </c>
      <c r="G3575" s="16" t="str">
        <f t="shared" si="128"/>
        <v/>
      </c>
      <c r="H3575" s="70" t="str">
        <f t="shared" si="129"/>
        <v/>
      </c>
    </row>
    <row r="3576" spans="1:8">
      <c r="A3576" s="2"/>
      <c r="B3576" s="12"/>
      <c r="C3576" s="12"/>
      <c r="E3576" t="str">
        <f>IF(LEN(D3576)=0,"",[1]!i_pq_tradedays($B$3,A3577,A3576)-1)</f>
        <v/>
      </c>
      <c r="G3576" s="16" t="str">
        <f t="shared" si="128"/>
        <v/>
      </c>
      <c r="H3576" s="70" t="str">
        <f t="shared" si="129"/>
        <v/>
      </c>
    </row>
    <row r="3577" spans="1:8">
      <c r="A3577" s="2"/>
      <c r="B3577" s="12"/>
      <c r="C3577" s="12"/>
      <c r="E3577" t="str">
        <f>IF(LEN(D3577)=0,"",[1]!i_pq_tradedays($B$3,A3578,A3577)-1)</f>
        <v/>
      </c>
      <c r="G3577" s="16" t="str">
        <f t="shared" si="128"/>
        <v/>
      </c>
      <c r="H3577" s="70" t="str">
        <f t="shared" si="129"/>
        <v/>
      </c>
    </row>
    <row r="3578" spans="1:8">
      <c r="A3578" s="2"/>
      <c r="B3578" s="12"/>
      <c r="C3578" s="12"/>
      <c r="E3578" t="str">
        <f>IF(LEN(D3578)=0,"",[1]!i_pq_tradedays($B$3,A3579,A3578)-1)</f>
        <v/>
      </c>
      <c r="G3578" s="16" t="str">
        <f t="shared" si="128"/>
        <v/>
      </c>
      <c r="H3578" s="70" t="str">
        <f t="shared" si="129"/>
        <v/>
      </c>
    </row>
    <row r="3579" spans="1:8">
      <c r="A3579" s="2"/>
      <c r="B3579" s="12"/>
      <c r="C3579" s="12"/>
      <c r="E3579" t="str">
        <f>IF(LEN(D3579)=0,"",[1]!i_pq_tradedays($B$3,A3580,A3579)-1)</f>
        <v/>
      </c>
      <c r="G3579" s="16" t="str">
        <f t="shared" si="128"/>
        <v/>
      </c>
      <c r="H3579" s="70" t="str">
        <f t="shared" si="129"/>
        <v/>
      </c>
    </row>
    <row r="3580" spans="1:8">
      <c r="A3580" s="2"/>
      <c r="B3580" s="12"/>
      <c r="C3580" s="12"/>
      <c r="E3580" t="str">
        <f>IF(LEN(D3580)=0,"",[1]!i_pq_tradedays($B$3,A3581,A3580)-1)</f>
        <v/>
      </c>
      <c r="G3580" s="16" t="str">
        <f t="shared" si="128"/>
        <v/>
      </c>
      <c r="H3580" s="70" t="str">
        <f t="shared" si="129"/>
        <v/>
      </c>
    </row>
    <row r="3581" spans="1:8">
      <c r="A3581" s="2"/>
      <c r="B3581" s="12"/>
      <c r="C3581" s="12"/>
      <c r="E3581" t="str">
        <f>IF(LEN(D3581)=0,"",[1]!i_pq_tradedays($B$3,A3582,A3581)-1)</f>
        <v/>
      </c>
      <c r="G3581" s="16" t="str">
        <f t="shared" si="128"/>
        <v/>
      </c>
      <c r="H3581" s="70" t="str">
        <f t="shared" si="129"/>
        <v/>
      </c>
    </row>
    <row r="3582" spans="1:8">
      <c r="A3582" s="2"/>
      <c r="B3582" s="12"/>
      <c r="C3582" s="12"/>
      <c r="E3582" t="str">
        <f>IF(LEN(D3582)=0,"",[1]!i_pq_tradedays($B$3,A3583,A3582)-1)</f>
        <v/>
      </c>
      <c r="G3582" s="16" t="str">
        <f t="shared" si="128"/>
        <v/>
      </c>
      <c r="H3582" s="70" t="str">
        <f t="shared" si="129"/>
        <v/>
      </c>
    </row>
    <row r="3583" spans="1:8">
      <c r="A3583" s="2"/>
      <c r="B3583" s="12"/>
      <c r="C3583" s="12"/>
      <c r="E3583" t="str">
        <f>IF(LEN(D3583)=0,"",[1]!i_pq_tradedays($B$3,A3584,A3583)-1)</f>
        <v/>
      </c>
      <c r="G3583" s="16" t="str">
        <f t="shared" si="128"/>
        <v/>
      </c>
      <c r="H3583" s="70" t="str">
        <f t="shared" si="129"/>
        <v/>
      </c>
    </row>
    <row r="3584" spans="1:8">
      <c r="A3584" s="2"/>
      <c r="B3584" s="12"/>
      <c r="C3584" s="12"/>
      <c r="E3584" t="str">
        <f>IF(LEN(D3584)=0,"",[1]!i_pq_tradedays($B$3,A3585,A3584)-1)</f>
        <v/>
      </c>
      <c r="G3584" s="16" t="str">
        <f t="shared" si="128"/>
        <v/>
      </c>
      <c r="H3584" s="70" t="str">
        <f t="shared" si="129"/>
        <v/>
      </c>
    </row>
    <row r="3585" spans="1:8">
      <c r="A3585" s="2"/>
      <c r="B3585" s="12"/>
      <c r="C3585" s="12"/>
      <c r="E3585" t="str">
        <f>IF(LEN(D3585)=0,"",[1]!i_pq_tradedays($B$3,A3586,A3585)-1)</f>
        <v/>
      </c>
      <c r="G3585" s="16" t="str">
        <f t="shared" si="128"/>
        <v/>
      </c>
      <c r="H3585" s="70" t="str">
        <f t="shared" si="129"/>
        <v/>
      </c>
    </row>
    <row r="3586" spans="1:8">
      <c r="A3586" s="2"/>
      <c r="B3586" s="12"/>
      <c r="C3586" s="12"/>
      <c r="E3586" t="str">
        <f>IF(LEN(D3586)=0,"",[1]!i_pq_tradedays($B$3,A3587,A3586)-1)</f>
        <v/>
      </c>
      <c r="G3586" s="16" t="str">
        <f t="shared" si="128"/>
        <v/>
      </c>
      <c r="H3586" s="70" t="str">
        <f t="shared" si="129"/>
        <v/>
      </c>
    </row>
    <row r="3587" spans="1:8">
      <c r="A3587" s="2"/>
      <c r="B3587" s="12"/>
      <c r="C3587" s="12"/>
      <c r="E3587" t="str">
        <f>IF(LEN(D3587)=0,"",[1]!i_pq_tradedays($B$3,A3588,A3587)-1)</f>
        <v/>
      </c>
      <c r="G3587" s="16" t="str">
        <f t="shared" si="128"/>
        <v/>
      </c>
      <c r="H3587" s="70" t="str">
        <f t="shared" si="129"/>
        <v/>
      </c>
    </row>
    <row r="3588" spans="1:8">
      <c r="A3588" s="2"/>
      <c r="B3588" s="12"/>
      <c r="C3588" s="12"/>
      <c r="E3588" t="str">
        <f>IF(LEN(D3588)=0,"",[1]!i_pq_tradedays($B$3,A3589,A3588)-1)</f>
        <v/>
      </c>
      <c r="G3588" s="16" t="str">
        <f t="shared" si="128"/>
        <v/>
      </c>
      <c r="H3588" s="70" t="str">
        <f t="shared" si="129"/>
        <v/>
      </c>
    </row>
    <row r="3589" spans="1:8">
      <c r="A3589" s="2"/>
      <c r="B3589" s="12"/>
      <c r="C3589" s="12"/>
      <c r="E3589" t="str">
        <f>IF(LEN(D3589)=0,"",[1]!i_pq_tradedays($B$3,A3590,A3589)-1)</f>
        <v/>
      </c>
      <c r="G3589" s="16" t="str">
        <f t="shared" si="128"/>
        <v/>
      </c>
      <c r="H3589" s="70" t="str">
        <f t="shared" si="129"/>
        <v/>
      </c>
    </row>
    <row r="3590" spans="1:8">
      <c r="A3590" s="2"/>
      <c r="B3590" s="12"/>
      <c r="C3590" s="12"/>
      <c r="E3590" t="str">
        <f>IF(LEN(D3590)=0,"",[1]!i_pq_tradedays($B$3,A3591,A3590)-1)</f>
        <v/>
      </c>
      <c r="G3590" s="16" t="str">
        <f t="shared" si="128"/>
        <v/>
      </c>
      <c r="H3590" s="70" t="str">
        <f t="shared" si="129"/>
        <v/>
      </c>
    </row>
    <row r="3591" spans="1:8">
      <c r="A3591" s="2"/>
      <c r="B3591" s="12"/>
      <c r="C3591" s="12"/>
      <c r="E3591" t="str">
        <f>IF(LEN(D3591)=0,"",[1]!i_pq_tradedays($B$3,A3592,A3591)-1)</f>
        <v/>
      </c>
      <c r="G3591" s="16" t="str">
        <f t="shared" si="128"/>
        <v/>
      </c>
      <c r="H3591" s="70" t="str">
        <f t="shared" si="129"/>
        <v/>
      </c>
    </row>
    <row r="3592" spans="1:8">
      <c r="A3592" s="2"/>
      <c r="B3592" s="12"/>
      <c r="C3592" s="12"/>
      <c r="E3592" t="str">
        <f>IF(LEN(D3592)=0,"",[1]!i_pq_tradedays($B$3,A3593,A3592)-1)</f>
        <v/>
      </c>
      <c r="G3592" s="16" t="str">
        <f t="shared" si="128"/>
        <v/>
      </c>
      <c r="H3592" s="70" t="str">
        <f t="shared" si="129"/>
        <v/>
      </c>
    </row>
    <row r="3593" spans="1:8">
      <c r="A3593" s="2"/>
      <c r="B3593" s="12"/>
      <c r="C3593" s="12"/>
      <c r="E3593" t="str">
        <f>IF(LEN(D3593)=0,"",[1]!i_pq_tradedays($B$3,A3594,A3593)-1)</f>
        <v/>
      </c>
      <c r="G3593" s="16" t="str">
        <f t="shared" si="128"/>
        <v/>
      </c>
      <c r="H3593" s="70" t="str">
        <f t="shared" si="129"/>
        <v/>
      </c>
    </row>
    <row r="3594" spans="1:8">
      <c r="A3594" s="2"/>
      <c r="B3594" s="12"/>
      <c r="C3594" s="12"/>
      <c r="E3594" t="str">
        <f>IF(LEN(D3594)=0,"",[1]!i_pq_tradedays($B$3,A3595,A3594)-1)</f>
        <v/>
      </c>
      <c r="G3594" s="16" t="str">
        <f t="shared" si="128"/>
        <v/>
      </c>
      <c r="H3594" s="70" t="str">
        <f t="shared" si="129"/>
        <v/>
      </c>
    </row>
    <row r="3595" spans="1:8">
      <c r="A3595" s="2"/>
      <c r="B3595" s="12"/>
      <c r="C3595" s="12"/>
      <c r="E3595" t="str">
        <f>IF(LEN(D3595)=0,"",[1]!i_pq_tradedays($B$3,A3596,A3595)-1)</f>
        <v/>
      </c>
      <c r="G3595" s="16" t="str">
        <f t="shared" si="128"/>
        <v/>
      </c>
      <c r="H3595" s="70" t="str">
        <f t="shared" si="129"/>
        <v/>
      </c>
    </row>
    <row r="3596" spans="1:8">
      <c r="A3596" s="2"/>
      <c r="B3596" s="12"/>
      <c r="C3596" s="12"/>
      <c r="E3596" t="str">
        <f>IF(LEN(D3596)=0,"",[1]!i_pq_tradedays($B$3,A3597,A3596)-1)</f>
        <v/>
      </c>
      <c r="G3596" s="16" t="str">
        <f t="shared" si="128"/>
        <v/>
      </c>
      <c r="H3596" s="70" t="str">
        <f t="shared" si="129"/>
        <v/>
      </c>
    </row>
    <row r="3597" spans="1:8">
      <c r="A3597" s="2"/>
      <c r="B3597" s="12"/>
      <c r="C3597" s="12"/>
      <c r="E3597" t="str">
        <f>IF(LEN(D3597)=0,"",[1]!i_pq_tradedays($B$3,A3598,A3597)-1)</f>
        <v/>
      </c>
      <c r="G3597" s="16" t="str">
        <f t="shared" si="128"/>
        <v/>
      </c>
      <c r="H3597" s="70" t="str">
        <f t="shared" si="129"/>
        <v/>
      </c>
    </row>
    <row r="3598" spans="1:8">
      <c r="A3598" s="2"/>
      <c r="B3598" s="12"/>
      <c r="C3598" s="12"/>
      <c r="E3598" t="str">
        <f>IF(LEN(D3598)=0,"",[1]!i_pq_tradedays($B$3,A3599,A3598)-1)</f>
        <v/>
      </c>
      <c r="G3598" s="16" t="str">
        <f t="shared" si="128"/>
        <v/>
      </c>
      <c r="H3598" s="70" t="str">
        <f t="shared" si="129"/>
        <v/>
      </c>
    </row>
    <row r="3599" spans="1:8">
      <c r="A3599" s="2"/>
      <c r="B3599" s="12"/>
      <c r="C3599" s="12"/>
      <c r="E3599" t="str">
        <f>IF(LEN(D3599)=0,"",[1]!i_pq_tradedays($B$3,A3600,A3599)-1)</f>
        <v/>
      </c>
      <c r="G3599" s="16" t="str">
        <f t="shared" si="128"/>
        <v/>
      </c>
      <c r="H3599" s="70" t="str">
        <f t="shared" si="129"/>
        <v/>
      </c>
    </row>
    <row r="3600" spans="1:8">
      <c r="A3600" s="2"/>
      <c r="B3600" s="12"/>
      <c r="C3600" s="12"/>
      <c r="E3600" t="str">
        <f>IF(LEN(D3600)=0,"",[1]!i_pq_tradedays($B$3,A3601,A3600)-1)</f>
        <v/>
      </c>
      <c r="G3600" s="16" t="str">
        <f t="shared" si="128"/>
        <v/>
      </c>
      <c r="H3600" s="70" t="str">
        <f t="shared" si="129"/>
        <v/>
      </c>
    </row>
    <row r="3601" spans="1:8">
      <c r="A3601" s="2"/>
      <c r="B3601" s="12"/>
      <c r="C3601" s="12"/>
      <c r="E3601" t="str">
        <f>IF(LEN(D3601)=0,"",[1]!i_pq_tradedays($B$3,A3602,A3601)-1)</f>
        <v/>
      </c>
      <c r="G3601" s="16" t="str">
        <f t="shared" si="128"/>
        <v/>
      </c>
      <c r="H3601" s="70" t="str">
        <f t="shared" si="129"/>
        <v/>
      </c>
    </row>
    <row r="3602" spans="1:8">
      <c r="A3602" s="2"/>
      <c r="B3602" s="12"/>
      <c r="C3602" s="12"/>
      <c r="E3602" t="str">
        <f>IF(LEN(D3602)=0,"",[1]!i_pq_tradedays($B$3,A3603,A3602)-1)</f>
        <v/>
      </c>
      <c r="G3602" s="16" t="str">
        <f t="shared" si="128"/>
        <v/>
      </c>
      <c r="H3602" s="70" t="str">
        <f t="shared" si="129"/>
        <v/>
      </c>
    </row>
    <row r="3603" spans="1:8">
      <c r="A3603" s="2"/>
      <c r="B3603" s="12"/>
      <c r="C3603" s="12"/>
      <c r="E3603" t="str">
        <f>IF(LEN(D3603)=0,"",[1]!i_pq_tradedays($B$3,A3604,A3603)-1)</f>
        <v/>
      </c>
      <c r="G3603" s="16" t="str">
        <f t="shared" si="128"/>
        <v/>
      </c>
      <c r="H3603" s="70" t="str">
        <f t="shared" si="129"/>
        <v/>
      </c>
    </row>
    <row r="3604" spans="1:8">
      <c r="A3604" s="2"/>
      <c r="B3604" s="12"/>
      <c r="C3604" s="12"/>
      <c r="E3604" t="str">
        <f>IF(LEN(D3604)=0,"",[1]!i_pq_tradedays($B$3,A3605,A3604)-1)</f>
        <v/>
      </c>
      <c r="G3604" s="16" t="str">
        <f t="shared" si="128"/>
        <v/>
      </c>
      <c r="H3604" s="70" t="str">
        <f t="shared" si="129"/>
        <v/>
      </c>
    </row>
    <row r="3605" spans="1:8">
      <c r="A3605" s="2"/>
      <c r="B3605" s="12"/>
      <c r="C3605" s="12"/>
      <c r="E3605" t="str">
        <f>IF(LEN(D3605)=0,"",[1]!i_pq_tradedays($B$3,A3606,A3605)-1)</f>
        <v/>
      </c>
      <c r="G3605" s="16" t="str">
        <f t="shared" si="128"/>
        <v/>
      </c>
      <c r="H3605" s="70" t="str">
        <f t="shared" si="129"/>
        <v/>
      </c>
    </row>
    <row r="3606" spans="1:8">
      <c r="A3606" s="2"/>
      <c r="B3606" s="12"/>
      <c r="C3606" s="12"/>
      <c r="E3606" t="str">
        <f>IF(LEN(D3606)=0,"",[1]!i_pq_tradedays($B$3,A3607,A3606)-1)</f>
        <v/>
      </c>
      <c r="G3606" s="16" t="str">
        <f t="shared" si="128"/>
        <v/>
      </c>
      <c r="H3606" s="70" t="str">
        <f t="shared" si="129"/>
        <v/>
      </c>
    </row>
    <row r="3607" spans="1:8">
      <c r="A3607" s="2"/>
      <c r="B3607" s="12"/>
      <c r="C3607" s="12"/>
      <c r="E3607" t="str">
        <f>IF(LEN(D3607)=0,"",[1]!i_pq_tradedays($B$3,A3608,A3607)-1)</f>
        <v/>
      </c>
      <c r="G3607" s="16" t="str">
        <f t="shared" si="128"/>
        <v/>
      </c>
      <c r="H3607" s="70" t="str">
        <f t="shared" si="129"/>
        <v/>
      </c>
    </row>
    <row r="3608" spans="1:8">
      <c r="A3608" s="2"/>
      <c r="B3608" s="12"/>
      <c r="C3608" s="12"/>
      <c r="E3608" t="str">
        <f>IF(LEN(D3608)=0,"",[1]!i_pq_tradedays($B$3,A3609,A3608)-1)</f>
        <v/>
      </c>
      <c r="G3608" s="16" t="str">
        <f t="shared" si="128"/>
        <v/>
      </c>
      <c r="H3608" s="70" t="str">
        <f t="shared" si="129"/>
        <v/>
      </c>
    </row>
    <row r="3609" spans="1:8">
      <c r="A3609" s="2"/>
      <c r="B3609" s="12"/>
      <c r="C3609" s="12"/>
      <c r="E3609" t="str">
        <f>IF(LEN(D3609)=0,"",[1]!i_pq_tradedays($B$3,A3610,A3609)-1)</f>
        <v/>
      </c>
      <c r="G3609" s="16" t="str">
        <f t="shared" si="128"/>
        <v/>
      </c>
      <c r="H3609" s="70" t="str">
        <f t="shared" si="129"/>
        <v/>
      </c>
    </row>
    <row r="3610" spans="1:8">
      <c r="A3610" s="2"/>
      <c r="B3610" s="12"/>
      <c r="C3610" s="12"/>
      <c r="E3610" t="str">
        <f>IF(LEN(D3610)=0,"",[1]!i_pq_tradedays($B$3,A3611,A3610)-1)</f>
        <v/>
      </c>
      <c r="G3610" s="16" t="str">
        <f t="shared" si="128"/>
        <v/>
      </c>
      <c r="H3610" s="70" t="str">
        <f t="shared" si="129"/>
        <v/>
      </c>
    </row>
    <row r="3611" spans="1:8">
      <c r="A3611" s="2"/>
      <c r="B3611" s="12"/>
      <c r="C3611" s="12"/>
      <c r="E3611" t="str">
        <f>IF(LEN(D3611)=0,"",[1]!i_pq_tradedays($B$3,A3612,A3611)-1)</f>
        <v/>
      </c>
      <c r="G3611" s="16" t="str">
        <f t="shared" si="128"/>
        <v/>
      </c>
      <c r="H3611" s="70" t="str">
        <f t="shared" si="129"/>
        <v/>
      </c>
    </row>
    <row r="3612" spans="1:8">
      <c r="A3612" s="2"/>
      <c r="B3612" s="12"/>
      <c r="C3612" s="12"/>
      <c r="E3612" t="str">
        <f>IF(LEN(D3612)=0,"",[1]!i_pq_tradedays($B$3,A3613,A3612)-1)</f>
        <v/>
      </c>
      <c r="G3612" s="16" t="str">
        <f t="shared" si="128"/>
        <v/>
      </c>
      <c r="H3612" s="70" t="str">
        <f t="shared" si="129"/>
        <v/>
      </c>
    </row>
    <row r="3613" spans="1:8">
      <c r="A3613" s="2"/>
      <c r="B3613" s="12"/>
      <c r="C3613" s="12"/>
      <c r="E3613" t="str">
        <f>IF(LEN(D3613)=0,"",[1]!i_pq_tradedays($B$3,A3614,A3613)-1)</f>
        <v/>
      </c>
      <c r="G3613" s="16" t="str">
        <f t="shared" si="128"/>
        <v/>
      </c>
      <c r="H3613" s="70" t="str">
        <f t="shared" si="129"/>
        <v/>
      </c>
    </row>
    <row r="3614" spans="1:8">
      <c r="A3614" s="2"/>
      <c r="B3614" s="12"/>
      <c r="C3614" s="12"/>
      <c r="E3614" t="str">
        <f>IF(LEN(D3614)=0,"",[1]!i_pq_tradedays($B$3,A3615,A3614)-1)</f>
        <v/>
      </c>
      <c r="G3614" s="16" t="str">
        <f t="shared" si="128"/>
        <v/>
      </c>
      <c r="H3614" s="70" t="str">
        <f t="shared" si="129"/>
        <v/>
      </c>
    </row>
    <row r="3615" spans="1:8">
      <c r="A3615" s="2"/>
      <c r="B3615" s="12"/>
      <c r="C3615" s="12"/>
      <c r="E3615" t="str">
        <f>IF(LEN(D3615)=0,"",[1]!i_pq_tradedays($B$3,A3616,A3615)-1)</f>
        <v/>
      </c>
      <c r="G3615" s="16" t="str">
        <f t="shared" si="128"/>
        <v/>
      </c>
      <c r="H3615" s="70" t="str">
        <f t="shared" si="129"/>
        <v/>
      </c>
    </row>
    <row r="3616" spans="1:8">
      <c r="A3616" s="2"/>
      <c r="B3616" s="12"/>
      <c r="C3616" s="12"/>
      <c r="E3616" t="str">
        <f>IF(LEN(D3616)=0,"",[1]!i_pq_tradedays($B$3,A3617,A3616)-1)</f>
        <v/>
      </c>
      <c r="G3616" s="16" t="str">
        <f t="shared" si="128"/>
        <v/>
      </c>
      <c r="H3616" s="70" t="str">
        <f t="shared" si="129"/>
        <v/>
      </c>
    </row>
    <row r="3617" spans="1:8">
      <c r="A3617" s="2"/>
      <c r="B3617" s="12"/>
      <c r="C3617" s="12"/>
      <c r="E3617" t="str">
        <f>IF(LEN(D3617)=0,"",[1]!i_pq_tradedays($B$3,A3618,A3617)-1)</f>
        <v/>
      </c>
      <c r="G3617" s="16" t="str">
        <f t="shared" si="128"/>
        <v/>
      </c>
      <c r="H3617" s="70" t="str">
        <f t="shared" si="129"/>
        <v/>
      </c>
    </row>
    <row r="3618" spans="1:8">
      <c r="A3618" s="2"/>
      <c r="B3618" s="12"/>
      <c r="C3618" s="12"/>
      <c r="E3618" t="str">
        <f>IF(LEN(D3618)=0,"",[1]!i_pq_tradedays($B$3,A3619,A3618)-1)</f>
        <v/>
      </c>
      <c r="G3618" s="16" t="str">
        <f t="shared" si="128"/>
        <v/>
      </c>
      <c r="H3618" s="70" t="str">
        <f t="shared" si="129"/>
        <v/>
      </c>
    </row>
    <row r="3619" spans="1:8">
      <c r="A3619" s="2"/>
      <c r="B3619" s="12"/>
      <c r="C3619" s="12"/>
      <c r="E3619" t="str">
        <f>IF(LEN(D3619)=0,"",[1]!i_pq_tradedays($B$3,A3620,A3619)-1)</f>
        <v/>
      </c>
      <c r="G3619" s="16" t="str">
        <f t="shared" si="128"/>
        <v/>
      </c>
      <c r="H3619" s="70" t="str">
        <f t="shared" si="129"/>
        <v/>
      </c>
    </row>
    <row r="3620" spans="1:8">
      <c r="A3620" s="2"/>
      <c r="B3620" s="12"/>
      <c r="C3620" s="12"/>
      <c r="E3620" t="str">
        <f>IF(LEN(D3620)=0,"",[1]!i_pq_tradedays($B$3,A3621,A3620)-1)</f>
        <v/>
      </c>
      <c r="G3620" s="16" t="str">
        <f t="shared" si="128"/>
        <v/>
      </c>
      <c r="H3620" s="70" t="str">
        <f t="shared" si="129"/>
        <v/>
      </c>
    </row>
    <row r="3621" spans="1:8">
      <c r="A3621" s="2"/>
      <c r="B3621" s="12"/>
      <c r="C3621" s="12"/>
      <c r="E3621" t="str">
        <f>IF(LEN(D3621)=0,"",[1]!i_pq_tradedays($B$3,A3622,A3621)-1)</f>
        <v/>
      </c>
      <c r="G3621" s="16" t="str">
        <f t="shared" si="128"/>
        <v/>
      </c>
      <c r="H3621" s="70" t="str">
        <f t="shared" si="129"/>
        <v/>
      </c>
    </row>
    <row r="3622" spans="1:8">
      <c r="A3622" s="2"/>
      <c r="B3622" s="12"/>
      <c r="C3622" s="12"/>
      <c r="E3622" t="str">
        <f>IF(LEN(D3622)=0,"",[1]!i_pq_tradedays($B$3,A3623,A3622)-1)</f>
        <v/>
      </c>
      <c r="G3622" s="16" t="str">
        <f t="shared" si="128"/>
        <v/>
      </c>
      <c r="H3622" s="70" t="str">
        <f t="shared" si="129"/>
        <v/>
      </c>
    </row>
    <row r="3623" spans="1:8">
      <c r="A3623" s="2"/>
      <c r="B3623" s="12"/>
      <c r="C3623" s="12"/>
      <c r="E3623" t="str">
        <f>IF(LEN(D3623)=0,"",[1]!i_pq_tradedays($B$3,A3624,A3623)-1)</f>
        <v/>
      </c>
      <c r="G3623" s="16" t="str">
        <f t="shared" si="128"/>
        <v/>
      </c>
      <c r="H3623" s="70" t="str">
        <f t="shared" si="129"/>
        <v/>
      </c>
    </row>
    <row r="3624" spans="1:8">
      <c r="A3624" s="2"/>
      <c r="B3624" s="12"/>
      <c r="C3624" s="12"/>
      <c r="E3624" t="str">
        <f>IF(LEN(D3624)=0,"",[1]!i_pq_tradedays($B$3,A3625,A3624)-1)</f>
        <v/>
      </c>
      <c r="G3624" s="16" t="str">
        <f t="shared" si="128"/>
        <v/>
      </c>
      <c r="H3624" s="70" t="str">
        <f t="shared" si="129"/>
        <v/>
      </c>
    </row>
    <row r="3625" spans="1:8">
      <c r="A3625" s="2"/>
      <c r="B3625" s="12"/>
      <c r="C3625" s="12"/>
      <c r="E3625" t="str">
        <f>IF(LEN(D3625)=0,"",[1]!i_pq_tradedays($B$3,A3626,A3625)-1)</f>
        <v/>
      </c>
      <c r="G3625" s="16" t="str">
        <f t="shared" si="128"/>
        <v/>
      </c>
      <c r="H3625" s="70" t="str">
        <f t="shared" si="129"/>
        <v/>
      </c>
    </row>
    <row r="3626" spans="1:8">
      <c r="A3626" s="2"/>
      <c r="B3626" s="12"/>
      <c r="C3626" s="12"/>
      <c r="E3626" t="str">
        <f>IF(LEN(D3626)=0,"",[1]!i_pq_tradedays($B$3,A3627,A3626)-1)</f>
        <v/>
      </c>
      <c r="G3626" s="16" t="str">
        <f t="shared" si="128"/>
        <v/>
      </c>
      <c r="H3626" s="70" t="str">
        <f t="shared" si="129"/>
        <v/>
      </c>
    </row>
    <row r="3627" spans="1:8">
      <c r="A3627" s="2"/>
      <c r="B3627" s="12"/>
      <c r="C3627" s="12"/>
      <c r="E3627" t="str">
        <f>IF(LEN(D3627)=0,"",[1]!i_pq_tradedays($B$3,A3628,A3627)-1)</f>
        <v/>
      </c>
      <c r="G3627" s="16" t="str">
        <f t="shared" si="128"/>
        <v/>
      </c>
      <c r="H3627" s="70" t="str">
        <f t="shared" si="129"/>
        <v/>
      </c>
    </row>
    <row r="3628" spans="1:8">
      <c r="A3628" s="2"/>
      <c r="B3628" s="12"/>
      <c r="C3628" s="12"/>
      <c r="E3628" t="str">
        <f>IF(LEN(D3628)=0,"",[1]!i_pq_tradedays($B$3,A3629,A3628)-1)</f>
        <v/>
      </c>
      <c r="G3628" s="16" t="str">
        <f t="shared" si="128"/>
        <v/>
      </c>
      <c r="H3628" s="70" t="str">
        <f t="shared" si="129"/>
        <v/>
      </c>
    </row>
    <row r="3629" spans="1:8">
      <c r="A3629" s="2"/>
      <c r="B3629" s="12"/>
      <c r="C3629" s="12"/>
      <c r="E3629" t="str">
        <f>IF(LEN(D3629)=0,"",[1]!i_pq_tradedays($B$3,A3630,A3629)-1)</f>
        <v/>
      </c>
      <c r="G3629" s="16" t="str">
        <f t="shared" si="128"/>
        <v/>
      </c>
      <c r="H3629" s="70" t="str">
        <f t="shared" si="129"/>
        <v/>
      </c>
    </row>
    <row r="3630" spans="1:8">
      <c r="A3630" s="2"/>
      <c r="B3630" s="12"/>
      <c r="C3630" s="12"/>
      <c r="E3630" t="str">
        <f>IF(LEN(D3630)=0,"",[1]!i_pq_tradedays($B$3,A3631,A3630)-1)</f>
        <v/>
      </c>
      <c r="G3630" s="16" t="str">
        <f t="shared" si="128"/>
        <v/>
      </c>
      <c r="H3630" s="70" t="str">
        <f t="shared" si="129"/>
        <v/>
      </c>
    </row>
    <row r="3631" spans="1:8">
      <c r="A3631" s="2"/>
      <c r="B3631" s="12"/>
      <c r="C3631" s="12"/>
      <c r="E3631" t="str">
        <f>IF(LEN(D3631)=0,"",[1]!i_pq_tradedays($B$3,A3632,A3631)-1)</f>
        <v/>
      </c>
      <c r="G3631" s="16" t="str">
        <f t="shared" si="128"/>
        <v/>
      </c>
      <c r="H3631" s="70" t="str">
        <f t="shared" si="129"/>
        <v/>
      </c>
    </row>
    <row r="3632" spans="1:8">
      <c r="A3632" s="2"/>
      <c r="B3632" s="12"/>
      <c r="C3632" s="12"/>
      <c r="E3632" t="str">
        <f>IF(LEN(D3632)=0,"",[1]!i_pq_tradedays($B$3,A3633,A3632)-1)</f>
        <v/>
      </c>
      <c r="G3632" s="16" t="str">
        <f t="shared" si="128"/>
        <v/>
      </c>
      <c r="H3632" s="70" t="str">
        <f t="shared" si="129"/>
        <v/>
      </c>
    </row>
    <row r="3633" spans="1:8">
      <c r="A3633" s="2"/>
      <c r="B3633" s="12"/>
      <c r="C3633" s="12"/>
      <c r="E3633" t="str">
        <f>IF(LEN(D3633)=0,"",[1]!i_pq_tradedays($B$3,A3634,A3633)-1)</f>
        <v/>
      </c>
      <c r="G3633" s="16" t="str">
        <f t="shared" si="128"/>
        <v/>
      </c>
      <c r="H3633" s="70" t="str">
        <f t="shared" si="129"/>
        <v/>
      </c>
    </row>
    <row r="3634" spans="1:8">
      <c r="A3634" s="2"/>
      <c r="B3634" s="12"/>
      <c r="C3634" s="12"/>
      <c r="E3634" t="str">
        <f>IF(LEN(D3634)=0,"",[1]!i_pq_tradedays($B$3,A3635,A3634)-1)</f>
        <v/>
      </c>
      <c r="G3634" s="16" t="str">
        <f t="shared" si="128"/>
        <v/>
      </c>
      <c r="H3634" s="70" t="str">
        <f t="shared" si="129"/>
        <v/>
      </c>
    </row>
    <row r="3635" spans="1:8">
      <c r="A3635" s="2"/>
      <c r="B3635" s="12"/>
      <c r="C3635" s="12"/>
      <c r="E3635" t="str">
        <f>IF(LEN(D3635)=0,"",[1]!i_pq_tradedays($B$3,A3636,A3635)-1)</f>
        <v/>
      </c>
      <c r="G3635" s="16" t="str">
        <f t="shared" si="128"/>
        <v/>
      </c>
      <c r="H3635" s="70" t="str">
        <f t="shared" si="129"/>
        <v/>
      </c>
    </row>
    <row r="3636" spans="1:8">
      <c r="A3636" s="2"/>
      <c r="B3636" s="12"/>
      <c r="C3636" s="12"/>
      <c r="E3636" t="str">
        <f>IF(LEN(D3636)=0,"",[1]!i_pq_tradedays($B$3,A3637,A3636)-1)</f>
        <v/>
      </c>
      <c r="G3636" s="16" t="str">
        <f t="shared" si="128"/>
        <v/>
      </c>
      <c r="H3636" s="70" t="str">
        <f t="shared" si="129"/>
        <v/>
      </c>
    </row>
    <row r="3637" spans="1:8">
      <c r="A3637" s="2"/>
      <c r="B3637" s="12"/>
      <c r="C3637" s="12"/>
      <c r="E3637" t="str">
        <f>IF(LEN(D3637)=0,"",[1]!i_pq_tradedays($B$3,A3638,A3637)-1)</f>
        <v/>
      </c>
      <c r="G3637" s="16" t="str">
        <f t="shared" ref="G3637:G3700" si="130">IF(LEN(D3637)=0,"",D3637/E3637)</f>
        <v/>
      </c>
      <c r="H3637" s="70" t="str">
        <f t="shared" ref="H3637:H3700" si="131">IF(LEN(D3637)=0,"",G3637/G3638-1)</f>
        <v/>
      </c>
    </row>
    <row r="3638" spans="1:8">
      <c r="A3638" s="2"/>
      <c r="B3638" s="12"/>
      <c r="C3638" s="12"/>
      <c r="E3638" t="str">
        <f>IF(LEN(D3638)=0,"",[1]!i_pq_tradedays($B$3,A3639,A3638)-1)</f>
        <v/>
      </c>
      <c r="G3638" s="16" t="str">
        <f t="shared" si="130"/>
        <v/>
      </c>
      <c r="H3638" s="70" t="str">
        <f t="shared" si="131"/>
        <v/>
      </c>
    </row>
    <row r="3639" spans="1:8">
      <c r="A3639" s="2"/>
      <c r="B3639" s="12"/>
      <c r="C3639" s="12"/>
      <c r="E3639" t="str">
        <f>IF(LEN(D3639)=0,"",[1]!i_pq_tradedays($B$3,A3640,A3639)-1)</f>
        <v/>
      </c>
      <c r="G3639" s="16" t="str">
        <f t="shared" si="130"/>
        <v/>
      </c>
      <c r="H3639" s="70" t="str">
        <f t="shared" si="131"/>
        <v/>
      </c>
    </row>
    <row r="3640" spans="1:8">
      <c r="A3640" s="2"/>
      <c r="B3640" s="12"/>
      <c r="C3640" s="12"/>
      <c r="E3640" t="str">
        <f>IF(LEN(D3640)=0,"",[1]!i_pq_tradedays($B$3,A3641,A3640)-1)</f>
        <v/>
      </c>
      <c r="G3640" s="16" t="str">
        <f t="shared" si="130"/>
        <v/>
      </c>
      <c r="H3640" s="70" t="str">
        <f t="shared" si="131"/>
        <v/>
      </c>
    </row>
    <row r="3641" spans="1:8">
      <c r="A3641" s="2"/>
      <c r="B3641" s="12"/>
      <c r="C3641" s="12"/>
      <c r="E3641" t="str">
        <f>IF(LEN(D3641)=0,"",[1]!i_pq_tradedays($B$3,A3642,A3641)-1)</f>
        <v/>
      </c>
      <c r="G3641" s="16" t="str">
        <f t="shared" si="130"/>
        <v/>
      </c>
      <c r="H3641" s="70" t="str">
        <f t="shared" si="131"/>
        <v/>
      </c>
    </row>
    <row r="3642" spans="1:8">
      <c r="A3642" s="2"/>
      <c r="B3642" s="12"/>
      <c r="C3642" s="12"/>
      <c r="E3642" t="str">
        <f>IF(LEN(D3642)=0,"",[1]!i_pq_tradedays($B$3,A3643,A3642)-1)</f>
        <v/>
      </c>
      <c r="G3642" s="16" t="str">
        <f t="shared" si="130"/>
        <v/>
      </c>
      <c r="H3642" s="70" t="str">
        <f t="shared" si="131"/>
        <v/>
      </c>
    </row>
    <row r="3643" spans="1:8">
      <c r="A3643" s="2"/>
      <c r="B3643" s="12"/>
      <c r="C3643" s="12"/>
      <c r="E3643" t="str">
        <f>IF(LEN(D3643)=0,"",[1]!i_pq_tradedays($B$3,A3644,A3643)-1)</f>
        <v/>
      </c>
      <c r="G3643" s="16" t="str">
        <f t="shared" si="130"/>
        <v/>
      </c>
      <c r="H3643" s="70" t="str">
        <f t="shared" si="131"/>
        <v/>
      </c>
    </row>
    <row r="3644" spans="1:8">
      <c r="A3644" s="2"/>
      <c r="B3644" s="12"/>
      <c r="C3644" s="12"/>
      <c r="E3644" t="str">
        <f>IF(LEN(D3644)=0,"",[1]!i_pq_tradedays($B$3,A3645,A3644)-1)</f>
        <v/>
      </c>
      <c r="G3644" s="16" t="str">
        <f t="shared" si="130"/>
        <v/>
      </c>
      <c r="H3644" s="70" t="str">
        <f t="shared" si="131"/>
        <v/>
      </c>
    </row>
    <row r="3645" spans="1:8">
      <c r="A3645" s="2"/>
      <c r="B3645" s="12"/>
      <c r="C3645" s="12"/>
      <c r="E3645" t="str">
        <f>IF(LEN(D3645)=0,"",[1]!i_pq_tradedays($B$3,A3646,A3645)-1)</f>
        <v/>
      </c>
      <c r="G3645" s="16" t="str">
        <f t="shared" si="130"/>
        <v/>
      </c>
      <c r="H3645" s="70" t="str">
        <f t="shared" si="131"/>
        <v/>
      </c>
    </row>
    <row r="3646" spans="1:8">
      <c r="A3646" s="2"/>
      <c r="B3646" s="12"/>
      <c r="C3646" s="12"/>
      <c r="E3646" t="str">
        <f>IF(LEN(D3646)=0,"",[1]!i_pq_tradedays($B$3,A3647,A3646)-1)</f>
        <v/>
      </c>
      <c r="G3646" s="16" t="str">
        <f t="shared" si="130"/>
        <v/>
      </c>
      <c r="H3646" s="70" t="str">
        <f t="shared" si="131"/>
        <v/>
      </c>
    </row>
    <row r="3647" spans="1:8">
      <c r="A3647" s="2"/>
      <c r="B3647" s="12"/>
      <c r="C3647" s="12"/>
      <c r="E3647" t="str">
        <f>IF(LEN(D3647)=0,"",[1]!i_pq_tradedays($B$3,A3648,A3647)-1)</f>
        <v/>
      </c>
      <c r="G3647" s="16" t="str">
        <f t="shared" si="130"/>
        <v/>
      </c>
      <c r="H3647" s="70" t="str">
        <f t="shared" si="131"/>
        <v/>
      </c>
    </row>
    <row r="3648" spans="1:8">
      <c r="A3648" s="2"/>
      <c r="B3648" s="12"/>
      <c r="C3648" s="12"/>
      <c r="E3648" t="str">
        <f>IF(LEN(D3648)=0,"",[1]!i_pq_tradedays($B$3,A3649,A3648)-1)</f>
        <v/>
      </c>
      <c r="G3648" s="16" t="str">
        <f t="shared" si="130"/>
        <v/>
      </c>
      <c r="H3648" s="70" t="str">
        <f t="shared" si="131"/>
        <v/>
      </c>
    </row>
    <row r="3649" spans="1:8">
      <c r="A3649" s="2"/>
      <c r="B3649" s="12"/>
      <c r="C3649" s="12"/>
      <c r="E3649" t="str">
        <f>IF(LEN(D3649)=0,"",[1]!i_pq_tradedays($B$3,A3650,A3649)-1)</f>
        <v/>
      </c>
      <c r="G3649" s="16" t="str">
        <f t="shared" si="130"/>
        <v/>
      </c>
      <c r="H3649" s="70" t="str">
        <f t="shared" si="131"/>
        <v/>
      </c>
    </row>
    <row r="3650" spans="1:8">
      <c r="A3650" s="2"/>
      <c r="B3650" s="12"/>
      <c r="C3650" s="12"/>
      <c r="E3650" t="str">
        <f>IF(LEN(D3650)=0,"",[1]!i_pq_tradedays($B$3,A3651,A3650)-1)</f>
        <v/>
      </c>
      <c r="G3650" s="16" t="str">
        <f t="shared" si="130"/>
        <v/>
      </c>
      <c r="H3650" s="70" t="str">
        <f t="shared" si="131"/>
        <v/>
      </c>
    </row>
    <row r="3651" spans="1:8">
      <c r="A3651" s="2"/>
      <c r="B3651" s="12"/>
      <c r="C3651" s="12"/>
      <c r="E3651" t="str">
        <f>IF(LEN(D3651)=0,"",[1]!i_pq_tradedays($B$3,A3652,A3651)-1)</f>
        <v/>
      </c>
      <c r="G3651" s="16" t="str">
        <f t="shared" si="130"/>
        <v/>
      </c>
      <c r="H3651" s="70" t="str">
        <f t="shared" si="131"/>
        <v/>
      </c>
    </row>
    <row r="3652" spans="1:8">
      <c r="A3652" s="2"/>
      <c r="B3652" s="12"/>
      <c r="C3652" s="12"/>
      <c r="E3652" t="str">
        <f>IF(LEN(D3652)=0,"",[1]!i_pq_tradedays($B$3,A3653,A3652)-1)</f>
        <v/>
      </c>
      <c r="G3652" s="16" t="str">
        <f t="shared" si="130"/>
        <v/>
      </c>
      <c r="H3652" s="70" t="str">
        <f t="shared" si="131"/>
        <v/>
      </c>
    </row>
    <row r="3653" spans="1:8">
      <c r="A3653" s="2"/>
      <c r="B3653" s="12"/>
      <c r="C3653" s="12"/>
      <c r="E3653" t="str">
        <f>IF(LEN(D3653)=0,"",[1]!i_pq_tradedays($B$3,A3654,A3653)-1)</f>
        <v/>
      </c>
      <c r="G3653" s="16" t="str">
        <f t="shared" si="130"/>
        <v/>
      </c>
      <c r="H3653" s="70" t="str">
        <f t="shared" si="131"/>
        <v/>
      </c>
    </row>
    <row r="3654" spans="1:8">
      <c r="A3654" s="2"/>
      <c r="B3654" s="12"/>
      <c r="C3654" s="12"/>
      <c r="E3654" t="str">
        <f>IF(LEN(D3654)=0,"",[1]!i_pq_tradedays($B$3,A3655,A3654)-1)</f>
        <v/>
      </c>
      <c r="G3654" s="16" t="str">
        <f t="shared" si="130"/>
        <v/>
      </c>
      <c r="H3654" s="70" t="str">
        <f t="shared" si="131"/>
        <v/>
      </c>
    </row>
    <row r="3655" spans="1:8">
      <c r="A3655" s="2"/>
      <c r="B3655" s="12"/>
      <c r="C3655" s="12"/>
      <c r="E3655" t="str">
        <f>IF(LEN(D3655)=0,"",[1]!i_pq_tradedays($B$3,A3656,A3655)-1)</f>
        <v/>
      </c>
      <c r="G3655" s="16" t="str">
        <f t="shared" si="130"/>
        <v/>
      </c>
      <c r="H3655" s="70" t="str">
        <f t="shared" si="131"/>
        <v/>
      </c>
    </row>
    <row r="3656" spans="1:8">
      <c r="A3656" s="2"/>
      <c r="B3656" s="12"/>
      <c r="C3656" s="12"/>
      <c r="E3656" t="str">
        <f>IF(LEN(D3656)=0,"",[1]!i_pq_tradedays($B$3,A3657,A3656)-1)</f>
        <v/>
      </c>
      <c r="G3656" s="16" t="str">
        <f t="shared" si="130"/>
        <v/>
      </c>
      <c r="H3656" s="70" t="str">
        <f t="shared" si="131"/>
        <v/>
      </c>
    </row>
    <row r="3657" spans="1:8">
      <c r="A3657" s="2"/>
      <c r="B3657" s="12"/>
      <c r="C3657" s="12"/>
      <c r="E3657" t="str">
        <f>IF(LEN(D3657)=0,"",[1]!i_pq_tradedays($B$3,A3658,A3657)-1)</f>
        <v/>
      </c>
      <c r="G3657" s="16" t="str">
        <f t="shared" si="130"/>
        <v/>
      </c>
      <c r="H3657" s="70" t="str">
        <f t="shared" si="131"/>
        <v/>
      </c>
    </row>
    <row r="3658" spans="1:8">
      <c r="A3658" s="2"/>
      <c r="B3658" s="12"/>
      <c r="C3658" s="12"/>
      <c r="E3658" t="str">
        <f>IF(LEN(D3658)=0,"",[1]!i_pq_tradedays($B$3,A3659,A3658)-1)</f>
        <v/>
      </c>
      <c r="G3658" s="16" t="str">
        <f t="shared" si="130"/>
        <v/>
      </c>
      <c r="H3658" s="70" t="str">
        <f t="shared" si="131"/>
        <v/>
      </c>
    </row>
    <row r="3659" spans="1:8">
      <c r="A3659" s="2"/>
      <c r="B3659" s="12"/>
      <c r="C3659" s="12"/>
      <c r="E3659" t="str">
        <f>IF(LEN(D3659)=0,"",[1]!i_pq_tradedays($B$3,A3660,A3659)-1)</f>
        <v/>
      </c>
      <c r="G3659" s="16" t="str">
        <f t="shared" si="130"/>
        <v/>
      </c>
      <c r="H3659" s="70" t="str">
        <f t="shared" si="131"/>
        <v/>
      </c>
    </row>
    <row r="3660" spans="1:8">
      <c r="A3660" s="2"/>
      <c r="B3660" s="12"/>
      <c r="C3660" s="12"/>
      <c r="E3660" t="str">
        <f>IF(LEN(D3660)=0,"",[1]!i_pq_tradedays($B$3,A3661,A3660)-1)</f>
        <v/>
      </c>
      <c r="G3660" s="16" t="str">
        <f t="shared" si="130"/>
        <v/>
      </c>
      <c r="H3660" s="70" t="str">
        <f t="shared" si="131"/>
        <v/>
      </c>
    </row>
    <row r="3661" spans="1:8">
      <c r="A3661" s="2"/>
      <c r="B3661" s="12"/>
      <c r="C3661" s="12"/>
      <c r="E3661" t="str">
        <f>IF(LEN(D3661)=0,"",[1]!i_pq_tradedays($B$3,A3662,A3661)-1)</f>
        <v/>
      </c>
      <c r="G3661" s="16" t="str">
        <f t="shared" si="130"/>
        <v/>
      </c>
      <c r="H3661" s="70" t="str">
        <f t="shared" si="131"/>
        <v/>
      </c>
    </row>
    <row r="3662" spans="1:8">
      <c r="A3662" s="2"/>
      <c r="B3662" s="12"/>
      <c r="C3662" s="12"/>
      <c r="E3662" t="str">
        <f>IF(LEN(D3662)=0,"",[1]!i_pq_tradedays($B$3,A3663,A3662)-1)</f>
        <v/>
      </c>
      <c r="G3662" s="16" t="str">
        <f t="shared" si="130"/>
        <v/>
      </c>
      <c r="H3662" s="70" t="str">
        <f t="shared" si="131"/>
        <v/>
      </c>
    </row>
    <row r="3663" spans="1:8">
      <c r="A3663" s="2"/>
      <c r="B3663" s="12"/>
      <c r="C3663" s="12"/>
      <c r="E3663" t="str">
        <f>IF(LEN(D3663)=0,"",[1]!i_pq_tradedays($B$3,A3664,A3663)-1)</f>
        <v/>
      </c>
      <c r="G3663" s="16" t="str">
        <f t="shared" si="130"/>
        <v/>
      </c>
      <c r="H3663" s="70" t="str">
        <f t="shared" si="131"/>
        <v/>
      </c>
    </row>
    <row r="3664" spans="1:8">
      <c r="A3664" s="2"/>
      <c r="B3664" s="12"/>
      <c r="C3664" s="12"/>
      <c r="E3664" t="str">
        <f>IF(LEN(D3664)=0,"",[1]!i_pq_tradedays($B$3,A3665,A3664)-1)</f>
        <v/>
      </c>
      <c r="G3664" s="16" t="str">
        <f t="shared" si="130"/>
        <v/>
      </c>
      <c r="H3664" s="70" t="str">
        <f t="shared" si="131"/>
        <v/>
      </c>
    </row>
    <row r="3665" spans="1:8">
      <c r="A3665" s="2"/>
      <c r="B3665" s="12"/>
      <c r="C3665" s="12"/>
      <c r="E3665" t="str">
        <f>IF(LEN(D3665)=0,"",[1]!i_pq_tradedays($B$3,A3666,A3665)-1)</f>
        <v/>
      </c>
      <c r="G3665" s="16" t="str">
        <f t="shared" si="130"/>
        <v/>
      </c>
      <c r="H3665" s="70" t="str">
        <f t="shared" si="131"/>
        <v/>
      </c>
    </row>
    <row r="3666" spans="1:8">
      <c r="A3666" s="2"/>
      <c r="B3666" s="12"/>
      <c r="C3666" s="12"/>
      <c r="E3666" t="str">
        <f>IF(LEN(D3666)=0,"",[1]!i_pq_tradedays($B$3,A3667,A3666)-1)</f>
        <v/>
      </c>
      <c r="G3666" s="16" t="str">
        <f t="shared" si="130"/>
        <v/>
      </c>
      <c r="H3666" s="70" t="str">
        <f t="shared" si="131"/>
        <v/>
      </c>
    </row>
    <row r="3667" spans="1:8">
      <c r="A3667" s="2"/>
      <c r="B3667" s="12"/>
      <c r="C3667" s="12"/>
      <c r="E3667" t="str">
        <f>IF(LEN(D3667)=0,"",[1]!i_pq_tradedays($B$3,A3668,A3667)-1)</f>
        <v/>
      </c>
      <c r="G3667" s="16" t="str">
        <f t="shared" si="130"/>
        <v/>
      </c>
      <c r="H3667" s="70" t="str">
        <f t="shared" si="131"/>
        <v/>
      </c>
    </row>
    <row r="3668" spans="1:8">
      <c r="A3668" s="2"/>
      <c r="B3668" s="12"/>
      <c r="C3668" s="12"/>
      <c r="E3668" t="str">
        <f>IF(LEN(D3668)=0,"",[1]!i_pq_tradedays($B$3,A3669,A3668)-1)</f>
        <v/>
      </c>
      <c r="G3668" s="16" t="str">
        <f t="shared" si="130"/>
        <v/>
      </c>
      <c r="H3668" s="70" t="str">
        <f t="shared" si="131"/>
        <v/>
      </c>
    </row>
    <row r="3669" spans="1:8">
      <c r="A3669" s="2"/>
      <c r="B3669" s="12"/>
      <c r="C3669" s="12"/>
      <c r="E3669" t="str">
        <f>IF(LEN(D3669)=0,"",[1]!i_pq_tradedays($B$3,A3670,A3669)-1)</f>
        <v/>
      </c>
      <c r="G3669" s="16" t="str">
        <f t="shared" si="130"/>
        <v/>
      </c>
      <c r="H3669" s="70" t="str">
        <f t="shared" si="131"/>
        <v/>
      </c>
    </row>
    <row r="3670" spans="1:8">
      <c r="A3670" s="2"/>
      <c r="B3670" s="12"/>
      <c r="C3670" s="12"/>
      <c r="E3670" t="str">
        <f>IF(LEN(D3670)=0,"",[1]!i_pq_tradedays($B$3,A3671,A3670)-1)</f>
        <v/>
      </c>
      <c r="G3670" s="16" t="str">
        <f t="shared" si="130"/>
        <v/>
      </c>
      <c r="H3670" s="70" t="str">
        <f t="shared" si="131"/>
        <v/>
      </c>
    </row>
    <row r="3671" spans="1:8">
      <c r="A3671" s="2"/>
      <c r="B3671" s="12"/>
      <c r="C3671" s="12"/>
      <c r="E3671" t="str">
        <f>IF(LEN(D3671)=0,"",[1]!i_pq_tradedays($B$3,A3672,A3671)-1)</f>
        <v/>
      </c>
      <c r="G3671" s="16" t="str">
        <f t="shared" si="130"/>
        <v/>
      </c>
      <c r="H3671" s="70" t="str">
        <f t="shared" si="131"/>
        <v/>
      </c>
    </row>
    <row r="3672" spans="1:8">
      <c r="A3672" s="2"/>
      <c r="B3672" s="12"/>
      <c r="C3672" s="12"/>
      <c r="E3672" t="str">
        <f>IF(LEN(D3672)=0,"",[1]!i_pq_tradedays($B$3,A3673,A3672)-1)</f>
        <v/>
      </c>
      <c r="G3672" s="16" t="str">
        <f t="shared" si="130"/>
        <v/>
      </c>
      <c r="H3672" s="70" t="str">
        <f t="shared" si="131"/>
        <v/>
      </c>
    </row>
    <row r="3673" spans="1:8">
      <c r="A3673" s="2"/>
      <c r="B3673" s="12"/>
      <c r="C3673" s="12"/>
      <c r="E3673" t="str">
        <f>IF(LEN(D3673)=0,"",[1]!i_pq_tradedays($B$3,A3674,A3673)-1)</f>
        <v/>
      </c>
      <c r="G3673" s="16" t="str">
        <f t="shared" si="130"/>
        <v/>
      </c>
      <c r="H3673" s="70" t="str">
        <f t="shared" si="131"/>
        <v/>
      </c>
    </row>
    <row r="3674" spans="1:8">
      <c r="A3674" s="2"/>
      <c r="B3674" s="12"/>
      <c r="C3674" s="12"/>
      <c r="E3674" t="str">
        <f>IF(LEN(D3674)=0,"",[1]!i_pq_tradedays($B$3,A3675,A3674)-1)</f>
        <v/>
      </c>
      <c r="G3674" s="16" t="str">
        <f t="shared" si="130"/>
        <v/>
      </c>
      <c r="H3674" s="70" t="str">
        <f t="shared" si="131"/>
        <v/>
      </c>
    </row>
    <row r="3675" spans="1:8">
      <c r="A3675" s="2"/>
      <c r="B3675" s="12"/>
      <c r="C3675" s="12"/>
      <c r="E3675" t="str">
        <f>IF(LEN(D3675)=0,"",[1]!i_pq_tradedays($B$3,A3676,A3675)-1)</f>
        <v/>
      </c>
      <c r="G3675" s="16" t="str">
        <f t="shared" si="130"/>
        <v/>
      </c>
      <c r="H3675" s="70" t="str">
        <f t="shared" si="131"/>
        <v/>
      </c>
    </row>
    <row r="3676" spans="1:8">
      <c r="A3676" s="2"/>
      <c r="B3676" s="12"/>
      <c r="C3676" s="12"/>
      <c r="E3676" t="str">
        <f>IF(LEN(D3676)=0,"",[1]!i_pq_tradedays($B$3,A3677,A3676)-1)</f>
        <v/>
      </c>
      <c r="G3676" s="16" t="str">
        <f t="shared" si="130"/>
        <v/>
      </c>
      <c r="H3676" s="70" t="str">
        <f t="shared" si="131"/>
        <v/>
      </c>
    </row>
    <row r="3677" spans="1:8">
      <c r="A3677" s="2"/>
      <c r="B3677" s="12"/>
      <c r="C3677" s="12"/>
      <c r="E3677" t="str">
        <f>IF(LEN(D3677)=0,"",[1]!i_pq_tradedays($B$3,A3678,A3677)-1)</f>
        <v/>
      </c>
      <c r="G3677" s="16" t="str">
        <f t="shared" si="130"/>
        <v/>
      </c>
      <c r="H3677" s="70" t="str">
        <f t="shared" si="131"/>
        <v/>
      </c>
    </row>
    <row r="3678" spans="1:8">
      <c r="A3678" s="2"/>
      <c r="B3678" s="12"/>
      <c r="C3678" s="12"/>
      <c r="E3678" t="str">
        <f>IF(LEN(D3678)=0,"",[1]!i_pq_tradedays($B$3,A3679,A3678)-1)</f>
        <v/>
      </c>
      <c r="G3678" s="16" t="str">
        <f t="shared" si="130"/>
        <v/>
      </c>
      <c r="H3678" s="70" t="str">
        <f t="shared" si="131"/>
        <v/>
      </c>
    </row>
    <row r="3679" spans="1:8">
      <c r="A3679" s="2"/>
      <c r="B3679" s="12"/>
      <c r="C3679" s="12"/>
      <c r="E3679" t="str">
        <f>IF(LEN(D3679)=0,"",[1]!i_pq_tradedays($B$3,A3680,A3679)-1)</f>
        <v/>
      </c>
      <c r="G3679" s="16" t="str">
        <f t="shared" si="130"/>
        <v/>
      </c>
      <c r="H3679" s="70" t="str">
        <f t="shared" si="131"/>
        <v/>
      </c>
    </row>
    <row r="3680" spans="1:8">
      <c r="A3680" s="2"/>
      <c r="B3680" s="12"/>
      <c r="C3680" s="12"/>
      <c r="E3680" t="str">
        <f>IF(LEN(D3680)=0,"",[1]!i_pq_tradedays($B$3,A3681,A3680)-1)</f>
        <v/>
      </c>
      <c r="G3680" s="16" t="str">
        <f t="shared" si="130"/>
        <v/>
      </c>
      <c r="H3680" s="70" t="str">
        <f t="shared" si="131"/>
        <v/>
      </c>
    </row>
    <row r="3681" spans="1:8">
      <c r="A3681" s="2"/>
      <c r="B3681" s="12"/>
      <c r="C3681" s="12"/>
      <c r="E3681" t="str">
        <f>IF(LEN(D3681)=0,"",[1]!i_pq_tradedays($B$3,A3682,A3681)-1)</f>
        <v/>
      </c>
      <c r="G3681" s="16" t="str">
        <f t="shared" si="130"/>
        <v/>
      </c>
      <c r="H3681" s="70" t="str">
        <f t="shared" si="131"/>
        <v/>
      </c>
    </row>
    <row r="3682" spans="1:8">
      <c r="A3682" s="2"/>
      <c r="B3682" s="12"/>
      <c r="C3682" s="12"/>
      <c r="E3682" t="str">
        <f>IF(LEN(D3682)=0,"",[1]!i_pq_tradedays($B$3,A3683,A3682)-1)</f>
        <v/>
      </c>
      <c r="G3682" s="16" t="str">
        <f t="shared" si="130"/>
        <v/>
      </c>
      <c r="H3682" s="70" t="str">
        <f t="shared" si="131"/>
        <v/>
      </c>
    </row>
    <row r="3683" spans="1:8">
      <c r="A3683" s="2"/>
      <c r="B3683" s="12"/>
      <c r="C3683" s="12"/>
      <c r="E3683" t="str">
        <f>IF(LEN(D3683)=0,"",[1]!i_pq_tradedays($B$3,A3684,A3683)-1)</f>
        <v/>
      </c>
      <c r="G3683" s="16" t="str">
        <f t="shared" si="130"/>
        <v/>
      </c>
      <c r="H3683" s="70" t="str">
        <f t="shared" si="131"/>
        <v/>
      </c>
    </row>
    <row r="3684" spans="1:8">
      <c r="A3684" s="2"/>
      <c r="B3684" s="12"/>
      <c r="C3684" s="12"/>
      <c r="E3684" t="str">
        <f>IF(LEN(D3684)=0,"",[1]!i_pq_tradedays($B$3,A3685,A3684)-1)</f>
        <v/>
      </c>
      <c r="G3684" s="16" t="str">
        <f t="shared" si="130"/>
        <v/>
      </c>
      <c r="H3684" s="70" t="str">
        <f t="shared" si="131"/>
        <v/>
      </c>
    </row>
    <row r="3685" spans="1:8">
      <c r="A3685" s="2"/>
      <c r="B3685" s="12"/>
      <c r="C3685" s="12"/>
      <c r="E3685" t="str">
        <f>IF(LEN(D3685)=0,"",[1]!i_pq_tradedays($B$3,A3686,A3685)-1)</f>
        <v/>
      </c>
      <c r="G3685" s="16" t="str">
        <f t="shared" si="130"/>
        <v/>
      </c>
      <c r="H3685" s="70" t="str">
        <f t="shared" si="131"/>
        <v/>
      </c>
    </row>
    <row r="3686" spans="1:8">
      <c r="A3686" s="2"/>
      <c r="B3686" s="12"/>
      <c r="C3686" s="12"/>
      <c r="E3686" t="str">
        <f>IF(LEN(D3686)=0,"",[1]!i_pq_tradedays($B$3,A3687,A3686)-1)</f>
        <v/>
      </c>
      <c r="G3686" s="16" t="str">
        <f t="shared" si="130"/>
        <v/>
      </c>
      <c r="H3686" s="70" t="str">
        <f t="shared" si="131"/>
        <v/>
      </c>
    </row>
    <row r="3687" spans="1:8">
      <c r="A3687" s="2"/>
      <c r="B3687" s="12"/>
      <c r="C3687" s="12"/>
      <c r="E3687" t="str">
        <f>IF(LEN(D3687)=0,"",[1]!i_pq_tradedays($B$3,A3688,A3687)-1)</f>
        <v/>
      </c>
      <c r="G3687" s="16" t="str">
        <f t="shared" si="130"/>
        <v/>
      </c>
      <c r="H3687" s="70" t="str">
        <f t="shared" si="131"/>
        <v/>
      </c>
    </row>
    <row r="3688" spans="1:8">
      <c r="A3688" s="2"/>
      <c r="B3688" s="12"/>
      <c r="C3688" s="12"/>
      <c r="E3688" t="str">
        <f>IF(LEN(D3688)=0,"",[1]!i_pq_tradedays($B$3,A3689,A3688)-1)</f>
        <v/>
      </c>
      <c r="G3688" s="16" t="str">
        <f t="shared" si="130"/>
        <v/>
      </c>
      <c r="H3688" s="70" t="str">
        <f t="shared" si="131"/>
        <v/>
      </c>
    </row>
    <row r="3689" spans="1:8">
      <c r="A3689" s="2"/>
      <c r="B3689" s="12"/>
      <c r="C3689" s="12"/>
      <c r="E3689" t="str">
        <f>IF(LEN(D3689)=0,"",[1]!i_pq_tradedays($B$3,A3690,A3689)-1)</f>
        <v/>
      </c>
      <c r="G3689" s="16" t="str">
        <f t="shared" si="130"/>
        <v/>
      </c>
      <c r="H3689" s="70" t="str">
        <f t="shared" si="131"/>
        <v/>
      </c>
    </row>
    <row r="3690" spans="1:8">
      <c r="A3690" s="2"/>
      <c r="B3690" s="12"/>
      <c r="C3690" s="12"/>
      <c r="E3690" t="str">
        <f>IF(LEN(D3690)=0,"",[1]!i_pq_tradedays($B$3,A3691,A3690)-1)</f>
        <v/>
      </c>
      <c r="G3690" s="16" t="str">
        <f t="shared" si="130"/>
        <v/>
      </c>
      <c r="H3690" s="70" t="str">
        <f t="shared" si="131"/>
        <v/>
      </c>
    </row>
    <row r="3691" spans="1:8">
      <c r="A3691" s="2"/>
      <c r="B3691" s="12"/>
      <c r="C3691" s="12"/>
      <c r="E3691" t="str">
        <f>IF(LEN(D3691)=0,"",[1]!i_pq_tradedays($B$3,A3692,A3691)-1)</f>
        <v/>
      </c>
      <c r="G3691" s="16" t="str">
        <f t="shared" si="130"/>
        <v/>
      </c>
      <c r="H3691" s="70" t="str">
        <f t="shared" si="131"/>
        <v/>
      </c>
    </row>
    <row r="3692" spans="1:8">
      <c r="A3692" s="2"/>
      <c r="B3692" s="12"/>
      <c r="C3692" s="12"/>
      <c r="E3692" t="str">
        <f>IF(LEN(D3692)=0,"",[1]!i_pq_tradedays($B$3,A3693,A3692)-1)</f>
        <v/>
      </c>
      <c r="G3692" s="16" t="str">
        <f t="shared" si="130"/>
        <v/>
      </c>
      <c r="H3692" s="70" t="str">
        <f t="shared" si="131"/>
        <v/>
      </c>
    </row>
    <row r="3693" spans="1:8">
      <c r="A3693" s="2"/>
      <c r="B3693" s="12"/>
      <c r="C3693" s="12"/>
      <c r="E3693" t="str">
        <f>IF(LEN(D3693)=0,"",[1]!i_pq_tradedays($B$3,A3694,A3693)-1)</f>
        <v/>
      </c>
      <c r="G3693" s="16" t="str">
        <f t="shared" si="130"/>
        <v/>
      </c>
      <c r="H3693" s="70" t="str">
        <f t="shared" si="131"/>
        <v/>
      </c>
    </row>
    <row r="3694" spans="1:8">
      <c r="A3694" s="2"/>
      <c r="B3694" s="12"/>
      <c r="C3694" s="12"/>
      <c r="E3694" t="str">
        <f>IF(LEN(D3694)=0,"",[1]!i_pq_tradedays($B$3,A3695,A3694)-1)</f>
        <v/>
      </c>
      <c r="G3694" s="16" t="str">
        <f t="shared" si="130"/>
        <v/>
      </c>
      <c r="H3694" s="70" t="str">
        <f t="shared" si="131"/>
        <v/>
      </c>
    </row>
    <row r="3695" spans="1:8">
      <c r="A3695" s="2"/>
      <c r="B3695" s="12"/>
      <c r="C3695" s="12"/>
      <c r="E3695" t="str">
        <f>IF(LEN(D3695)=0,"",[1]!i_pq_tradedays($B$3,A3696,A3695)-1)</f>
        <v/>
      </c>
      <c r="G3695" s="16" t="str">
        <f t="shared" si="130"/>
        <v/>
      </c>
      <c r="H3695" s="70" t="str">
        <f t="shared" si="131"/>
        <v/>
      </c>
    </row>
    <row r="3696" spans="1:8">
      <c r="A3696" s="2"/>
      <c r="B3696" s="12"/>
      <c r="C3696" s="12"/>
      <c r="E3696" t="str">
        <f>IF(LEN(D3696)=0,"",[1]!i_pq_tradedays($B$3,A3697,A3696)-1)</f>
        <v/>
      </c>
      <c r="G3696" s="16" t="str">
        <f t="shared" si="130"/>
        <v/>
      </c>
      <c r="H3696" s="70" t="str">
        <f t="shared" si="131"/>
        <v/>
      </c>
    </row>
    <row r="3697" spans="1:8">
      <c r="A3697" s="2"/>
      <c r="B3697" s="12"/>
      <c r="C3697" s="12"/>
      <c r="E3697" t="str">
        <f>IF(LEN(D3697)=0,"",[1]!i_pq_tradedays($B$3,A3698,A3697)-1)</f>
        <v/>
      </c>
      <c r="G3697" s="16" t="str">
        <f t="shared" si="130"/>
        <v/>
      </c>
      <c r="H3697" s="70" t="str">
        <f t="shared" si="131"/>
        <v/>
      </c>
    </row>
    <row r="3698" spans="1:8">
      <c r="A3698" s="2"/>
      <c r="B3698" s="12"/>
      <c r="C3698" s="12"/>
      <c r="E3698" t="str">
        <f>IF(LEN(D3698)=0,"",[1]!i_pq_tradedays($B$3,A3699,A3698)-1)</f>
        <v/>
      </c>
      <c r="G3698" s="16" t="str">
        <f t="shared" si="130"/>
        <v/>
      </c>
      <c r="H3698" s="70" t="str">
        <f t="shared" si="131"/>
        <v/>
      </c>
    </row>
    <row r="3699" spans="1:8">
      <c r="A3699" s="2"/>
      <c r="B3699" s="12"/>
      <c r="C3699" s="12"/>
      <c r="E3699" t="str">
        <f>IF(LEN(D3699)=0,"",[1]!i_pq_tradedays($B$3,A3700,A3699)-1)</f>
        <v/>
      </c>
      <c r="G3699" s="16" t="str">
        <f t="shared" si="130"/>
        <v/>
      </c>
      <c r="H3699" s="70" t="str">
        <f t="shared" si="131"/>
        <v/>
      </c>
    </row>
    <row r="3700" spans="1:8">
      <c r="A3700" s="2"/>
      <c r="B3700" s="12"/>
      <c r="C3700" s="12"/>
      <c r="E3700" t="str">
        <f>IF(LEN(D3700)=0,"",[1]!i_pq_tradedays($B$3,A3701,A3700)-1)</f>
        <v/>
      </c>
      <c r="G3700" s="16" t="str">
        <f t="shared" si="130"/>
        <v/>
      </c>
      <c r="H3700" s="70" t="str">
        <f t="shared" si="131"/>
        <v/>
      </c>
    </row>
    <row r="3701" spans="1:8">
      <c r="A3701" s="2"/>
      <c r="B3701" s="12"/>
      <c r="C3701" s="12"/>
      <c r="E3701" t="str">
        <f>IF(LEN(D3701)=0,"",[1]!i_pq_tradedays($B$3,A3702,A3701)-1)</f>
        <v/>
      </c>
      <c r="G3701" s="16" t="str">
        <f t="shared" ref="G3701:G3764" si="132">IF(LEN(D3701)=0,"",D3701/E3701)</f>
        <v/>
      </c>
      <c r="H3701" s="70" t="str">
        <f t="shared" ref="H3701:H3764" si="133">IF(LEN(D3701)=0,"",G3701/G3702-1)</f>
        <v/>
      </c>
    </row>
    <row r="3702" spans="1:8">
      <c r="A3702" s="2"/>
      <c r="B3702" s="12"/>
      <c r="C3702" s="12"/>
      <c r="E3702" t="str">
        <f>IF(LEN(D3702)=0,"",[1]!i_pq_tradedays($B$3,A3703,A3702)-1)</f>
        <v/>
      </c>
      <c r="G3702" s="16" t="str">
        <f t="shared" si="132"/>
        <v/>
      </c>
      <c r="H3702" s="70" t="str">
        <f t="shared" si="133"/>
        <v/>
      </c>
    </row>
    <row r="3703" spans="1:8">
      <c r="A3703" s="2"/>
      <c r="B3703" s="12"/>
      <c r="C3703" s="12"/>
      <c r="E3703" t="str">
        <f>IF(LEN(D3703)=0,"",[1]!i_pq_tradedays($B$3,A3704,A3703)-1)</f>
        <v/>
      </c>
      <c r="G3703" s="16" t="str">
        <f t="shared" si="132"/>
        <v/>
      </c>
      <c r="H3703" s="70" t="str">
        <f t="shared" si="133"/>
        <v/>
      </c>
    </row>
    <row r="3704" spans="1:8">
      <c r="A3704" s="2"/>
      <c r="B3704" s="12"/>
      <c r="C3704" s="12"/>
      <c r="E3704" t="str">
        <f>IF(LEN(D3704)=0,"",[1]!i_pq_tradedays($B$3,A3705,A3704)-1)</f>
        <v/>
      </c>
      <c r="G3704" s="16" t="str">
        <f t="shared" si="132"/>
        <v/>
      </c>
      <c r="H3704" s="70" t="str">
        <f t="shared" si="133"/>
        <v/>
      </c>
    </row>
    <row r="3705" spans="1:8">
      <c r="A3705" s="2"/>
      <c r="B3705" s="12"/>
      <c r="C3705" s="12"/>
      <c r="E3705" t="str">
        <f>IF(LEN(D3705)=0,"",[1]!i_pq_tradedays($B$3,A3706,A3705)-1)</f>
        <v/>
      </c>
      <c r="G3705" s="16" t="str">
        <f t="shared" si="132"/>
        <v/>
      </c>
      <c r="H3705" s="70" t="str">
        <f t="shared" si="133"/>
        <v/>
      </c>
    </row>
    <row r="3706" spans="1:8">
      <c r="A3706" s="2"/>
      <c r="B3706" s="12"/>
      <c r="C3706" s="12"/>
      <c r="E3706" t="str">
        <f>IF(LEN(D3706)=0,"",[1]!i_pq_tradedays($B$3,A3707,A3706)-1)</f>
        <v/>
      </c>
      <c r="G3706" s="16" t="str">
        <f t="shared" si="132"/>
        <v/>
      </c>
      <c r="H3706" s="70" t="str">
        <f t="shared" si="133"/>
        <v/>
      </c>
    </row>
    <row r="3707" spans="1:8">
      <c r="A3707" s="2"/>
      <c r="B3707" s="12"/>
      <c r="C3707" s="12"/>
      <c r="E3707" t="str">
        <f>IF(LEN(D3707)=0,"",[1]!i_pq_tradedays($B$3,A3708,A3707)-1)</f>
        <v/>
      </c>
      <c r="G3707" s="16" t="str">
        <f t="shared" si="132"/>
        <v/>
      </c>
      <c r="H3707" s="70" t="str">
        <f t="shared" si="133"/>
        <v/>
      </c>
    </row>
    <row r="3708" spans="1:8">
      <c r="A3708" s="2"/>
      <c r="B3708" s="12"/>
      <c r="C3708" s="12"/>
      <c r="E3708" t="str">
        <f>IF(LEN(D3708)=0,"",[1]!i_pq_tradedays($B$3,A3709,A3708)-1)</f>
        <v/>
      </c>
      <c r="G3708" s="16" t="str">
        <f t="shared" si="132"/>
        <v/>
      </c>
      <c r="H3708" s="70" t="str">
        <f t="shared" si="133"/>
        <v/>
      </c>
    </row>
    <row r="3709" spans="1:8">
      <c r="A3709" s="2"/>
      <c r="B3709" s="12"/>
      <c r="C3709" s="12"/>
      <c r="E3709" t="str">
        <f>IF(LEN(D3709)=0,"",[1]!i_pq_tradedays($B$3,A3710,A3709)-1)</f>
        <v/>
      </c>
      <c r="G3709" s="16" t="str">
        <f t="shared" si="132"/>
        <v/>
      </c>
      <c r="H3709" s="70" t="str">
        <f t="shared" si="133"/>
        <v/>
      </c>
    </row>
    <row r="3710" spans="1:8">
      <c r="A3710" s="2"/>
      <c r="B3710" s="12"/>
      <c r="C3710" s="12"/>
      <c r="E3710" t="str">
        <f>IF(LEN(D3710)=0,"",[1]!i_pq_tradedays($B$3,A3711,A3710)-1)</f>
        <v/>
      </c>
      <c r="G3710" s="16" t="str">
        <f t="shared" si="132"/>
        <v/>
      </c>
      <c r="H3710" s="70" t="str">
        <f t="shared" si="133"/>
        <v/>
      </c>
    </row>
    <row r="3711" spans="1:8">
      <c r="A3711" s="2"/>
      <c r="B3711" s="12"/>
      <c r="C3711" s="12"/>
      <c r="E3711" t="str">
        <f>IF(LEN(D3711)=0,"",[1]!i_pq_tradedays($B$3,A3712,A3711)-1)</f>
        <v/>
      </c>
      <c r="G3711" s="16" t="str">
        <f t="shared" si="132"/>
        <v/>
      </c>
      <c r="H3711" s="70" t="str">
        <f t="shared" si="133"/>
        <v/>
      </c>
    </row>
    <row r="3712" spans="1:8">
      <c r="A3712" s="2"/>
      <c r="B3712" s="12"/>
      <c r="C3712" s="12"/>
      <c r="E3712" t="str">
        <f>IF(LEN(D3712)=0,"",[1]!i_pq_tradedays($B$3,A3713,A3712)-1)</f>
        <v/>
      </c>
      <c r="G3712" s="16" t="str">
        <f t="shared" si="132"/>
        <v/>
      </c>
      <c r="H3712" s="70" t="str">
        <f t="shared" si="133"/>
        <v/>
      </c>
    </row>
    <row r="3713" spans="1:8">
      <c r="A3713" s="2"/>
      <c r="B3713" s="12"/>
      <c r="C3713" s="12"/>
      <c r="E3713" t="str">
        <f>IF(LEN(D3713)=0,"",[1]!i_pq_tradedays($B$3,A3714,A3713)-1)</f>
        <v/>
      </c>
      <c r="G3713" s="16" t="str">
        <f t="shared" si="132"/>
        <v/>
      </c>
      <c r="H3713" s="70" t="str">
        <f t="shared" si="133"/>
        <v/>
      </c>
    </row>
    <row r="3714" spans="1:8">
      <c r="A3714" s="2"/>
      <c r="B3714" s="12"/>
      <c r="C3714" s="12"/>
      <c r="E3714" t="str">
        <f>IF(LEN(D3714)=0,"",[1]!i_pq_tradedays($B$3,A3715,A3714)-1)</f>
        <v/>
      </c>
      <c r="G3714" s="16" t="str">
        <f t="shared" si="132"/>
        <v/>
      </c>
      <c r="H3714" s="70" t="str">
        <f t="shared" si="133"/>
        <v/>
      </c>
    </row>
    <row r="3715" spans="1:8">
      <c r="A3715" s="2"/>
      <c r="B3715" s="12"/>
      <c r="C3715" s="12"/>
      <c r="E3715" t="str">
        <f>IF(LEN(D3715)=0,"",[1]!i_pq_tradedays($B$3,A3716,A3715)-1)</f>
        <v/>
      </c>
      <c r="G3715" s="16" t="str">
        <f t="shared" si="132"/>
        <v/>
      </c>
      <c r="H3715" s="70" t="str">
        <f t="shared" si="133"/>
        <v/>
      </c>
    </row>
    <row r="3716" spans="1:8">
      <c r="A3716" s="2"/>
      <c r="B3716" s="12"/>
      <c r="C3716" s="12"/>
      <c r="E3716" t="str">
        <f>IF(LEN(D3716)=0,"",[1]!i_pq_tradedays($B$3,A3717,A3716)-1)</f>
        <v/>
      </c>
      <c r="G3716" s="16" t="str">
        <f t="shared" si="132"/>
        <v/>
      </c>
      <c r="H3716" s="70" t="str">
        <f t="shared" si="133"/>
        <v/>
      </c>
    </row>
    <row r="3717" spans="1:8">
      <c r="A3717" s="2"/>
      <c r="B3717" s="12"/>
      <c r="C3717" s="12"/>
      <c r="E3717" t="str">
        <f>IF(LEN(D3717)=0,"",[1]!i_pq_tradedays($B$3,A3718,A3717)-1)</f>
        <v/>
      </c>
      <c r="G3717" s="16" t="str">
        <f t="shared" si="132"/>
        <v/>
      </c>
      <c r="H3717" s="70" t="str">
        <f t="shared" si="133"/>
        <v/>
      </c>
    </row>
    <row r="3718" spans="1:8">
      <c r="A3718" s="2"/>
      <c r="B3718" s="12"/>
      <c r="C3718" s="12"/>
      <c r="E3718" t="str">
        <f>IF(LEN(D3718)=0,"",[1]!i_pq_tradedays($B$3,A3719,A3718)-1)</f>
        <v/>
      </c>
      <c r="G3718" s="16" t="str">
        <f t="shared" si="132"/>
        <v/>
      </c>
      <c r="H3718" s="70" t="str">
        <f t="shared" si="133"/>
        <v/>
      </c>
    </row>
    <row r="3719" spans="1:8">
      <c r="A3719" s="2"/>
      <c r="B3719" s="12"/>
      <c r="C3719" s="12"/>
      <c r="E3719" t="str">
        <f>IF(LEN(D3719)=0,"",[1]!i_pq_tradedays($B$3,A3720,A3719)-1)</f>
        <v/>
      </c>
      <c r="G3719" s="16" t="str">
        <f t="shared" si="132"/>
        <v/>
      </c>
      <c r="H3719" s="70" t="str">
        <f t="shared" si="133"/>
        <v/>
      </c>
    </row>
    <row r="3720" spans="1:8">
      <c r="A3720" s="2"/>
      <c r="B3720" s="12"/>
      <c r="C3720" s="12"/>
      <c r="E3720" t="str">
        <f>IF(LEN(D3720)=0,"",[1]!i_pq_tradedays($B$3,A3721,A3720)-1)</f>
        <v/>
      </c>
      <c r="G3720" s="16" t="str">
        <f t="shared" si="132"/>
        <v/>
      </c>
      <c r="H3720" s="70" t="str">
        <f t="shared" si="133"/>
        <v/>
      </c>
    </row>
    <row r="3721" spans="1:8">
      <c r="A3721" s="2"/>
      <c r="B3721" s="12"/>
      <c r="C3721" s="12"/>
      <c r="E3721" t="str">
        <f>IF(LEN(D3721)=0,"",[1]!i_pq_tradedays($B$3,A3722,A3721)-1)</f>
        <v/>
      </c>
      <c r="G3721" s="16" t="str">
        <f t="shared" si="132"/>
        <v/>
      </c>
      <c r="H3721" s="70" t="str">
        <f t="shared" si="133"/>
        <v/>
      </c>
    </row>
    <row r="3722" spans="1:8">
      <c r="A3722" s="2"/>
      <c r="B3722" s="12"/>
      <c r="C3722" s="12"/>
      <c r="E3722" t="str">
        <f>IF(LEN(D3722)=0,"",[1]!i_pq_tradedays($B$3,A3723,A3722)-1)</f>
        <v/>
      </c>
      <c r="G3722" s="16" t="str">
        <f t="shared" si="132"/>
        <v/>
      </c>
      <c r="H3722" s="70" t="str">
        <f t="shared" si="133"/>
        <v/>
      </c>
    </row>
    <row r="3723" spans="1:8">
      <c r="A3723" s="2"/>
      <c r="B3723" s="12"/>
      <c r="C3723" s="12"/>
      <c r="E3723" t="str">
        <f>IF(LEN(D3723)=0,"",[1]!i_pq_tradedays($B$3,A3724,A3723)-1)</f>
        <v/>
      </c>
      <c r="G3723" s="16" t="str">
        <f t="shared" si="132"/>
        <v/>
      </c>
      <c r="H3723" s="70" t="str">
        <f t="shared" si="133"/>
        <v/>
      </c>
    </row>
    <row r="3724" spans="1:8">
      <c r="A3724" s="2"/>
      <c r="B3724" s="12"/>
      <c r="C3724" s="12"/>
      <c r="E3724" t="str">
        <f>IF(LEN(D3724)=0,"",[1]!i_pq_tradedays($B$3,A3725,A3724)-1)</f>
        <v/>
      </c>
      <c r="G3724" s="16" t="str">
        <f t="shared" si="132"/>
        <v/>
      </c>
      <c r="H3724" s="70" t="str">
        <f t="shared" si="133"/>
        <v/>
      </c>
    </row>
    <row r="3725" spans="1:8">
      <c r="A3725" s="2"/>
      <c r="B3725" s="12"/>
      <c r="C3725" s="12"/>
      <c r="E3725" t="str">
        <f>IF(LEN(D3725)=0,"",[1]!i_pq_tradedays($B$3,A3726,A3725)-1)</f>
        <v/>
      </c>
      <c r="G3725" s="16" t="str">
        <f t="shared" si="132"/>
        <v/>
      </c>
      <c r="H3725" s="70" t="str">
        <f t="shared" si="133"/>
        <v/>
      </c>
    </row>
    <row r="3726" spans="1:8">
      <c r="A3726" s="2"/>
      <c r="B3726" s="12"/>
      <c r="C3726" s="12"/>
      <c r="E3726" t="str">
        <f>IF(LEN(D3726)=0,"",[1]!i_pq_tradedays($B$3,A3727,A3726)-1)</f>
        <v/>
      </c>
      <c r="G3726" s="16" t="str">
        <f t="shared" si="132"/>
        <v/>
      </c>
      <c r="H3726" s="70" t="str">
        <f t="shared" si="133"/>
        <v/>
      </c>
    </row>
    <row r="3727" spans="1:8">
      <c r="A3727" s="2"/>
      <c r="B3727" s="12"/>
      <c r="C3727" s="12"/>
      <c r="E3727" t="str">
        <f>IF(LEN(D3727)=0,"",[1]!i_pq_tradedays($B$3,A3728,A3727)-1)</f>
        <v/>
      </c>
      <c r="G3727" s="16" t="str">
        <f t="shared" si="132"/>
        <v/>
      </c>
      <c r="H3727" s="70" t="str">
        <f t="shared" si="133"/>
        <v/>
      </c>
    </row>
    <row r="3728" spans="1:8">
      <c r="A3728" s="2"/>
      <c r="B3728" s="12"/>
      <c r="C3728" s="12"/>
      <c r="E3728" t="str">
        <f>IF(LEN(D3728)=0,"",[1]!i_pq_tradedays($B$3,A3729,A3728)-1)</f>
        <v/>
      </c>
      <c r="G3728" s="16" t="str">
        <f t="shared" si="132"/>
        <v/>
      </c>
      <c r="H3728" s="70" t="str">
        <f t="shared" si="133"/>
        <v/>
      </c>
    </row>
    <row r="3729" spans="1:8">
      <c r="A3729" s="2"/>
      <c r="B3729" s="12"/>
      <c r="C3729" s="12"/>
      <c r="E3729" t="str">
        <f>IF(LEN(D3729)=0,"",[1]!i_pq_tradedays($B$3,A3730,A3729)-1)</f>
        <v/>
      </c>
      <c r="G3729" s="16" t="str">
        <f t="shared" si="132"/>
        <v/>
      </c>
      <c r="H3729" s="70" t="str">
        <f t="shared" si="133"/>
        <v/>
      </c>
    </row>
    <row r="3730" spans="1:8">
      <c r="A3730" s="2"/>
      <c r="B3730" s="12"/>
      <c r="C3730" s="12"/>
      <c r="E3730" t="str">
        <f>IF(LEN(D3730)=0,"",[1]!i_pq_tradedays($B$3,A3731,A3730)-1)</f>
        <v/>
      </c>
      <c r="G3730" s="16" t="str">
        <f t="shared" si="132"/>
        <v/>
      </c>
      <c r="H3730" s="70" t="str">
        <f t="shared" si="133"/>
        <v/>
      </c>
    </row>
    <row r="3731" spans="1:8">
      <c r="A3731" s="2"/>
      <c r="B3731" s="12"/>
      <c r="C3731" s="12"/>
      <c r="E3731" t="str">
        <f>IF(LEN(D3731)=0,"",[1]!i_pq_tradedays($B$3,A3732,A3731)-1)</f>
        <v/>
      </c>
      <c r="G3731" s="16" t="str">
        <f t="shared" si="132"/>
        <v/>
      </c>
      <c r="H3731" s="70" t="str">
        <f t="shared" si="133"/>
        <v/>
      </c>
    </row>
    <row r="3732" spans="1:8">
      <c r="A3732" s="2"/>
      <c r="B3732" s="12"/>
      <c r="C3732" s="12"/>
      <c r="E3732" t="str">
        <f>IF(LEN(D3732)=0,"",[1]!i_pq_tradedays($B$3,A3733,A3732)-1)</f>
        <v/>
      </c>
      <c r="G3732" s="16" t="str">
        <f t="shared" si="132"/>
        <v/>
      </c>
      <c r="H3732" s="70" t="str">
        <f t="shared" si="133"/>
        <v/>
      </c>
    </row>
    <row r="3733" spans="1:8">
      <c r="A3733" s="2"/>
      <c r="B3733" s="12"/>
      <c r="C3733" s="12"/>
      <c r="E3733" t="str">
        <f>IF(LEN(D3733)=0,"",[1]!i_pq_tradedays($B$3,A3734,A3733)-1)</f>
        <v/>
      </c>
      <c r="G3733" s="16" t="str">
        <f t="shared" si="132"/>
        <v/>
      </c>
      <c r="H3733" s="70" t="str">
        <f t="shared" si="133"/>
        <v/>
      </c>
    </row>
    <row r="3734" spans="1:8">
      <c r="A3734" s="2"/>
      <c r="B3734" s="12"/>
      <c r="C3734" s="12"/>
      <c r="E3734" t="str">
        <f>IF(LEN(D3734)=0,"",[1]!i_pq_tradedays($B$3,A3735,A3734)-1)</f>
        <v/>
      </c>
      <c r="G3734" s="16" t="str">
        <f t="shared" si="132"/>
        <v/>
      </c>
      <c r="H3734" s="70" t="str">
        <f t="shared" si="133"/>
        <v/>
      </c>
    </row>
    <row r="3735" spans="1:8">
      <c r="A3735" s="2"/>
      <c r="B3735" s="12"/>
      <c r="C3735" s="12"/>
      <c r="E3735" t="str">
        <f>IF(LEN(D3735)=0,"",[1]!i_pq_tradedays($B$3,A3736,A3735)-1)</f>
        <v/>
      </c>
      <c r="G3735" s="16" t="str">
        <f t="shared" si="132"/>
        <v/>
      </c>
      <c r="H3735" s="70" t="str">
        <f t="shared" si="133"/>
        <v/>
      </c>
    </row>
    <row r="3736" spans="1:8">
      <c r="A3736" s="2"/>
      <c r="B3736" s="12"/>
      <c r="C3736" s="12"/>
      <c r="E3736" t="str">
        <f>IF(LEN(D3736)=0,"",[1]!i_pq_tradedays($B$3,A3737,A3736)-1)</f>
        <v/>
      </c>
      <c r="G3736" s="16" t="str">
        <f t="shared" si="132"/>
        <v/>
      </c>
      <c r="H3736" s="70" t="str">
        <f t="shared" si="133"/>
        <v/>
      </c>
    </row>
    <row r="3737" spans="1:8">
      <c r="A3737" s="2"/>
      <c r="B3737" s="12"/>
      <c r="C3737" s="12"/>
      <c r="E3737" t="str">
        <f>IF(LEN(D3737)=0,"",[1]!i_pq_tradedays($B$3,A3738,A3737)-1)</f>
        <v/>
      </c>
      <c r="G3737" s="16" t="str">
        <f t="shared" si="132"/>
        <v/>
      </c>
      <c r="H3737" s="70" t="str">
        <f t="shared" si="133"/>
        <v/>
      </c>
    </row>
    <row r="3738" spans="1:8">
      <c r="A3738" s="2"/>
      <c r="B3738" s="12"/>
      <c r="C3738" s="12"/>
      <c r="E3738" t="str">
        <f>IF(LEN(D3738)=0,"",[1]!i_pq_tradedays($B$3,A3739,A3738)-1)</f>
        <v/>
      </c>
      <c r="G3738" s="16" t="str">
        <f t="shared" si="132"/>
        <v/>
      </c>
      <c r="H3738" s="70" t="str">
        <f t="shared" si="133"/>
        <v/>
      </c>
    </row>
    <row r="3739" spans="1:8">
      <c r="A3739" s="2"/>
      <c r="B3739" s="12"/>
      <c r="C3739" s="12"/>
      <c r="E3739" t="str">
        <f>IF(LEN(D3739)=0,"",[1]!i_pq_tradedays($B$3,A3740,A3739)-1)</f>
        <v/>
      </c>
      <c r="G3739" s="16" t="str">
        <f t="shared" si="132"/>
        <v/>
      </c>
      <c r="H3739" s="70" t="str">
        <f t="shared" si="133"/>
        <v/>
      </c>
    </row>
    <row r="3740" spans="1:8">
      <c r="A3740" s="2"/>
      <c r="B3740" s="12"/>
      <c r="C3740" s="12"/>
      <c r="E3740" t="str">
        <f>IF(LEN(D3740)=0,"",[1]!i_pq_tradedays($B$3,A3741,A3740)-1)</f>
        <v/>
      </c>
      <c r="G3740" s="16" t="str">
        <f t="shared" si="132"/>
        <v/>
      </c>
      <c r="H3740" s="70" t="str">
        <f t="shared" si="133"/>
        <v/>
      </c>
    </row>
    <row r="3741" spans="1:8">
      <c r="A3741" s="2"/>
      <c r="B3741" s="12"/>
      <c r="C3741" s="12"/>
      <c r="E3741" t="str">
        <f>IF(LEN(D3741)=0,"",[1]!i_pq_tradedays($B$3,A3742,A3741)-1)</f>
        <v/>
      </c>
      <c r="G3741" s="16" t="str">
        <f t="shared" si="132"/>
        <v/>
      </c>
      <c r="H3741" s="70" t="str">
        <f t="shared" si="133"/>
        <v/>
      </c>
    </row>
    <row r="3742" spans="1:8">
      <c r="A3742" s="2"/>
      <c r="B3742" s="12"/>
      <c r="C3742" s="12"/>
      <c r="E3742" t="str">
        <f>IF(LEN(D3742)=0,"",[1]!i_pq_tradedays($B$3,A3743,A3742)-1)</f>
        <v/>
      </c>
      <c r="G3742" s="16" t="str">
        <f t="shared" si="132"/>
        <v/>
      </c>
      <c r="H3742" s="70" t="str">
        <f t="shared" si="133"/>
        <v/>
      </c>
    </row>
    <row r="3743" spans="1:8">
      <c r="A3743" s="2"/>
      <c r="B3743" s="12"/>
      <c r="C3743" s="12"/>
      <c r="E3743" t="str">
        <f>IF(LEN(D3743)=0,"",[1]!i_pq_tradedays($B$3,A3744,A3743)-1)</f>
        <v/>
      </c>
      <c r="G3743" s="16" t="str">
        <f t="shared" si="132"/>
        <v/>
      </c>
      <c r="H3743" s="70" t="str">
        <f t="shared" si="133"/>
        <v/>
      </c>
    </row>
    <row r="3744" spans="1:8">
      <c r="A3744" s="2"/>
      <c r="B3744" s="12"/>
      <c r="C3744" s="12"/>
      <c r="E3744" t="str">
        <f>IF(LEN(D3744)=0,"",[1]!i_pq_tradedays($B$3,A3745,A3744)-1)</f>
        <v/>
      </c>
      <c r="G3744" s="16" t="str">
        <f t="shared" si="132"/>
        <v/>
      </c>
      <c r="H3744" s="70" t="str">
        <f t="shared" si="133"/>
        <v/>
      </c>
    </row>
    <row r="3745" spans="1:8">
      <c r="A3745" s="2"/>
      <c r="B3745" s="12"/>
      <c r="C3745" s="12"/>
      <c r="E3745" t="str">
        <f>IF(LEN(D3745)=0,"",[1]!i_pq_tradedays($B$3,A3746,A3745)-1)</f>
        <v/>
      </c>
      <c r="G3745" s="16" t="str">
        <f t="shared" si="132"/>
        <v/>
      </c>
      <c r="H3745" s="70" t="str">
        <f t="shared" si="133"/>
        <v/>
      </c>
    </row>
    <row r="3746" spans="1:8">
      <c r="A3746" s="2"/>
      <c r="B3746" s="12"/>
      <c r="C3746" s="12"/>
      <c r="E3746" t="str">
        <f>IF(LEN(D3746)=0,"",[1]!i_pq_tradedays($B$3,A3747,A3746)-1)</f>
        <v/>
      </c>
      <c r="G3746" s="16" t="str">
        <f t="shared" si="132"/>
        <v/>
      </c>
      <c r="H3746" s="70" t="str">
        <f t="shared" si="133"/>
        <v/>
      </c>
    </row>
    <row r="3747" spans="1:8">
      <c r="A3747" s="2"/>
      <c r="B3747" s="12"/>
      <c r="C3747" s="12"/>
      <c r="E3747" t="str">
        <f>IF(LEN(D3747)=0,"",[1]!i_pq_tradedays($B$3,A3748,A3747)-1)</f>
        <v/>
      </c>
      <c r="G3747" s="16" t="str">
        <f t="shared" si="132"/>
        <v/>
      </c>
      <c r="H3747" s="70" t="str">
        <f t="shared" si="133"/>
        <v/>
      </c>
    </row>
    <row r="3748" spans="1:8">
      <c r="A3748" s="2"/>
      <c r="B3748" s="12"/>
      <c r="C3748" s="12"/>
      <c r="E3748" t="str">
        <f>IF(LEN(D3748)=0,"",[1]!i_pq_tradedays($B$3,A3749,A3748)-1)</f>
        <v/>
      </c>
      <c r="G3748" s="16" t="str">
        <f t="shared" si="132"/>
        <v/>
      </c>
      <c r="H3748" s="70" t="str">
        <f t="shared" si="133"/>
        <v/>
      </c>
    </row>
    <row r="3749" spans="1:8">
      <c r="A3749" s="2"/>
      <c r="B3749" s="12"/>
      <c r="C3749" s="12"/>
      <c r="E3749" t="str">
        <f>IF(LEN(D3749)=0,"",[1]!i_pq_tradedays($B$3,A3750,A3749)-1)</f>
        <v/>
      </c>
      <c r="G3749" s="16" t="str">
        <f t="shared" si="132"/>
        <v/>
      </c>
      <c r="H3749" s="70" t="str">
        <f t="shared" si="133"/>
        <v/>
      </c>
    </row>
    <row r="3750" spans="1:8">
      <c r="A3750" s="2"/>
      <c r="B3750" s="12"/>
      <c r="C3750" s="12"/>
      <c r="E3750" t="str">
        <f>IF(LEN(D3750)=0,"",[1]!i_pq_tradedays($B$3,A3751,A3750)-1)</f>
        <v/>
      </c>
      <c r="G3750" s="16" t="str">
        <f t="shared" si="132"/>
        <v/>
      </c>
      <c r="H3750" s="70" t="str">
        <f t="shared" si="133"/>
        <v/>
      </c>
    </row>
    <row r="3751" spans="1:8">
      <c r="A3751" s="2"/>
      <c r="B3751" s="12"/>
      <c r="C3751" s="12"/>
      <c r="E3751" t="str">
        <f>IF(LEN(D3751)=0,"",[1]!i_pq_tradedays($B$3,A3752,A3751)-1)</f>
        <v/>
      </c>
      <c r="G3751" s="16" t="str">
        <f t="shared" si="132"/>
        <v/>
      </c>
      <c r="H3751" s="70" t="str">
        <f t="shared" si="133"/>
        <v/>
      </c>
    </row>
    <row r="3752" spans="1:8">
      <c r="A3752" s="2"/>
      <c r="B3752" s="12"/>
      <c r="C3752" s="12"/>
      <c r="E3752" t="str">
        <f>IF(LEN(D3752)=0,"",[1]!i_pq_tradedays($B$3,A3753,A3752)-1)</f>
        <v/>
      </c>
      <c r="G3752" s="16" t="str">
        <f t="shared" si="132"/>
        <v/>
      </c>
      <c r="H3752" s="70" t="str">
        <f t="shared" si="133"/>
        <v/>
      </c>
    </row>
    <row r="3753" spans="1:8">
      <c r="A3753" s="2"/>
      <c r="B3753" s="12"/>
      <c r="C3753" s="12"/>
      <c r="E3753" t="str">
        <f>IF(LEN(D3753)=0,"",[1]!i_pq_tradedays($B$3,A3754,A3753)-1)</f>
        <v/>
      </c>
      <c r="G3753" s="16" t="str">
        <f t="shared" si="132"/>
        <v/>
      </c>
      <c r="H3753" s="70" t="str">
        <f t="shared" si="133"/>
        <v/>
      </c>
    </row>
    <row r="3754" spans="1:8">
      <c r="A3754" s="2"/>
      <c r="B3754" s="12"/>
      <c r="C3754" s="12"/>
      <c r="E3754" t="str">
        <f>IF(LEN(D3754)=0,"",[1]!i_pq_tradedays($B$3,A3755,A3754)-1)</f>
        <v/>
      </c>
      <c r="G3754" s="16" t="str">
        <f t="shared" si="132"/>
        <v/>
      </c>
      <c r="H3754" s="70" t="str">
        <f t="shared" si="133"/>
        <v/>
      </c>
    </row>
    <row r="3755" spans="1:8">
      <c r="A3755" s="2"/>
      <c r="B3755" s="12"/>
      <c r="C3755" s="12"/>
      <c r="E3755" t="str">
        <f>IF(LEN(D3755)=0,"",[1]!i_pq_tradedays($B$3,A3756,A3755)-1)</f>
        <v/>
      </c>
      <c r="G3755" s="16" t="str">
        <f t="shared" si="132"/>
        <v/>
      </c>
      <c r="H3755" s="70" t="str">
        <f t="shared" si="133"/>
        <v/>
      </c>
    </row>
    <row r="3756" spans="1:8">
      <c r="A3756" s="2"/>
      <c r="B3756" s="12"/>
      <c r="C3756" s="12"/>
      <c r="E3756" t="str">
        <f>IF(LEN(D3756)=0,"",[1]!i_pq_tradedays($B$3,A3757,A3756)-1)</f>
        <v/>
      </c>
      <c r="G3756" s="16" t="str">
        <f t="shared" si="132"/>
        <v/>
      </c>
      <c r="H3756" s="70" t="str">
        <f t="shared" si="133"/>
        <v/>
      </c>
    </row>
    <row r="3757" spans="1:8">
      <c r="A3757" s="2"/>
      <c r="B3757" s="12"/>
      <c r="C3757" s="12"/>
      <c r="E3757" t="str">
        <f>IF(LEN(D3757)=0,"",[1]!i_pq_tradedays($B$3,A3758,A3757)-1)</f>
        <v/>
      </c>
      <c r="G3757" s="16" t="str">
        <f t="shared" si="132"/>
        <v/>
      </c>
      <c r="H3757" s="70" t="str">
        <f t="shared" si="133"/>
        <v/>
      </c>
    </row>
    <row r="3758" spans="1:8">
      <c r="A3758" s="2"/>
      <c r="B3758" s="12"/>
      <c r="C3758" s="12"/>
      <c r="E3758" t="str">
        <f>IF(LEN(D3758)=0,"",[1]!i_pq_tradedays($B$3,A3759,A3758)-1)</f>
        <v/>
      </c>
      <c r="G3758" s="16" t="str">
        <f t="shared" si="132"/>
        <v/>
      </c>
      <c r="H3758" s="70" t="str">
        <f t="shared" si="133"/>
        <v/>
      </c>
    </row>
    <row r="3759" spans="1:8">
      <c r="A3759" s="2"/>
      <c r="B3759" s="12"/>
      <c r="C3759" s="12"/>
      <c r="E3759" t="str">
        <f>IF(LEN(D3759)=0,"",[1]!i_pq_tradedays($B$3,A3760,A3759)-1)</f>
        <v/>
      </c>
      <c r="G3759" s="16" t="str">
        <f t="shared" si="132"/>
        <v/>
      </c>
      <c r="H3759" s="70" t="str">
        <f t="shared" si="133"/>
        <v/>
      </c>
    </row>
    <row r="3760" spans="1:8">
      <c r="A3760" s="2"/>
      <c r="B3760" s="12"/>
      <c r="C3760" s="12"/>
      <c r="E3760" t="str">
        <f>IF(LEN(D3760)=0,"",[1]!i_pq_tradedays($B$3,A3761,A3760)-1)</f>
        <v/>
      </c>
      <c r="G3760" s="16" t="str">
        <f t="shared" si="132"/>
        <v/>
      </c>
      <c r="H3760" s="70" t="str">
        <f t="shared" si="133"/>
        <v/>
      </c>
    </row>
    <row r="3761" spans="1:8">
      <c r="A3761" s="2"/>
      <c r="B3761" s="12"/>
      <c r="C3761" s="12"/>
      <c r="E3761" t="str">
        <f>IF(LEN(D3761)=0,"",[1]!i_pq_tradedays($B$3,A3762,A3761)-1)</f>
        <v/>
      </c>
      <c r="G3761" s="16" t="str">
        <f t="shared" si="132"/>
        <v/>
      </c>
      <c r="H3761" s="70" t="str">
        <f t="shared" si="133"/>
        <v/>
      </c>
    </row>
    <row r="3762" spans="1:8">
      <c r="A3762" s="2"/>
      <c r="B3762" s="12"/>
      <c r="C3762" s="12"/>
      <c r="E3762" t="str">
        <f>IF(LEN(D3762)=0,"",[1]!i_pq_tradedays($B$3,A3763,A3762)-1)</f>
        <v/>
      </c>
      <c r="G3762" s="16" t="str">
        <f t="shared" si="132"/>
        <v/>
      </c>
      <c r="H3762" s="70" t="str">
        <f t="shared" si="133"/>
        <v/>
      </c>
    </row>
    <row r="3763" spans="1:8">
      <c r="A3763" s="2"/>
      <c r="B3763" s="12"/>
      <c r="C3763" s="12"/>
      <c r="E3763" t="str">
        <f>IF(LEN(D3763)=0,"",[1]!i_pq_tradedays($B$3,A3764,A3763)-1)</f>
        <v/>
      </c>
      <c r="G3763" s="16" t="str">
        <f t="shared" si="132"/>
        <v/>
      </c>
      <c r="H3763" s="70" t="str">
        <f t="shared" si="133"/>
        <v/>
      </c>
    </row>
    <row r="3764" spans="1:8">
      <c r="A3764" s="2"/>
      <c r="B3764" s="12"/>
      <c r="C3764" s="12"/>
      <c r="E3764" t="str">
        <f>IF(LEN(D3764)=0,"",[1]!i_pq_tradedays($B$3,A3765,A3764)-1)</f>
        <v/>
      </c>
      <c r="G3764" s="16" t="str">
        <f t="shared" si="132"/>
        <v/>
      </c>
      <c r="H3764" s="70" t="str">
        <f t="shared" si="133"/>
        <v/>
      </c>
    </row>
    <row r="3765" spans="1:8">
      <c r="A3765" s="2"/>
      <c r="B3765" s="12"/>
      <c r="C3765" s="12"/>
      <c r="E3765" t="str">
        <f>IF(LEN(D3765)=0,"",[1]!i_pq_tradedays($B$3,A3766,A3765)-1)</f>
        <v/>
      </c>
      <c r="G3765" s="16" t="str">
        <f t="shared" ref="G3765:G3828" si="134">IF(LEN(D3765)=0,"",D3765/E3765)</f>
        <v/>
      </c>
      <c r="H3765" s="70" t="str">
        <f t="shared" ref="H3765:H3828" si="135">IF(LEN(D3765)=0,"",G3765/G3766-1)</f>
        <v/>
      </c>
    </row>
    <row r="3766" spans="1:8">
      <c r="A3766" s="2"/>
      <c r="B3766" s="12"/>
      <c r="C3766" s="12"/>
      <c r="E3766" t="str">
        <f>IF(LEN(D3766)=0,"",[1]!i_pq_tradedays($B$3,A3767,A3766)-1)</f>
        <v/>
      </c>
      <c r="G3766" s="16" t="str">
        <f t="shared" si="134"/>
        <v/>
      </c>
      <c r="H3766" s="70" t="str">
        <f t="shared" si="135"/>
        <v/>
      </c>
    </row>
    <row r="3767" spans="1:8">
      <c r="A3767" s="2"/>
      <c r="B3767" s="12"/>
      <c r="C3767" s="12"/>
      <c r="E3767" t="str">
        <f>IF(LEN(D3767)=0,"",[1]!i_pq_tradedays($B$3,A3768,A3767)-1)</f>
        <v/>
      </c>
      <c r="G3767" s="16" t="str">
        <f t="shared" si="134"/>
        <v/>
      </c>
      <c r="H3767" s="70" t="str">
        <f t="shared" si="135"/>
        <v/>
      </c>
    </row>
    <row r="3768" spans="1:8">
      <c r="A3768" s="2"/>
      <c r="B3768" s="12"/>
      <c r="C3768" s="12"/>
      <c r="E3768" t="str">
        <f>IF(LEN(D3768)=0,"",[1]!i_pq_tradedays($B$3,A3769,A3768)-1)</f>
        <v/>
      </c>
      <c r="G3768" s="16" t="str">
        <f t="shared" si="134"/>
        <v/>
      </c>
      <c r="H3768" s="70" t="str">
        <f t="shared" si="135"/>
        <v/>
      </c>
    </row>
    <row r="3769" spans="1:8">
      <c r="A3769" s="2"/>
      <c r="B3769" s="12"/>
      <c r="C3769" s="12"/>
      <c r="E3769" t="str">
        <f>IF(LEN(D3769)=0,"",[1]!i_pq_tradedays($B$3,A3770,A3769)-1)</f>
        <v/>
      </c>
      <c r="G3769" s="16" t="str">
        <f t="shared" si="134"/>
        <v/>
      </c>
      <c r="H3769" s="70" t="str">
        <f t="shared" si="135"/>
        <v/>
      </c>
    </row>
    <row r="3770" spans="1:8">
      <c r="A3770" s="2"/>
      <c r="B3770" s="12"/>
      <c r="C3770" s="12"/>
      <c r="E3770" t="str">
        <f>IF(LEN(D3770)=0,"",[1]!i_pq_tradedays($B$3,A3771,A3770)-1)</f>
        <v/>
      </c>
      <c r="G3770" s="16" t="str">
        <f t="shared" si="134"/>
        <v/>
      </c>
      <c r="H3770" s="70" t="str">
        <f t="shared" si="135"/>
        <v/>
      </c>
    </row>
    <row r="3771" spans="1:8">
      <c r="A3771" s="2"/>
      <c r="B3771" s="12"/>
      <c r="C3771" s="12"/>
      <c r="E3771" t="str">
        <f>IF(LEN(D3771)=0,"",[1]!i_pq_tradedays($B$3,A3772,A3771)-1)</f>
        <v/>
      </c>
      <c r="G3771" s="16" t="str">
        <f t="shared" si="134"/>
        <v/>
      </c>
      <c r="H3771" s="70" t="str">
        <f t="shared" si="135"/>
        <v/>
      </c>
    </row>
    <row r="3772" spans="1:8">
      <c r="A3772" s="2"/>
      <c r="B3772" s="12"/>
      <c r="C3772" s="12"/>
      <c r="E3772" t="str">
        <f>IF(LEN(D3772)=0,"",[1]!i_pq_tradedays($B$3,A3773,A3772)-1)</f>
        <v/>
      </c>
      <c r="G3772" s="16" t="str">
        <f t="shared" si="134"/>
        <v/>
      </c>
      <c r="H3772" s="70" t="str">
        <f t="shared" si="135"/>
        <v/>
      </c>
    </row>
    <row r="3773" spans="1:8">
      <c r="A3773" s="2"/>
      <c r="B3773" s="12"/>
      <c r="C3773" s="12"/>
      <c r="E3773" t="str">
        <f>IF(LEN(D3773)=0,"",[1]!i_pq_tradedays($B$3,A3774,A3773)-1)</f>
        <v/>
      </c>
      <c r="G3773" s="16" t="str">
        <f t="shared" si="134"/>
        <v/>
      </c>
      <c r="H3773" s="70" t="str">
        <f t="shared" si="135"/>
        <v/>
      </c>
    </row>
    <row r="3774" spans="1:8">
      <c r="A3774" s="2"/>
      <c r="B3774" s="12"/>
      <c r="C3774" s="12"/>
      <c r="E3774" t="str">
        <f>IF(LEN(D3774)=0,"",[1]!i_pq_tradedays($B$3,A3775,A3774)-1)</f>
        <v/>
      </c>
      <c r="G3774" s="16" t="str">
        <f t="shared" si="134"/>
        <v/>
      </c>
      <c r="H3774" s="70" t="str">
        <f t="shared" si="135"/>
        <v/>
      </c>
    </row>
    <row r="3775" spans="1:8">
      <c r="A3775" s="2"/>
      <c r="B3775" s="12"/>
      <c r="C3775" s="12"/>
      <c r="E3775" t="str">
        <f>IF(LEN(D3775)=0,"",[1]!i_pq_tradedays($B$3,A3776,A3775)-1)</f>
        <v/>
      </c>
      <c r="G3775" s="16" t="str">
        <f t="shared" si="134"/>
        <v/>
      </c>
      <c r="H3775" s="70" t="str">
        <f t="shared" si="135"/>
        <v/>
      </c>
    </row>
    <row r="3776" spans="1:8">
      <c r="A3776" s="2"/>
      <c r="B3776" s="12"/>
      <c r="C3776" s="12"/>
      <c r="E3776" t="str">
        <f>IF(LEN(D3776)=0,"",[1]!i_pq_tradedays($B$3,A3777,A3776)-1)</f>
        <v/>
      </c>
      <c r="G3776" s="16" t="str">
        <f t="shared" si="134"/>
        <v/>
      </c>
      <c r="H3776" s="70" t="str">
        <f t="shared" si="135"/>
        <v/>
      </c>
    </row>
    <row r="3777" spans="1:8">
      <c r="A3777" s="2"/>
      <c r="B3777" s="12"/>
      <c r="C3777" s="12"/>
      <c r="E3777" t="str">
        <f>IF(LEN(D3777)=0,"",[1]!i_pq_tradedays($B$3,A3778,A3777)-1)</f>
        <v/>
      </c>
      <c r="G3777" s="16" t="str">
        <f t="shared" si="134"/>
        <v/>
      </c>
      <c r="H3777" s="70" t="str">
        <f t="shared" si="135"/>
        <v/>
      </c>
    </row>
    <row r="3778" spans="1:8">
      <c r="A3778" s="2"/>
      <c r="B3778" s="12"/>
      <c r="C3778" s="12"/>
      <c r="E3778" t="str">
        <f>IF(LEN(D3778)=0,"",[1]!i_pq_tradedays($B$3,A3779,A3778)-1)</f>
        <v/>
      </c>
      <c r="G3778" s="16" t="str">
        <f t="shared" si="134"/>
        <v/>
      </c>
      <c r="H3778" s="70" t="str">
        <f t="shared" si="135"/>
        <v/>
      </c>
    </row>
    <row r="3779" spans="1:8">
      <c r="A3779" s="2"/>
      <c r="B3779" s="12"/>
      <c r="C3779" s="12"/>
      <c r="E3779" t="str">
        <f>IF(LEN(D3779)=0,"",[1]!i_pq_tradedays($B$3,A3780,A3779)-1)</f>
        <v/>
      </c>
      <c r="G3779" s="16" t="str">
        <f t="shared" si="134"/>
        <v/>
      </c>
      <c r="H3779" s="70" t="str">
        <f t="shared" si="135"/>
        <v/>
      </c>
    </row>
    <row r="3780" spans="1:8">
      <c r="A3780" s="2"/>
      <c r="B3780" s="12"/>
      <c r="C3780" s="12"/>
      <c r="E3780" t="str">
        <f>IF(LEN(D3780)=0,"",[1]!i_pq_tradedays($B$3,A3781,A3780)-1)</f>
        <v/>
      </c>
      <c r="G3780" s="16" t="str">
        <f t="shared" si="134"/>
        <v/>
      </c>
      <c r="H3780" s="70" t="str">
        <f t="shared" si="135"/>
        <v/>
      </c>
    </row>
    <row r="3781" spans="1:8">
      <c r="A3781" s="2"/>
      <c r="B3781" s="12"/>
      <c r="C3781" s="12"/>
      <c r="E3781" t="str">
        <f>IF(LEN(D3781)=0,"",[1]!i_pq_tradedays($B$3,A3782,A3781)-1)</f>
        <v/>
      </c>
      <c r="G3781" s="16" t="str">
        <f t="shared" si="134"/>
        <v/>
      </c>
      <c r="H3781" s="70" t="str">
        <f t="shared" si="135"/>
        <v/>
      </c>
    </row>
    <row r="3782" spans="1:8">
      <c r="A3782" s="2"/>
      <c r="B3782" s="12"/>
      <c r="C3782" s="12"/>
      <c r="E3782" t="str">
        <f>IF(LEN(D3782)=0,"",[1]!i_pq_tradedays($B$3,A3783,A3782)-1)</f>
        <v/>
      </c>
      <c r="G3782" s="16" t="str">
        <f t="shared" si="134"/>
        <v/>
      </c>
      <c r="H3782" s="70" t="str">
        <f t="shared" si="135"/>
        <v/>
      </c>
    </row>
    <row r="3783" spans="1:8">
      <c r="A3783" s="2"/>
      <c r="B3783" s="12"/>
      <c r="C3783" s="12"/>
      <c r="E3783" t="str">
        <f>IF(LEN(D3783)=0,"",[1]!i_pq_tradedays($B$3,A3784,A3783)-1)</f>
        <v/>
      </c>
      <c r="G3783" s="16" t="str">
        <f t="shared" si="134"/>
        <v/>
      </c>
      <c r="H3783" s="70" t="str">
        <f t="shared" si="135"/>
        <v/>
      </c>
    </row>
    <row r="3784" spans="1:8">
      <c r="A3784" s="2"/>
      <c r="B3784" s="12"/>
      <c r="C3784" s="12"/>
      <c r="E3784" t="str">
        <f>IF(LEN(D3784)=0,"",[1]!i_pq_tradedays($B$3,A3785,A3784)-1)</f>
        <v/>
      </c>
      <c r="G3784" s="16" t="str">
        <f t="shared" si="134"/>
        <v/>
      </c>
      <c r="H3784" s="70" t="str">
        <f t="shared" si="135"/>
        <v/>
      </c>
    </row>
    <row r="3785" spans="1:8">
      <c r="A3785" s="2"/>
      <c r="B3785" s="12"/>
      <c r="C3785" s="12"/>
      <c r="E3785" t="str">
        <f>IF(LEN(D3785)=0,"",[1]!i_pq_tradedays($B$3,A3786,A3785)-1)</f>
        <v/>
      </c>
      <c r="G3785" s="16" t="str">
        <f t="shared" si="134"/>
        <v/>
      </c>
      <c r="H3785" s="70" t="str">
        <f t="shared" si="135"/>
        <v/>
      </c>
    </row>
    <row r="3786" spans="1:8">
      <c r="A3786" s="2"/>
      <c r="B3786" s="12"/>
      <c r="C3786" s="12"/>
      <c r="E3786" t="str">
        <f>IF(LEN(D3786)=0,"",[1]!i_pq_tradedays($B$3,A3787,A3786)-1)</f>
        <v/>
      </c>
      <c r="G3786" s="16" t="str">
        <f t="shared" si="134"/>
        <v/>
      </c>
      <c r="H3786" s="70" t="str">
        <f t="shared" si="135"/>
        <v/>
      </c>
    </row>
    <row r="3787" spans="1:8">
      <c r="A3787" s="2"/>
      <c r="B3787" s="12"/>
      <c r="C3787" s="12"/>
      <c r="E3787" t="str">
        <f>IF(LEN(D3787)=0,"",[1]!i_pq_tradedays($B$3,A3788,A3787)-1)</f>
        <v/>
      </c>
      <c r="G3787" s="16" t="str">
        <f t="shared" si="134"/>
        <v/>
      </c>
      <c r="H3787" s="70" t="str">
        <f t="shared" si="135"/>
        <v/>
      </c>
    </row>
    <row r="3788" spans="1:8">
      <c r="A3788" s="2"/>
      <c r="B3788" s="12"/>
      <c r="C3788" s="12"/>
      <c r="E3788" t="str">
        <f>IF(LEN(D3788)=0,"",[1]!i_pq_tradedays($B$3,A3789,A3788)-1)</f>
        <v/>
      </c>
      <c r="G3788" s="16" t="str">
        <f t="shared" si="134"/>
        <v/>
      </c>
      <c r="H3788" s="70" t="str">
        <f t="shared" si="135"/>
        <v/>
      </c>
    </row>
    <row r="3789" spans="1:8">
      <c r="A3789" s="2"/>
      <c r="B3789" s="12"/>
      <c r="C3789" s="12"/>
      <c r="E3789" t="str">
        <f>IF(LEN(D3789)=0,"",[1]!i_pq_tradedays($B$3,A3790,A3789)-1)</f>
        <v/>
      </c>
      <c r="G3789" s="16" t="str">
        <f t="shared" si="134"/>
        <v/>
      </c>
      <c r="H3789" s="70" t="str">
        <f t="shared" si="135"/>
        <v/>
      </c>
    </row>
    <row r="3790" spans="1:8">
      <c r="A3790" s="2"/>
      <c r="B3790" s="12"/>
      <c r="C3790" s="12"/>
      <c r="E3790" t="str">
        <f>IF(LEN(D3790)=0,"",[1]!i_pq_tradedays($B$3,A3791,A3790)-1)</f>
        <v/>
      </c>
      <c r="G3790" s="16" t="str">
        <f t="shared" si="134"/>
        <v/>
      </c>
      <c r="H3790" s="70" t="str">
        <f t="shared" si="135"/>
        <v/>
      </c>
    </row>
    <row r="3791" spans="1:8">
      <c r="A3791" s="2"/>
      <c r="B3791" s="12"/>
      <c r="C3791" s="12"/>
      <c r="E3791" t="str">
        <f>IF(LEN(D3791)=0,"",[1]!i_pq_tradedays($B$3,A3792,A3791)-1)</f>
        <v/>
      </c>
      <c r="G3791" s="16" t="str">
        <f t="shared" si="134"/>
        <v/>
      </c>
      <c r="H3791" s="70" t="str">
        <f t="shared" si="135"/>
        <v/>
      </c>
    </row>
    <row r="3792" spans="1:8">
      <c r="A3792" s="2"/>
      <c r="B3792" s="12"/>
      <c r="C3792" s="12"/>
      <c r="E3792" t="str">
        <f>IF(LEN(D3792)=0,"",[1]!i_pq_tradedays($B$3,A3793,A3792)-1)</f>
        <v/>
      </c>
      <c r="G3792" s="16" t="str">
        <f t="shared" si="134"/>
        <v/>
      </c>
      <c r="H3792" s="70" t="str">
        <f t="shared" si="135"/>
        <v/>
      </c>
    </row>
    <row r="3793" spans="1:8">
      <c r="A3793" s="2"/>
      <c r="B3793" s="12"/>
      <c r="C3793" s="12"/>
      <c r="E3793" t="str">
        <f>IF(LEN(D3793)=0,"",[1]!i_pq_tradedays($B$3,A3794,A3793)-1)</f>
        <v/>
      </c>
      <c r="G3793" s="16" t="str">
        <f t="shared" si="134"/>
        <v/>
      </c>
      <c r="H3793" s="70" t="str">
        <f t="shared" si="135"/>
        <v/>
      </c>
    </row>
    <row r="3794" spans="1:8">
      <c r="A3794" s="2"/>
      <c r="B3794" s="12"/>
      <c r="C3794" s="12"/>
      <c r="E3794" t="str">
        <f>IF(LEN(D3794)=0,"",[1]!i_pq_tradedays($B$3,A3795,A3794)-1)</f>
        <v/>
      </c>
      <c r="G3794" s="16" t="str">
        <f t="shared" si="134"/>
        <v/>
      </c>
      <c r="H3794" s="70" t="str">
        <f t="shared" si="135"/>
        <v/>
      </c>
    </row>
    <row r="3795" spans="1:8">
      <c r="A3795" s="2"/>
      <c r="B3795" s="12"/>
      <c r="C3795" s="12"/>
      <c r="E3795" t="str">
        <f>IF(LEN(D3795)=0,"",[1]!i_pq_tradedays($B$3,A3796,A3795)-1)</f>
        <v/>
      </c>
      <c r="G3795" s="16" t="str">
        <f t="shared" si="134"/>
        <v/>
      </c>
      <c r="H3795" s="70" t="str">
        <f t="shared" si="135"/>
        <v/>
      </c>
    </row>
    <row r="3796" spans="1:8">
      <c r="A3796" s="2"/>
      <c r="B3796" s="12"/>
      <c r="C3796" s="12"/>
      <c r="E3796" t="str">
        <f>IF(LEN(D3796)=0,"",[1]!i_pq_tradedays($B$3,A3797,A3796)-1)</f>
        <v/>
      </c>
      <c r="G3796" s="16" t="str">
        <f t="shared" si="134"/>
        <v/>
      </c>
      <c r="H3796" s="70" t="str">
        <f t="shared" si="135"/>
        <v/>
      </c>
    </row>
    <row r="3797" spans="1:8">
      <c r="A3797" s="2"/>
      <c r="B3797" s="12"/>
      <c r="C3797" s="12"/>
      <c r="E3797" t="str">
        <f>IF(LEN(D3797)=0,"",[1]!i_pq_tradedays($B$3,A3798,A3797)-1)</f>
        <v/>
      </c>
      <c r="G3797" s="16" t="str">
        <f t="shared" si="134"/>
        <v/>
      </c>
      <c r="H3797" s="70" t="str">
        <f t="shared" si="135"/>
        <v/>
      </c>
    </row>
    <row r="3798" spans="1:8">
      <c r="A3798" s="2"/>
      <c r="B3798" s="12"/>
      <c r="C3798" s="12"/>
      <c r="E3798" t="str">
        <f>IF(LEN(D3798)=0,"",[1]!i_pq_tradedays($B$3,A3799,A3798)-1)</f>
        <v/>
      </c>
      <c r="G3798" s="16" t="str">
        <f t="shared" si="134"/>
        <v/>
      </c>
      <c r="H3798" s="70" t="str">
        <f t="shared" si="135"/>
        <v/>
      </c>
    </row>
    <row r="3799" spans="1:8">
      <c r="A3799" s="2"/>
      <c r="B3799" s="12"/>
      <c r="C3799" s="12"/>
      <c r="E3799" t="str">
        <f>IF(LEN(D3799)=0,"",[1]!i_pq_tradedays($B$3,A3800,A3799)-1)</f>
        <v/>
      </c>
      <c r="G3799" s="16" t="str">
        <f t="shared" si="134"/>
        <v/>
      </c>
      <c r="H3799" s="70" t="str">
        <f t="shared" si="135"/>
        <v/>
      </c>
    </row>
    <row r="3800" spans="1:8">
      <c r="A3800" s="2"/>
      <c r="B3800" s="12"/>
      <c r="C3800" s="12"/>
      <c r="E3800" t="str">
        <f>IF(LEN(D3800)=0,"",[1]!i_pq_tradedays($B$3,A3801,A3800)-1)</f>
        <v/>
      </c>
      <c r="G3800" s="16" t="str">
        <f t="shared" si="134"/>
        <v/>
      </c>
      <c r="H3800" s="70" t="str">
        <f t="shared" si="135"/>
        <v/>
      </c>
    </row>
    <row r="3801" spans="1:8">
      <c r="A3801" s="2"/>
      <c r="B3801" s="12"/>
      <c r="C3801" s="12"/>
      <c r="E3801" t="str">
        <f>IF(LEN(D3801)=0,"",[1]!i_pq_tradedays($B$3,A3802,A3801)-1)</f>
        <v/>
      </c>
      <c r="G3801" s="16" t="str">
        <f t="shared" si="134"/>
        <v/>
      </c>
      <c r="H3801" s="70" t="str">
        <f t="shared" si="135"/>
        <v/>
      </c>
    </row>
    <row r="3802" spans="1:8">
      <c r="A3802" s="2"/>
      <c r="B3802" s="12"/>
      <c r="C3802" s="12"/>
      <c r="E3802" t="str">
        <f>IF(LEN(D3802)=0,"",[1]!i_pq_tradedays($B$3,A3803,A3802)-1)</f>
        <v/>
      </c>
      <c r="G3802" s="16" t="str">
        <f t="shared" si="134"/>
        <v/>
      </c>
      <c r="H3802" s="70" t="str">
        <f t="shared" si="135"/>
        <v/>
      </c>
    </row>
    <row r="3803" spans="1:8">
      <c r="A3803" s="2"/>
      <c r="B3803" s="12"/>
      <c r="C3803" s="12"/>
      <c r="E3803" t="str">
        <f>IF(LEN(D3803)=0,"",[1]!i_pq_tradedays($B$3,A3804,A3803)-1)</f>
        <v/>
      </c>
      <c r="G3803" s="16" t="str">
        <f t="shared" si="134"/>
        <v/>
      </c>
      <c r="H3803" s="70" t="str">
        <f t="shared" si="135"/>
        <v/>
      </c>
    </row>
    <row r="3804" spans="1:8">
      <c r="A3804" s="2"/>
      <c r="B3804" s="12"/>
      <c r="C3804" s="12"/>
      <c r="E3804" t="str">
        <f>IF(LEN(D3804)=0,"",[1]!i_pq_tradedays($B$3,A3805,A3804)-1)</f>
        <v/>
      </c>
      <c r="G3804" s="16" t="str">
        <f t="shared" si="134"/>
        <v/>
      </c>
      <c r="H3804" s="70" t="str">
        <f t="shared" si="135"/>
        <v/>
      </c>
    </row>
    <row r="3805" spans="1:8">
      <c r="A3805" s="2"/>
      <c r="B3805" s="12"/>
      <c r="C3805" s="12"/>
      <c r="E3805" t="str">
        <f>IF(LEN(D3805)=0,"",[1]!i_pq_tradedays($B$3,A3806,A3805)-1)</f>
        <v/>
      </c>
      <c r="G3805" s="16" t="str">
        <f t="shared" si="134"/>
        <v/>
      </c>
      <c r="H3805" s="70" t="str">
        <f t="shared" si="135"/>
        <v/>
      </c>
    </row>
    <row r="3806" spans="1:8">
      <c r="A3806" s="2"/>
      <c r="B3806" s="12"/>
      <c r="C3806" s="12"/>
      <c r="E3806" t="str">
        <f>IF(LEN(D3806)=0,"",[1]!i_pq_tradedays($B$3,A3807,A3806)-1)</f>
        <v/>
      </c>
      <c r="G3806" s="16" t="str">
        <f t="shared" si="134"/>
        <v/>
      </c>
      <c r="H3806" s="70" t="str">
        <f t="shared" si="135"/>
        <v/>
      </c>
    </row>
    <row r="3807" spans="1:8">
      <c r="A3807" s="2"/>
      <c r="B3807" s="12"/>
      <c r="C3807" s="12"/>
      <c r="E3807" t="str">
        <f>IF(LEN(D3807)=0,"",[1]!i_pq_tradedays($B$3,A3808,A3807)-1)</f>
        <v/>
      </c>
      <c r="G3807" s="16" t="str">
        <f t="shared" si="134"/>
        <v/>
      </c>
      <c r="H3807" s="70" t="str">
        <f t="shared" si="135"/>
        <v/>
      </c>
    </row>
    <row r="3808" spans="1:8">
      <c r="A3808" s="2"/>
      <c r="B3808" s="12"/>
      <c r="C3808" s="12"/>
      <c r="E3808" t="str">
        <f>IF(LEN(D3808)=0,"",[1]!i_pq_tradedays($B$3,A3809,A3808)-1)</f>
        <v/>
      </c>
      <c r="G3808" s="16" t="str">
        <f t="shared" si="134"/>
        <v/>
      </c>
      <c r="H3808" s="70" t="str">
        <f t="shared" si="135"/>
        <v/>
      </c>
    </row>
    <row r="3809" spans="1:8">
      <c r="A3809" s="2"/>
      <c r="B3809" s="12"/>
      <c r="C3809" s="12"/>
      <c r="E3809" t="str">
        <f>IF(LEN(D3809)=0,"",[1]!i_pq_tradedays($B$3,A3810,A3809)-1)</f>
        <v/>
      </c>
      <c r="G3809" s="16" t="str">
        <f t="shared" si="134"/>
        <v/>
      </c>
      <c r="H3809" s="70" t="str">
        <f t="shared" si="135"/>
        <v/>
      </c>
    </row>
    <row r="3810" spans="1:8">
      <c r="A3810" s="2"/>
      <c r="B3810" s="12"/>
      <c r="C3810" s="12"/>
      <c r="E3810" t="str">
        <f>IF(LEN(D3810)=0,"",[1]!i_pq_tradedays($B$3,A3811,A3810)-1)</f>
        <v/>
      </c>
      <c r="G3810" s="16" t="str">
        <f t="shared" si="134"/>
        <v/>
      </c>
      <c r="H3810" s="70" t="str">
        <f t="shared" si="135"/>
        <v/>
      </c>
    </row>
    <row r="3811" spans="1:8">
      <c r="A3811" s="2"/>
      <c r="B3811" s="12"/>
      <c r="C3811" s="12"/>
      <c r="E3811" t="str">
        <f>IF(LEN(D3811)=0,"",[1]!i_pq_tradedays($B$3,A3812,A3811)-1)</f>
        <v/>
      </c>
      <c r="G3811" s="16" t="str">
        <f t="shared" si="134"/>
        <v/>
      </c>
      <c r="H3811" s="70" t="str">
        <f t="shared" si="135"/>
        <v/>
      </c>
    </row>
    <row r="3812" spans="1:8">
      <c r="A3812" s="2"/>
      <c r="B3812" s="12"/>
      <c r="C3812" s="12"/>
      <c r="E3812" t="str">
        <f>IF(LEN(D3812)=0,"",[1]!i_pq_tradedays($B$3,A3813,A3812)-1)</f>
        <v/>
      </c>
      <c r="G3812" s="16" t="str">
        <f t="shared" si="134"/>
        <v/>
      </c>
      <c r="H3812" s="70" t="str">
        <f t="shared" si="135"/>
        <v/>
      </c>
    </row>
    <row r="3813" spans="1:8">
      <c r="A3813" s="2"/>
      <c r="B3813" s="12"/>
      <c r="C3813" s="12"/>
      <c r="E3813" t="str">
        <f>IF(LEN(D3813)=0,"",[1]!i_pq_tradedays($B$3,A3814,A3813)-1)</f>
        <v/>
      </c>
      <c r="G3813" s="16" t="str">
        <f t="shared" si="134"/>
        <v/>
      </c>
      <c r="H3813" s="70" t="str">
        <f t="shared" si="135"/>
        <v/>
      </c>
    </row>
    <row r="3814" spans="1:8">
      <c r="A3814" s="2"/>
      <c r="B3814" s="12"/>
      <c r="C3814" s="12"/>
      <c r="E3814" t="str">
        <f>IF(LEN(D3814)=0,"",[1]!i_pq_tradedays($B$3,A3815,A3814)-1)</f>
        <v/>
      </c>
      <c r="G3814" s="16" t="str">
        <f t="shared" si="134"/>
        <v/>
      </c>
      <c r="H3814" s="70" t="str">
        <f t="shared" si="135"/>
        <v/>
      </c>
    </row>
    <row r="3815" spans="1:8">
      <c r="A3815" s="2"/>
      <c r="B3815" s="12"/>
      <c r="C3815" s="12"/>
      <c r="E3815" t="str">
        <f>IF(LEN(D3815)=0,"",[1]!i_pq_tradedays($B$3,A3816,A3815)-1)</f>
        <v/>
      </c>
      <c r="G3815" s="16" t="str">
        <f t="shared" si="134"/>
        <v/>
      </c>
      <c r="H3815" s="70" t="str">
        <f t="shared" si="135"/>
        <v/>
      </c>
    </row>
    <row r="3816" spans="1:8">
      <c r="A3816" s="2"/>
      <c r="B3816" s="12"/>
      <c r="C3816" s="12"/>
      <c r="E3816" t="str">
        <f>IF(LEN(D3816)=0,"",[1]!i_pq_tradedays($B$3,A3817,A3816)-1)</f>
        <v/>
      </c>
      <c r="G3816" s="16" t="str">
        <f t="shared" si="134"/>
        <v/>
      </c>
      <c r="H3816" s="70" t="str">
        <f t="shared" si="135"/>
        <v/>
      </c>
    </row>
    <row r="3817" spans="1:8">
      <c r="A3817" s="2"/>
      <c r="B3817" s="12"/>
      <c r="C3817" s="12"/>
      <c r="E3817" t="str">
        <f>IF(LEN(D3817)=0,"",[1]!i_pq_tradedays($B$3,A3818,A3817)-1)</f>
        <v/>
      </c>
      <c r="G3817" s="16" t="str">
        <f t="shared" si="134"/>
        <v/>
      </c>
      <c r="H3817" s="70" t="str">
        <f t="shared" si="135"/>
        <v/>
      </c>
    </row>
    <row r="3818" spans="1:8">
      <c r="A3818" s="2"/>
      <c r="B3818" s="12"/>
      <c r="C3818" s="12"/>
      <c r="E3818" t="str">
        <f>IF(LEN(D3818)=0,"",[1]!i_pq_tradedays($B$3,A3819,A3818)-1)</f>
        <v/>
      </c>
      <c r="G3818" s="16" t="str">
        <f t="shared" si="134"/>
        <v/>
      </c>
      <c r="H3818" s="70" t="str">
        <f t="shared" si="135"/>
        <v/>
      </c>
    </row>
    <row r="3819" spans="1:8">
      <c r="A3819" s="2"/>
      <c r="B3819" s="12"/>
      <c r="C3819" s="12"/>
      <c r="E3819" t="str">
        <f>IF(LEN(D3819)=0,"",[1]!i_pq_tradedays($B$3,A3820,A3819)-1)</f>
        <v/>
      </c>
      <c r="G3819" s="16" t="str">
        <f t="shared" si="134"/>
        <v/>
      </c>
      <c r="H3819" s="70" t="str">
        <f t="shared" si="135"/>
        <v/>
      </c>
    </row>
    <row r="3820" spans="1:8">
      <c r="A3820" s="2"/>
      <c r="B3820" s="12"/>
      <c r="C3820" s="12"/>
      <c r="E3820" t="str">
        <f>IF(LEN(D3820)=0,"",[1]!i_pq_tradedays($B$3,A3821,A3820)-1)</f>
        <v/>
      </c>
      <c r="G3820" s="16" t="str">
        <f t="shared" si="134"/>
        <v/>
      </c>
      <c r="H3820" s="70" t="str">
        <f t="shared" si="135"/>
        <v/>
      </c>
    </row>
    <row r="3821" spans="1:8">
      <c r="A3821" s="2"/>
      <c r="B3821" s="12"/>
      <c r="C3821" s="12"/>
      <c r="E3821" t="str">
        <f>IF(LEN(D3821)=0,"",[1]!i_pq_tradedays($B$3,A3822,A3821)-1)</f>
        <v/>
      </c>
      <c r="G3821" s="16" t="str">
        <f t="shared" si="134"/>
        <v/>
      </c>
      <c r="H3821" s="70" t="str">
        <f t="shared" si="135"/>
        <v/>
      </c>
    </row>
    <row r="3822" spans="1:8">
      <c r="A3822" s="2"/>
      <c r="B3822" s="12"/>
      <c r="C3822" s="12"/>
      <c r="E3822" t="str">
        <f>IF(LEN(D3822)=0,"",[1]!i_pq_tradedays($B$3,A3823,A3822)-1)</f>
        <v/>
      </c>
      <c r="G3822" s="16" t="str">
        <f t="shared" si="134"/>
        <v/>
      </c>
      <c r="H3822" s="70" t="str">
        <f t="shared" si="135"/>
        <v/>
      </c>
    </row>
    <row r="3823" spans="1:8">
      <c r="A3823" s="2"/>
      <c r="B3823" s="12"/>
      <c r="C3823" s="12"/>
      <c r="E3823" t="str">
        <f>IF(LEN(D3823)=0,"",[1]!i_pq_tradedays($B$3,A3824,A3823)-1)</f>
        <v/>
      </c>
      <c r="G3823" s="16" t="str">
        <f t="shared" si="134"/>
        <v/>
      </c>
      <c r="H3823" s="70" t="str">
        <f t="shared" si="135"/>
        <v/>
      </c>
    </row>
    <row r="3824" spans="1:8">
      <c r="A3824" s="2"/>
      <c r="B3824" s="12"/>
      <c r="C3824" s="12"/>
      <c r="E3824" t="str">
        <f>IF(LEN(D3824)=0,"",[1]!i_pq_tradedays($B$3,A3825,A3824)-1)</f>
        <v/>
      </c>
      <c r="G3824" s="16" t="str">
        <f t="shared" si="134"/>
        <v/>
      </c>
      <c r="H3824" s="70" t="str">
        <f t="shared" si="135"/>
        <v/>
      </c>
    </row>
    <row r="3825" spans="1:8">
      <c r="A3825" s="2"/>
      <c r="B3825" s="12"/>
      <c r="C3825" s="12"/>
      <c r="E3825" t="str">
        <f>IF(LEN(D3825)=0,"",[1]!i_pq_tradedays($B$3,A3826,A3825)-1)</f>
        <v/>
      </c>
      <c r="G3825" s="16" t="str">
        <f t="shared" si="134"/>
        <v/>
      </c>
      <c r="H3825" s="70" t="str">
        <f t="shared" si="135"/>
        <v/>
      </c>
    </row>
    <row r="3826" spans="1:8">
      <c r="A3826" s="2"/>
      <c r="B3826" s="12"/>
      <c r="C3826" s="12"/>
      <c r="E3826" t="str">
        <f>IF(LEN(D3826)=0,"",[1]!i_pq_tradedays($B$3,A3827,A3826)-1)</f>
        <v/>
      </c>
      <c r="G3826" s="16" t="str">
        <f t="shared" si="134"/>
        <v/>
      </c>
      <c r="H3826" s="70" t="str">
        <f t="shared" si="135"/>
        <v/>
      </c>
    </row>
    <row r="3827" spans="1:8">
      <c r="A3827" s="2"/>
      <c r="B3827" s="12"/>
      <c r="C3827" s="12"/>
      <c r="E3827" t="str">
        <f>IF(LEN(D3827)=0,"",[1]!i_pq_tradedays($B$3,A3828,A3827)-1)</f>
        <v/>
      </c>
      <c r="G3827" s="16" t="str">
        <f t="shared" si="134"/>
        <v/>
      </c>
      <c r="H3827" s="70" t="str">
        <f t="shared" si="135"/>
        <v/>
      </c>
    </row>
    <row r="3828" spans="1:8">
      <c r="A3828" s="2"/>
      <c r="B3828" s="12"/>
      <c r="C3828" s="12"/>
      <c r="E3828" t="str">
        <f>IF(LEN(D3828)=0,"",[1]!i_pq_tradedays($B$3,A3829,A3828)-1)</f>
        <v/>
      </c>
      <c r="G3828" s="16" t="str">
        <f t="shared" si="134"/>
        <v/>
      </c>
      <c r="H3828" s="70" t="str">
        <f t="shared" si="135"/>
        <v/>
      </c>
    </row>
    <row r="3829" spans="1:8">
      <c r="A3829" s="2"/>
      <c r="B3829" s="12"/>
      <c r="C3829" s="12"/>
      <c r="E3829" t="str">
        <f>IF(LEN(D3829)=0,"",[1]!i_pq_tradedays($B$3,A3830,A3829)-1)</f>
        <v/>
      </c>
      <c r="G3829" s="16" t="str">
        <f t="shared" ref="G3829:G3892" si="136">IF(LEN(D3829)=0,"",D3829/E3829)</f>
        <v/>
      </c>
      <c r="H3829" s="70" t="str">
        <f t="shared" ref="H3829:H3892" si="137">IF(LEN(D3829)=0,"",G3829/G3830-1)</f>
        <v/>
      </c>
    </row>
    <row r="3830" spans="1:8">
      <c r="A3830" s="2"/>
      <c r="B3830" s="12"/>
      <c r="C3830" s="12"/>
      <c r="E3830" t="str">
        <f>IF(LEN(D3830)=0,"",[1]!i_pq_tradedays($B$3,A3831,A3830)-1)</f>
        <v/>
      </c>
      <c r="G3830" s="16" t="str">
        <f t="shared" si="136"/>
        <v/>
      </c>
      <c r="H3830" s="70" t="str">
        <f t="shared" si="137"/>
        <v/>
      </c>
    </row>
    <row r="3831" spans="1:8">
      <c r="A3831" s="2"/>
      <c r="B3831" s="12"/>
      <c r="C3831" s="12"/>
      <c r="E3831" t="str">
        <f>IF(LEN(D3831)=0,"",[1]!i_pq_tradedays($B$3,A3832,A3831)-1)</f>
        <v/>
      </c>
      <c r="G3831" s="16" t="str">
        <f t="shared" si="136"/>
        <v/>
      </c>
      <c r="H3831" s="70" t="str">
        <f t="shared" si="137"/>
        <v/>
      </c>
    </row>
    <row r="3832" spans="1:8">
      <c r="A3832" s="2"/>
      <c r="B3832" s="12"/>
      <c r="C3832" s="12"/>
      <c r="E3832" t="str">
        <f>IF(LEN(D3832)=0,"",[1]!i_pq_tradedays($B$3,A3833,A3832)-1)</f>
        <v/>
      </c>
      <c r="G3832" s="16" t="str">
        <f t="shared" si="136"/>
        <v/>
      </c>
      <c r="H3832" s="70" t="str">
        <f t="shared" si="137"/>
        <v/>
      </c>
    </row>
    <row r="3833" spans="1:8">
      <c r="A3833" s="2"/>
      <c r="B3833" s="12"/>
      <c r="C3833" s="12"/>
      <c r="E3833" t="str">
        <f>IF(LEN(D3833)=0,"",[1]!i_pq_tradedays($B$3,A3834,A3833)-1)</f>
        <v/>
      </c>
      <c r="G3833" s="16" t="str">
        <f t="shared" si="136"/>
        <v/>
      </c>
      <c r="H3833" s="70" t="str">
        <f t="shared" si="137"/>
        <v/>
      </c>
    </row>
    <row r="3834" spans="1:8">
      <c r="A3834" s="2"/>
      <c r="B3834" s="12"/>
      <c r="C3834" s="12"/>
      <c r="E3834" t="str">
        <f>IF(LEN(D3834)=0,"",[1]!i_pq_tradedays($B$3,A3835,A3834)-1)</f>
        <v/>
      </c>
      <c r="G3834" s="16" t="str">
        <f t="shared" si="136"/>
        <v/>
      </c>
      <c r="H3834" s="70" t="str">
        <f t="shared" si="137"/>
        <v/>
      </c>
    </row>
    <row r="3835" spans="1:8">
      <c r="A3835" s="2"/>
      <c r="B3835" s="12"/>
      <c r="C3835" s="12"/>
      <c r="E3835" t="str">
        <f>IF(LEN(D3835)=0,"",[1]!i_pq_tradedays($B$3,A3836,A3835)-1)</f>
        <v/>
      </c>
      <c r="G3835" s="16" t="str">
        <f t="shared" si="136"/>
        <v/>
      </c>
      <c r="H3835" s="70" t="str">
        <f t="shared" si="137"/>
        <v/>
      </c>
    </row>
    <row r="3836" spans="1:8">
      <c r="A3836" s="2"/>
      <c r="B3836" s="12"/>
      <c r="C3836" s="12"/>
      <c r="E3836" t="str">
        <f>IF(LEN(D3836)=0,"",[1]!i_pq_tradedays($B$3,A3837,A3836)-1)</f>
        <v/>
      </c>
      <c r="G3836" s="16" t="str">
        <f t="shared" si="136"/>
        <v/>
      </c>
      <c r="H3836" s="70" t="str">
        <f t="shared" si="137"/>
        <v/>
      </c>
    </row>
    <row r="3837" spans="1:8">
      <c r="A3837" s="2"/>
      <c r="B3837" s="12"/>
      <c r="C3837" s="12"/>
      <c r="E3837" t="str">
        <f>IF(LEN(D3837)=0,"",[1]!i_pq_tradedays($B$3,A3838,A3837)-1)</f>
        <v/>
      </c>
      <c r="G3837" s="16" t="str">
        <f t="shared" si="136"/>
        <v/>
      </c>
      <c r="H3837" s="70" t="str">
        <f t="shared" si="137"/>
        <v/>
      </c>
    </row>
    <row r="3838" spans="1:8">
      <c r="A3838" s="2"/>
      <c r="B3838" s="12"/>
      <c r="C3838" s="12"/>
      <c r="E3838" t="str">
        <f>IF(LEN(D3838)=0,"",[1]!i_pq_tradedays($B$3,A3839,A3838)-1)</f>
        <v/>
      </c>
      <c r="G3838" s="16" t="str">
        <f t="shared" si="136"/>
        <v/>
      </c>
      <c r="H3838" s="70" t="str">
        <f t="shared" si="137"/>
        <v/>
      </c>
    </row>
    <row r="3839" spans="1:8">
      <c r="A3839" s="2"/>
      <c r="B3839" s="12"/>
      <c r="C3839" s="12"/>
      <c r="E3839" t="str">
        <f>IF(LEN(D3839)=0,"",[1]!i_pq_tradedays($B$3,A3840,A3839)-1)</f>
        <v/>
      </c>
      <c r="G3839" s="16" t="str">
        <f t="shared" si="136"/>
        <v/>
      </c>
      <c r="H3839" s="70" t="str">
        <f t="shared" si="137"/>
        <v/>
      </c>
    </row>
    <row r="3840" spans="1:8">
      <c r="A3840" s="2"/>
      <c r="B3840" s="12"/>
      <c r="C3840" s="12"/>
      <c r="E3840" t="str">
        <f>IF(LEN(D3840)=0,"",[1]!i_pq_tradedays($B$3,A3841,A3840)-1)</f>
        <v/>
      </c>
      <c r="G3840" s="16" t="str">
        <f t="shared" si="136"/>
        <v/>
      </c>
      <c r="H3840" s="70" t="str">
        <f t="shared" si="137"/>
        <v/>
      </c>
    </row>
    <row r="3841" spans="1:8">
      <c r="A3841" s="2"/>
      <c r="B3841" s="12"/>
      <c r="C3841" s="12"/>
      <c r="E3841" t="str">
        <f>IF(LEN(D3841)=0,"",[1]!i_pq_tradedays($B$3,A3842,A3841)-1)</f>
        <v/>
      </c>
      <c r="G3841" s="16" t="str">
        <f t="shared" si="136"/>
        <v/>
      </c>
      <c r="H3841" s="70" t="str">
        <f t="shared" si="137"/>
        <v/>
      </c>
    </row>
    <row r="3842" spans="1:8">
      <c r="A3842" s="2"/>
      <c r="B3842" s="12"/>
      <c r="C3842" s="12"/>
      <c r="E3842" t="str">
        <f>IF(LEN(D3842)=0,"",[1]!i_pq_tradedays($B$3,A3843,A3842)-1)</f>
        <v/>
      </c>
      <c r="G3842" s="16" t="str">
        <f t="shared" si="136"/>
        <v/>
      </c>
      <c r="H3842" s="70" t="str">
        <f t="shared" si="137"/>
        <v/>
      </c>
    </row>
    <row r="3843" spans="1:8">
      <c r="A3843" s="2"/>
      <c r="B3843" s="12"/>
      <c r="C3843" s="12"/>
      <c r="E3843" t="str">
        <f>IF(LEN(D3843)=0,"",[1]!i_pq_tradedays($B$3,A3844,A3843)-1)</f>
        <v/>
      </c>
      <c r="G3843" s="16" t="str">
        <f t="shared" si="136"/>
        <v/>
      </c>
      <c r="H3843" s="70" t="str">
        <f t="shared" si="137"/>
        <v/>
      </c>
    </row>
    <row r="3844" spans="1:8">
      <c r="A3844" s="2"/>
      <c r="B3844" s="12"/>
      <c r="C3844" s="12"/>
      <c r="E3844" t="str">
        <f>IF(LEN(D3844)=0,"",[1]!i_pq_tradedays($B$3,A3845,A3844)-1)</f>
        <v/>
      </c>
      <c r="G3844" s="16" t="str">
        <f t="shared" si="136"/>
        <v/>
      </c>
      <c r="H3844" s="70" t="str">
        <f t="shared" si="137"/>
        <v/>
      </c>
    </row>
    <row r="3845" spans="1:8">
      <c r="A3845" s="2"/>
      <c r="B3845" s="12"/>
      <c r="C3845" s="12"/>
      <c r="E3845" t="str">
        <f>IF(LEN(D3845)=0,"",[1]!i_pq_tradedays($B$3,A3846,A3845)-1)</f>
        <v/>
      </c>
      <c r="G3845" s="16" t="str">
        <f t="shared" si="136"/>
        <v/>
      </c>
      <c r="H3845" s="70" t="str">
        <f t="shared" si="137"/>
        <v/>
      </c>
    </row>
    <row r="3846" spans="1:8">
      <c r="A3846" s="2"/>
      <c r="B3846" s="12"/>
      <c r="C3846" s="12"/>
      <c r="E3846" t="str">
        <f>IF(LEN(D3846)=0,"",[1]!i_pq_tradedays($B$3,A3847,A3846)-1)</f>
        <v/>
      </c>
      <c r="G3846" s="16" t="str">
        <f t="shared" si="136"/>
        <v/>
      </c>
      <c r="H3846" s="70" t="str">
        <f t="shared" si="137"/>
        <v/>
      </c>
    </row>
    <row r="3847" spans="1:8">
      <c r="A3847" s="2"/>
      <c r="B3847" s="12"/>
      <c r="C3847" s="12"/>
      <c r="E3847" t="str">
        <f>IF(LEN(D3847)=0,"",[1]!i_pq_tradedays($B$3,A3848,A3847)-1)</f>
        <v/>
      </c>
      <c r="G3847" s="16" t="str">
        <f t="shared" si="136"/>
        <v/>
      </c>
      <c r="H3847" s="70" t="str">
        <f t="shared" si="137"/>
        <v/>
      </c>
    </row>
    <row r="3848" spans="1:8">
      <c r="A3848" s="2"/>
      <c r="B3848" s="12"/>
      <c r="C3848" s="12"/>
      <c r="E3848" t="str">
        <f>IF(LEN(D3848)=0,"",[1]!i_pq_tradedays($B$3,A3849,A3848)-1)</f>
        <v/>
      </c>
      <c r="G3848" s="16" t="str">
        <f t="shared" si="136"/>
        <v/>
      </c>
      <c r="H3848" s="70" t="str">
        <f t="shared" si="137"/>
        <v/>
      </c>
    </row>
    <row r="3849" spans="1:8">
      <c r="A3849" s="2"/>
      <c r="B3849" s="12"/>
      <c r="C3849" s="12"/>
      <c r="E3849" t="str">
        <f>IF(LEN(D3849)=0,"",[1]!i_pq_tradedays($B$3,A3850,A3849)-1)</f>
        <v/>
      </c>
      <c r="G3849" s="16" t="str">
        <f t="shared" si="136"/>
        <v/>
      </c>
      <c r="H3849" s="70" t="str">
        <f t="shared" si="137"/>
        <v/>
      </c>
    </row>
    <row r="3850" spans="1:8">
      <c r="A3850" s="2"/>
      <c r="B3850" s="12"/>
      <c r="C3850" s="12"/>
      <c r="E3850" t="str">
        <f>IF(LEN(D3850)=0,"",[1]!i_pq_tradedays($B$3,A3851,A3850)-1)</f>
        <v/>
      </c>
      <c r="G3850" s="16" t="str">
        <f t="shared" si="136"/>
        <v/>
      </c>
      <c r="H3850" s="70" t="str">
        <f t="shared" si="137"/>
        <v/>
      </c>
    </row>
    <row r="3851" spans="1:8">
      <c r="A3851" s="2"/>
      <c r="B3851" s="12"/>
      <c r="C3851" s="12"/>
      <c r="E3851" t="str">
        <f>IF(LEN(D3851)=0,"",[1]!i_pq_tradedays($B$3,A3852,A3851)-1)</f>
        <v/>
      </c>
      <c r="G3851" s="16" t="str">
        <f t="shared" si="136"/>
        <v/>
      </c>
      <c r="H3851" s="70" t="str">
        <f t="shared" si="137"/>
        <v/>
      </c>
    </row>
    <row r="3852" spans="1:8">
      <c r="A3852" s="2"/>
      <c r="B3852" s="12"/>
      <c r="C3852" s="12"/>
      <c r="E3852" t="str">
        <f>IF(LEN(D3852)=0,"",[1]!i_pq_tradedays($B$3,A3853,A3852)-1)</f>
        <v/>
      </c>
      <c r="G3852" s="16" t="str">
        <f t="shared" si="136"/>
        <v/>
      </c>
      <c r="H3852" s="70" t="str">
        <f t="shared" si="137"/>
        <v/>
      </c>
    </row>
    <row r="3853" spans="1:8">
      <c r="A3853" s="2"/>
      <c r="B3853" s="12"/>
      <c r="C3853" s="12"/>
      <c r="E3853" t="str">
        <f>IF(LEN(D3853)=0,"",[1]!i_pq_tradedays($B$3,A3854,A3853)-1)</f>
        <v/>
      </c>
      <c r="G3853" s="16" t="str">
        <f t="shared" si="136"/>
        <v/>
      </c>
      <c r="H3853" s="70" t="str">
        <f t="shared" si="137"/>
        <v/>
      </c>
    </row>
    <row r="3854" spans="1:8">
      <c r="A3854" s="2"/>
      <c r="B3854" s="12"/>
      <c r="C3854" s="12"/>
      <c r="E3854" t="str">
        <f>IF(LEN(D3854)=0,"",[1]!i_pq_tradedays($B$3,A3855,A3854)-1)</f>
        <v/>
      </c>
      <c r="G3854" s="16" t="str">
        <f t="shared" si="136"/>
        <v/>
      </c>
      <c r="H3854" s="70" t="str">
        <f t="shared" si="137"/>
        <v/>
      </c>
    </row>
    <row r="3855" spans="1:8">
      <c r="A3855" s="2"/>
      <c r="B3855" s="12"/>
      <c r="C3855" s="12"/>
      <c r="E3855" t="str">
        <f>IF(LEN(D3855)=0,"",[1]!i_pq_tradedays($B$3,A3856,A3855)-1)</f>
        <v/>
      </c>
      <c r="G3855" s="16" t="str">
        <f t="shared" si="136"/>
        <v/>
      </c>
      <c r="H3855" s="70" t="str">
        <f t="shared" si="137"/>
        <v/>
      </c>
    </row>
    <row r="3856" spans="1:8">
      <c r="A3856" s="2"/>
      <c r="B3856" s="12"/>
      <c r="C3856" s="12"/>
      <c r="E3856" t="str">
        <f>IF(LEN(D3856)=0,"",[1]!i_pq_tradedays($B$3,A3857,A3856)-1)</f>
        <v/>
      </c>
      <c r="G3856" s="16" t="str">
        <f t="shared" si="136"/>
        <v/>
      </c>
      <c r="H3856" s="70" t="str">
        <f t="shared" si="137"/>
        <v/>
      </c>
    </row>
    <row r="3857" spans="1:8">
      <c r="A3857" s="2"/>
      <c r="B3857" s="12"/>
      <c r="C3857" s="12"/>
      <c r="E3857" t="str">
        <f>IF(LEN(D3857)=0,"",[1]!i_pq_tradedays($B$3,A3858,A3857)-1)</f>
        <v/>
      </c>
      <c r="G3857" s="16" t="str">
        <f t="shared" si="136"/>
        <v/>
      </c>
      <c r="H3857" s="70" t="str">
        <f t="shared" si="137"/>
        <v/>
      </c>
    </row>
    <row r="3858" spans="1:8">
      <c r="A3858" s="2"/>
      <c r="B3858" s="12"/>
      <c r="C3858" s="12"/>
      <c r="E3858" t="str">
        <f>IF(LEN(D3858)=0,"",[1]!i_pq_tradedays($B$3,A3859,A3858)-1)</f>
        <v/>
      </c>
      <c r="G3858" s="16" t="str">
        <f t="shared" si="136"/>
        <v/>
      </c>
      <c r="H3858" s="70" t="str">
        <f t="shared" si="137"/>
        <v/>
      </c>
    </row>
    <row r="3859" spans="1:8">
      <c r="A3859" s="2"/>
      <c r="B3859" s="12"/>
      <c r="C3859" s="12"/>
      <c r="E3859" t="str">
        <f>IF(LEN(D3859)=0,"",[1]!i_pq_tradedays($B$3,A3860,A3859)-1)</f>
        <v/>
      </c>
      <c r="G3859" s="16" t="str">
        <f t="shared" si="136"/>
        <v/>
      </c>
      <c r="H3859" s="70" t="str">
        <f t="shared" si="137"/>
        <v/>
      </c>
    </row>
    <row r="3860" spans="1:8">
      <c r="A3860" s="2"/>
      <c r="B3860" s="12"/>
      <c r="C3860" s="12"/>
      <c r="E3860" t="str">
        <f>IF(LEN(D3860)=0,"",[1]!i_pq_tradedays($B$3,A3861,A3860)-1)</f>
        <v/>
      </c>
      <c r="G3860" s="16" t="str">
        <f t="shared" si="136"/>
        <v/>
      </c>
      <c r="H3860" s="70" t="str">
        <f t="shared" si="137"/>
        <v/>
      </c>
    </row>
    <row r="3861" spans="1:8">
      <c r="A3861" s="2"/>
      <c r="B3861" s="12"/>
      <c r="C3861" s="12"/>
      <c r="E3861" t="str">
        <f>IF(LEN(D3861)=0,"",[1]!i_pq_tradedays($B$3,A3862,A3861)-1)</f>
        <v/>
      </c>
      <c r="G3861" s="16" t="str">
        <f t="shared" si="136"/>
        <v/>
      </c>
      <c r="H3861" s="70" t="str">
        <f t="shared" si="137"/>
        <v/>
      </c>
    </row>
    <row r="3862" spans="1:8">
      <c r="A3862" s="2"/>
      <c r="B3862" s="12"/>
      <c r="C3862" s="12"/>
      <c r="E3862" t="str">
        <f>IF(LEN(D3862)=0,"",[1]!i_pq_tradedays($B$3,A3863,A3862)-1)</f>
        <v/>
      </c>
      <c r="G3862" s="16" t="str">
        <f t="shared" si="136"/>
        <v/>
      </c>
      <c r="H3862" s="70" t="str">
        <f t="shared" si="137"/>
        <v/>
      </c>
    </row>
    <row r="3863" spans="1:8">
      <c r="A3863" s="2"/>
      <c r="B3863" s="12"/>
      <c r="C3863" s="12"/>
      <c r="E3863" t="str">
        <f>IF(LEN(D3863)=0,"",[1]!i_pq_tradedays($B$3,A3864,A3863)-1)</f>
        <v/>
      </c>
      <c r="G3863" s="16" t="str">
        <f t="shared" si="136"/>
        <v/>
      </c>
      <c r="H3863" s="70" t="str">
        <f t="shared" si="137"/>
        <v/>
      </c>
    </row>
    <row r="3864" spans="1:8">
      <c r="A3864" s="2"/>
      <c r="B3864" s="12"/>
      <c r="C3864" s="12"/>
      <c r="E3864" t="str">
        <f>IF(LEN(D3864)=0,"",[1]!i_pq_tradedays($B$3,A3865,A3864)-1)</f>
        <v/>
      </c>
      <c r="G3864" s="16" t="str">
        <f t="shared" si="136"/>
        <v/>
      </c>
      <c r="H3864" s="70" t="str">
        <f t="shared" si="137"/>
        <v/>
      </c>
    </row>
    <row r="3865" spans="1:8">
      <c r="A3865" s="2"/>
      <c r="B3865" s="12"/>
      <c r="C3865" s="12"/>
      <c r="E3865" t="str">
        <f>IF(LEN(D3865)=0,"",[1]!i_pq_tradedays($B$3,A3866,A3865)-1)</f>
        <v/>
      </c>
      <c r="G3865" s="16" t="str">
        <f t="shared" si="136"/>
        <v/>
      </c>
      <c r="H3865" s="70" t="str">
        <f t="shared" si="137"/>
        <v/>
      </c>
    </row>
    <row r="3866" spans="1:8">
      <c r="A3866" s="2"/>
      <c r="B3866" s="12"/>
      <c r="C3866" s="12"/>
      <c r="E3866" t="str">
        <f>IF(LEN(D3866)=0,"",[1]!i_pq_tradedays($B$3,A3867,A3866)-1)</f>
        <v/>
      </c>
      <c r="G3866" s="16" t="str">
        <f t="shared" si="136"/>
        <v/>
      </c>
      <c r="H3866" s="70" t="str">
        <f t="shared" si="137"/>
        <v/>
      </c>
    </row>
    <row r="3867" spans="1:8">
      <c r="A3867" s="2"/>
      <c r="B3867" s="12"/>
      <c r="C3867" s="12"/>
      <c r="E3867" t="str">
        <f>IF(LEN(D3867)=0,"",[1]!i_pq_tradedays($B$3,A3868,A3867)-1)</f>
        <v/>
      </c>
      <c r="G3867" s="16" t="str">
        <f t="shared" si="136"/>
        <v/>
      </c>
      <c r="H3867" s="70" t="str">
        <f t="shared" si="137"/>
        <v/>
      </c>
    </row>
    <row r="3868" spans="1:8">
      <c r="A3868" s="2"/>
      <c r="B3868" s="12"/>
      <c r="C3868" s="12"/>
      <c r="E3868" t="str">
        <f>IF(LEN(D3868)=0,"",[1]!i_pq_tradedays($B$3,A3869,A3868)-1)</f>
        <v/>
      </c>
      <c r="G3868" s="16" t="str">
        <f t="shared" si="136"/>
        <v/>
      </c>
      <c r="H3868" s="70" t="str">
        <f t="shared" si="137"/>
        <v/>
      </c>
    </row>
    <row r="3869" spans="1:8">
      <c r="A3869" s="2"/>
      <c r="B3869" s="12"/>
      <c r="C3869" s="12"/>
      <c r="E3869" t="str">
        <f>IF(LEN(D3869)=0,"",[1]!i_pq_tradedays($B$3,A3870,A3869)-1)</f>
        <v/>
      </c>
      <c r="G3869" s="16" t="str">
        <f t="shared" si="136"/>
        <v/>
      </c>
      <c r="H3869" s="70" t="str">
        <f t="shared" si="137"/>
        <v/>
      </c>
    </row>
    <row r="3870" spans="1:8">
      <c r="A3870" s="2"/>
      <c r="B3870" s="12"/>
      <c r="C3870" s="12"/>
      <c r="E3870" t="str">
        <f>IF(LEN(D3870)=0,"",[1]!i_pq_tradedays($B$3,A3871,A3870)-1)</f>
        <v/>
      </c>
      <c r="G3870" s="16" t="str">
        <f t="shared" si="136"/>
        <v/>
      </c>
      <c r="H3870" s="70" t="str">
        <f t="shared" si="137"/>
        <v/>
      </c>
    </row>
    <row r="3871" spans="1:8">
      <c r="A3871" s="2"/>
      <c r="B3871" s="12"/>
      <c r="C3871" s="12"/>
      <c r="E3871" t="str">
        <f>IF(LEN(D3871)=0,"",[1]!i_pq_tradedays($B$3,A3872,A3871)-1)</f>
        <v/>
      </c>
      <c r="G3871" s="16" t="str">
        <f t="shared" si="136"/>
        <v/>
      </c>
      <c r="H3871" s="70" t="str">
        <f t="shared" si="137"/>
        <v/>
      </c>
    </row>
    <row r="3872" spans="1:8">
      <c r="A3872" s="2"/>
      <c r="B3872" s="12"/>
      <c r="C3872" s="12"/>
      <c r="E3872" t="str">
        <f>IF(LEN(D3872)=0,"",[1]!i_pq_tradedays($B$3,A3873,A3872)-1)</f>
        <v/>
      </c>
      <c r="G3872" s="16" t="str">
        <f t="shared" si="136"/>
        <v/>
      </c>
      <c r="H3872" s="70" t="str">
        <f t="shared" si="137"/>
        <v/>
      </c>
    </row>
    <row r="3873" spans="1:8">
      <c r="A3873" s="2"/>
      <c r="B3873" s="12"/>
      <c r="C3873" s="12"/>
      <c r="E3873" t="str">
        <f>IF(LEN(D3873)=0,"",[1]!i_pq_tradedays($B$3,A3874,A3873)-1)</f>
        <v/>
      </c>
      <c r="G3873" s="16" t="str">
        <f t="shared" si="136"/>
        <v/>
      </c>
      <c r="H3873" s="70" t="str">
        <f t="shared" si="137"/>
        <v/>
      </c>
    </row>
    <row r="3874" spans="1:8">
      <c r="A3874" s="2"/>
      <c r="B3874" s="12"/>
      <c r="C3874" s="12"/>
      <c r="E3874" t="str">
        <f>IF(LEN(D3874)=0,"",[1]!i_pq_tradedays($B$3,A3875,A3874)-1)</f>
        <v/>
      </c>
      <c r="G3874" s="16" t="str">
        <f t="shared" si="136"/>
        <v/>
      </c>
      <c r="H3874" s="70" t="str">
        <f t="shared" si="137"/>
        <v/>
      </c>
    </row>
    <row r="3875" spans="1:8">
      <c r="A3875" s="2"/>
      <c r="B3875" s="12"/>
      <c r="C3875" s="12"/>
      <c r="E3875" t="str">
        <f>IF(LEN(D3875)=0,"",[1]!i_pq_tradedays($B$3,A3876,A3875)-1)</f>
        <v/>
      </c>
      <c r="G3875" s="16" t="str">
        <f t="shared" si="136"/>
        <v/>
      </c>
      <c r="H3875" s="70" t="str">
        <f t="shared" si="137"/>
        <v/>
      </c>
    </row>
    <row r="3876" spans="1:8">
      <c r="A3876" s="2"/>
      <c r="B3876" s="12"/>
      <c r="C3876" s="12"/>
      <c r="E3876" t="str">
        <f>IF(LEN(D3876)=0,"",[1]!i_pq_tradedays($B$3,A3877,A3876)-1)</f>
        <v/>
      </c>
      <c r="G3876" s="16" t="str">
        <f t="shared" si="136"/>
        <v/>
      </c>
      <c r="H3876" s="70" t="str">
        <f t="shared" si="137"/>
        <v/>
      </c>
    </row>
    <row r="3877" spans="1:8">
      <c r="A3877" s="2"/>
      <c r="B3877" s="12"/>
      <c r="C3877" s="12"/>
      <c r="E3877" t="str">
        <f>IF(LEN(D3877)=0,"",[1]!i_pq_tradedays($B$3,A3878,A3877)-1)</f>
        <v/>
      </c>
      <c r="G3877" s="16" t="str">
        <f t="shared" si="136"/>
        <v/>
      </c>
      <c r="H3877" s="70" t="str">
        <f t="shared" si="137"/>
        <v/>
      </c>
    </row>
    <row r="3878" spans="1:8">
      <c r="A3878" s="2"/>
      <c r="B3878" s="12"/>
      <c r="C3878" s="12"/>
      <c r="E3878" t="str">
        <f>IF(LEN(D3878)=0,"",[1]!i_pq_tradedays($B$3,A3879,A3878)-1)</f>
        <v/>
      </c>
      <c r="G3878" s="16" t="str">
        <f t="shared" si="136"/>
        <v/>
      </c>
      <c r="H3878" s="70" t="str">
        <f t="shared" si="137"/>
        <v/>
      </c>
    </row>
    <row r="3879" spans="1:8">
      <c r="A3879" s="2"/>
      <c r="B3879" s="12"/>
      <c r="C3879" s="12"/>
      <c r="E3879" t="str">
        <f>IF(LEN(D3879)=0,"",[1]!i_pq_tradedays($B$3,A3880,A3879)-1)</f>
        <v/>
      </c>
      <c r="G3879" s="16" t="str">
        <f t="shared" si="136"/>
        <v/>
      </c>
      <c r="H3879" s="70" t="str">
        <f t="shared" si="137"/>
        <v/>
      </c>
    </row>
    <row r="3880" spans="1:8">
      <c r="A3880" s="2"/>
      <c r="B3880" s="12"/>
      <c r="C3880" s="12"/>
      <c r="E3880" t="str">
        <f>IF(LEN(D3880)=0,"",[1]!i_pq_tradedays($B$3,A3881,A3880)-1)</f>
        <v/>
      </c>
      <c r="G3880" s="16" t="str">
        <f t="shared" si="136"/>
        <v/>
      </c>
      <c r="H3880" s="70" t="str">
        <f t="shared" si="137"/>
        <v/>
      </c>
    </row>
    <row r="3881" spans="1:8">
      <c r="A3881" s="2"/>
      <c r="B3881" s="12"/>
      <c r="C3881" s="12"/>
      <c r="E3881" t="str">
        <f>IF(LEN(D3881)=0,"",[1]!i_pq_tradedays($B$3,A3882,A3881)-1)</f>
        <v/>
      </c>
      <c r="G3881" s="16" t="str">
        <f t="shared" si="136"/>
        <v/>
      </c>
      <c r="H3881" s="70" t="str">
        <f t="shared" si="137"/>
        <v/>
      </c>
    </row>
    <row r="3882" spans="1:8">
      <c r="A3882" s="2"/>
      <c r="B3882" s="12"/>
      <c r="C3882" s="12"/>
      <c r="E3882" t="str">
        <f>IF(LEN(D3882)=0,"",[1]!i_pq_tradedays($B$3,A3883,A3882)-1)</f>
        <v/>
      </c>
      <c r="G3882" s="16" t="str">
        <f t="shared" si="136"/>
        <v/>
      </c>
      <c r="H3882" s="70" t="str">
        <f t="shared" si="137"/>
        <v/>
      </c>
    </row>
    <row r="3883" spans="1:8">
      <c r="A3883" s="2"/>
      <c r="B3883" s="12"/>
      <c r="C3883" s="12"/>
      <c r="E3883" t="str">
        <f>IF(LEN(D3883)=0,"",[1]!i_pq_tradedays($B$3,A3884,A3883)-1)</f>
        <v/>
      </c>
      <c r="G3883" s="16" t="str">
        <f t="shared" si="136"/>
        <v/>
      </c>
      <c r="H3883" s="70" t="str">
        <f t="shared" si="137"/>
        <v/>
      </c>
    </row>
    <row r="3884" spans="1:8">
      <c r="A3884" s="2"/>
      <c r="B3884" s="12"/>
      <c r="C3884" s="12"/>
      <c r="E3884" t="str">
        <f>IF(LEN(D3884)=0,"",[1]!i_pq_tradedays($B$3,A3885,A3884)-1)</f>
        <v/>
      </c>
      <c r="G3884" s="16" t="str">
        <f t="shared" si="136"/>
        <v/>
      </c>
      <c r="H3884" s="70" t="str">
        <f t="shared" si="137"/>
        <v/>
      </c>
    </row>
    <row r="3885" spans="1:8">
      <c r="A3885" s="2"/>
      <c r="B3885" s="12"/>
      <c r="C3885" s="12"/>
      <c r="E3885" t="str">
        <f>IF(LEN(D3885)=0,"",[1]!i_pq_tradedays($B$3,A3886,A3885)-1)</f>
        <v/>
      </c>
      <c r="G3885" s="16" t="str">
        <f t="shared" si="136"/>
        <v/>
      </c>
      <c r="H3885" s="70" t="str">
        <f t="shared" si="137"/>
        <v/>
      </c>
    </row>
    <row r="3886" spans="1:8">
      <c r="A3886" s="2"/>
      <c r="B3886" s="12"/>
      <c r="C3886" s="12"/>
      <c r="E3886" t="str">
        <f>IF(LEN(D3886)=0,"",[1]!i_pq_tradedays($B$3,A3887,A3886)-1)</f>
        <v/>
      </c>
      <c r="G3886" s="16" t="str">
        <f t="shared" si="136"/>
        <v/>
      </c>
      <c r="H3886" s="70" t="str">
        <f t="shared" si="137"/>
        <v/>
      </c>
    </row>
    <row r="3887" spans="1:8">
      <c r="A3887" s="2"/>
      <c r="B3887" s="12"/>
      <c r="C3887" s="12"/>
      <c r="E3887" t="str">
        <f>IF(LEN(D3887)=0,"",[1]!i_pq_tradedays($B$3,A3888,A3887)-1)</f>
        <v/>
      </c>
      <c r="G3887" s="16" t="str">
        <f t="shared" si="136"/>
        <v/>
      </c>
      <c r="H3887" s="70" t="str">
        <f t="shared" si="137"/>
        <v/>
      </c>
    </row>
    <row r="3888" spans="1:8">
      <c r="A3888" s="2"/>
      <c r="B3888" s="12"/>
      <c r="C3888" s="12"/>
      <c r="E3888" t="str">
        <f>IF(LEN(D3888)=0,"",[1]!i_pq_tradedays($B$3,A3889,A3888)-1)</f>
        <v/>
      </c>
      <c r="G3888" s="16" t="str">
        <f t="shared" si="136"/>
        <v/>
      </c>
      <c r="H3888" s="70" t="str">
        <f t="shared" si="137"/>
        <v/>
      </c>
    </row>
    <row r="3889" spans="1:8">
      <c r="A3889" s="2"/>
      <c r="B3889" s="12"/>
      <c r="C3889" s="12"/>
      <c r="E3889" t="str">
        <f>IF(LEN(D3889)=0,"",[1]!i_pq_tradedays($B$3,A3890,A3889)-1)</f>
        <v/>
      </c>
      <c r="G3889" s="16" t="str">
        <f t="shared" si="136"/>
        <v/>
      </c>
      <c r="H3889" s="70" t="str">
        <f t="shared" si="137"/>
        <v/>
      </c>
    </row>
    <row r="3890" spans="1:8">
      <c r="A3890" s="2"/>
      <c r="B3890" s="12"/>
      <c r="C3890" s="12"/>
      <c r="E3890" t="str">
        <f>IF(LEN(D3890)=0,"",[1]!i_pq_tradedays($B$3,A3891,A3890)-1)</f>
        <v/>
      </c>
      <c r="G3890" s="16" t="str">
        <f t="shared" si="136"/>
        <v/>
      </c>
      <c r="H3890" s="70" t="str">
        <f t="shared" si="137"/>
        <v/>
      </c>
    </row>
    <row r="3891" spans="1:8">
      <c r="A3891" s="2"/>
      <c r="B3891" s="12"/>
      <c r="C3891" s="12"/>
      <c r="E3891" t="str">
        <f>IF(LEN(D3891)=0,"",[1]!i_pq_tradedays($B$3,A3892,A3891)-1)</f>
        <v/>
      </c>
      <c r="G3891" s="16" t="str">
        <f t="shared" si="136"/>
        <v/>
      </c>
      <c r="H3891" s="70" t="str">
        <f t="shared" si="137"/>
        <v/>
      </c>
    </row>
    <row r="3892" spans="1:8">
      <c r="A3892" s="2"/>
      <c r="B3892" s="12"/>
      <c r="C3892" s="12"/>
      <c r="E3892" t="str">
        <f>IF(LEN(D3892)=0,"",[1]!i_pq_tradedays($B$3,A3893,A3892)-1)</f>
        <v/>
      </c>
      <c r="G3892" s="16" t="str">
        <f t="shared" si="136"/>
        <v/>
      </c>
      <c r="H3892" s="70" t="str">
        <f t="shared" si="137"/>
        <v/>
      </c>
    </row>
    <row r="3893" spans="1:8">
      <c r="A3893" s="2"/>
      <c r="B3893" s="12"/>
      <c r="C3893" s="12"/>
      <c r="E3893" t="str">
        <f>IF(LEN(D3893)=0,"",[1]!i_pq_tradedays($B$3,A3894,A3893)-1)</f>
        <v/>
      </c>
      <c r="G3893" s="16" t="str">
        <f t="shared" ref="G3893:G3956" si="138">IF(LEN(D3893)=0,"",D3893/E3893)</f>
        <v/>
      </c>
      <c r="H3893" s="70" t="str">
        <f t="shared" ref="H3893:H3956" si="139">IF(LEN(D3893)=0,"",G3893/G3894-1)</f>
        <v/>
      </c>
    </row>
    <row r="3894" spans="1:8">
      <c r="A3894" s="2"/>
      <c r="B3894" s="12"/>
      <c r="C3894" s="12"/>
      <c r="E3894" t="str">
        <f>IF(LEN(D3894)=0,"",[1]!i_pq_tradedays($B$3,A3895,A3894)-1)</f>
        <v/>
      </c>
      <c r="G3894" s="16" t="str">
        <f t="shared" si="138"/>
        <v/>
      </c>
      <c r="H3894" s="70" t="str">
        <f t="shared" si="139"/>
        <v/>
      </c>
    </row>
    <row r="3895" spans="1:8">
      <c r="A3895" s="2"/>
      <c r="B3895" s="12"/>
      <c r="C3895" s="12"/>
      <c r="E3895" t="str">
        <f>IF(LEN(D3895)=0,"",[1]!i_pq_tradedays($B$3,A3896,A3895)-1)</f>
        <v/>
      </c>
      <c r="G3895" s="16" t="str">
        <f t="shared" si="138"/>
        <v/>
      </c>
      <c r="H3895" s="70" t="str">
        <f t="shared" si="139"/>
        <v/>
      </c>
    </row>
    <row r="3896" spans="1:8">
      <c r="A3896" s="2"/>
      <c r="B3896" s="12"/>
      <c r="C3896" s="12"/>
      <c r="E3896" t="str">
        <f>IF(LEN(D3896)=0,"",[1]!i_pq_tradedays($B$3,A3897,A3896)-1)</f>
        <v/>
      </c>
      <c r="G3896" s="16" t="str">
        <f t="shared" si="138"/>
        <v/>
      </c>
      <c r="H3896" s="70" t="str">
        <f t="shared" si="139"/>
        <v/>
      </c>
    </row>
    <row r="3897" spans="1:8">
      <c r="A3897" s="2"/>
      <c r="B3897" s="12"/>
      <c r="C3897" s="12"/>
      <c r="E3897" t="str">
        <f>IF(LEN(D3897)=0,"",[1]!i_pq_tradedays($B$3,A3898,A3897)-1)</f>
        <v/>
      </c>
      <c r="G3897" s="16" t="str">
        <f t="shared" si="138"/>
        <v/>
      </c>
      <c r="H3897" s="70" t="str">
        <f t="shared" si="139"/>
        <v/>
      </c>
    </row>
    <row r="3898" spans="1:8">
      <c r="A3898" s="2"/>
      <c r="B3898" s="12"/>
      <c r="C3898" s="12"/>
      <c r="E3898" t="str">
        <f>IF(LEN(D3898)=0,"",[1]!i_pq_tradedays($B$3,A3899,A3898)-1)</f>
        <v/>
      </c>
      <c r="G3898" s="16" t="str">
        <f t="shared" si="138"/>
        <v/>
      </c>
      <c r="H3898" s="70" t="str">
        <f t="shared" si="139"/>
        <v/>
      </c>
    </row>
    <row r="3899" spans="1:8">
      <c r="A3899" s="2"/>
      <c r="B3899" s="12"/>
      <c r="C3899" s="12"/>
      <c r="E3899" t="str">
        <f>IF(LEN(D3899)=0,"",[1]!i_pq_tradedays($B$3,A3900,A3899)-1)</f>
        <v/>
      </c>
      <c r="G3899" s="16" t="str">
        <f t="shared" si="138"/>
        <v/>
      </c>
      <c r="H3899" s="70" t="str">
        <f t="shared" si="139"/>
        <v/>
      </c>
    </row>
    <row r="3900" spans="1:8">
      <c r="A3900" s="2"/>
      <c r="B3900" s="12"/>
      <c r="C3900" s="12"/>
      <c r="E3900" t="str">
        <f>IF(LEN(D3900)=0,"",[1]!i_pq_tradedays($B$3,A3901,A3900)-1)</f>
        <v/>
      </c>
      <c r="G3900" s="16" t="str">
        <f t="shared" si="138"/>
        <v/>
      </c>
      <c r="H3900" s="70" t="str">
        <f t="shared" si="139"/>
        <v/>
      </c>
    </row>
    <row r="3901" spans="1:8">
      <c r="A3901" s="2"/>
      <c r="B3901" s="12"/>
      <c r="C3901" s="12"/>
      <c r="E3901" t="str">
        <f>IF(LEN(D3901)=0,"",[1]!i_pq_tradedays($B$3,A3902,A3901)-1)</f>
        <v/>
      </c>
      <c r="G3901" s="16" t="str">
        <f t="shared" si="138"/>
        <v/>
      </c>
      <c r="H3901" s="70" t="str">
        <f t="shared" si="139"/>
        <v/>
      </c>
    </row>
    <row r="3902" spans="1:8">
      <c r="A3902" s="2"/>
      <c r="B3902" s="12"/>
      <c r="C3902" s="12"/>
      <c r="E3902" t="str">
        <f>IF(LEN(D3902)=0,"",[1]!i_pq_tradedays($B$3,A3903,A3902)-1)</f>
        <v/>
      </c>
      <c r="G3902" s="16" t="str">
        <f t="shared" si="138"/>
        <v/>
      </c>
      <c r="H3902" s="70" t="str">
        <f t="shared" si="139"/>
        <v/>
      </c>
    </row>
    <row r="3903" spans="1:8">
      <c r="A3903" s="2"/>
      <c r="B3903" s="12"/>
      <c r="C3903" s="12"/>
      <c r="E3903" t="str">
        <f>IF(LEN(D3903)=0,"",[1]!i_pq_tradedays($B$3,A3904,A3903)-1)</f>
        <v/>
      </c>
      <c r="G3903" s="16" t="str">
        <f t="shared" si="138"/>
        <v/>
      </c>
      <c r="H3903" s="70" t="str">
        <f t="shared" si="139"/>
        <v/>
      </c>
    </row>
    <row r="3904" spans="1:8">
      <c r="A3904" s="2"/>
      <c r="B3904" s="12"/>
      <c r="C3904" s="12"/>
      <c r="E3904" t="str">
        <f>IF(LEN(D3904)=0,"",[1]!i_pq_tradedays($B$3,A3905,A3904)-1)</f>
        <v/>
      </c>
      <c r="G3904" s="16" t="str">
        <f t="shared" si="138"/>
        <v/>
      </c>
      <c r="H3904" s="70" t="str">
        <f t="shared" si="139"/>
        <v/>
      </c>
    </row>
    <row r="3905" spans="1:8">
      <c r="A3905" s="2"/>
      <c r="B3905" s="12"/>
      <c r="C3905" s="12"/>
      <c r="E3905" t="str">
        <f>IF(LEN(D3905)=0,"",[1]!i_pq_tradedays($B$3,A3906,A3905)-1)</f>
        <v/>
      </c>
      <c r="G3905" s="16" t="str">
        <f t="shared" si="138"/>
        <v/>
      </c>
      <c r="H3905" s="70" t="str">
        <f t="shared" si="139"/>
        <v/>
      </c>
    </row>
    <row r="3906" spans="1:8">
      <c r="A3906" s="2"/>
      <c r="B3906" s="12"/>
      <c r="C3906" s="12"/>
      <c r="E3906" t="str">
        <f>IF(LEN(D3906)=0,"",[1]!i_pq_tradedays($B$3,A3907,A3906)-1)</f>
        <v/>
      </c>
      <c r="G3906" s="16" t="str">
        <f t="shared" si="138"/>
        <v/>
      </c>
      <c r="H3906" s="70" t="str">
        <f t="shared" si="139"/>
        <v/>
      </c>
    </row>
    <row r="3907" spans="1:8">
      <c r="A3907" s="2"/>
      <c r="B3907" s="12"/>
      <c r="C3907" s="12"/>
      <c r="E3907" t="str">
        <f>IF(LEN(D3907)=0,"",[1]!i_pq_tradedays($B$3,A3908,A3907)-1)</f>
        <v/>
      </c>
      <c r="G3907" s="16" t="str">
        <f t="shared" si="138"/>
        <v/>
      </c>
      <c r="H3907" s="70" t="str">
        <f t="shared" si="139"/>
        <v/>
      </c>
    </row>
    <row r="3908" spans="1:8">
      <c r="A3908" s="2"/>
      <c r="B3908" s="12"/>
      <c r="C3908" s="12"/>
      <c r="E3908" t="str">
        <f>IF(LEN(D3908)=0,"",[1]!i_pq_tradedays($B$3,A3909,A3908)-1)</f>
        <v/>
      </c>
      <c r="G3908" s="16" t="str">
        <f t="shared" si="138"/>
        <v/>
      </c>
      <c r="H3908" s="70" t="str">
        <f t="shared" si="139"/>
        <v/>
      </c>
    </row>
    <row r="3909" spans="1:8">
      <c r="A3909" s="2"/>
      <c r="B3909" s="12"/>
      <c r="C3909" s="12"/>
      <c r="E3909" t="str">
        <f>IF(LEN(D3909)=0,"",[1]!i_pq_tradedays($B$3,A3910,A3909)-1)</f>
        <v/>
      </c>
      <c r="G3909" s="16" t="str">
        <f t="shared" si="138"/>
        <v/>
      </c>
      <c r="H3909" s="70" t="str">
        <f t="shared" si="139"/>
        <v/>
      </c>
    </row>
    <row r="3910" spans="1:8">
      <c r="A3910" s="2"/>
      <c r="B3910" s="12"/>
      <c r="C3910" s="12"/>
      <c r="E3910" t="str">
        <f>IF(LEN(D3910)=0,"",[1]!i_pq_tradedays($B$3,A3911,A3910)-1)</f>
        <v/>
      </c>
      <c r="G3910" s="16" t="str">
        <f t="shared" si="138"/>
        <v/>
      </c>
      <c r="H3910" s="70" t="str">
        <f t="shared" si="139"/>
        <v/>
      </c>
    </row>
    <row r="3911" spans="1:8">
      <c r="A3911" s="2"/>
      <c r="B3911" s="12"/>
      <c r="C3911" s="12"/>
      <c r="E3911" t="str">
        <f>IF(LEN(D3911)=0,"",[1]!i_pq_tradedays($B$3,A3912,A3911)-1)</f>
        <v/>
      </c>
      <c r="G3911" s="16" t="str">
        <f t="shared" si="138"/>
        <v/>
      </c>
      <c r="H3911" s="70" t="str">
        <f t="shared" si="139"/>
        <v/>
      </c>
    </row>
    <row r="3912" spans="1:8">
      <c r="A3912" s="2"/>
      <c r="B3912" s="12"/>
      <c r="C3912" s="12"/>
      <c r="E3912" t="str">
        <f>IF(LEN(D3912)=0,"",[1]!i_pq_tradedays($B$3,A3913,A3912)-1)</f>
        <v/>
      </c>
      <c r="G3912" s="16" t="str">
        <f t="shared" si="138"/>
        <v/>
      </c>
      <c r="H3912" s="70" t="str">
        <f t="shared" si="139"/>
        <v/>
      </c>
    </row>
    <row r="3913" spans="1:8">
      <c r="A3913" s="2"/>
      <c r="B3913" s="12"/>
      <c r="C3913" s="12"/>
      <c r="E3913" t="str">
        <f>IF(LEN(D3913)=0,"",[1]!i_pq_tradedays($B$3,A3914,A3913)-1)</f>
        <v/>
      </c>
      <c r="G3913" s="16" t="str">
        <f t="shared" si="138"/>
        <v/>
      </c>
      <c r="H3913" s="70" t="str">
        <f t="shared" si="139"/>
        <v/>
      </c>
    </row>
    <row r="3914" spans="1:8">
      <c r="A3914" s="2"/>
      <c r="B3914" s="12"/>
      <c r="C3914" s="12"/>
      <c r="E3914" t="str">
        <f>IF(LEN(D3914)=0,"",[1]!i_pq_tradedays($B$3,A3915,A3914)-1)</f>
        <v/>
      </c>
      <c r="G3914" s="16" t="str">
        <f t="shared" si="138"/>
        <v/>
      </c>
      <c r="H3914" s="70" t="str">
        <f t="shared" si="139"/>
        <v/>
      </c>
    </row>
    <row r="3915" spans="1:8">
      <c r="A3915" s="2"/>
      <c r="B3915" s="12"/>
      <c r="C3915" s="12"/>
      <c r="E3915" t="str">
        <f>IF(LEN(D3915)=0,"",[1]!i_pq_tradedays($B$3,A3916,A3915)-1)</f>
        <v/>
      </c>
      <c r="G3915" s="16" t="str">
        <f t="shared" si="138"/>
        <v/>
      </c>
      <c r="H3915" s="70" t="str">
        <f t="shared" si="139"/>
        <v/>
      </c>
    </row>
    <row r="3916" spans="1:8">
      <c r="A3916" s="2"/>
      <c r="B3916" s="12"/>
      <c r="C3916" s="12"/>
      <c r="E3916" t="str">
        <f>IF(LEN(D3916)=0,"",[1]!i_pq_tradedays($B$3,A3917,A3916)-1)</f>
        <v/>
      </c>
      <c r="G3916" s="16" t="str">
        <f t="shared" si="138"/>
        <v/>
      </c>
      <c r="H3916" s="70" t="str">
        <f t="shared" si="139"/>
        <v/>
      </c>
    </row>
    <row r="3917" spans="1:8">
      <c r="A3917" s="2"/>
      <c r="B3917" s="12"/>
      <c r="C3917" s="12"/>
      <c r="E3917" t="str">
        <f>IF(LEN(D3917)=0,"",[1]!i_pq_tradedays($B$3,A3918,A3917)-1)</f>
        <v/>
      </c>
      <c r="G3917" s="16" t="str">
        <f t="shared" si="138"/>
        <v/>
      </c>
      <c r="H3917" s="70" t="str">
        <f t="shared" si="139"/>
        <v/>
      </c>
    </row>
    <row r="3918" spans="1:8">
      <c r="A3918" s="2"/>
      <c r="B3918" s="12"/>
      <c r="C3918" s="12"/>
      <c r="E3918" t="str">
        <f>IF(LEN(D3918)=0,"",[1]!i_pq_tradedays($B$3,A3919,A3918)-1)</f>
        <v/>
      </c>
      <c r="G3918" s="16" t="str">
        <f t="shared" si="138"/>
        <v/>
      </c>
      <c r="H3918" s="70" t="str">
        <f t="shared" si="139"/>
        <v/>
      </c>
    </row>
    <row r="3919" spans="1:8">
      <c r="A3919" s="2"/>
      <c r="B3919" s="12"/>
      <c r="C3919" s="12"/>
      <c r="E3919" t="str">
        <f>IF(LEN(D3919)=0,"",[1]!i_pq_tradedays($B$3,A3920,A3919)-1)</f>
        <v/>
      </c>
      <c r="G3919" s="16" t="str">
        <f t="shared" si="138"/>
        <v/>
      </c>
      <c r="H3919" s="70" t="str">
        <f t="shared" si="139"/>
        <v/>
      </c>
    </row>
    <row r="3920" spans="1:8">
      <c r="A3920" s="2"/>
      <c r="B3920" s="12"/>
      <c r="C3920" s="12"/>
      <c r="E3920" t="str">
        <f>IF(LEN(D3920)=0,"",[1]!i_pq_tradedays($B$3,A3921,A3920)-1)</f>
        <v/>
      </c>
      <c r="G3920" s="16" t="str">
        <f t="shared" si="138"/>
        <v/>
      </c>
      <c r="H3920" s="70" t="str">
        <f t="shared" si="139"/>
        <v/>
      </c>
    </row>
    <row r="3921" spans="1:8">
      <c r="A3921" s="2"/>
      <c r="B3921" s="12"/>
      <c r="C3921" s="12"/>
      <c r="E3921" t="str">
        <f>IF(LEN(D3921)=0,"",[1]!i_pq_tradedays($B$3,A3922,A3921)-1)</f>
        <v/>
      </c>
      <c r="G3921" s="16" t="str">
        <f t="shared" si="138"/>
        <v/>
      </c>
      <c r="H3921" s="70" t="str">
        <f t="shared" si="139"/>
        <v/>
      </c>
    </row>
    <row r="3922" spans="1:8">
      <c r="A3922" s="2"/>
      <c r="B3922" s="12"/>
      <c r="C3922" s="12"/>
      <c r="E3922" t="str">
        <f>IF(LEN(D3922)=0,"",[1]!i_pq_tradedays($B$3,A3923,A3922)-1)</f>
        <v/>
      </c>
      <c r="G3922" s="16" t="str">
        <f t="shared" si="138"/>
        <v/>
      </c>
      <c r="H3922" s="70" t="str">
        <f t="shared" si="139"/>
        <v/>
      </c>
    </row>
    <row r="3923" spans="1:8">
      <c r="A3923" s="2"/>
      <c r="B3923" s="12"/>
      <c r="C3923" s="12"/>
      <c r="E3923" t="str">
        <f>IF(LEN(D3923)=0,"",[1]!i_pq_tradedays($B$3,A3924,A3923)-1)</f>
        <v/>
      </c>
      <c r="G3923" s="16" t="str">
        <f t="shared" si="138"/>
        <v/>
      </c>
      <c r="H3923" s="70" t="str">
        <f t="shared" si="139"/>
        <v/>
      </c>
    </row>
    <row r="3924" spans="1:8">
      <c r="A3924" s="2"/>
      <c r="B3924" s="12"/>
      <c r="C3924" s="12"/>
      <c r="E3924" t="str">
        <f>IF(LEN(D3924)=0,"",[1]!i_pq_tradedays($B$3,A3925,A3924)-1)</f>
        <v/>
      </c>
      <c r="G3924" s="16" t="str">
        <f t="shared" si="138"/>
        <v/>
      </c>
      <c r="H3924" s="70" t="str">
        <f t="shared" si="139"/>
        <v/>
      </c>
    </row>
    <row r="3925" spans="1:8">
      <c r="A3925" s="2"/>
      <c r="B3925" s="12"/>
      <c r="C3925" s="12"/>
      <c r="E3925" t="str">
        <f>IF(LEN(D3925)=0,"",[1]!i_pq_tradedays($B$3,A3926,A3925)-1)</f>
        <v/>
      </c>
      <c r="G3925" s="16" t="str">
        <f t="shared" si="138"/>
        <v/>
      </c>
      <c r="H3925" s="70" t="str">
        <f t="shared" si="139"/>
        <v/>
      </c>
    </row>
    <row r="3926" spans="1:8">
      <c r="A3926" s="2"/>
      <c r="B3926" s="12"/>
      <c r="C3926" s="12"/>
      <c r="E3926" t="str">
        <f>IF(LEN(D3926)=0,"",[1]!i_pq_tradedays($B$3,A3927,A3926)-1)</f>
        <v/>
      </c>
      <c r="G3926" s="16" t="str">
        <f t="shared" si="138"/>
        <v/>
      </c>
      <c r="H3926" s="70" t="str">
        <f t="shared" si="139"/>
        <v/>
      </c>
    </row>
    <row r="3927" spans="1:8">
      <c r="A3927" s="2"/>
      <c r="B3927" s="12"/>
      <c r="C3927" s="12"/>
      <c r="E3927" t="str">
        <f>IF(LEN(D3927)=0,"",[1]!i_pq_tradedays($B$3,A3928,A3927)-1)</f>
        <v/>
      </c>
      <c r="G3927" s="16" t="str">
        <f t="shared" si="138"/>
        <v/>
      </c>
      <c r="H3927" s="70" t="str">
        <f t="shared" si="139"/>
        <v/>
      </c>
    </row>
    <row r="3928" spans="1:8">
      <c r="A3928" s="2"/>
      <c r="B3928" s="12"/>
      <c r="C3928" s="12"/>
      <c r="E3928" t="str">
        <f>IF(LEN(D3928)=0,"",[1]!i_pq_tradedays($B$3,A3929,A3928)-1)</f>
        <v/>
      </c>
      <c r="G3928" s="16" t="str">
        <f t="shared" si="138"/>
        <v/>
      </c>
      <c r="H3928" s="70" t="str">
        <f t="shared" si="139"/>
        <v/>
      </c>
    </row>
    <row r="3929" spans="1:8">
      <c r="A3929" s="2"/>
      <c r="B3929" s="12"/>
      <c r="C3929" s="12"/>
      <c r="E3929" t="str">
        <f>IF(LEN(D3929)=0,"",[1]!i_pq_tradedays($B$3,A3930,A3929)-1)</f>
        <v/>
      </c>
      <c r="G3929" s="16" t="str">
        <f t="shared" si="138"/>
        <v/>
      </c>
      <c r="H3929" s="70" t="str">
        <f t="shared" si="139"/>
        <v/>
      </c>
    </row>
    <row r="3930" spans="1:8">
      <c r="A3930" s="2"/>
      <c r="B3930" s="12"/>
      <c r="C3930" s="12"/>
      <c r="E3930" t="str">
        <f>IF(LEN(D3930)=0,"",[1]!i_pq_tradedays($B$3,A3931,A3930)-1)</f>
        <v/>
      </c>
      <c r="G3930" s="16" t="str">
        <f t="shared" si="138"/>
        <v/>
      </c>
      <c r="H3930" s="70" t="str">
        <f t="shared" si="139"/>
        <v/>
      </c>
    </row>
    <row r="3931" spans="1:8">
      <c r="A3931" s="2"/>
      <c r="B3931" s="12"/>
      <c r="C3931" s="12"/>
      <c r="E3931" t="str">
        <f>IF(LEN(D3931)=0,"",[1]!i_pq_tradedays($B$3,A3932,A3931)-1)</f>
        <v/>
      </c>
      <c r="G3931" s="16" t="str">
        <f t="shared" si="138"/>
        <v/>
      </c>
      <c r="H3931" s="70" t="str">
        <f t="shared" si="139"/>
        <v/>
      </c>
    </row>
    <row r="3932" spans="1:8">
      <c r="A3932" s="2"/>
      <c r="B3932" s="12"/>
      <c r="C3932" s="12"/>
      <c r="E3932" t="str">
        <f>IF(LEN(D3932)=0,"",[1]!i_pq_tradedays($B$3,A3933,A3932)-1)</f>
        <v/>
      </c>
      <c r="G3932" s="16" t="str">
        <f t="shared" si="138"/>
        <v/>
      </c>
      <c r="H3932" s="70" t="str">
        <f t="shared" si="139"/>
        <v/>
      </c>
    </row>
    <row r="3933" spans="1:8">
      <c r="A3933" s="2"/>
      <c r="B3933" s="12"/>
      <c r="C3933" s="12"/>
      <c r="E3933" t="str">
        <f>IF(LEN(D3933)=0,"",[1]!i_pq_tradedays($B$3,A3934,A3933)-1)</f>
        <v/>
      </c>
      <c r="G3933" s="16" t="str">
        <f t="shared" si="138"/>
        <v/>
      </c>
      <c r="H3933" s="70" t="str">
        <f t="shared" si="139"/>
        <v/>
      </c>
    </row>
    <row r="3934" spans="1:8">
      <c r="A3934" s="2"/>
      <c r="B3934" s="12"/>
      <c r="C3934" s="12"/>
      <c r="E3934" t="str">
        <f>IF(LEN(D3934)=0,"",[1]!i_pq_tradedays($B$3,A3935,A3934)-1)</f>
        <v/>
      </c>
      <c r="G3934" s="16" t="str">
        <f t="shared" si="138"/>
        <v/>
      </c>
      <c r="H3934" s="70" t="str">
        <f t="shared" si="139"/>
        <v/>
      </c>
    </row>
    <row r="3935" spans="1:8">
      <c r="A3935" s="2"/>
      <c r="B3935" s="12"/>
      <c r="C3935" s="12"/>
      <c r="E3935" t="str">
        <f>IF(LEN(D3935)=0,"",[1]!i_pq_tradedays($B$3,A3936,A3935)-1)</f>
        <v/>
      </c>
      <c r="G3935" s="16" t="str">
        <f t="shared" si="138"/>
        <v/>
      </c>
      <c r="H3935" s="70" t="str">
        <f t="shared" si="139"/>
        <v/>
      </c>
    </row>
    <row r="3936" spans="1:8">
      <c r="A3936" s="2"/>
      <c r="B3936" s="12"/>
      <c r="C3936" s="12"/>
      <c r="E3936" t="str">
        <f>IF(LEN(D3936)=0,"",[1]!i_pq_tradedays($B$3,A3937,A3936)-1)</f>
        <v/>
      </c>
      <c r="G3936" s="16" t="str">
        <f t="shared" si="138"/>
        <v/>
      </c>
      <c r="H3936" s="70" t="str">
        <f t="shared" si="139"/>
        <v/>
      </c>
    </row>
    <row r="3937" spans="1:8">
      <c r="A3937" s="2"/>
      <c r="B3937" s="12"/>
      <c r="C3937" s="12"/>
      <c r="E3937" t="str">
        <f>IF(LEN(D3937)=0,"",[1]!i_pq_tradedays($B$3,A3938,A3937)-1)</f>
        <v/>
      </c>
      <c r="G3937" s="16" t="str">
        <f t="shared" si="138"/>
        <v/>
      </c>
      <c r="H3937" s="70" t="str">
        <f t="shared" si="139"/>
        <v/>
      </c>
    </row>
    <row r="3938" spans="1:8">
      <c r="A3938" s="2"/>
      <c r="B3938" s="12"/>
      <c r="C3938" s="12"/>
      <c r="E3938" t="str">
        <f>IF(LEN(D3938)=0,"",[1]!i_pq_tradedays($B$3,A3939,A3938)-1)</f>
        <v/>
      </c>
      <c r="G3938" s="16" t="str">
        <f t="shared" si="138"/>
        <v/>
      </c>
      <c r="H3938" s="70" t="str">
        <f t="shared" si="139"/>
        <v/>
      </c>
    </row>
    <row r="3939" spans="1:8">
      <c r="A3939" s="2"/>
      <c r="B3939" s="12"/>
      <c r="C3939" s="12"/>
      <c r="E3939" t="str">
        <f>IF(LEN(D3939)=0,"",[1]!i_pq_tradedays($B$3,A3940,A3939)-1)</f>
        <v/>
      </c>
      <c r="G3939" s="16" t="str">
        <f t="shared" si="138"/>
        <v/>
      </c>
      <c r="H3939" s="70" t="str">
        <f t="shared" si="139"/>
        <v/>
      </c>
    </row>
    <row r="3940" spans="1:8">
      <c r="A3940" s="2"/>
      <c r="B3940" s="12"/>
      <c r="C3940" s="12"/>
      <c r="E3940" t="str">
        <f>IF(LEN(D3940)=0,"",[1]!i_pq_tradedays($B$3,A3941,A3940)-1)</f>
        <v/>
      </c>
      <c r="G3940" s="16" t="str">
        <f t="shared" si="138"/>
        <v/>
      </c>
      <c r="H3940" s="70" t="str">
        <f t="shared" si="139"/>
        <v/>
      </c>
    </row>
    <row r="3941" spans="1:8">
      <c r="A3941" s="2"/>
      <c r="B3941" s="12"/>
      <c r="C3941" s="12"/>
      <c r="E3941" t="str">
        <f>IF(LEN(D3941)=0,"",[1]!i_pq_tradedays($B$3,A3942,A3941)-1)</f>
        <v/>
      </c>
      <c r="G3941" s="16" t="str">
        <f t="shared" si="138"/>
        <v/>
      </c>
      <c r="H3941" s="70" t="str">
        <f t="shared" si="139"/>
        <v/>
      </c>
    </row>
    <row r="3942" spans="1:8">
      <c r="A3942" s="2"/>
      <c r="B3942" s="12"/>
      <c r="C3942" s="12"/>
      <c r="E3942" t="str">
        <f>IF(LEN(D3942)=0,"",[1]!i_pq_tradedays($B$3,A3943,A3942)-1)</f>
        <v/>
      </c>
      <c r="G3942" s="16" t="str">
        <f t="shared" si="138"/>
        <v/>
      </c>
      <c r="H3942" s="70" t="str">
        <f t="shared" si="139"/>
        <v/>
      </c>
    </row>
    <row r="3943" spans="1:8">
      <c r="A3943" s="2"/>
      <c r="B3943" s="12"/>
      <c r="C3943" s="12"/>
      <c r="E3943" t="str">
        <f>IF(LEN(D3943)=0,"",[1]!i_pq_tradedays($B$3,A3944,A3943)-1)</f>
        <v/>
      </c>
      <c r="G3943" s="16" t="str">
        <f t="shared" si="138"/>
        <v/>
      </c>
      <c r="H3943" s="70" t="str">
        <f t="shared" si="139"/>
        <v/>
      </c>
    </row>
    <row r="3944" spans="1:8">
      <c r="A3944" s="2"/>
      <c r="B3944" s="12"/>
      <c r="C3944" s="12"/>
      <c r="E3944" t="str">
        <f>IF(LEN(D3944)=0,"",[1]!i_pq_tradedays($B$3,A3945,A3944)-1)</f>
        <v/>
      </c>
      <c r="G3944" s="16" t="str">
        <f t="shared" si="138"/>
        <v/>
      </c>
      <c r="H3944" s="70" t="str">
        <f t="shared" si="139"/>
        <v/>
      </c>
    </row>
    <row r="3945" spans="1:8">
      <c r="A3945" s="2"/>
      <c r="B3945" s="12"/>
      <c r="C3945" s="12"/>
      <c r="E3945" t="str">
        <f>IF(LEN(D3945)=0,"",[1]!i_pq_tradedays($B$3,A3946,A3945)-1)</f>
        <v/>
      </c>
      <c r="G3945" s="16" t="str">
        <f t="shared" si="138"/>
        <v/>
      </c>
      <c r="H3945" s="70" t="str">
        <f t="shared" si="139"/>
        <v/>
      </c>
    </row>
    <row r="3946" spans="1:8">
      <c r="A3946" s="2"/>
      <c r="B3946" s="12"/>
      <c r="C3946" s="12"/>
      <c r="E3946" t="str">
        <f>IF(LEN(D3946)=0,"",[1]!i_pq_tradedays($B$3,A3947,A3946)-1)</f>
        <v/>
      </c>
      <c r="G3946" s="16" t="str">
        <f t="shared" si="138"/>
        <v/>
      </c>
      <c r="H3946" s="70" t="str">
        <f t="shared" si="139"/>
        <v/>
      </c>
    </row>
    <row r="3947" spans="1:8">
      <c r="A3947" s="2"/>
      <c r="B3947" s="12"/>
      <c r="C3947" s="12"/>
      <c r="E3947" t="str">
        <f>IF(LEN(D3947)=0,"",[1]!i_pq_tradedays($B$3,A3948,A3947)-1)</f>
        <v/>
      </c>
      <c r="G3947" s="16" t="str">
        <f t="shared" si="138"/>
        <v/>
      </c>
      <c r="H3947" s="70" t="str">
        <f t="shared" si="139"/>
        <v/>
      </c>
    </row>
    <row r="3948" spans="1:8">
      <c r="A3948" s="2"/>
      <c r="B3948" s="12"/>
      <c r="C3948" s="12"/>
      <c r="E3948" t="str">
        <f>IF(LEN(D3948)=0,"",[1]!i_pq_tradedays($B$3,A3949,A3948)-1)</f>
        <v/>
      </c>
      <c r="G3948" s="16" t="str">
        <f t="shared" si="138"/>
        <v/>
      </c>
      <c r="H3948" s="70" t="str">
        <f t="shared" si="139"/>
        <v/>
      </c>
    </row>
    <row r="3949" spans="1:8">
      <c r="A3949" s="2"/>
      <c r="B3949" s="12"/>
      <c r="C3949" s="12"/>
      <c r="E3949" t="str">
        <f>IF(LEN(D3949)=0,"",[1]!i_pq_tradedays($B$3,A3950,A3949)-1)</f>
        <v/>
      </c>
      <c r="G3949" s="16" t="str">
        <f t="shared" si="138"/>
        <v/>
      </c>
      <c r="H3949" s="70" t="str">
        <f t="shared" si="139"/>
        <v/>
      </c>
    </row>
    <row r="3950" spans="1:8">
      <c r="A3950" s="2"/>
      <c r="B3950" s="12"/>
      <c r="C3950" s="12"/>
      <c r="E3950" t="str">
        <f>IF(LEN(D3950)=0,"",[1]!i_pq_tradedays($B$3,A3951,A3950)-1)</f>
        <v/>
      </c>
      <c r="G3950" s="16" t="str">
        <f t="shared" si="138"/>
        <v/>
      </c>
      <c r="H3950" s="70" t="str">
        <f t="shared" si="139"/>
        <v/>
      </c>
    </row>
    <row r="3951" spans="1:8">
      <c r="A3951" s="2"/>
      <c r="B3951" s="12"/>
      <c r="C3951" s="12"/>
      <c r="E3951" t="str">
        <f>IF(LEN(D3951)=0,"",[1]!i_pq_tradedays($B$3,A3952,A3951)-1)</f>
        <v/>
      </c>
      <c r="G3951" s="16" t="str">
        <f t="shared" si="138"/>
        <v/>
      </c>
      <c r="H3951" s="70" t="str">
        <f t="shared" si="139"/>
        <v/>
      </c>
    </row>
    <row r="3952" spans="1:8">
      <c r="A3952" s="2"/>
      <c r="B3952" s="12"/>
      <c r="C3952" s="12"/>
      <c r="E3952" t="str">
        <f>IF(LEN(D3952)=0,"",[1]!i_pq_tradedays($B$3,A3953,A3952)-1)</f>
        <v/>
      </c>
      <c r="G3952" s="16" t="str">
        <f t="shared" si="138"/>
        <v/>
      </c>
      <c r="H3952" s="70" t="str">
        <f t="shared" si="139"/>
        <v/>
      </c>
    </row>
    <row r="3953" spans="1:8">
      <c r="A3953" s="2"/>
      <c r="B3953" s="12"/>
      <c r="C3953" s="12"/>
      <c r="E3953" t="str">
        <f>IF(LEN(D3953)=0,"",[1]!i_pq_tradedays($B$3,A3954,A3953)-1)</f>
        <v/>
      </c>
      <c r="G3953" s="16" t="str">
        <f t="shared" si="138"/>
        <v/>
      </c>
      <c r="H3953" s="70" t="str">
        <f t="shared" si="139"/>
        <v/>
      </c>
    </row>
    <row r="3954" spans="1:8">
      <c r="A3954" s="2"/>
      <c r="B3954" s="12"/>
      <c r="C3954" s="12"/>
      <c r="E3954" t="str">
        <f>IF(LEN(D3954)=0,"",[1]!i_pq_tradedays($B$3,A3955,A3954)-1)</f>
        <v/>
      </c>
      <c r="G3954" s="16" t="str">
        <f t="shared" si="138"/>
        <v/>
      </c>
      <c r="H3954" s="70" t="str">
        <f t="shared" si="139"/>
        <v/>
      </c>
    </row>
    <row r="3955" spans="1:8">
      <c r="A3955" s="2"/>
      <c r="B3955" s="12"/>
      <c r="C3955" s="12"/>
      <c r="E3955" t="str">
        <f>IF(LEN(D3955)=0,"",[1]!i_pq_tradedays($B$3,A3956,A3955)-1)</f>
        <v/>
      </c>
      <c r="G3955" s="16" t="str">
        <f t="shared" si="138"/>
        <v/>
      </c>
      <c r="H3955" s="70" t="str">
        <f t="shared" si="139"/>
        <v/>
      </c>
    </row>
    <row r="3956" spans="1:8">
      <c r="A3956" s="2"/>
      <c r="B3956" s="12"/>
      <c r="C3956" s="12"/>
      <c r="E3956" t="str">
        <f>IF(LEN(D3956)=0,"",[1]!i_pq_tradedays($B$3,A3957,A3956)-1)</f>
        <v/>
      </c>
      <c r="G3956" s="16" t="str">
        <f t="shared" si="138"/>
        <v/>
      </c>
      <c r="H3956" s="70" t="str">
        <f t="shared" si="139"/>
        <v/>
      </c>
    </row>
    <row r="3957" spans="1:8">
      <c r="A3957" s="2"/>
      <c r="B3957" s="12"/>
      <c r="C3957" s="12"/>
      <c r="E3957" t="str">
        <f>IF(LEN(D3957)=0,"",[1]!i_pq_tradedays($B$3,A3958,A3957)-1)</f>
        <v/>
      </c>
      <c r="G3957" s="16" t="str">
        <f t="shared" ref="G3957:G4020" si="140">IF(LEN(D3957)=0,"",D3957/E3957)</f>
        <v/>
      </c>
      <c r="H3957" s="70" t="str">
        <f t="shared" ref="H3957:H4020" si="141">IF(LEN(D3957)=0,"",G3957/G3958-1)</f>
        <v/>
      </c>
    </row>
    <row r="3958" spans="1:8">
      <c r="A3958" s="2"/>
      <c r="B3958" s="12"/>
      <c r="C3958" s="12"/>
      <c r="E3958" t="str">
        <f>IF(LEN(D3958)=0,"",[1]!i_pq_tradedays($B$3,A3959,A3958)-1)</f>
        <v/>
      </c>
      <c r="G3958" s="16" t="str">
        <f t="shared" si="140"/>
        <v/>
      </c>
      <c r="H3958" s="70" t="str">
        <f t="shared" si="141"/>
        <v/>
      </c>
    </row>
    <row r="3959" spans="1:8">
      <c r="A3959" s="2"/>
      <c r="B3959" s="12"/>
      <c r="C3959" s="12"/>
      <c r="E3959" t="str">
        <f>IF(LEN(D3959)=0,"",[1]!i_pq_tradedays($B$3,A3960,A3959)-1)</f>
        <v/>
      </c>
      <c r="G3959" s="16" t="str">
        <f t="shared" si="140"/>
        <v/>
      </c>
      <c r="H3959" s="70" t="str">
        <f t="shared" si="141"/>
        <v/>
      </c>
    </row>
    <row r="3960" spans="1:8">
      <c r="A3960" s="2"/>
      <c r="B3960" s="12"/>
      <c r="C3960" s="12"/>
      <c r="E3960" t="str">
        <f>IF(LEN(D3960)=0,"",[1]!i_pq_tradedays($B$3,A3961,A3960)-1)</f>
        <v/>
      </c>
      <c r="G3960" s="16" t="str">
        <f t="shared" si="140"/>
        <v/>
      </c>
      <c r="H3960" s="70" t="str">
        <f t="shared" si="141"/>
        <v/>
      </c>
    </row>
    <row r="3961" spans="1:8">
      <c r="A3961" s="2"/>
      <c r="B3961" s="12"/>
      <c r="C3961" s="12"/>
      <c r="E3961" t="str">
        <f>IF(LEN(D3961)=0,"",[1]!i_pq_tradedays($B$3,A3962,A3961)-1)</f>
        <v/>
      </c>
      <c r="G3961" s="16" t="str">
        <f t="shared" si="140"/>
        <v/>
      </c>
      <c r="H3961" s="70" t="str">
        <f t="shared" si="141"/>
        <v/>
      </c>
    </row>
    <row r="3962" spans="1:8">
      <c r="A3962" s="2"/>
      <c r="B3962" s="12"/>
      <c r="C3962" s="12"/>
      <c r="E3962" t="str">
        <f>IF(LEN(D3962)=0,"",[1]!i_pq_tradedays($B$3,A3963,A3962)-1)</f>
        <v/>
      </c>
      <c r="G3962" s="16" t="str">
        <f t="shared" si="140"/>
        <v/>
      </c>
      <c r="H3962" s="70" t="str">
        <f t="shared" si="141"/>
        <v/>
      </c>
    </row>
    <row r="3963" spans="1:8">
      <c r="A3963" s="2"/>
      <c r="B3963" s="12"/>
      <c r="C3963" s="12"/>
      <c r="E3963" t="str">
        <f>IF(LEN(D3963)=0,"",[1]!i_pq_tradedays($B$3,A3964,A3963)-1)</f>
        <v/>
      </c>
      <c r="G3963" s="16" t="str">
        <f t="shared" si="140"/>
        <v/>
      </c>
      <c r="H3963" s="70" t="str">
        <f t="shared" si="141"/>
        <v/>
      </c>
    </row>
    <row r="3964" spans="1:8">
      <c r="A3964" s="2"/>
      <c r="B3964" s="12"/>
      <c r="C3964" s="12"/>
      <c r="E3964" t="str">
        <f>IF(LEN(D3964)=0,"",[1]!i_pq_tradedays($B$3,A3965,A3964)-1)</f>
        <v/>
      </c>
      <c r="G3964" s="16" t="str">
        <f t="shared" si="140"/>
        <v/>
      </c>
      <c r="H3964" s="70" t="str">
        <f t="shared" si="141"/>
        <v/>
      </c>
    </row>
    <row r="3965" spans="1:8">
      <c r="A3965" s="2"/>
      <c r="B3965" s="12"/>
      <c r="C3965" s="12"/>
      <c r="E3965" t="str">
        <f>IF(LEN(D3965)=0,"",[1]!i_pq_tradedays($B$3,A3966,A3965)-1)</f>
        <v/>
      </c>
      <c r="G3965" s="16" t="str">
        <f t="shared" si="140"/>
        <v/>
      </c>
      <c r="H3965" s="70" t="str">
        <f t="shared" si="141"/>
        <v/>
      </c>
    </row>
    <row r="3966" spans="1:8">
      <c r="A3966" s="2"/>
      <c r="B3966" s="12"/>
      <c r="C3966" s="12"/>
      <c r="E3966" t="str">
        <f>IF(LEN(D3966)=0,"",[1]!i_pq_tradedays($B$3,A3967,A3966)-1)</f>
        <v/>
      </c>
      <c r="G3966" s="16" t="str">
        <f t="shared" si="140"/>
        <v/>
      </c>
      <c r="H3966" s="70" t="str">
        <f t="shared" si="141"/>
        <v/>
      </c>
    </row>
    <row r="3967" spans="1:8">
      <c r="A3967" s="2"/>
      <c r="B3967" s="12"/>
      <c r="C3967" s="12"/>
      <c r="E3967" t="str">
        <f>IF(LEN(D3967)=0,"",[1]!i_pq_tradedays($B$3,A3968,A3967)-1)</f>
        <v/>
      </c>
      <c r="G3967" s="16" t="str">
        <f t="shared" si="140"/>
        <v/>
      </c>
      <c r="H3967" s="70" t="str">
        <f t="shared" si="141"/>
        <v/>
      </c>
    </row>
    <row r="3968" spans="1:8">
      <c r="A3968" s="2"/>
      <c r="B3968" s="12"/>
      <c r="C3968" s="12"/>
      <c r="E3968" t="str">
        <f>IF(LEN(D3968)=0,"",[1]!i_pq_tradedays($B$3,A3969,A3968)-1)</f>
        <v/>
      </c>
      <c r="G3968" s="16" t="str">
        <f t="shared" si="140"/>
        <v/>
      </c>
      <c r="H3968" s="70" t="str">
        <f t="shared" si="141"/>
        <v/>
      </c>
    </row>
    <row r="3969" spans="1:8">
      <c r="A3969" s="2"/>
      <c r="B3969" s="12"/>
      <c r="C3969" s="12"/>
      <c r="E3969" t="str">
        <f>IF(LEN(D3969)=0,"",[1]!i_pq_tradedays($B$3,A3970,A3969)-1)</f>
        <v/>
      </c>
      <c r="G3969" s="16" t="str">
        <f t="shared" si="140"/>
        <v/>
      </c>
      <c r="H3969" s="70" t="str">
        <f t="shared" si="141"/>
        <v/>
      </c>
    </row>
    <row r="3970" spans="1:8">
      <c r="A3970" s="2"/>
      <c r="B3970" s="12"/>
      <c r="C3970" s="12"/>
      <c r="E3970" t="str">
        <f>IF(LEN(D3970)=0,"",[1]!i_pq_tradedays($B$3,A3971,A3970)-1)</f>
        <v/>
      </c>
      <c r="G3970" s="16" t="str">
        <f t="shared" si="140"/>
        <v/>
      </c>
      <c r="H3970" s="70" t="str">
        <f t="shared" si="141"/>
        <v/>
      </c>
    </row>
    <row r="3971" spans="1:8">
      <c r="A3971" s="2"/>
      <c r="B3971" s="12"/>
      <c r="C3971" s="12"/>
      <c r="E3971" t="str">
        <f>IF(LEN(D3971)=0,"",[1]!i_pq_tradedays($B$3,A3972,A3971)-1)</f>
        <v/>
      </c>
      <c r="G3971" s="16" t="str">
        <f t="shared" si="140"/>
        <v/>
      </c>
      <c r="H3971" s="70" t="str">
        <f t="shared" si="141"/>
        <v/>
      </c>
    </row>
    <row r="3972" spans="1:8">
      <c r="A3972" s="2"/>
      <c r="B3972" s="12"/>
      <c r="C3972" s="12"/>
      <c r="E3972" t="str">
        <f>IF(LEN(D3972)=0,"",[1]!i_pq_tradedays($B$3,A3973,A3972)-1)</f>
        <v/>
      </c>
      <c r="G3972" s="16" t="str">
        <f t="shared" si="140"/>
        <v/>
      </c>
      <c r="H3972" s="70" t="str">
        <f t="shared" si="141"/>
        <v/>
      </c>
    </row>
    <row r="3973" spans="1:8">
      <c r="A3973" s="2"/>
      <c r="B3973" s="12"/>
      <c r="C3973" s="12"/>
      <c r="E3973" t="str">
        <f>IF(LEN(D3973)=0,"",[1]!i_pq_tradedays($B$3,A3974,A3973)-1)</f>
        <v/>
      </c>
      <c r="G3973" s="16" t="str">
        <f t="shared" si="140"/>
        <v/>
      </c>
      <c r="H3973" s="70" t="str">
        <f t="shared" si="141"/>
        <v/>
      </c>
    </row>
    <row r="3974" spans="1:8">
      <c r="A3974" s="2"/>
      <c r="B3974" s="12"/>
      <c r="C3974" s="12"/>
      <c r="E3974" t="str">
        <f>IF(LEN(D3974)=0,"",[1]!i_pq_tradedays($B$3,A3975,A3974)-1)</f>
        <v/>
      </c>
      <c r="G3974" s="16" t="str">
        <f t="shared" si="140"/>
        <v/>
      </c>
      <c r="H3974" s="70" t="str">
        <f t="shared" si="141"/>
        <v/>
      </c>
    </row>
    <row r="3975" spans="1:8">
      <c r="A3975" s="2"/>
      <c r="B3975" s="12"/>
      <c r="C3975" s="12"/>
      <c r="E3975" t="str">
        <f>IF(LEN(D3975)=0,"",[1]!i_pq_tradedays($B$3,A3976,A3975)-1)</f>
        <v/>
      </c>
      <c r="G3975" s="16" t="str">
        <f t="shared" si="140"/>
        <v/>
      </c>
      <c r="H3975" s="70" t="str">
        <f t="shared" si="141"/>
        <v/>
      </c>
    </row>
    <row r="3976" spans="1:8">
      <c r="A3976" s="2"/>
      <c r="B3976" s="12"/>
      <c r="C3976" s="12"/>
      <c r="E3976" t="str">
        <f>IF(LEN(D3976)=0,"",[1]!i_pq_tradedays($B$3,A3977,A3976)-1)</f>
        <v/>
      </c>
      <c r="G3976" s="16" t="str">
        <f t="shared" si="140"/>
        <v/>
      </c>
      <c r="H3976" s="70" t="str">
        <f t="shared" si="141"/>
        <v/>
      </c>
    </row>
    <row r="3977" spans="1:8">
      <c r="A3977" s="2"/>
      <c r="B3977" s="12"/>
      <c r="C3977" s="12"/>
      <c r="E3977" t="str">
        <f>IF(LEN(D3977)=0,"",[1]!i_pq_tradedays($B$3,A3978,A3977)-1)</f>
        <v/>
      </c>
      <c r="G3977" s="16" t="str">
        <f t="shared" si="140"/>
        <v/>
      </c>
      <c r="H3977" s="70" t="str">
        <f t="shared" si="141"/>
        <v/>
      </c>
    </row>
    <row r="3978" spans="1:8">
      <c r="A3978" s="2"/>
      <c r="B3978" s="12"/>
      <c r="C3978" s="12"/>
      <c r="E3978" t="str">
        <f>IF(LEN(D3978)=0,"",[1]!i_pq_tradedays($B$3,A3979,A3978)-1)</f>
        <v/>
      </c>
      <c r="G3978" s="16" t="str">
        <f t="shared" si="140"/>
        <v/>
      </c>
      <c r="H3978" s="70" t="str">
        <f t="shared" si="141"/>
        <v/>
      </c>
    </row>
    <row r="3979" spans="1:8">
      <c r="A3979" s="2"/>
      <c r="B3979" s="12"/>
      <c r="C3979" s="12"/>
      <c r="E3979" t="str">
        <f>IF(LEN(D3979)=0,"",[1]!i_pq_tradedays($B$3,A3980,A3979)-1)</f>
        <v/>
      </c>
      <c r="G3979" s="16" t="str">
        <f t="shared" si="140"/>
        <v/>
      </c>
      <c r="H3979" s="70" t="str">
        <f t="shared" si="141"/>
        <v/>
      </c>
    </row>
    <row r="3980" spans="1:8">
      <c r="A3980" s="2"/>
      <c r="B3980" s="12"/>
      <c r="C3980" s="12"/>
      <c r="E3980" t="str">
        <f>IF(LEN(D3980)=0,"",[1]!i_pq_tradedays($B$3,A3981,A3980)-1)</f>
        <v/>
      </c>
      <c r="G3980" s="16" t="str">
        <f t="shared" si="140"/>
        <v/>
      </c>
      <c r="H3980" s="70" t="str">
        <f t="shared" si="141"/>
        <v/>
      </c>
    </row>
    <row r="3981" spans="1:8">
      <c r="A3981" s="2"/>
      <c r="B3981" s="12"/>
      <c r="C3981" s="12"/>
      <c r="E3981" t="str">
        <f>IF(LEN(D3981)=0,"",[1]!i_pq_tradedays($B$3,A3982,A3981)-1)</f>
        <v/>
      </c>
      <c r="G3981" s="16" t="str">
        <f t="shared" si="140"/>
        <v/>
      </c>
      <c r="H3981" s="70" t="str">
        <f t="shared" si="141"/>
        <v/>
      </c>
    </row>
    <row r="3982" spans="1:8">
      <c r="A3982" s="2"/>
      <c r="B3982" s="12"/>
      <c r="C3982" s="12"/>
      <c r="E3982" t="str">
        <f>IF(LEN(D3982)=0,"",[1]!i_pq_tradedays($B$3,A3983,A3982)-1)</f>
        <v/>
      </c>
      <c r="G3982" s="16" t="str">
        <f t="shared" si="140"/>
        <v/>
      </c>
      <c r="H3982" s="70" t="str">
        <f t="shared" si="141"/>
        <v/>
      </c>
    </row>
    <row r="3983" spans="1:8">
      <c r="A3983" s="2"/>
      <c r="B3983" s="12"/>
      <c r="C3983" s="12"/>
      <c r="E3983" t="str">
        <f>IF(LEN(D3983)=0,"",[1]!i_pq_tradedays($B$3,A3984,A3983)-1)</f>
        <v/>
      </c>
      <c r="G3983" s="16" t="str">
        <f t="shared" si="140"/>
        <v/>
      </c>
      <c r="H3983" s="70" t="str">
        <f t="shared" si="141"/>
        <v/>
      </c>
    </row>
    <row r="3984" spans="1:8">
      <c r="A3984" s="2"/>
      <c r="B3984" s="12"/>
      <c r="C3984" s="12"/>
      <c r="E3984" t="str">
        <f>IF(LEN(D3984)=0,"",[1]!i_pq_tradedays($B$3,A3985,A3984)-1)</f>
        <v/>
      </c>
      <c r="G3984" s="16" t="str">
        <f t="shared" si="140"/>
        <v/>
      </c>
      <c r="H3984" s="70" t="str">
        <f t="shared" si="141"/>
        <v/>
      </c>
    </row>
    <row r="3985" spans="1:8">
      <c r="A3985" s="2"/>
      <c r="B3985" s="12"/>
      <c r="C3985" s="12"/>
      <c r="E3985" t="str">
        <f>IF(LEN(D3985)=0,"",[1]!i_pq_tradedays($B$3,A3986,A3985)-1)</f>
        <v/>
      </c>
      <c r="G3985" s="16" t="str">
        <f t="shared" si="140"/>
        <v/>
      </c>
      <c r="H3985" s="70" t="str">
        <f t="shared" si="141"/>
        <v/>
      </c>
    </row>
    <row r="3986" spans="1:8">
      <c r="A3986" s="2"/>
      <c r="B3986" s="12"/>
      <c r="C3986" s="12"/>
      <c r="E3986" t="str">
        <f>IF(LEN(D3986)=0,"",[1]!i_pq_tradedays($B$3,A3987,A3986)-1)</f>
        <v/>
      </c>
      <c r="G3986" s="16" t="str">
        <f t="shared" si="140"/>
        <v/>
      </c>
      <c r="H3986" s="70" t="str">
        <f t="shared" si="141"/>
        <v/>
      </c>
    </row>
    <row r="3987" spans="1:8">
      <c r="A3987" s="2"/>
      <c r="B3987" s="12"/>
      <c r="C3987" s="12"/>
      <c r="E3987" t="str">
        <f>IF(LEN(D3987)=0,"",[1]!i_pq_tradedays($B$3,A3988,A3987)-1)</f>
        <v/>
      </c>
      <c r="G3987" s="16" t="str">
        <f t="shared" si="140"/>
        <v/>
      </c>
      <c r="H3987" s="70" t="str">
        <f t="shared" si="141"/>
        <v/>
      </c>
    </row>
    <row r="3988" spans="1:8">
      <c r="A3988" s="2"/>
      <c r="B3988" s="12"/>
      <c r="C3988" s="12"/>
      <c r="E3988" t="str">
        <f>IF(LEN(D3988)=0,"",[1]!i_pq_tradedays($B$3,A3989,A3988)-1)</f>
        <v/>
      </c>
      <c r="G3988" s="16" t="str">
        <f t="shared" si="140"/>
        <v/>
      </c>
      <c r="H3988" s="70" t="str">
        <f t="shared" si="141"/>
        <v/>
      </c>
    </row>
    <row r="3989" spans="1:8">
      <c r="A3989" s="2"/>
      <c r="B3989" s="12"/>
      <c r="C3989" s="12"/>
      <c r="E3989" t="str">
        <f>IF(LEN(D3989)=0,"",[1]!i_pq_tradedays($B$3,A3990,A3989)-1)</f>
        <v/>
      </c>
      <c r="G3989" s="16" t="str">
        <f t="shared" si="140"/>
        <v/>
      </c>
      <c r="H3989" s="70" t="str">
        <f t="shared" si="141"/>
        <v/>
      </c>
    </row>
    <row r="3990" spans="1:8">
      <c r="A3990" s="2"/>
      <c r="B3990" s="12"/>
      <c r="C3990" s="12"/>
      <c r="E3990" t="str">
        <f>IF(LEN(D3990)=0,"",[1]!i_pq_tradedays($B$3,A3991,A3990)-1)</f>
        <v/>
      </c>
      <c r="G3990" s="16" t="str">
        <f t="shared" si="140"/>
        <v/>
      </c>
      <c r="H3990" s="70" t="str">
        <f t="shared" si="141"/>
        <v/>
      </c>
    </row>
    <row r="3991" spans="1:8">
      <c r="A3991" s="2"/>
      <c r="B3991" s="12"/>
      <c r="C3991" s="12"/>
      <c r="E3991" t="str">
        <f>IF(LEN(D3991)=0,"",[1]!i_pq_tradedays($B$3,A3992,A3991)-1)</f>
        <v/>
      </c>
      <c r="G3991" s="16" t="str">
        <f t="shared" si="140"/>
        <v/>
      </c>
      <c r="H3991" s="70" t="str">
        <f t="shared" si="141"/>
        <v/>
      </c>
    </row>
    <row r="3992" spans="1:8">
      <c r="A3992" s="2"/>
      <c r="B3992" s="12"/>
      <c r="C3992" s="12"/>
      <c r="E3992" t="str">
        <f>IF(LEN(D3992)=0,"",[1]!i_pq_tradedays($B$3,A3993,A3992)-1)</f>
        <v/>
      </c>
      <c r="G3992" s="16" t="str">
        <f t="shared" si="140"/>
        <v/>
      </c>
      <c r="H3992" s="70" t="str">
        <f t="shared" si="141"/>
        <v/>
      </c>
    </row>
    <row r="3993" spans="1:8">
      <c r="A3993" s="2"/>
      <c r="B3993" s="12"/>
      <c r="C3993" s="12"/>
      <c r="E3993" t="str">
        <f>IF(LEN(D3993)=0,"",[1]!i_pq_tradedays($B$3,A3994,A3993)-1)</f>
        <v/>
      </c>
      <c r="G3993" s="16" t="str">
        <f t="shared" si="140"/>
        <v/>
      </c>
      <c r="H3993" s="70" t="str">
        <f t="shared" si="141"/>
        <v/>
      </c>
    </row>
    <row r="3994" spans="1:8">
      <c r="A3994" s="2"/>
      <c r="B3994" s="12"/>
      <c r="C3994" s="12"/>
      <c r="E3994" t="str">
        <f>IF(LEN(D3994)=0,"",[1]!i_pq_tradedays($B$3,A3995,A3994)-1)</f>
        <v/>
      </c>
      <c r="G3994" s="16" t="str">
        <f t="shared" si="140"/>
        <v/>
      </c>
      <c r="H3994" s="70" t="str">
        <f t="shared" si="141"/>
        <v/>
      </c>
    </row>
    <row r="3995" spans="1:8">
      <c r="A3995" s="2"/>
      <c r="B3995" s="12"/>
      <c r="C3995" s="12"/>
      <c r="E3995" t="str">
        <f>IF(LEN(D3995)=0,"",[1]!i_pq_tradedays($B$3,A3996,A3995)-1)</f>
        <v/>
      </c>
      <c r="G3995" s="16" t="str">
        <f t="shared" si="140"/>
        <v/>
      </c>
      <c r="H3995" s="70" t="str">
        <f t="shared" si="141"/>
        <v/>
      </c>
    </row>
    <row r="3996" spans="1:8">
      <c r="A3996" s="2"/>
      <c r="B3996" s="12"/>
      <c r="C3996" s="12"/>
      <c r="E3996" t="str">
        <f>IF(LEN(D3996)=0,"",[1]!i_pq_tradedays($B$3,A3997,A3996)-1)</f>
        <v/>
      </c>
      <c r="G3996" s="16" t="str">
        <f t="shared" si="140"/>
        <v/>
      </c>
      <c r="H3996" s="70" t="str">
        <f t="shared" si="141"/>
        <v/>
      </c>
    </row>
    <row r="3997" spans="1:8">
      <c r="A3997" s="2"/>
      <c r="B3997" s="12"/>
      <c r="C3997" s="12"/>
      <c r="E3997" t="str">
        <f>IF(LEN(D3997)=0,"",[1]!i_pq_tradedays($B$3,A3998,A3997)-1)</f>
        <v/>
      </c>
      <c r="G3997" s="16" t="str">
        <f t="shared" si="140"/>
        <v/>
      </c>
      <c r="H3997" s="70" t="str">
        <f t="shared" si="141"/>
        <v/>
      </c>
    </row>
    <row r="3998" spans="1:8">
      <c r="A3998" s="2"/>
      <c r="B3998" s="12"/>
      <c r="C3998" s="12"/>
      <c r="E3998" t="str">
        <f>IF(LEN(D3998)=0,"",[1]!i_pq_tradedays($B$3,A3999,A3998)-1)</f>
        <v/>
      </c>
      <c r="G3998" s="16" t="str">
        <f t="shared" si="140"/>
        <v/>
      </c>
      <c r="H3998" s="70" t="str">
        <f t="shared" si="141"/>
        <v/>
      </c>
    </row>
    <row r="3999" spans="1:8">
      <c r="A3999" s="2"/>
      <c r="B3999" s="12"/>
      <c r="C3999" s="12"/>
      <c r="E3999" t="str">
        <f>IF(LEN(D3999)=0,"",[1]!i_pq_tradedays($B$3,A4000,A3999)-1)</f>
        <v/>
      </c>
      <c r="G3999" s="16" t="str">
        <f t="shared" si="140"/>
        <v/>
      </c>
      <c r="H3999" s="70" t="str">
        <f t="shared" si="141"/>
        <v/>
      </c>
    </row>
    <row r="4000" spans="1:8">
      <c r="A4000" s="2"/>
      <c r="B4000" s="12"/>
      <c r="C4000" s="12"/>
      <c r="E4000" t="str">
        <f>IF(LEN(D4000)=0,"",[1]!i_pq_tradedays($B$3,A4001,A4000)-1)</f>
        <v/>
      </c>
      <c r="G4000" s="16" t="str">
        <f t="shared" si="140"/>
        <v/>
      </c>
      <c r="H4000" s="70" t="str">
        <f t="shared" si="141"/>
        <v/>
      </c>
    </row>
    <row r="4001" spans="1:8">
      <c r="A4001" s="2"/>
      <c r="B4001" s="12"/>
      <c r="C4001" s="12"/>
      <c r="E4001" t="str">
        <f>IF(LEN(D4001)=0,"",[1]!i_pq_tradedays($B$3,A4002,A4001)-1)</f>
        <v/>
      </c>
      <c r="G4001" s="16" t="str">
        <f t="shared" si="140"/>
        <v/>
      </c>
      <c r="H4001" s="70" t="str">
        <f t="shared" si="141"/>
        <v/>
      </c>
    </row>
    <row r="4002" spans="1:8">
      <c r="A4002" s="2"/>
      <c r="B4002" s="12"/>
      <c r="C4002" s="12"/>
      <c r="E4002" t="str">
        <f>IF(LEN(D4002)=0,"",[1]!i_pq_tradedays($B$3,A4003,A4002)-1)</f>
        <v/>
      </c>
      <c r="G4002" s="16" t="str">
        <f t="shared" si="140"/>
        <v/>
      </c>
      <c r="H4002" s="70" t="str">
        <f t="shared" si="141"/>
        <v/>
      </c>
    </row>
    <row r="4003" spans="1:8">
      <c r="A4003" s="2"/>
      <c r="B4003" s="12"/>
      <c r="C4003" s="12"/>
      <c r="E4003" t="str">
        <f>IF(LEN(D4003)=0,"",[1]!i_pq_tradedays($B$3,A4004,A4003)-1)</f>
        <v/>
      </c>
      <c r="G4003" s="16" t="str">
        <f t="shared" si="140"/>
        <v/>
      </c>
      <c r="H4003" s="70" t="str">
        <f t="shared" si="141"/>
        <v/>
      </c>
    </row>
    <row r="4004" spans="1:8">
      <c r="A4004" s="2"/>
      <c r="B4004" s="12"/>
      <c r="C4004" s="12"/>
      <c r="E4004" t="str">
        <f>IF(LEN(D4004)=0,"",[1]!i_pq_tradedays($B$3,A4005,A4004)-1)</f>
        <v/>
      </c>
      <c r="G4004" s="16" t="str">
        <f t="shared" si="140"/>
        <v/>
      </c>
      <c r="H4004" s="70" t="str">
        <f t="shared" si="141"/>
        <v/>
      </c>
    </row>
    <row r="4005" spans="1:8">
      <c r="A4005" s="2"/>
      <c r="B4005" s="12"/>
      <c r="C4005" s="12"/>
      <c r="E4005" t="str">
        <f>IF(LEN(D4005)=0,"",[1]!i_pq_tradedays($B$3,A4006,A4005)-1)</f>
        <v/>
      </c>
      <c r="G4005" s="16" t="str">
        <f t="shared" si="140"/>
        <v/>
      </c>
      <c r="H4005" s="70" t="str">
        <f t="shared" si="141"/>
        <v/>
      </c>
    </row>
    <row r="4006" spans="1:8">
      <c r="A4006" s="2"/>
      <c r="B4006" s="12"/>
      <c r="C4006" s="12"/>
      <c r="E4006" t="str">
        <f>IF(LEN(D4006)=0,"",[1]!i_pq_tradedays($B$3,A4007,A4006)-1)</f>
        <v/>
      </c>
      <c r="G4006" s="16" t="str">
        <f t="shared" si="140"/>
        <v/>
      </c>
      <c r="H4006" s="70" t="str">
        <f t="shared" si="141"/>
        <v/>
      </c>
    </row>
    <row r="4007" spans="1:8">
      <c r="A4007" s="2"/>
      <c r="B4007" s="12"/>
      <c r="C4007" s="12"/>
      <c r="E4007" t="str">
        <f>IF(LEN(D4007)=0,"",[1]!i_pq_tradedays($B$3,A4008,A4007)-1)</f>
        <v/>
      </c>
      <c r="G4007" s="16" t="str">
        <f t="shared" si="140"/>
        <v/>
      </c>
      <c r="H4007" s="70" t="str">
        <f t="shared" si="141"/>
        <v/>
      </c>
    </row>
    <row r="4008" spans="1:8">
      <c r="A4008" s="2"/>
      <c r="B4008" s="12"/>
      <c r="C4008" s="12"/>
      <c r="E4008" t="str">
        <f>IF(LEN(D4008)=0,"",[1]!i_pq_tradedays($B$3,A4009,A4008)-1)</f>
        <v/>
      </c>
      <c r="G4008" s="16" t="str">
        <f t="shared" si="140"/>
        <v/>
      </c>
      <c r="H4008" s="70" t="str">
        <f t="shared" si="141"/>
        <v/>
      </c>
    </row>
    <row r="4009" spans="1:8">
      <c r="A4009" s="2"/>
      <c r="B4009" s="12"/>
      <c r="C4009" s="12"/>
      <c r="E4009" t="str">
        <f>IF(LEN(D4009)=0,"",[1]!i_pq_tradedays($B$3,A4010,A4009)-1)</f>
        <v/>
      </c>
      <c r="G4009" s="16" t="str">
        <f t="shared" si="140"/>
        <v/>
      </c>
      <c r="H4009" s="70" t="str">
        <f t="shared" si="141"/>
        <v/>
      </c>
    </row>
    <row r="4010" spans="1:8">
      <c r="A4010" s="2"/>
      <c r="B4010" s="12"/>
      <c r="C4010" s="12"/>
      <c r="E4010" t="str">
        <f>IF(LEN(D4010)=0,"",[1]!i_pq_tradedays($B$3,A4011,A4010)-1)</f>
        <v/>
      </c>
      <c r="G4010" s="16" t="str">
        <f t="shared" si="140"/>
        <v/>
      </c>
      <c r="H4010" s="70" t="str">
        <f t="shared" si="141"/>
        <v/>
      </c>
    </row>
    <row r="4011" spans="1:8">
      <c r="A4011" s="2"/>
      <c r="B4011" s="12"/>
      <c r="C4011" s="12"/>
      <c r="E4011" t="str">
        <f>IF(LEN(D4011)=0,"",[1]!i_pq_tradedays($B$3,A4012,A4011)-1)</f>
        <v/>
      </c>
      <c r="G4011" s="16" t="str">
        <f t="shared" si="140"/>
        <v/>
      </c>
      <c r="H4011" s="70" t="str">
        <f t="shared" si="141"/>
        <v/>
      </c>
    </row>
    <row r="4012" spans="1:8">
      <c r="A4012" s="2"/>
      <c r="B4012" s="12"/>
      <c r="C4012" s="12"/>
      <c r="E4012" t="str">
        <f>IF(LEN(D4012)=0,"",[1]!i_pq_tradedays($B$3,A4013,A4012)-1)</f>
        <v/>
      </c>
      <c r="G4012" s="16" t="str">
        <f t="shared" si="140"/>
        <v/>
      </c>
      <c r="H4012" s="70" t="str">
        <f t="shared" si="141"/>
        <v/>
      </c>
    </row>
    <row r="4013" spans="1:8">
      <c r="A4013" s="2"/>
      <c r="B4013" s="12"/>
      <c r="C4013" s="12"/>
      <c r="E4013" t="str">
        <f>IF(LEN(D4013)=0,"",[1]!i_pq_tradedays($B$3,A4014,A4013)-1)</f>
        <v/>
      </c>
      <c r="G4013" s="16" t="str">
        <f t="shared" si="140"/>
        <v/>
      </c>
      <c r="H4013" s="70" t="str">
        <f t="shared" si="141"/>
        <v/>
      </c>
    </row>
    <row r="4014" spans="1:8">
      <c r="A4014" s="2"/>
      <c r="B4014" s="12"/>
      <c r="C4014" s="12"/>
      <c r="E4014" t="str">
        <f>IF(LEN(D4014)=0,"",[1]!i_pq_tradedays($B$3,A4015,A4014)-1)</f>
        <v/>
      </c>
      <c r="G4014" s="16" t="str">
        <f t="shared" si="140"/>
        <v/>
      </c>
      <c r="H4014" s="70" t="str">
        <f t="shared" si="141"/>
        <v/>
      </c>
    </row>
    <row r="4015" spans="1:8">
      <c r="A4015" s="2"/>
      <c r="B4015" s="12"/>
      <c r="C4015" s="12"/>
      <c r="E4015" t="str">
        <f>IF(LEN(D4015)=0,"",[1]!i_pq_tradedays($B$3,A4016,A4015)-1)</f>
        <v/>
      </c>
      <c r="G4015" s="16" t="str">
        <f t="shared" si="140"/>
        <v/>
      </c>
      <c r="H4015" s="70" t="str">
        <f t="shared" si="141"/>
        <v/>
      </c>
    </row>
    <row r="4016" spans="1:8">
      <c r="A4016" s="2"/>
      <c r="B4016" s="12"/>
      <c r="C4016" s="12"/>
      <c r="E4016" t="str">
        <f>IF(LEN(D4016)=0,"",[1]!i_pq_tradedays($B$3,A4017,A4016)-1)</f>
        <v/>
      </c>
      <c r="G4016" s="16" t="str">
        <f t="shared" si="140"/>
        <v/>
      </c>
      <c r="H4016" s="70" t="str">
        <f t="shared" si="141"/>
        <v/>
      </c>
    </row>
    <row r="4017" spans="1:8">
      <c r="A4017" s="2"/>
      <c r="B4017" s="12"/>
      <c r="C4017" s="12"/>
      <c r="E4017" t="str">
        <f>IF(LEN(D4017)=0,"",[1]!i_pq_tradedays($B$3,A4018,A4017)-1)</f>
        <v/>
      </c>
      <c r="G4017" s="16" t="str">
        <f t="shared" si="140"/>
        <v/>
      </c>
      <c r="H4017" s="70" t="str">
        <f t="shared" si="141"/>
        <v/>
      </c>
    </row>
    <row r="4018" spans="1:8">
      <c r="A4018" s="2"/>
      <c r="B4018" s="12"/>
      <c r="C4018" s="12"/>
      <c r="E4018" t="str">
        <f>IF(LEN(D4018)=0,"",[1]!i_pq_tradedays($B$3,A4019,A4018)-1)</f>
        <v/>
      </c>
      <c r="G4018" s="16" t="str">
        <f t="shared" si="140"/>
        <v/>
      </c>
      <c r="H4018" s="70" t="str">
        <f t="shared" si="141"/>
        <v/>
      </c>
    </row>
    <row r="4019" spans="1:8">
      <c r="A4019" s="2"/>
      <c r="B4019" s="12"/>
      <c r="C4019" s="12"/>
      <c r="E4019" t="str">
        <f>IF(LEN(D4019)=0,"",[1]!i_pq_tradedays($B$3,A4020,A4019)-1)</f>
        <v/>
      </c>
      <c r="G4019" s="16" t="str">
        <f t="shared" si="140"/>
        <v/>
      </c>
      <c r="H4019" s="70" t="str">
        <f t="shared" si="141"/>
        <v/>
      </c>
    </row>
    <row r="4020" spans="1:8">
      <c r="A4020" s="2"/>
      <c r="B4020" s="12"/>
      <c r="C4020" s="12"/>
      <c r="E4020" t="str">
        <f>IF(LEN(D4020)=0,"",[1]!i_pq_tradedays($B$3,A4021,A4020)-1)</f>
        <v/>
      </c>
      <c r="G4020" s="16" t="str">
        <f t="shared" si="140"/>
        <v/>
      </c>
      <c r="H4020" s="70" t="str">
        <f t="shared" si="141"/>
        <v/>
      </c>
    </row>
    <row r="4021" spans="1:8">
      <c r="A4021" s="2"/>
      <c r="B4021" s="12"/>
      <c r="C4021" s="12"/>
      <c r="E4021" t="str">
        <f>IF(LEN(D4021)=0,"",[1]!i_pq_tradedays($B$3,A4022,A4021)-1)</f>
        <v/>
      </c>
      <c r="G4021" s="16" t="str">
        <f t="shared" ref="G4021:G4084" si="142">IF(LEN(D4021)=0,"",D4021/E4021)</f>
        <v/>
      </c>
      <c r="H4021" s="70" t="str">
        <f t="shared" ref="H4021:H4084" si="143">IF(LEN(D4021)=0,"",G4021/G4022-1)</f>
        <v/>
      </c>
    </row>
    <row r="4022" spans="1:8">
      <c r="A4022" s="2"/>
      <c r="B4022" s="12"/>
      <c r="C4022" s="12"/>
      <c r="E4022" t="str">
        <f>IF(LEN(D4022)=0,"",[1]!i_pq_tradedays($B$3,A4023,A4022)-1)</f>
        <v/>
      </c>
      <c r="G4022" s="16" t="str">
        <f t="shared" si="142"/>
        <v/>
      </c>
      <c r="H4022" s="70" t="str">
        <f t="shared" si="143"/>
        <v/>
      </c>
    </row>
    <row r="4023" spans="1:8">
      <c r="A4023" s="2"/>
      <c r="B4023" s="12"/>
      <c r="C4023" s="12"/>
      <c r="E4023" t="str">
        <f>IF(LEN(D4023)=0,"",[1]!i_pq_tradedays($B$3,A4024,A4023)-1)</f>
        <v/>
      </c>
      <c r="G4023" s="16" t="str">
        <f t="shared" si="142"/>
        <v/>
      </c>
      <c r="H4023" s="70" t="str">
        <f t="shared" si="143"/>
        <v/>
      </c>
    </row>
    <row r="4024" spans="1:8">
      <c r="A4024" s="2"/>
      <c r="B4024" s="12"/>
      <c r="C4024" s="12"/>
      <c r="E4024" t="str">
        <f>IF(LEN(D4024)=0,"",[1]!i_pq_tradedays($B$3,A4025,A4024)-1)</f>
        <v/>
      </c>
      <c r="G4024" s="16" t="str">
        <f t="shared" si="142"/>
        <v/>
      </c>
      <c r="H4024" s="70" t="str">
        <f t="shared" si="143"/>
        <v/>
      </c>
    </row>
    <row r="4025" spans="1:8">
      <c r="A4025" s="2"/>
      <c r="B4025" s="12"/>
      <c r="C4025" s="12"/>
      <c r="E4025" t="str">
        <f>IF(LEN(D4025)=0,"",[1]!i_pq_tradedays($B$3,A4026,A4025)-1)</f>
        <v/>
      </c>
      <c r="G4025" s="16" t="str">
        <f t="shared" si="142"/>
        <v/>
      </c>
      <c r="H4025" s="70" t="str">
        <f t="shared" si="143"/>
        <v/>
      </c>
    </row>
    <row r="4026" spans="1:8">
      <c r="A4026" s="2"/>
      <c r="B4026" s="12"/>
      <c r="C4026" s="12"/>
      <c r="E4026" t="str">
        <f>IF(LEN(D4026)=0,"",[1]!i_pq_tradedays($B$3,A4027,A4026)-1)</f>
        <v/>
      </c>
      <c r="G4026" s="16" t="str">
        <f t="shared" si="142"/>
        <v/>
      </c>
      <c r="H4026" s="70" t="str">
        <f t="shared" si="143"/>
        <v/>
      </c>
    </row>
    <row r="4027" spans="1:8">
      <c r="A4027" s="2"/>
      <c r="B4027" s="12"/>
      <c r="C4027" s="12"/>
      <c r="E4027" t="str">
        <f>IF(LEN(D4027)=0,"",[1]!i_pq_tradedays($B$3,A4028,A4027)-1)</f>
        <v/>
      </c>
      <c r="G4027" s="16" t="str">
        <f t="shared" si="142"/>
        <v/>
      </c>
      <c r="H4027" s="70" t="str">
        <f t="shared" si="143"/>
        <v/>
      </c>
    </row>
    <row r="4028" spans="1:8">
      <c r="A4028" s="2"/>
      <c r="B4028" s="12"/>
      <c r="C4028" s="12"/>
      <c r="E4028" t="str">
        <f>IF(LEN(D4028)=0,"",[1]!i_pq_tradedays($B$3,A4029,A4028)-1)</f>
        <v/>
      </c>
      <c r="G4028" s="16" t="str">
        <f t="shared" si="142"/>
        <v/>
      </c>
      <c r="H4028" s="70" t="str">
        <f t="shared" si="143"/>
        <v/>
      </c>
    </row>
    <row r="4029" spans="1:8">
      <c r="A4029" s="2"/>
      <c r="B4029" s="12"/>
      <c r="C4029" s="12"/>
      <c r="E4029" t="str">
        <f>IF(LEN(D4029)=0,"",[1]!i_pq_tradedays($B$3,A4030,A4029)-1)</f>
        <v/>
      </c>
      <c r="G4029" s="16" t="str">
        <f t="shared" si="142"/>
        <v/>
      </c>
      <c r="H4029" s="70" t="str">
        <f t="shared" si="143"/>
        <v/>
      </c>
    </row>
    <row r="4030" spans="1:8">
      <c r="A4030" s="2"/>
      <c r="B4030" s="12"/>
      <c r="C4030" s="12"/>
      <c r="E4030" t="str">
        <f>IF(LEN(D4030)=0,"",[1]!i_pq_tradedays($B$3,A4031,A4030)-1)</f>
        <v/>
      </c>
      <c r="G4030" s="16" t="str">
        <f t="shared" si="142"/>
        <v/>
      </c>
      <c r="H4030" s="70" t="str">
        <f t="shared" si="143"/>
        <v/>
      </c>
    </row>
    <row r="4031" spans="1:8">
      <c r="A4031" s="2"/>
      <c r="B4031" s="12"/>
      <c r="C4031" s="12"/>
      <c r="E4031" t="str">
        <f>IF(LEN(D4031)=0,"",[1]!i_pq_tradedays($B$3,A4032,A4031)-1)</f>
        <v/>
      </c>
      <c r="G4031" s="16" t="str">
        <f t="shared" si="142"/>
        <v/>
      </c>
      <c r="H4031" s="70" t="str">
        <f t="shared" si="143"/>
        <v/>
      </c>
    </row>
    <row r="4032" spans="1:8">
      <c r="A4032" s="2"/>
      <c r="B4032" s="12"/>
      <c r="C4032" s="12"/>
      <c r="E4032" t="str">
        <f>IF(LEN(D4032)=0,"",[1]!i_pq_tradedays($B$3,A4033,A4032)-1)</f>
        <v/>
      </c>
      <c r="G4032" s="16" t="str">
        <f t="shared" si="142"/>
        <v/>
      </c>
      <c r="H4032" s="70" t="str">
        <f t="shared" si="143"/>
        <v/>
      </c>
    </row>
    <row r="4033" spans="1:8">
      <c r="A4033" s="2"/>
      <c r="B4033" s="12"/>
      <c r="C4033" s="12"/>
      <c r="E4033" t="str">
        <f>IF(LEN(D4033)=0,"",[1]!i_pq_tradedays($B$3,A4034,A4033)-1)</f>
        <v/>
      </c>
      <c r="G4033" s="16" t="str">
        <f t="shared" si="142"/>
        <v/>
      </c>
      <c r="H4033" s="70" t="str">
        <f t="shared" si="143"/>
        <v/>
      </c>
    </row>
    <row r="4034" spans="1:8">
      <c r="A4034" s="2"/>
      <c r="B4034" s="12"/>
      <c r="C4034" s="12"/>
      <c r="E4034" t="str">
        <f>IF(LEN(D4034)=0,"",[1]!i_pq_tradedays($B$3,A4035,A4034)-1)</f>
        <v/>
      </c>
      <c r="G4034" s="16" t="str">
        <f t="shared" si="142"/>
        <v/>
      </c>
      <c r="H4034" s="70" t="str">
        <f t="shared" si="143"/>
        <v/>
      </c>
    </row>
    <row r="4035" spans="1:8">
      <c r="A4035" s="2"/>
      <c r="B4035" s="12"/>
      <c r="C4035" s="12"/>
      <c r="E4035" t="str">
        <f>IF(LEN(D4035)=0,"",[1]!i_pq_tradedays($B$3,A4036,A4035)-1)</f>
        <v/>
      </c>
      <c r="G4035" s="16" t="str">
        <f t="shared" si="142"/>
        <v/>
      </c>
      <c r="H4035" s="70" t="str">
        <f t="shared" si="143"/>
        <v/>
      </c>
    </row>
    <row r="4036" spans="1:8">
      <c r="A4036" s="2"/>
      <c r="B4036" s="12"/>
      <c r="C4036" s="12"/>
      <c r="E4036" t="str">
        <f>IF(LEN(D4036)=0,"",[1]!i_pq_tradedays($B$3,A4037,A4036)-1)</f>
        <v/>
      </c>
      <c r="G4036" s="16" t="str">
        <f t="shared" si="142"/>
        <v/>
      </c>
      <c r="H4036" s="70" t="str">
        <f t="shared" si="143"/>
        <v/>
      </c>
    </row>
    <row r="4037" spans="1:8">
      <c r="A4037" s="2"/>
      <c r="B4037" s="12"/>
      <c r="C4037" s="12"/>
      <c r="E4037" t="str">
        <f>IF(LEN(D4037)=0,"",[1]!i_pq_tradedays($B$3,A4038,A4037)-1)</f>
        <v/>
      </c>
      <c r="G4037" s="16" t="str">
        <f t="shared" si="142"/>
        <v/>
      </c>
      <c r="H4037" s="70" t="str">
        <f t="shared" si="143"/>
        <v/>
      </c>
    </row>
    <row r="4038" spans="1:8">
      <c r="A4038" s="2"/>
      <c r="B4038" s="12"/>
      <c r="C4038" s="12"/>
      <c r="E4038" t="str">
        <f>IF(LEN(D4038)=0,"",[1]!i_pq_tradedays($B$3,A4039,A4038)-1)</f>
        <v/>
      </c>
      <c r="G4038" s="16" t="str">
        <f t="shared" si="142"/>
        <v/>
      </c>
      <c r="H4038" s="70" t="str">
        <f t="shared" si="143"/>
        <v/>
      </c>
    </row>
    <row r="4039" spans="1:8">
      <c r="A4039" s="2"/>
      <c r="B4039" s="12"/>
      <c r="C4039" s="12"/>
      <c r="E4039" t="str">
        <f>IF(LEN(D4039)=0,"",[1]!i_pq_tradedays($B$3,A4040,A4039)-1)</f>
        <v/>
      </c>
      <c r="G4039" s="16" t="str">
        <f t="shared" si="142"/>
        <v/>
      </c>
      <c r="H4039" s="70" t="str">
        <f t="shared" si="143"/>
        <v/>
      </c>
    </row>
    <row r="4040" spans="1:8">
      <c r="A4040" s="2"/>
      <c r="B4040" s="12"/>
      <c r="C4040" s="12"/>
      <c r="E4040" t="str">
        <f>IF(LEN(D4040)=0,"",[1]!i_pq_tradedays($B$3,A4041,A4040)-1)</f>
        <v/>
      </c>
      <c r="G4040" s="16" t="str">
        <f t="shared" si="142"/>
        <v/>
      </c>
      <c r="H4040" s="70" t="str">
        <f t="shared" si="143"/>
        <v/>
      </c>
    </row>
    <row r="4041" spans="1:8">
      <c r="A4041" s="2"/>
      <c r="B4041" s="12"/>
      <c r="C4041" s="12"/>
      <c r="E4041" t="str">
        <f>IF(LEN(D4041)=0,"",[1]!i_pq_tradedays($B$3,A4042,A4041)-1)</f>
        <v/>
      </c>
      <c r="G4041" s="16" t="str">
        <f t="shared" si="142"/>
        <v/>
      </c>
      <c r="H4041" s="70" t="str">
        <f t="shared" si="143"/>
        <v/>
      </c>
    </row>
    <row r="4042" spans="1:8">
      <c r="A4042" s="2"/>
      <c r="B4042" s="12"/>
      <c r="C4042" s="12"/>
      <c r="E4042" t="str">
        <f>IF(LEN(D4042)=0,"",[1]!i_pq_tradedays($B$3,A4043,A4042)-1)</f>
        <v/>
      </c>
      <c r="G4042" s="16" t="str">
        <f t="shared" si="142"/>
        <v/>
      </c>
      <c r="H4042" s="70" t="str">
        <f t="shared" si="143"/>
        <v/>
      </c>
    </row>
    <row r="4043" spans="1:8">
      <c r="A4043" s="2"/>
      <c r="B4043" s="12"/>
      <c r="C4043" s="12"/>
      <c r="E4043" t="str">
        <f>IF(LEN(D4043)=0,"",[1]!i_pq_tradedays($B$3,A4044,A4043)-1)</f>
        <v/>
      </c>
      <c r="G4043" s="16" t="str">
        <f t="shared" si="142"/>
        <v/>
      </c>
      <c r="H4043" s="70" t="str">
        <f t="shared" si="143"/>
        <v/>
      </c>
    </row>
    <row r="4044" spans="1:8">
      <c r="A4044" s="2"/>
      <c r="B4044" s="12"/>
      <c r="C4044" s="12"/>
      <c r="E4044" t="str">
        <f>IF(LEN(D4044)=0,"",[1]!i_pq_tradedays($B$3,A4045,A4044)-1)</f>
        <v/>
      </c>
      <c r="G4044" s="16" t="str">
        <f t="shared" si="142"/>
        <v/>
      </c>
      <c r="H4044" s="70" t="str">
        <f t="shared" si="143"/>
        <v/>
      </c>
    </row>
    <row r="4045" spans="1:8">
      <c r="A4045" s="2"/>
      <c r="B4045" s="12"/>
      <c r="C4045" s="12"/>
      <c r="E4045" t="str">
        <f>IF(LEN(D4045)=0,"",[1]!i_pq_tradedays($B$3,A4046,A4045)-1)</f>
        <v/>
      </c>
      <c r="G4045" s="16" t="str">
        <f t="shared" si="142"/>
        <v/>
      </c>
      <c r="H4045" s="70" t="str">
        <f t="shared" si="143"/>
        <v/>
      </c>
    </row>
    <row r="4046" spans="1:8">
      <c r="A4046" s="2"/>
      <c r="B4046" s="12"/>
      <c r="C4046" s="12"/>
      <c r="E4046" t="str">
        <f>IF(LEN(D4046)=0,"",[1]!i_pq_tradedays($B$3,A4047,A4046)-1)</f>
        <v/>
      </c>
      <c r="G4046" s="16" t="str">
        <f t="shared" si="142"/>
        <v/>
      </c>
      <c r="H4046" s="70" t="str">
        <f t="shared" si="143"/>
        <v/>
      </c>
    </row>
    <row r="4047" spans="1:8">
      <c r="A4047" s="2"/>
      <c r="B4047" s="12"/>
      <c r="C4047" s="12"/>
      <c r="E4047" t="str">
        <f>IF(LEN(D4047)=0,"",[1]!i_pq_tradedays($B$3,A4048,A4047)-1)</f>
        <v/>
      </c>
      <c r="G4047" s="16" t="str">
        <f t="shared" si="142"/>
        <v/>
      </c>
      <c r="H4047" s="70" t="str">
        <f t="shared" si="143"/>
        <v/>
      </c>
    </row>
    <row r="4048" spans="1:8">
      <c r="A4048" s="2"/>
      <c r="B4048" s="12"/>
      <c r="C4048" s="12"/>
      <c r="E4048" t="str">
        <f>IF(LEN(D4048)=0,"",[1]!i_pq_tradedays($B$3,A4049,A4048)-1)</f>
        <v/>
      </c>
      <c r="G4048" s="16" t="str">
        <f t="shared" si="142"/>
        <v/>
      </c>
      <c r="H4048" s="70" t="str">
        <f t="shared" si="143"/>
        <v/>
      </c>
    </row>
    <row r="4049" spans="1:8">
      <c r="A4049" s="2"/>
      <c r="B4049" s="12"/>
      <c r="C4049" s="12"/>
      <c r="E4049" t="str">
        <f>IF(LEN(D4049)=0,"",[1]!i_pq_tradedays($B$3,A4050,A4049)-1)</f>
        <v/>
      </c>
      <c r="G4049" s="16" t="str">
        <f t="shared" si="142"/>
        <v/>
      </c>
      <c r="H4049" s="70" t="str">
        <f t="shared" si="143"/>
        <v/>
      </c>
    </row>
    <row r="4050" spans="1:8">
      <c r="A4050" s="2"/>
      <c r="B4050" s="12"/>
      <c r="C4050" s="12"/>
      <c r="E4050" t="str">
        <f>IF(LEN(D4050)=0,"",[1]!i_pq_tradedays($B$3,A4051,A4050)-1)</f>
        <v/>
      </c>
      <c r="G4050" s="16" t="str">
        <f t="shared" si="142"/>
        <v/>
      </c>
      <c r="H4050" s="70" t="str">
        <f t="shared" si="143"/>
        <v/>
      </c>
    </row>
    <row r="4051" spans="1:8">
      <c r="A4051" s="2"/>
      <c r="B4051" s="12"/>
      <c r="C4051" s="12"/>
      <c r="E4051" t="str">
        <f>IF(LEN(D4051)=0,"",[1]!i_pq_tradedays($B$3,A4052,A4051)-1)</f>
        <v/>
      </c>
      <c r="G4051" s="16" t="str">
        <f t="shared" si="142"/>
        <v/>
      </c>
      <c r="H4051" s="70" t="str">
        <f t="shared" si="143"/>
        <v/>
      </c>
    </row>
    <row r="4052" spans="1:8">
      <c r="A4052" s="2"/>
      <c r="B4052" s="12"/>
      <c r="C4052" s="12"/>
      <c r="E4052" t="str">
        <f>IF(LEN(D4052)=0,"",[1]!i_pq_tradedays($B$3,A4053,A4052)-1)</f>
        <v/>
      </c>
      <c r="G4052" s="16" t="str">
        <f t="shared" si="142"/>
        <v/>
      </c>
      <c r="H4052" s="70" t="str">
        <f t="shared" si="143"/>
        <v/>
      </c>
    </row>
    <row r="4053" spans="1:8">
      <c r="A4053" s="2"/>
      <c r="B4053" s="12"/>
      <c r="C4053" s="12"/>
      <c r="E4053" t="str">
        <f>IF(LEN(D4053)=0,"",[1]!i_pq_tradedays($B$3,A4054,A4053)-1)</f>
        <v/>
      </c>
      <c r="G4053" s="16" t="str">
        <f t="shared" si="142"/>
        <v/>
      </c>
      <c r="H4053" s="70" t="str">
        <f t="shared" si="143"/>
        <v/>
      </c>
    </row>
    <row r="4054" spans="1:8">
      <c r="A4054" s="2"/>
      <c r="B4054" s="12"/>
      <c r="C4054" s="12"/>
      <c r="E4054" t="str">
        <f>IF(LEN(D4054)=0,"",[1]!i_pq_tradedays($B$3,A4055,A4054)-1)</f>
        <v/>
      </c>
      <c r="G4054" s="16" t="str">
        <f t="shared" si="142"/>
        <v/>
      </c>
      <c r="H4054" s="70" t="str">
        <f t="shared" si="143"/>
        <v/>
      </c>
    </row>
    <row r="4055" spans="1:8">
      <c r="A4055" s="2"/>
      <c r="B4055" s="12"/>
      <c r="C4055" s="12"/>
      <c r="E4055" t="str">
        <f>IF(LEN(D4055)=0,"",[1]!i_pq_tradedays($B$3,A4056,A4055)-1)</f>
        <v/>
      </c>
      <c r="G4055" s="16" t="str">
        <f t="shared" si="142"/>
        <v/>
      </c>
      <c r="H4055" s="70" t="str">
        <f t="shared" si="143"/>
        <v/>
      </c>
    </row>
    <row r="4056" spans="1:8">
      <c r="A4056" s="2"/>
      <c r="B4056" s="12"/>
      <c r="C4056" s="12"/>
      <c r="E4056" t="str">
        <f>IF(LEN(D4056)=0,"",[1]!i_pq_tradedays($B$3,A4057,A4056)-1)</f>
        <v/>
      </c>
      <c r="G4056" s="16" t="str">
        <f t="shared" si="142"/>
        <v/>
      </c>
      <c r="H4056" s="70" t="str">
        <f t="shared" si="143"/>
        <v/>
      </c>
    </row>
    <row r="4057" spans="1:8">
      <c r="A4057" s="2"/>
      <c r="B4057" s="12"/>
      <c r="C4057" s="12"/>
      <c r="E4057" t="str">
        <f>IF(LEN(D4057)=0,"",[1]!i_pq_tradedays($B$3,A4058,A4057)-1)</f>
        <v/>
      </c>
      <c r="G4057" s="16" t="str">
        <f t="shared" si="142"/>
        <v/>
      </c>
      <c r="H4057" s="70" t="str">
        <f t="shared" si="143"/>
        <v/>
      </c>
    </row>
    <row r="4058" spans="1:8">
      <c r="A4058" s="2"/>
      <c r="B4058" s="12"/>
      <c r="C4058" s="12"/>
      <c r="E4058" t="str">
        <f>IF(LEN(D4058)=0,"",[1]!i_pq_tradedays($B$3,A4059,A4058)-1)</f>
        <v/>
      </c>
      <c r="G4058" s="16" t="str">
        <f t="shared" si="142"/>
        <v/>
      </c>
      <c r="H4058" s="70" t="str">
        <f t="shared" si="143"/>
        <v/>
      </c>
    </row>
    <row r="4059" spans="1:8">
      <c r="A4059" s="2"/>
      <c r="B4059" s="12"/>
      <c r="C4059" s="12"/>
      <c r="E4059" t="str">
        <f>IF(LEN(D4059)=0,"",[1]!i_pq_tradedays($B$3,A4060,A4059)-1)</f>
        <v/>
      </c>
      <c r="G4059" s="16" t="str">
        <f t="shared" si="142"/>
        <v/>
      </c>
      <c r="H4059" s="70" t="str">
        <f t="shared" si="143"/>
        <v/>
      </c>
    </row>
    <row r="4060" spans="1:8">
      <c r="A4060" s="2"/>
      <c r="B4060" s="12"/>
      <c r="C4060" s="12"/>
      <c r="E4060" t="str">
        <f>IF(LEN(D4060)=0,"",[1]!i_pq_tradedays($B$3,A4061,A4060)-1)</f>
        <v/>
      </c>
      <c r="G4060" s="16" t="str">
        <f t="shared" si="142"/>
        <v/>
      </c>
      <c r="H4060" s="70" t="str">
        <f t="shared" si="143"/>
        <v/>
      </c>
    </row>
    <row r="4061" spans="1:8">
      <c r="A4061" s="2"/>
      <c r="B4061" s="12"/>
      <c r="C4061" s="12"/>
      <c r="E4061" t="str">
        <f>IF(LEN(D4061)=0,"",[1]!i_pq_tradedays($B$3,A4062,A4061)-1)</f>
        <v/>
      </c>
      <c r="G4061" s="16" t="str">
        <f t="shared" si="142"/>
        <v/>
      </c>
      <c r="H4061" s="70" t="str">
        <f t="shared" si="143"/>
        <v/>
      </c>
    </row>
    <row r="4062" spans="1:8">
      <c r="A4062" s="2"/>
      <c r="B4062" s="12"/>
      <c r="C4062" s="12"/>
      <c r="E4062" t="str">
        <f>IF(LEN(D4062)=0,"",[1]!i_pq_tradedays($B$3,A4063,A4062)-1)</f>
        <v/>
      </c>
      <c r="G4062" s="16" t="str">
        <f t="shared" si="142"/>
        <v/>
      </c>
      <c r="H4062" s="70" t="str">
        <f t="shared" si="143"/>
        <v/>
      </c>
    </row>
    <row r="4063" spans="1:8">
      <c r="A4063" s="2"/>
      <c r="B4063" s="12"/>
      <c r="C4063" s="12"/>
      <c r="E4063" t="str">
        <f>IF(LEN(D4063)=0,"",[1]!i_pq_tradedays($B$3,A4064,A4063)-1)</f>
        <v/>
      </c>
      <c r="G4063" s="16" t="str">
        <f t="shared" si="142"/>
        <v/>
      </c>
      <c r="H4063" s="70" t="str">
        <f t="shared" si="143"/>
        <v/>
      </c>
    </row>
    <row r="4064" spans="1:8">
      <c r="A4064" s="2"/>
      <c r="B4064" s="12"/>
      <c r="C4064" s="12"/>
      <c r="E4064" t="str">
        <f>IF(LEN(D4064)=0,"",[1]!i_pq_tradedays($B$3,A4065,A4064)-1)</f>
        <v/>
      </c>
      <c r="G4064" s="16" t="str">
        <f t="shared" si="142"/>
        <v/>
      </c>
      <c r="H4064" s="70" t="str">
        <f t="shared" si="143"/>
        <v/>
      </c>
    </row>
    <row r="4065" spans="1:8">
      <c r="A4065" s="2"/>
      <c r="B4065" s="12"/>
      <c r="C4065" s="12"/>
      <c r="E4065" t="str">
        <f>IF(LEN(D4065)=0,"",[1]!i_pq_tradedays($B$3,A4066,A4065)-1)</f>
        <v/>
      </c>
      <c r="G4065" s="16" t="str">
        <f t="shared" si="142"/>
        <v/>
      </c>
      <c r="H4065" s="70" t="str">
        <f t="shared" si="143"/>
        <v/>
      </c>
    </row>
    <row r="4066" spans="1:8">
      <c r="A4066" s="2"/>
      <c r="B4066" s="12"/>
      <c r="C4066" s="12"/>
      <c r="E4066" t="str">
        <f>IF(LEN(D4066)=0,"",[1]!i_pq_tradedays($B$3,A4067,A4066)-1)</f>
        <v/>
      </c>
      <c r="G4066" s="16" t="str">
        <f t="shared" si="142"/>
        <v/>
      </c>
      <c r="H4066" s="70" t="str">
        <f t="shared" si="143"/>
        <v/>
      </c>
    </row>
    <row r="4067" spans="1:8">
      <c r="A4067" s="2"/>
      <c r="B4067" s="12"/>
      <c r="C4067" s="12"/>
      <c r="E4067" t="str">
        <f>IF(LEN(D4067)=0,"",[1]!i_pq_tradedays($B$3,A4068,A4067)-1)</f>
        <v/>
      </c>
      <c r="G4067" s="16" t="str">
        <f t="shared" si="142"/>
        <v/>
      </c>
      <c r="H4067" s="70" t="str">
        <f t="shared" si="143"/>
        <v/>
      </c>
    </row>
    <row r="4068" spans="1:8">
      <c r="A4068" s="2"/>
      <c r="B4068" s="12"/>
      <c r="C4068" s="12"/>
      <c r="E4068" t="str">
        <f>IF(LEN(D4068)=0,"",[1]!i_pq_tradedays($B$3,A4069,A4068)-1)</f>
        <v/>
      </c>
      <c r="G4068" s="16" t="str">
        <f t="shared" si="142"/>
        <v/>
      </c>
      <c r="H4068" s="70" t="str">
        <f t="shared" si="143"/>
        <v/>
      </c>
    </row>
    <row r="4069" spans="1:8">
      <c r="A4069" s="2"/>
      <c r="B4069" s="12"/>
      <c r="C4069" s="12"/>
      <c r="E4069" t="str">
        <f>IF(LEN(D4069)=0,"",[1]!i_pq_tradedays($B$3,A4070,A4069)-1)</f>
        <v/>
      </c>
      <c r="G4069" s="16" t="str">
        <f t="shared" si="142"/>
        <v/>
      </c>
      <c r="H4069" s="70" t="str">
        <f t="shared" si="143"/>
        <v/>
      </c>
    </row>
    <row r="4070" spans="1:8">
      <c r="A4070" s="2"/>
      <c r="B4070" s="12"/>
      <c r="C4070" s="12"/>
      <c r="E4070" t="str">
        <f>IF(LEN(D4070)=0,"",[1]!i_pq_tradedays($B$3,A4071,A4070)-1)</f>
        <v/>
      </c>
      <c r="G4070" s="16" t="str">
        <f t="shared" si="142"/>
        <v/>
      </c>
      <c r="H4070" s="70" t="str">
        <f t="shared" si="143"/>
        <v/>
      </c>
    </row>
    <row r="4071" spans="1:8">
      <c r="A4071" s="2"/>
      <c r="B4071" s="12"/>
      <c r="C4071" s="12"/>
      <c r="E4071" t="str">
        <f>IF(LEN(D4071)=0,"",[1]!i_pq_tradedays($B$3,A4072,A4071)-1)</f>
        <v/>
      </c>
      <c r="G4071" s="16" t="str">
        <f t="shared" si="142"/>
        <v/>
      </c>
      <c r="H4071" s="70" t="str">
        <f t="shared" si="143"/>
        <v/>
      </c>
    </row>
    <row r="4072" spans="1:8">
      <c r="A4072" s="2"/>
      <c r="B4072" s="12"/>
      <c r="C4072" s="12"/>
      <c r="E4072" t="str">
        <f>IF(LEN(D4072)=0,"",[1]!i_pq_tradedays($B$3,A4073,A4072)-1)</f>
        <v/>
      </c>
      <c r="G4072" s="16" t="str">
        <f t="shared" si="142"/>
        <v/>
      </c>
      <c r="H4072" s="70" t="str">
        <f t="shared" si="143"/>
        <v/>
      </c>
    </row>
    <row r="4073" spans="1:8">
      <c r="A4073" s="2"/>
      <c r="B4073" s="12"/>
      <c r="C4073" s="12"/>
      <c r="E4073" t="str">
        <f>IF(LEN(D4073)=0,"",[1]!i_pq_tradedays($B$3,A4074,A4073)-1)</f>
        <v/>
      </c>
      <c r="G4073" s="16" t="str">
        <f t="shared" si="142"/>
        <v/>
      </c>
      <c r="H4073" s="70" t="str">
        <f t="shared" si="143"/>
        <v/>
      </c>
    </row>
    <row r="4074" spans="1:8">
      <c r="A4074" s="2"/>
      <c r="B4074" s="12"/>
      <c r="C4074" s="12"/>
      <c r="E4074" t="str">
        <f>IF(LEN(D4074)=0,"",[1]!i_pq_tradedays($B$3,A4075,A4074)-1)</f>
        <v/>
      </c>
      <c r="G4074" s="16" t="str">
        <f t="shared" si="142"/>
        <v/>
      </c>
      <c r="H4074" s="70" t="str">
        <f t="shared" si="143"/>
        <v/>
      </c>
    </row>
    <row r="4075" spans="1:8">
      <c r="A4075" s="2"/>
      <c r="B4075" s="12"/>
      <c r="C4075" s="12"/>
      <c r="E4075" t="str">
        <f>IF(LEN(D4075)=0,"",[1]!i_pq_tradedays($B$3,A4076,A4075)-1)</f>
        <v/>
      </c>
      <c r="G4075" s="16" t="str">
        <f t="shared" si="142"/>
        <v/>
      </c>
      <c r="H4075" s="70" t="str">
        <f t="shared" si="143"/>
        <v/>
      </c>
    </row>
    <row r="4076" spans="1:8">
      <c r="A4076" s="2"/>
      <c r="B4076" s="12"/>
      <c r="C4076" s="12"/>
      <c r="E4076" t="str">
        <f>IF(LEN(D4076)=0,"",[1]!i_pq_tradedays($B$3,A4077,A4076)-1)</f>
        <v/>
      </c>
      <c r="G4076" s="16" t="str">
        <f t="shared" si="142"/>
        <v/>
      </c>
      <c r="H4076" s="70" t="str">
        <f t="shared" si="143"/>
        <v/>
      </c>
    </row>
    <row r="4077" spans="1:8">
      <c r="A4077" s="2"/>
      <c r="B4077" s="12"/>
      <c r="C4077" s="12"/>
      <c r="E4077" t="str">
        <f>IF(LEN(D4077)=0,"",[1]!i_pq_tradedays($B$3,A4078,A4077)-1)</f>
        <v/>
      </c>
      <c r="G4077" s="16" t="str">
        <f t="shared" si="142"/>
        <v/>
      </c>
      <c r="H4077" s="70" t="str">
        <f t="shared" si="143"/>
        <v/>
      </c>
    </row>
    <row r="4078" spans="1:8">
      <c r="A4078" s="2"/>
      <c r="B4078" s="12"/>
      <c r="C4078" s="12"/>
      <c r="E4078" t="str">
        <f>IF(LEN(D4078)=0,"",[1]!i_pq_tradedays($B$3,A4079,A4078)-1)</f>
        <v/>
      </c>
      <c r="G4078" s="16" t="str">
        <f t="shared" si="142"/>
        <v/>
      </c>
      <c r="H4078" s="70" t="str">
        <f t="shared" si="143"/>
        <v/>
      </c>
    </row>
    <row r="4079" spans="1:8">
      <c r="A4079" s="2"/>
      <c r="B4079" s="12"/>
      <c r="C4079" s="12"/>
      <c r="E4079" t="str">
        <f>IF(LEN(D4079)=0,"",[1]!i_pq_tradedays($B$3,A4080,A4079)-1)</f>
        <v/>
      </c>
      <c r="G4079" s="16" t="str">
        <f t="shared" si="142"/>
        <v/>
      </c>
      <c r="H4079" s="70" t="str">
        <f t="shared" si="143"/>
        <v/>
      </c>
    </row>
    <row r="4080" spans="1:8">
      <c r="A4080" s="2"/>
      <c r="B4080" s="12"/>
      <c r="C4080" s="12"/>
      <c r="E4080" t="str">
        <f>IF(LEN(D4080)=0,"",[1]!i_pq_tradedays($B$3,A4081,A4080)-1)</f>
        <v/>
      </c>
      <c r="G4080" s="16" t="str">
        <f t="shared" si="142"/>
        <v/>
      </c>
      <c r="H4080" s="70" t="str">
        <f t="shared" si="143"/>
        <v/>
      </c>
    </row>
    <row r="4081" spans="1:8">
      <c r="A4081" s="2"/>
      <c r="B4081" s="12"/>
      <c r="C4081" s="12"/>
      <c r="E4081" t="str">
        <f>IF(LEN(D4081)=0,"",[1]!i_pq_tradedays($B$3,A4082,A4081)-1)</f>
        <v/>
      </c>
      <c r="G4081" s="16" t="str">
        <f t="shared" si="142"/>
        <v/>
      </c>
      <c r="H4081" s="70" t="str">
        <f t="shared" si="143"/>
        <v/>
      </c>
    </row>
    <row r="4082" spans="1:8">
      <c r="A4082" s="2"/>
      <c r="B4082" s="12"/>
      <c r="C4082" s="12"/>
      <c r="E4082" t="str">
        <f>IF(LEN(D4082)=0,"",[1]!i_pq_tradedays($B$3,A4083,A4082)-1)</f>
        <v/>
      </c>
      <c r="G4082" s="16" t="str">
        <f t="shared" si="142"/>
        <v/>
      </c>
      <c r="H4082" s="70" t="str">
        <f t="shared" si="143"/>
        <v/>
      </c>
    </row>
    <row r="4083" spans="1:8">
      <c r="A4083" s="2"/>
      <c r="B4083" s="12"/>
      <c r="C4083" s="12"/>
      <c r="E4083" t="str">
        <f>IF(LEN(D4083)=0,"",[1]!i_pq_tradedays($B$3,A4084,A4083)-1)</f>
        <v/>
      </c>
      <c r="G4083" s="16" t="str">
        <f t="shared" si="142"/>
        <v/>
      </c>
      <c r="H4083" s="70" t="str">
        <f t="shared" si="143"/>
        <v/>
      </c>
    </row>
    <row r="4084" spans="1:8">
      <c r="A4084" s="2"/>
      <c r="B4084" s="12"/>
      <c r="C4084" s="12"/>
      <c r="E4084" t="str">
        <f>IF(LEN(D4084)=0,"",[1]!i_pq_tradedays($B$3,A4085,A4084)-1)</f>
        <v/>
      </c>
      <c r="G4084" s="16" t="str">
        <f t="shared" si="142"/>
        <v/>
      </c>
      <c r="H4084" s="70" t="str">
        <f t="shared" si="143"/>
        <v/>
      </c>
    </row>
    <row r="4085" spans="1:8">
      <c r="A4085" s="2"/>
      <c r="B4085" s="12"/>
      <c r="C4085" s="12"/>
      <c r="E4085" t="str">
        <f>IF(LEN(D4085)=0,"",[1]!i_pq_tradedays($B$3,A4086,A4085)-1)</f>
        <v/>
      </c>
      <c r="G4085" s="16" t="str">
        <f t="shared" ref="G4085:G4148" si="144">IF(LEN(D4085)=0,"",D4085/E4085)</f>
        <v/>
      </c>
      <c r="H4085" s="70" t="str">
        <f t="shared" ref="H4085:H4148" si="145">IF(LEN(D4085)=0,"",G4085/G4086-1)</f>
        <v/>
      </c>
    </row>
    <row r="4086" spans="1:8">
      <c r="A4086" s="2"/>
      <c r="B4086" s="12"/>
      <c r="C4086" s="12"/>
      <c r="E4086" t="str">
        <f>IF(LEN(D4086)=0,"",[1]!i_pq_tradedays($B$3,A4087,A4086)-1)</f>
        <v/>
      </c>
      <c r="G4086" s="16" t="str">
        <f t="shared" si="144"/>
        <v/>
      </c>
      <c r="H4086" s="70" t="str">
        <f t="shared" si="145"/>
        <v/>
      </c>
    </row>
    <row r="4087" spans="1:8">
      <c r="A4087" s="2"/>
      <c r="B4087" s="12"/>
      <c r="C4087" s="12"/>
      <c r="E4087" t="str">
        <f>IF(LEN(D4087)=0,"",[1]!i_pq_tradedays($B$3,A4088,A4087)-1)</f>
        <v/>
      </c>
      <c r="G4087" s="16" t="str">
        <f t="shared" si="144"/>
        <v/>
      </c>
      <c r="H4087" s="70" t="str">
        <f t="shared" si="145"/>
        <v/>
      </c>
    </row>
    <row r="4088" spans="1:8">
      <c r="A4088" s="2"/>
      <c r="B4088" s="12"/>
      <c r="C4088" s="12"/>
      <c r="E4088" t="str">
        <f>IF(LEN(D4088)=0,"",[1]!i_pq_tradedays($B$3,A4089,A4088)-1)</f>
        <v/>
      </c>
      <c r="G4088" s="16" t="str">
        <f t="shared" si="144"/>
        <v/>
      </c>
      <c r="H4088" s="70" t="str">
        <f t="shared" si="145"/>
        <v/>
      </c>
    </row>
    <row r="4089" spans="1:8">
      <c r="A4089" s="2"/>
      <c r="B4089" s="12"/>
      <c r="C4089" s="12"/>
      <c r="E4089" t="str">
        <f>IF(LEN(D4089)=0,"",[1]!i_pq_tradedays($B$3,A4090,A4089)-1)</f>
        <v/>
      </c>
      <c r="G4089" s="16" t="str">
        <f t="shared" si="144"/>
        <v/>
      </c>
      <c r="H4089" s="70" t="str">
        <f t="shared" si="145"/>
        <v/>
      </c>
    </row>
    <row r="4090" spans="1:8">
      <c r="A4090" s="2"/>
      <c r="B4090" s="12"/>
      <c r="C4090" s="12"/>
      <c r="E4090" t="str">
        <f>IF(LEN(D4090)=0,"",[1]!i_pq_tradedays($B$3,A4091,A4090)-1)</f>
        <v/>
      </c>
      <c r="G4090" s="16" t="str">
        <f t="shared" si="144"/>
        <v/>
      </c>
      <c r="H4090" s="70" t="str">
        <f t="shared" si="145"/>
        <v/>
      </c>
    </row>
    <row r="4091" spans="1:8">
      <c r="A4091" s="2"/>
      <c r="B4091" s="12"/>
      <c r="C4091" s="12"/>
      <c r="E4091" t="str">
        <f>IF(LEN(D4091)=0,"",[1]!i_pq_tradedays($B$3,A4092,A4091)-1)</f>
        <v/>
      </c>
      <c r="G4091" s="16" t="str">
        <f t="shared" si="144"/>
        <v/>
      </c>
      <c r="H4091" s="70" t="str">
        <f t="shared" si="145"/>
        <v/>
      </c>
    </row>
    <row r="4092" spans="1:8">
      <c r="A4092" s="2"/>
      <c r="B4092" s="12"/>
      <c r="C4092" s="12"/>
      <c r="E4092" t="str">
        <f>IF(LEN(D4092)=0,"",[1]!i_pq_tradedays($B$3,A4093,A4092)-1)</f>
        <v/>
      </c>
      <c r="G4092" s="16" t="str">
        <f t="shared" si="144"/>
        <v/>
      </c>
      <c r="H4092" s="70" t="str">
        <f t="shared" si="145"/>
        <v/>
      </c>
    </row>
    <row r="4093" spans="1:8">
      <c r="A4093" s="2"/>
      <c r="B4093" s="12"/>
      <c r="C4093" s="12"/>
      <c r="E4093" t="str">
        <f>IF(LEN(D4093)=0,"",[1]!i_pq_tradedays($B$3,A4094,A4093)-1)</f>
        <v/>
      </c>
      <c r="G4093" s="16" t="str">
        <f t="shared" si="144"/>
        <v/>
      </c>
      <c r="H4093" s="70" t="str">
        <f t="shared" si="145"/>
        <v/>
      </c>
    </row>
    <row r="4094" spans="1:8">
      <c r="A4094" s="2"/>
      <c r="B4094" s="12"/>
      <c r="C4094" s="12"/>
      <c r="E4094" t="str">
        <f>IF(LEN(D4094)=0,"",[1]!i_pq_tradedays($B$3,A4095,A4094)-1)</f>
        <v/>
      </c>
      <c r="G4094" s="16" t="str">
        <f t="shared" si="144"/>
        <v/>
      </c>
      <c r="H4094" s="70" t="str">
        <f t="shared" si="145"/>
        <v/>
      </c>
    </row>
    <row r="4095" spans="1:8">
      <c r="A4095" s="2"/>
      <c r="B4095" s="12"/>
      <c r="C4095" s="12"/>
      <c r="E4095" t="str">
        <f>IF(LEN(D4095)=0,"",[1]!i_pq_tradedays($B$3,A4096,A4095)-1)</f>
        <v/>
      </c>
      <c r="G4095" s="16" t="str">
        <f t="shared" si="144"/>
        <v/>
      </c>
      <c r="H4095" s="70" t="str">
        <f t="shared" si="145"/>
        <v/>
      </c>
    </row>
    <row r="4096" spans="1:8">
      <c r="A4096" s="2"/>
      <c r="B4096" s="12"/>
      <c r="C4096" s="12"/>
      <c r="E4096" t="str">
        <f>IF(LEN(D4096)=0,"",[1]!i_pq_tradedays($B$3,A4097,A4096)-1)</f>
        <v/>
      </c>
      <c r="G4096" s="16" t="str">
        <f t="shared" si="144"/>
        <v/>
      </c>
      <c r="H4096" s="70" t="str">
        <f t="shared" si="145"/>
        <v/>
      </c>
    </row>
    <row r="4097" spans="1:8">
      <c r="A4097" s="2"/>
      <c r="B4097" s="12"/>
      <c r="C4097" s="12"/>
      <c r="E4097" t="str">
        <f>IF(LEN(D4097)=0,"",[1]!i_pq_tradedays($B$3,A4098,A4097)-1)</f>
        <v/>
      </c>
      <c r="G4097" s="16" t="str">
        <f t="shared" si="144"/>
        <v/>
      </c>
      <c r="H4097" s="70" t="str">
        <f t="shared" si="145"/>
        <v/>
      </c>
    </row>
    <row r="4098" spans="1:8">
      <c r="A4098" s="2"/>
      <c r="B4098" s="12"/>
      <c r="C4098" s="12"/>
      <c r="E4098" t="str">
        <f>IF(LEN(D4098)=0,"",[1]!i_pq_tradedays($B$3,A4099,A4098)-1)</f>
        <v/>
      </c>
      <c r="G4098" s="16" t="str">
        <f t="shared" si="144"/>
        <v/>
      </c>
      <c r="H4098" s="70" t="str">
        <f t="shared" si="145"/>
        <v/>
      </c>
    </row>
    <row r="4099" spans="1:8">
      <c r="A4099" s="2"/>
      <c r="B4099" s="12"/>
      <c r="C4099" s="12"/>
      <c r="E4099" t="str">
        <f>IF(LEN(D4099)=0,"",[1]!i_pq_tradedays($B$3,A4100,A4099)-1)</f>
        <v/>
      </c>
      <c r="G4099" s="16" t="str">
        <f t="shared" si="144"/>
        <v/>
      </c>
      <c r="H4099" s="70" t="str">
        <f t="shared" si="145"/>
        <v/>
      </c>
    </row>
    <row r="4100" spans="1:8">
      <c r="A4100" s="2"/>
      <c r="B4100" s="12"/>
      <c r="C4100" s="12"/>
      <c r="E4100" t="str">
        <f>IF(LEN(D4100)=0,"",[1]!i_pq_tradedays($B$3,A4101,A4100)-1)</f>
        <v/>
      </c>
      <c r="G4100" s="16" t="str">
        <f t="shared" si="144"/>
        <v/>
      </c>
      <c r="H4100" s="70" t="str">
        <f t="shared" si="145"/>
        <v/>
      </c>
    </row>
    <row r="4101" spans="1:8">
      <c r="A4101" s="2"/>
      <c r="B4101" s="12"/>
      <c r="C4101" s="12"/>
      <c r="E4101" t="str">
        <f>IF(LEN(D4101)=0,"",[1]!i_pq_tradedays($B$3,A4102,A4101)-1)</f>
        <v/>
      </c>
      <c r="G4101" s="16" t="str">
        <f t="shared" si="144"/>
        <v/>
      </c>
      <c r="H4101" s="70" t="str">
        <f t="shared" si="145"/>
        <v/>
      </c>
    </row>
    <row r="4102" spans="1:8">
      <c r="A4102" s="2"/>
      <c r="B4102" s="12"/>
      <c r="C4102" s="12"/>
      <c r="E4102" t="str">
        <f>IF(LEN(D4102)=0,"",[1]!i_pq_tradedays($B$3,A4103,A4102)-1)</f>
        <v/>
      </c>
      <c r="G4102" s="16" t="str">
        <f t="shared" si="144"/>
        <v/>
      </c>
      <c r="H4102" s="70" t="str">
        <f t="shared" si="145"/>
        <v/>
      </c>
    </row>
    <row r="4103" spans="1:8">
      <c r="A4103" s="2"/>
      <c r="B4103" s="12"/>
      <c r="C4103" s="12"/>
      <c r="E4103" t="str">
        <f>IF(LEN(D4103)=0,"",[1]!i_pq_tradedays($B$3,A4104,A4103)-1)</f>
        <v/>
      </c>
      <c r="G4103" s="16" t="str">
        <f t="shared" si="144"/>
        <v/>
      </c>
      <c r="H4103" s="70" t="str">
        <f t="shared" si="145"/>
        <v/>
      </c>
    </row>
    <row r="4104" spans="1:8">
      <c r="A4104" s="2"/>
      <c r="B4104" s="12"/>
      <c r="C4104" s="12"/>
      <c r="E4104" t="str">
        <f>IF(LEN(D4104)=0,"",[1]!i_pq_tradedays($B$3,A4105,A4104)-1)</f>
        <v/>
      </c>
      <c r="G4104" s="16" t="str">
        <f t="shared" si="144"/>
        <v/>
      </c>
      <c r="H4104" s="70" t="str">
        <f t="shared" si="145"/>
        <v/>
      </c>
    </row>
    <row r="4105" spans="1:8">
      <c r="A4105" s="2"/>
      <c r="B4105" s="12"/>
      <c r="C4105" s="12"/>
      <c r="E4105" t="str">
        <f>IF(LEN(D4105)=0,"",[1]!i_pq_tradedays($B$3,A4106,A4105)-1)</f>
        <v/>
      </c>
      <c r="G4105" s="16" t="str">
        <f t="shared" si="144"/>
        <v/>
      </c>
      <c r="H4105" s="70" t="str">
        <f t="shared" si="145"/>
        <v/>
      </c>
    </row>
    <row r="4106" spans="1:8">
      <c r="A4106" s="2"/>
      <c r="B4106" s="12"/>
      <c r="C4106" s="12"/>
      <c r="E4106" t="str">
        <f>IF(LEN(D4106)=0,"",[1]!i_pq_tradedays($B$3,A4107,A4106)-1)</f>
        <v/>
      </c>
      <c r="G4106" s="16" t="str">
        <f t="shared" si="144"/>
        <v/>
      </c>
      <c r="H4106" s="70" t="str">
        <f t="shared" si="145"/>
        <v/>
      </c>
    </row>
    <row r="4107" spans="1:8">
      <c r="A4107" s="2"/>
      <c r="B4107" s="12"/>
      <c r="C4107" s="12"/>
      <c r="E4107" t="str">
        <f>IF(LEN(D4107)=0,"",[1]!i_pq_tradedays($B$3,A4108,A4107)-1)</f>
        <v/>
      </c>
      <c r="G4107" s="16" t="str">
        <f t="shared" si="144"/>
        <v/>
      </c>
      <c r="H4107" s="70" t="str">
        <f t="shared" si="145"/>
        <v/>
      </c>
    </row>
    <row r="4108" spans="1:8">
      <c r="A4108" s="2"/>
      <c r="B4108" s="12"/>
      <c r="C4108" s="12"/>
      <c r="E4108" t="str">
        <f>IF(LEN(D4108)=0,"",[1]!i_pq_tradedays($B$3,A4109,A4108)-1)</f>
        <v/>
      </c>
      <c r="G4108" s="16" t="str">
        <f t="shared" si="144"/>
        <v/>
      </c>
      <c r="H4108" s="70" t="str">
        <f t="shared" si="145"/>
        <v/>
      </c>
    </row>
    <row r="4109" spans="1:8">
      <c r="A4109" s="2"/>
      <c r="B4109" s="12"/>
      <c r="C4109" s="12"/>
      <c r="E4109" t="str">
        <f>IF(LEN(D4109)=0,"",[1]!i_pq_tradedays($B$3,A4110,A4109)-1)</f>
        <v/>
      </c>
      <c r="G4109" s="16" t="str">
        <f t="shared" si="144"/>
        <v/>
      </c>
      <c r="H4109" s="70" t="str">
        <f t="shared" si="145"/>
        <v/>
      </c>
    </row>
    <row r="4110" spans="1:8">
      <c r="A4110" s="2"/>
      <c r="B4110" s="12"/>
      <c r="C4110" s="12"/>
      <c r="E4110" t="str">
        <f>IF(LEN(D4110)=0,"",[1]!i_pq_tradedays($B$3,A4111,A4110)-1)</f>
        <v/>
      </c>
      <c r="G4110" s="16" t="str">
        <f t="shared" si="144"/>
        <v/>
      </c>
      <c r="H4110" s="70" t="str">
        <f t="shared" si="145"/>
        <v/>
      </c>
    </row>
    <row r="4111" spans="1:8">
      <c r="A4111" s="2"/>
      <c r="B4111" s="12"/>
      <c r="C4111" s="12"/>
      <c r="E4111" t="str">
        <f>IF(LEN(D4111)=0,"",[1]!i_pq_tradedays($B$3,A4112,A4111)-1)</f>
        <v/>
      </c>
      <c r="G4111" s="16" t="str">
        <f t="shared" si="144"/>
        <v/>
      </c>
      <c r="H4111" s="70" t="str">
        <f t="shared" si="145"/>
        <v/>
      </c>
    </row>
    <row r="4112" spans="1:8">
      <c r="A4112" s="2"/>
      <c r="B4112" s="12"/>
      <c r="C4112" s="12"/>
      <c r="E4112" t="str">
        <f>IF(LEN(D4112)=0,"",[1]!i_pq_tradedays($B$3,A4113,A4112)-1)</f>
        <v/>
      </c>
      <c r="G4112" s="16" t="str">
        <f t="shared" si="144"/>
        <v/>
      </c>
      <c r="H4112" s="70" t="str">
        <f t="shared" si="145"/>
        <v/>
      </c>
    </row>
    <row r="4113" spans="1:8">
      <c r="A4113" s="2"/>
      <c r="B4113" s="12"/>
      <c r="C4113" s="12"/>
      <c r="E4113" t="str">
        <f>IF(LEN(D4113)=0,"",[1]!i_pq_tradedays($B$3,A4114,A4113)-1)</f>
        <v/>
      </c>
      <c r="G4113" s="16" t="str">
        <f t="shared" si="144"/>
        <v/>
      </c>
      <c r="H4113" s="70" t="str">
        <f t="shared" si="145"/>
        <v/>
      </c>
    </row>
    <row r="4114" spans="1:8">
      <c r="A4114" s="2"/>
      <c r="B4114" s="12"/>
      <c r="C4114" s="12"/>
      <c r="E4114" t="str">
        <f>IF(LEN(D4114)=0,"",[1]!i_pq_tradedays($B$3,A4115,A4114)-1)</f>
        <v/>
      </c>
      <c r="G4114" s="16" t="str">
        <f t="shared" si="144"/>
        <v/>
      </c>
      <c r="H4114" s="70" t="str">
        <f t="shared" si="145"/>
        <v/>
      </c>
    </row>
    <row r="4115" spans="1:8">
      <c r="A4115" s="2"/>
      <c r="B4115" s="12"/>
      <c r="C4115" s="12"/>
      <c r="E4115" t="str">
        <f>IF(LEN(D4115)=0,"",[1]!i_pq_tradedays($B$3,A4116,A4115)-1)</f>
        <v/>
      </c>
      <c r="G4115" s="16" t="str">
        <f t="shared" si="144"/>
        <v/>
      </c>
      <c r="H4115" s="70" t="str">
        <f t="shared" si="145"/>
        <v/>
      </c>
    </row>
    <row r="4116" spans="1:8">
      <c r="A4116" s="2"/>
      <c r="B4116" s="12"/>
      <c r="C4116" s="12"/>
      <c r="E4116" t="str">
        <f>IF(LEN(D4116)=0,"",[1]!i_pq_tradedays($B$3,A4117,A4116)-1)</f>
        <v/>
      </c>
      <c r="G4116" s="16" t="str">
        <f t="shared" si="144"/>
        <v/>
      </c>
      <c r="H4116" s="70" t="str">
        <f t="shared" si="145"/>
        <v/>
      </c>
    </row>
    <row r="4117" spans="1:8">
      <c r="A4117" s="2"/>
      <c r="B4117" s="12"/>
      <c r="C4117" s="12"/>
      <c r="E4117" t="str">
        <f>IF(LEN(D4117)=0,"",[1]!i_pq_tradedays($B$3,A4118,A4117)-1)</f>
        <v/>
      </c>
      <c r="G4117" s="16" t="str">
        <f t="shared" si="144"/>
        <v/>
      </c>
      <c r="H4117" s="70" t="str">
        <f t="shared" si="145"/>
        <v/>
      </c>
    </row>
    <row r="4118" spans="1:8">
      <c r="A4118" s="2"/>
      <c r="B4118" s="12"/>
      <c r="C4118" s="12"/>
      <c r="E4118" t="str">
        <f>IF(LEN(D4118)=0,"",[1]!i_pq_tradedays($B$3,A4119,A4118)-1)</f>
        <v/>
      </c>
      <c r="G4118" s="16" t="str">
        <f t="shared" si="144"/>
        <v/>
      </c>
      <c r="H4118" s="70" t="str">
        <f t="shared" si="145"/>
        <v/>
      </c>
    </row>
    <row r="4119" spans="1:8">
      <c r="A4119" s="2"/>
      <c r="B4119" s="12"/>
      <c r="C4119" s="12"/>
      <c r="E4119" t="str">
        <f>IF(LEN(D4119)=0,"",[1]!i_pq_tradedays($B$3,A4120,A4119)-1)</f>
        <v/>
      </c>
      <c r="G4119" s="16" t="str">
        <f t="shared" si="144"/>
        <v/>
      </c>
      <c r="H4119" s="70" t="str">
        <f t="shared" si="145"/>
        <v/>
      </c>
    </row>
    <row r="4120" spans="1:8">
      <c r="A4120" s="2"/>
      <c r="B4120" s="12"/>
      <c r="C4120" s="12"/>
      <c r="E4120" t="str">
        <f>IF(LEN(D4120)=0,"",[1]!i_pq_tradedays($B$3,A4121,A4120)-1)</f>
        <v/>
      </c>
      <c r="G4120" s="16" t="str">
        <f t="shared" si="144"/>
        <v/>
      </c>
      <c r="H4120" s="70" t="str">
        <f t="shared" si="145"/>
        <v/>
      </c>
    </row>
    <row r="4121" spans="1:8">
      <c r="A4121" s="2"/>
      <c r="B4121" s="12"/>
      <c r="C4121" s="12"/>
      <c r="E4121" t="str">
        <f>IF(LEN(D4121)=0,"",[1]!i_pq_tradedays($B$3,A4122,A4121)-1)</f>
        <v/>
      </c>
      <c r="G4121" s="16" t="str">
        <f t="shared" si="144"/>
        <v/>
      </c>
      <c r="H4121" s="70" t="str">
        <f t="shared" si="145"/>
        <v/>
      </c>
    </row>
    <row r="4122" spans="1:8">
      <c r="A4122" s="2"/>
      <c r="B4122" s="12"/>
      <c r="C4122" s="12"/>
      <c r="E4122" t="str">
        <f>IF(LEN(D4122)=0,"",[1]!i_pq_tradedays($B$3,A4123,A4122)-1)</f>
        <v/>
      </c>
      <c r="G4122" s="16" t="str">
        <f t="shared" si="144"/>
        <v/>
      </c>
      <c r="H4122" s="70" t="str">
        <f t="shared" si="145"/>
        <v/>
      </c>
    </row>
    <row r="4123" spans="1:8">
      <c r="A4123" s="2"/>
      <c r="B4123" s="12"/>
      <c r="C4123" s="12"/>
      <c r="E4123" t="str">
        <f>IF(LEN(D4123)=0,"",[1]!i_pq_tradedays($B$3,A4124,A4123)-1)</f>
        <v/>
      </c>
      <c r="G4123" s="16" t="str">
        <f t="shared" si="144"/>
        <v/>
      </c>
      <c r="H4123" s="70" t="str">
        <f t="shared" si="145"/>
        <v/>
      </c>
    </row>
    <row r="4124" spans="1:8">
      <c r="A4124" s="2"/>
      <c r="B4124" s="12"/>
      <c r="C4124" s="12"/>
      <c r="E4124" t="str">
        <f>IF(LEN(D4124)=0,"",[1]!i_pq_tradedays($B$3,A4125,A4124)-1)</f>
        <v/>
      </c>
      <c r="G4124" s="16" t="str">
        <f t="shared" si="144"/>
        <v/>
      </c>
      <c r="H4124" s="70" t="str">
        <f t="shared" si="145"/>
        <v/>
      </c>
    </row>
    <row r="4125" spans="1:8">
      <c r="A4125" s="2"/>
      <c r="B4125" s="12"/>
      <c r="C4125" s="12"/>
      <c r="E4125" t="str">
        <f>IF(LEN(D4125)=0,"",[1]!i_pq_tradedays($B$3,A4126,A4125)-1)</f>
        <v/>
      </c>
      <c r="G4125" s="16" t="str">
        <f t="shared" si="144"/>
        <v/>
      </c>
      <c r="H4125" s="70" t="str">
        <f t="shared" si="145"/>
        <v/>
      </c>
    </row>
    <row r="4126" spans="1:8">
      <c r="A4126" s="2"/>
      <c r="B4126" s="12"/>
      <c r="C4126" s="12"/>
      <c r="E4126" t="str">
        <f>IF(LEN(D4126)=0,"",[1]!i_pq_tradedays($B$3,A4127,A4126)-1)</f>
        <v/>
      </c>
      <c r="G4126" s="16" t="str">
        <f t="shared" si="144"/>
        <v/>
      </c>
      <c r="H4126" s="70" t="str">
        <f t="shared" si="145"/>
        <v/>
      </c>
    </row>
    <row r="4127" spans="1:8">
      <c r="A4127" s="2"/>
      <c r="B4127" s="12"/>
      <c r="C4127" s="12"/>
      <c r="E4127" t="str">
        <f>IF(LEN(D4127)=0,"",[1]!i_pq_tradedays($B$3,A4128,A4127)-1)</f>
        <v/>
      </c>
      <c r="G4127" s="16" t="str">
        <f t="shared" si="144"/>
        <v/>
      </c>
      <c r="H4127" s="70" t="str">
        <f t="shared" si="145"/>
        <v/>
      </c>
    </row>
    <row r="4128" spans="1:8">
      <c r="A4128" s="2"/>
      <c r="B4128" s="12"/>
      <c r="C4128" s="12"/>
      <c r="E4128" t="str">
        <f>IF(LEN(D4128)=0,"",[1]!i_pq_tradedays($B$3,A4129,A4128)-1)</f>
        <v/>
      </c>
      <c r="G4128" s="16" t="str">
        <f t="shared" si="144"/>
        <v/>
      </c>
      <c r="H4128" s="70" t="str">
        <f t="shared" si="145"/>
        <v/>
      </c>
    </row>
    <row r="4129" spans="1:8">
      <c r="A4129" s="2"/>
      <c r="B4129" s="12"/>
      <c r="C4129" s="12"/>
      <c r="E4129" t="str">
        <f>IF(LEN(D4129)=0,"",[1]!i_pq_tradedays($B$3,A4130,A4129)-1)</f>
        <v/>
      </c>
      <c r="G4129" s="16" t="str">
        <f t="shared" si="144"/>
        <v/>
      </c>
      <c r="H4129" s="70" t="str">
        <f t="shared" si="145"/>
        <v/>
      </c>
    </row>
    <row r="4130" spans="1:8">
      <c r="A4130" s="2"/>
      <c r="B4130" s="12"/>
      <c r="C4130" s="12"/>
      <c r="E4130" t="str">
        <f>IF(LEN(D4130)=0,"",[1]!i_pq_tradedays($B$3,A4131,A4130)-1)</f>
        <v/>
      </c>
      <c r="G4130" s="16" t="str">
        <f t="shared" si="144"/>
        <v/>
      </c>
      <c r="H4130" s="70" t="str">
        <f t="shared" si="145"/>
        <v/>
      </c>
    </row>
    <row r="4131" spans="1:8">
      <c r="A4131" s="2"/>
      <c r="B4131" s="12"/>
      <c r="C4131" s="12"/>
      <c r="E4131" t="str">
        <f>IF(LEN(D4131)=0,"",[1]!i_pq_tradedays($B$3,A4132,A4131)-1)</f>
        <v/>
      </c>
      <c r="G4131" s="16" t="str">
        <f t="shared" si="144"/>
        <v/>
      </c>
      <c r="H4131" s="70" t="str">
        <f t="shared" si="145"/>
        <v/>
      </c>
    </row>
    <row r="4132" spans="1:8">
      <c r="A4132" s="2"/>
      <c r="B4132" s="12"/>
      <c r="C4132" s="12"/>
      <c r="E4132" t="str">
        <f>IF(LEN(D4132)=0,"",[1]!i_pq_tradedays($B$3,A4133,A4132)-1)</f>
        <v/>
      </c>
      <c r="G4132" s="16" t="str">
        <f t="shared" si="144"/>
        <v/>
      </c>
      <c r="H4132" s="70" t="str">
        <f t="shared" si="145"/>
        <v/>
      </c>
    </row>
    <row r="4133" spans="1:8">
      <c r="A4133" s="2"/>
      <c r="B4133" s="12"/>
      <c r="C4133" s="12"/>
      <c r="E4133" t="str">
        <f>IF(LEN(D4133)=0,"",[1]!i_pq_tradedays($B$3,A4134,A4133)-1)</f>
        <v/>
      </c>
      <c r="G4133" s="16" t="str">
        <f t="shared" si="144"/>
        <v/>
      </c>
      <c r="H4133" s="70" t="str">
        <f t="shared" si="145"/>
        <v/>
      </c>
    </row>
    <row r="4134" spans="1:8">
      <c r="A4134" s="2"/>
      <c r="B4134" s="12"/>
      <c r="C4134" s="12"/>
      <c r="E4134" t="str">
        <f>IF(LEN(D4134)=0,"",[1]!i_pq_tradedays($B$3,A4135,A4134)-1)</f>
        <v/>
      </c>
      <c r="G4134" s="16" t="str">
        <f t="shared" si="144"/>
        <v/>
      </c>
      <c r="H4134" s="70" t="str">
        <f t="shared" si="145"/>
        <v/>
      </c>
    </row>
    <row r="4135" spans="1:8">
      <c r="A4135" s="2"/>
      <c r="B4135" s="12"/>
      <c r="C4135" s="12"/>
      <c r="E4135" t="str">
        <f>IF(LEN(D4135)=0,"",[1]!i_pq_tradedays($B$3,A4136,A4135)-1)</f>
        <v/>
      </c>
      <c r="G4135" s="16" t="str">
        <f t="shared" si="144"/>
        <v/>
      </c>
      <c r="H4135" s="70" t="str">
        <f t="shared" si="145"/>
        <v/>
      </c>
    </row>
    <row r="4136" spans="1:8">
      <c r="A4136" s="2"/>
      <c r="B4136" s="12"/>
      <c r="C4136" s="12"/>
      <c r="E4136" t="str">
        <f>IF(LEN(D4136)=0,"",[1]!i_pq_tradedays($B$3,A4137,A4136)-1)</f>
        <v/>
      </c>
      <c r="G4136" s="16" t="str">
        <f t="shared" si="144"/>
        <v/>
      </c>
      <c r="H4136" s="70" t="str">
        <f t="shared" si="145"/>
        <v/>
      </c>
    </row>
    <row r="4137" spans="1:8">
      <c r="A4137" s="2"/>
      <c r="B4137" s="12"/>
      <c r="C4137" s="12"/>
      <c r="E4137" t="str">
        <f>IF(LEN(D4137)=0,"",[1]!i_pq_tradedays($B$3,A4138,A4137)-1)</f>
        <v/>
      </c>
      <c r="G4137" s="16" t="str">
        <f t="shared" si="144"/>
        <v/>
      </c>
      <c r="H4137" s="70" t="str">
        <f t="shared" si="145"/>
        <v/>
      </c>
    </row>
    <row r="4138" spans="1:8">
      <c r="A4138" s="2"/>
      <c r="B4138" s="12"/>
      <c r="C4138" s="12"/>
      <c r="E4138" t="str">
        <f>IF(LEN(D4138)=0,"",[1]!i_pq_tradedays($B$3,A4139,A4138)-1)</f>
        <v/>
      </c>
      <c r="G4138" s="16" t="str">
        <f t="shared" si="144"/>
        <v/>
      </c>
      <c r="H4138" s="70" t="str">
        <f t="shared" si="145"/>
        <v/>
      </c>
    </row>
    <row r="4139" spans="1:8">
      <c r="A4139" s="2"/>
      <c r="B4139" s="12"/>
      <c r="C4139" s="12"/>
      <c r="E4139" t="str">
        <f>IF(LEN(D4139)=0,"",[1]!i_pq_tradedays($B$3,A4140,A4139)-1)</f>
        <v/>
      </c>
      <c r="G4139" s="16" t="str">
        <f t="shared" si="144"/>
        <v/>
      </c>
      <c r="H4139" s="70" t="str">
        <f t="shared" si="145"/>
        <v/>
      </c>
    </row>
    <row r="4140" spans="1:8">
      <c r="A4140" s="2"/>
      <c r="B4140" s="12"/>
      <c r="C4140" s="12"/>
      <c r="E4140" t="str">
        <f>IF(LEN(D4140)=0,"",[1]!i_pq_tradedays($B$3,A4141,A4140)-1)</f>
        <v/>
      </c>
      <c r="G4140" s="16" t="str">
        <f t="shared" si="144"/>
        <v/>
      </c>
      <c r="H4140" s="70" t="str">
        <f t="shared" si="145"/>
        <v/>
      </c>
    </row>
    <row r="4141" spans="1:8">
      <c r="A4141" s="2"/>
      <c r="B4141" s="12"/>
      <c r="C4141" s="12"/>
      <c r="E4141" t="str">
        <f>IF(LEN(D4141)=0,"",[1]!i_pq_tradedays($B$3,A4142,A4141)-1)</f>
        <v/>
      </c>
      <c r="G4141" s="16" t="str">
        <f t="shared" si="144"/>
        <v/>
      </c>
      <c r="H4141" s="70" t="str">
        <f t="shared" si="145"/>
        <v/>
      </c>
    </row>
    <row r="4142" spans="1:8">
      <c r="A4142" s="2"/>
      <c r="B4142" s="12"/>
      <c r="C4142" s="12"/>
      <c r="E4142" t="str">
        <f>IF(LEN(D4142)=0,"",[1]!i_pq_tradedays($B$3,A4143,A4142)-1)</f>
        <v/>
      </c>
      <c r="G4142" s="16" t="str">
        <f t="shared" si="144"/>
        <v/>
      </c>
      <c r="H4142" s="70" t="str">
        <f t="shared" si="145"/>
        <v/>
      </c>
    </row>
    <row r="4143" spans="1:8">
      <c r="A4143" s="2"/>
      <c r="B4143" s="12"/>
      <c r="C4143" s="12"/>
      <c r="E4143" t="str">
        <f>IF(LEN(D4143)=0,"",[1]!i_pq_tradedays($B$3,A4144,A4143)-1)</f>
        <v/>
      </c>
      <c r="G4143" s="16" t="str">
        <f t="shared" si="144"/>
        <v/>
      </c>
      <c r="H4143" s="70" t="str">
        <f t="shared" si="145"/>
        <v/>
      </c>
    </row>
    <row r="4144" spans="1:8">
      <c r="A4144" s="2"/>
      <c r="B4144" s="12"/>
      <c r="C4144" s="12"/>
      <c r="E4144" t="str">
        <f>IF(LEN(D4144)=0,"",[1]!i_pq_tradedays($B$3,A4145,A4144)-1)</f>
        <v/>
      </c>
      <c r="G4144" s="16" t="str">
        <f t="shared" si="144"/>
        <v/>
      </c>
      <c r="H4144" s="70" t="str">
        <f t="shared" si="145"/>
        <v/>
      </c>
    </row>
    <row r="4145" spans="1:8">
      <c r="A4145" s="2"/>
      <c r="B4145" s="12"/>
      <c r="C4145" s="12"/>
      <c r="E4145" t="str">
        <f>IF(LEN(D4145)=0,"",[1]!i_pq_tradedays($B$3,A4146,A4145)-1)</f>
        <v/>
      </c>
      <c r="G4145" s="16" t="str">
        <f t="shared" si="144"/>
        <v/>
      </c>
      <c r="H4145" s="70" t="str">
        <f t="shared" si="145"/>
        <v/>
      </c>
    </row>
    <row r="4146" spans="1:8">
      <c r="A4146" s="2"/>
      <c r="B4146" s="12"/>
      <c r="C4146" s="12"/>
      <c r="E4146" t="str">
        <f>IF(LEN(D4146)=0,"",[1]!i_pq_tradedays($B$3,A4147,A4146)-1)</f>
        <v/>
      </c>
      <c r="G4146" s="16" t="str">
        <f t="shared" si="144"/>
        <v/>
      </c>
      <c r="H4146" s="70" t="str">
        <f t="shared" si="145"/>
        <v/>
      </c>
    </row>
    <row r="4147" spans="1:8">
      <c r="A4147" s="2"/>
      <c r="B4147" s="12"/>
      <c r="C4147" s="12"/>
      <c r="E4147" t="str">
        <f>IF(LEN(D4147)=0,"",[1]!i_pq_tradedays($B$3,A4148,A4147)-1)</f>
        <v/>
      </c>
      <c r="G4147" s="16" t="str">
        <f t="shared" si="144"/>
        <v/>
      </c>
      <c r="H4147" s="70" t="str">
        <f t="shared" si="145"/>
        <v/>
      </c>
    </row>
    <row r="4148" spans="1:8">
      <c r="A4148" s="2"/>
      <c r="B4148" s="12"/>
      <c r="C4148" s="12"/>
      <c r="E4148" t="str">
        <f>IF(LEN(D4148)=0,"",[1]!i_pq_tradedays($B$3,A4149,A4148)-1)</f>
        <v/>
      </c>
      <c r="G4148" s="16" t="str">
        <f t="shared" si="144"/>
        <v/>
      </c>
      <c r="H4148" s="70" t="str">
        <f t="shared" si="145"/>
        <v/>
      </c>
    </row>
    <row r="4149" spans="1:8">
      <c r="A4149" s="2"/>
      <c r="B4149" s="12"/>
      <c r="C4149" s="12"/>
      <c r="E4149" t="str">
        <f>IF(LEN(D4149)=0,"",[1]!i_pq_tradedays($B$3,A4150,A4149)-1)</f>
        <v/>
      </c>
      <c r="G4149" s="16" t="str">
        <f t="shared" ref="G4149:G4212" si="146">IF(LEN(D4149)=0,"",D4149/E4149)</f>
        <v/>
      </c>
      <c r="H4149" s="70" t="str">
        <f t="shared" ref="H4149:H4212" si="147">IF(LEN(D4149)=0,"",G4149/G4150-1)</f>
        <v/>
      </c>
    </row>
    <row r="4150" spans="1:8">
      <c r="A4150" s="2"/>
      <c r="B4150" s="12"/>
      <c r="C4150" s="12"/>
      <c r="E4150" t="str">
        <f>IF(LEN(D4150)=0,"",[1]!i_pq_tradedays($B$3,A4151,A4150)-1)</f>
        <v/>
      </c>
      <c r="G4150" s="16" t="str">
        <f t="shared" si="146"/>
        <v/>
      </c>
      <c r="H4150" s="70" t="str">
        <f t="shared" si="147"/>
        <v/>
      </c>
    </row>
    <row r="4151" spans="1:8">
      <c r="A4151" s="2"/>
      <c r="B4151" s="12"/>
      <c r="C4151" s="12"/>
      <c r="E4151" t="str">
        <f>IF(LEN(D4151)=0,"",[1]!i_pq_tradedays($B$3,A4152,A4151)-1)</f>
        <v/>
      </c>
      <c r="G4151" s="16" t="str">
        <f t="shared" si="146"/>
        <v/>
      </c>
      <c r="H4151" s="70" t="str">
        <f t="shared" si="147"/>
        <v/>
      </c>
    </row>
    <row r="4152" spans="1:8">
      <c r="A4152" s="2"/>
      <c r="B4152" s="12"/>
      <c r="C4152" s="12"/>
      <c r="E4152" t="str">
        <f>IF(LEN(D4152)=0,"",[1]!i_pq_tradedays($B$3,A4153,A4152)-1)</f>
        <v/>
      </c>
      <c r="G4152" s="16" t="str">
        <f t="shared" si="146"/>
        <v/>
      </c>
      <c r="H4152" s="70" t="str">
        <f t="shared" si="147"/>
        <v/>
      </c>
    </row>
    <row r="4153" spans="1:8">
      <c r="A4153" s="2"/>
      <c r="B4153" s="12"/>
      <c r="C4153" s="12"/>
      <c r="E4153" t="str">
        <f>IF(LEN(D4153)=0,"",[1]!i_pq_tradedays($B$3,A4154,A4153)-1)</f>
        <v/>
      </c>
      <c r="G4153" s="16" t="str">
        <f t="shared" si="146"/>
        <v/>
      </c>
      <c r="H4153" s="70" t="str">
        <f t="shared" si="147"/>
        <v/>
      </c>
    </row>
    <row r="4154" spans="1:8">
      <c r="A4154" s="2"/>
      <c r="B4154" s="12"/>
      <c r="C4154" s="12"/>
      <c r="E4154" t="str">
        <f>IF(LEN(D4154)=0,"",[1]!i_pq_tradedays($B$3,A4155,A4154)-1)</f>
        <v/>
      </c>
      <c r="G4154" s="16" t="str">
        <f t="shared" si="146"/>
        <v/>
      </c>
      <c r="H4154" s="70" t="str">
        <f t="shared" si="147"/>
        <v/>
      </c>
    </row>
    <row r="4155" spans="1:8">
      <c r="A4155" s="2"/>
      <c r="B4155" s="12"/>
      <c r="C4155" s="12"/>
      <c r="E4155" t="str">
        <f>IF(LEN(D4155)=0,"",[1]!i_pq_tradedays($B$3,A4156,A4155)-1)</f>
        <v/>
      </c>
      <c r="G4155" s="16" t="str">
        <f t="shared" si="146"/>
        <v/>
      </c>
      <c r="H4155" s="70" t="str">
        <f t="shared" si="147"/>
        <v/>
      </c>
    </row>
    <row r="4156" spans="1:8">
      <c r="A4156" s="2"/>
      <c r="B4156" s="12"/>
      <c r="C4156" s="12"/>
      <c r="E4156" t="str">
        <f>IF(LEN(D4156)=0,"",[1]!i_pq_tradedays($B$3,A4157,A4156)-1)</f>
        <v/>
      </c>
      <c r="G4156" s="16" t="str">
        <f t="shared" si="146"/>
        <v/>
      </c>
      <c r="H4156" s="70" t="str">
        <f t="shared" si="147"/>
        <v/>
      </c>
    </row>
    <row r="4157" spans="1:8">
      <c r="A4157" s="2"/>
      <c r="B4157" s="12"/>
      <c r="C4157" s="12"/>
      <c r="E4157" t="str">
        <f>IF(LEN(D4157)=0,"",[1]!i_pq_tradedays($B$3,A4158,A4157)-1)</f>
        <v/>
      </c>
      <c r="G4157" s="16" t="str">
        <f t="shared" si="146"/>
        <v/>
      </c>
      <c r="H4157" s="70" t="str">
        <f t="shared" si="147"/>
        <v/>
      </c>
    </row>
    <row r="4158" spans="1:8">
      <c r="A4158" s="2"/>
      <c r="B4158" s="12"/>
      <c r="C4158" s="12"/>
      <c r="E4158" t="str">
        <f>IF(LEN(D4158)=0,"",[1]!i_pq_tradedays($B$3,A4159,A4158)-1)</f>
        <v/>
      </c>
      <c r="G4158" s="16" t="str">
        <f t="shared" si="146"/>
        <v/>
      </c>
      <c r="H4158" s="70" t="str">
        <f t="shared" si="147"/>
        <v/>
      </c>
    </row>
    <row r="4159" spans="1:8">
      <c r="A4159" s="2"/>
      <c r="B4159" s="12"/>
      <c r="C4159" s="12"/>
      <c r="E4159" t="str">
        <f>IF(LEN(D4159)=0,"",[1]!i_pq_tradedays($B$3,A4160,A4159)-1)</f>
        <v/>
      </c>
      <c r="G4159" s="16" t="str">
        <f t="shared" si="146"/>
        <v/>
      </c>
      <c r="H4159" s="70" t="str">
        <f t="shared" si="147"/>
        <v/>
      </c>
    </row>
    <row r="4160" spans="1:8">
      <c r="A4160" s="2"/>
      <c r="B4160" s="12"/>
      <c r="C4160" s="12"/>
      <c r="E4160" t="str">
        <f>IF(LEN(D4160)=0,"",[1]!i_pq_tradedays($B$3,A4161,A4160)-1)</f>
        <v/>
      </c>
      <c r="G4160" s="16" t="str">
        <f t="shared" si="146"/>
        <v/>
      </c>
      <c r="H4160" s="70" t="str">
        <f t="shared" si="147"/>
        <v/>
      </c>
    </row>
    <row r="4161" spans="1:8">
      <c r="A4161" s="2"/>
      <c r="B4161" s="12"/>
      <c r="C4161" s="12"/>
      <c r="E4161" t="str">
        <f>IF(LEN(D4161)=0,"",[1]!i_pq_tradedays($B$3,A4162,A4161)-1)</f>
        <v/>
      </c>
      <c r="G4161" s="16" t="str">
        <f t="shared" si="146"/>
        <v/>
      </c>
      <c r="H4161" s="70" t="str">
        <f t="shared" si="147"/>
        <v/>
      </c>
    </row>
    <row r="4162" spans="1:8">
      <c r="A4162" s="2"/>
      <c r="B4162" s="12"/>
      <c r="C4162" s="12"/>
      <c r="E4162" t="str">
        <f>IF(LEN(D4162)=0,"",[1]!i_pq_tradedays($B$3,A4163,A4162)-1)</f>
        <v/>
      </c>
      <c r="G4162" s="16" t="str">
        <f t="shared" si="146"/>
        <v/>
      </c>
      <c r="H4162" s="70" t="str">
        <f t="shared" si="147"/>
        <v/>
      </c>
    </row>
    <row r="4163" spans="1:8">
      <c r="A4163" s="2"/>
      <c r="B4163" s="12"/>
      <c r="C4163" s="12"/>
      <c r="E4163" t="str">
        <f>IF(LEN(D4163)=0,"",[1]!i_pq_tradedays($B$3,A4164,A4163)-1)</f>
        <v/>
      </c>
      <c r="G4163" s="16" t="str">
        <f t="shared" si="146"/>
        <v/>
      </c>
      <c r="H4163" s="70" t="str">
        <f t="shared" si="147"/>
        <v/>
      </c>
    </row>
    <row r="4164" spans="1:8">
      <c r="A4164" s="2"/>
      <c r="B4164" s="12"/>
      <c r="C4164" s="12"/>
      <c r="E4164" t="str">
        <f>IF(LEN(D4164)=0,"",[1]!i_pq_tradedays($B$3,A4165,A4164)-1)</f>
        <v/>
      </c>
      <c r="G4164" s="16" t="str">
        <f t="shared" si="146"/>
        <v/>
      </c>
      <c r="H4164" s="70" t="str">
        <f t="shared" si="147"/>
        <v/>
      </c>
    </row>
    <row r="4165" spans="1:8">
      <c r="A4165" s="2"/>
      <c r="B4165" s="12"/>
      <c r="C4165" s="12"/>
      <c r="E4165" t="str">
        <f>IF(LEN(D4165)=0,"",[1]!i_pq_tradedays($B$3,A4166,A4165)-1)</f>
        <v/>
      </c>
      <c r="G4165" s="16" t="str">
        <f t="shared" si="146"/>
        <v/>
      </c>
      <c r="H4165" s="70" t="str">
        <f t="shared" si="147"/>
        <v/>
      </c>
    </row>
    <row r="4166" spans="1:8">
      <c r="A4166" s="2"/>
      <c r="B4166" s="12"/>
      <c r="C4166" s="12"/>
      <c r="E4166" t="str">
        <f>IF(LEN(D4166)=0,"",[1]!i_pq_tradedays($B$3,A4167,A4166)-1)</f>
        <v/>
      </c>
      <c r="G4166" s="16" t="str">
        <f t="shared" si="146"/>
        <v/>
      </c>
      <c r="H4166" s="70" t="str">
        <f t="shared" si="147"/>
        <v/>
      </c>
    </row>
    <row r="4167" spans="1:8">
      <c r="A4167" s="2"/>
      <c r="B4167" s="12"/>
      <c r="C4167" s="12"/>
      <c r="E4167" t="str">
        <f>IF(LEN(D4167)=0,"",[1]!i_pq_tradedays($B$3,A4168,A4167)-1)</f>
        <v/>
      </c>
      <c r="G4167" s="16" t="str">
        <f t="shared" si="146"/>
        <v/>
      </c>
      <c r="H4167" s="70" t="str">
        <f t="shared" si="147"/>
        <v/>
      </c>
    </row>
    <row r="4168" spans="1:8">
      <c r="A4168" s="2"/>
      <c r="B4168" s="12"/>
      <c r="C4168" s="12"/>
      <c r="E4168" t="str">
        <f>IF(LEN(D4168)=0,"",[1]!i_pq_tradedays($B$3,A4169,A4168)-1)</f>
        <v/>
      </c>
      <c r="G4168" s="16" t="str">
        <f t="shared" si="146"/>
        <v/>
      </c>
      <c r="H4168" s="70" t="str">
        <f t="shared" si="147"/>
        <v/>
      </c>
    </row>
    <row r="4169" spans="1:8">
      <c r="A4169" s="2"/>
      <c r="B4169" s="12"/>
      <c r="C4169" s="12"/>
      <c r="E4169" t="str">
        <f>IF(LEN(D4169)=0,"",[1]!i_pq_tradedays($B$3,A4170,A4169)-1)</f>
        <v/>
      </c>
      <c r="G4169" s="16" t="str">
        <f t="shared" si="146"/>
        <v/>
      </c>
      <c r="H4169" s="70" t="str">
        <f t="shared" si="147"/>
        <v/>
      </c>
    </row>
    <row r="4170" spans="1:8">
      <c r="A4170" s="2"/>
      <c r="B4170" s="12"/>
      <c r="C4170" s="12"/>
      <c r="E4170" t="str">
        <f>IF(LEN(D4170)=0,"",[1]!i_pq_tradedays($B$3,A4171,A4170)-1)</f>
        <v/>
      </c>
      <c r="G4170" s="16" t="str">
        <f t="shared" si="146"/>
        <v/>
      </c>
      <c r="H4170" s="70" t="str">
        <f t="shared" si="147"/>
        <v/>
      </c>
    </row>
    <row r="4171" spans="1:8">
      <c r="A4171" s="2"/>
      <c r="B4171" s="12"/>
      <c r="C4171" s="12"/>
      <c r="E4171" t="str">
        <f>IF(LEN(D4171)=0,"",[1]!i_pq_tradedays($B$3,A4172,A4171)-1)</f>
        <v/>
      </c>
      <c r="G4171" s="16" t="str">
        <f t="shared" si="146"/>
        <v/>
      </c>
      <c r="H4171" s="70" t="str">
        <f t="shared" si="147"/>
        <v/>
      </c>
    </row>
    <row r="4172" spans="1:8">
      <c r="A4172" s="2"/>
      <c r="B4172" s="12"/>
      <c r="C4172" s="12"/>
      <c r="E4172" t="str">
        <f>IF(LEN(D4172)=0,"",[1]!i_pq_tradedays($B$3,A4173,A4172)-1)</f>
        <v/>
      </c>
      <c r="G4172" s="16" t="str">
        <f t="shared" si="146"/>
        <v/>
      </c>
      <c r="H4172" s="70" t="str">
        <f t="shared" si="147"/>
        <v/>
      </c>
    </row>
    <row r="4173" spans="1:8">
      <c r="A4173" s="2"/>
      <c r="B4173" s="12"/>
      <c r="C4173" s="12"/>
      <c r="E4173" t="str">
        <f>IF(LEN(D4173)=0,"",[1]!i_pq_tradedays($B$3,A4174,A4173)-1)</f>
        <v/>
      </c>
      <c r="G4173" s="16" t="str">
        <f t="shared" si="146"/>
        <v/>
      </c>
      <c r="H4173" s="70" t="str">
        <f t="shared" si="147"/>
        <v/>
      </c>
    </row>
    <row r="4174" spans="1:8">
      <c r="A4174" s="2"/>
      <c r="B4174" s="12"/>
      <c r="C4174" s="12"/>
      <c r="E4174" t="str">
        <f>IF(LEN(D4174)=0,"",[1]!i_pq_tradedays($B$3,A4175,A4174)-1)</f>
        <v/>
      </c>
      <c r="G4174" s="16" t="str">
        <f t="shared" si="146"/>
        <v/>
      </c>
      <c r="H4174" s="70" t="str">
        <f t="shared" si="147"/>
        <v/>
      </c>
    </row>
    <row r="4175" spans="1:8">
      <c r="A4175" s="2"/>
      <c r="B4175" s="12"/>
      <c r="C4175" s="12"/>
      <c r="E4175" t="str">
        <f>IF(LEN(D4175)=0,"",[1]!i_pq_tradedays($B$3,A4176,A4175)-1)</f>
        <v/>
      </c>
      <c r="G4175" s="16" t="str">
        <f t="shared" si="146"/>
        <v/>
      </c>
      <c r="H4175" s="70" t="str">
        <f t="shared" si="147"/>
        <v/>
      </c>
    </row>
    <row r="4176" spans="1:8">
      <c r="A4176" s="2"/>
      <c r="B4176" s="12"/>
      <c r="C4176" s="12"/>
      <c r="E4176" t="str">
        <f>IF(LEN(D4176)=0,"",[1]!i_pq_tradedays($B$3,A4177,A4176)-1)</f>
        <v/>
      </c>
      <c r="G4176" s="16" t="str">
        <f t="shared" si="146"/>
        <v/>
      </c>
      <c r="H4176" s="70" t="str">
        <f t="shared" si="147"/>
        <v/>
      </c>
    </row>
    <row r="4177" spans="1:8">
      <c r="A4177" s="2"/>
      <c r="B4177" s="12"/>
      <c r="C4177" s="12"/>
      <c r="E4177" t="str">
        <f>IF(LEN(D4177)=0,"",[1]!i_pq_tradedays($B$3,A4178,A4177)-1)</f>
        <v/>
      </c>
      <c r="G4177" s="16" t="str">
        <f t="shared" si="146"/>
        <v/>
      </c>
      <c r="H4177" s="70" t="str">
        <f t="shared" si="147"/>
        <v/>
      </c>
    </row>
    <row r="4178" spans="1:8">
      <c r="A4178" s="2"/>
      <c r="B4178" s="12"/>
      <c r="C4178" s="12"/>
      <c r="E4178" t="str">
        <f>IF(LEN(D4178)=0,"",[1]!i_pq_tradedays($B$3,A4179,A4178)-1)</f>
        <v/>
      </c>
      <c r="G4178" s="16" t="str">
        <f t="shared" si="146"/>
        <v/>
      </c>
      <c r="H4178" s="70" t="str">
        <f t="shared" si="147"/>
        <v/>
      </c>
    </row>
    <row r="4179" spans="1:8">
      <c r="A4179" s="2"/>
      <c r="B4179" s="12"/>
      <c r="C4179" s="12"/>
      <c r="E4179" t="str">
        <f>IF(LEN(D4179)=0,"",[1]!i_pq_tradedays($B$3,A4180,A4179)-1)</f>
        <v/>
      </c>
      <c r="G4179" s="16" t="str">
        <f t="shared" si="146"/>
        <v/>
      </c>
      <c r="H4179" s="70" t="str">
        <f t="shared" si="147"/>
        <v/>
      </c>
    </row>
    <row r="4180" spans="1:8">
      <c r="A4180" s="2"/>
      <c r="B4180" s="12"/>
      <c r="C4180" s="12"/>
      <c r="E4180" t="str">
        <f>IF(LEN(D4180)=0,"",[1]!i_pq_tradedays($B$3,A4181,A4180)-1)</f>
        <v/>
      </c>
      <c r="G4180" s="16" t="str">
        <f t="shared" si="146"/>
        <v/>
      </c>
      <c r="H4180" s="70" t="str">
        <f t="shared" si="147"/>
        <v/>
      </c>
    </row>
    <row r="4181" spans="1:8">
      <c r="A4181" s="2"/>
      <c r="B4181" s="12"/>
      <c r="C4181" s="12"/>
      <c r="E4181" t="str">
        <f>IF(LEN(D4181)=0,"",[1]!i_pq_tradedays($B$3,A4182,A4181)-1)</f>
        <v/>
      </c>
      <c r="G4181" s="16" t="str">
        <f t="shared" si="146"/>
        <v/>
      </c>
      <c r="H4181" s="70" t="str">
        <f t="shared" si="147"/>
        <v/>
      </c>
    </row>
    <row r="4182" spans="1:8">
      <c r="A4182" s="2"/>
      <c r="B4182" s="12"/>
      <c r="C4182" s="12"/>
      <c r="E4182" t="str">
        <f>IF(LEN(D4182)=0,"",[1]!i_pq_tradedays($B$3,A4183,A4182)-1)</f>
        <v/>
      </c>
      <c r="G4182" s="16" t="str">
        <f t="shared" si="146"/>
        <v/>
      </c>
      <c r="H4182" s="70" t="str">
        <f t="shared" si="147"/>
        <v/>
      </c>
    </row>
    <row r="4183" spans="1:8">
      <c r="A4183" s="2"/>
      <c r="B4183" s="12"/>
      <c r="C4183" s="12"/>
      <c r="E4183" t="str">
        <f>IF(LEN(D4183)=0,"",[1]!i_pq_tradedays($B$3,A4184,A4183)-1)</f>
        <v/>
      </c>
      <c r="G4183" s="16" t="str">
        <f t="shared" si="146"/>
        <v/>
      </c>
      <c r="H4183" s="70" t="str">
        <f t="shared" si="147"/>
        <v/>
      </c>
    </row>
    <row r="4184" spans="1:8">
      <c r="A4184" s="2"/>
      <c r="B4184" s="12"/>
      <c r="C4184" s="12"/>
      <c r="E4184" t="str">
        <f>IF(LEN(D4184)=0,"",[1]!i_pq_tradedays($B$3,A4185,A4184)-1)</f>
        <v/>
      </c>
      <c r="G4184" s="16" t="str">
        <f t="shared" si="146"/>
        <v/>
      </c>
      <c r="H4184" s="70" t="str">
        <f t="shared" si="147"/>
        <v/>
      </c>
    </row>
    <row r="4185" spans="1:8">
      <c r="A4185" s="2"/>
      <c r="B4185" s="12"/>
      <c r="C4185" s="12"/>
      <c r="E4185" t="str">
        <f>IF(LEN(D4185)=0,"",[1]!i_pq_tradedays($B$3,A4186,A4185)-1)</f>
        <v/>
      </c>
      <c r="G4185" s="16" t="str">
        <f t="shared" si="146"/>
        <v/>
      </c>
      <c r="H4185" s="70" t="str">
        <f t="shared" si="147"/>
        <v/>
      </c>
    </row>
    <row r="4186" spans="1:8">
      <c r="A4186" s="2"/>
      <c r="B4186" s="12"/>
      <c r="C4186" s="12"/>
      <c r="E4186" t="str">
        <f>IF(LEN(D4186)=0,"",[1]!i_pq_tradedays($B$3,A4187,A4186)-1)</f>
        <v/>
      </c>
      <c r="G4186" s="16" t="str">
        <f t="shared" si="146"/>
        <v/>
      </c>
      <c r="H4186" s="70" t="str">
        <f t="shared" si="147"/>
        <v/>
      </c>
    </row>
    <row r="4187" spans="1:8">
      <c r="A4187" s="2"/>
      <c r="B4187" s="12"/>
      <c r="C4187" s="12"/>
      <c r="E4187" t="str">
        <f>IF(LEN(D4187)=0,"",[1]!i_pq_tradedays($B$3,A4188,A4187)-1)</f>
        <v/>
      </c>
      <c r="G4187" s="16" t="str">
        <f t="shared" si="146"/>
        <v/>
      </c>
      <c r="H4187" s="70" t="str">
        <f t="shared" si="147"/>
        <v/>
      </c>
    </row>
    <row r="4188" spans="1:8">
      <c r="A4188" s="2"/>
      <c r="B4188" s="12"/>
      <c r="C4188" s="12"/>
      <c r="E4188" t="str">
        <f>IF(LEN(D4188)=0,"",[1]!i_pq_tradedays($B$3,A4189,A4188)-1)</f>
        <v/>
      </c>
      <c r="G4188" s="16" t="str">
        <f t="shared" si="146"/>
        <v/>
      </c>
      <c r="H4188" s="70" t="str">
        <f t="shared" si="147"/>
        <v/>
      </c>
    </row>
    <row r="4189" spans="1:8">
      <c r="A4189" s="2"/>
      <c r="B4189" s="12"/>
      <c r="C4189" s="12"/>
      <c r="E4189" t="str">
        <f>IF(LEN(D4189)=0,"",[1]!i_pq_tradedays($B$3,A4190,A4189)-1)</f>
        <v/>
      </c>
      <c r="G4189" s="16" t="str">
        <f t="shared" si="146"/>
        <v/>
      </c>
      <c r="H4189" s="70" t="str">
        <f t="shared" si="147"/>
        <v/>
      </c>
    </row>
    <row r="4190" spans="1:8">
      <c r="A4190" s="2"/>
      <c r="B4190" s="12"/>
      <c r="C4190" s="12"/>
      <c r="E4190" t="str">
        <f>IF(LEN(D4190)=0,"",[1]!i_pq_tradedays($B$3,A4191,A4190)-1)</f>
        <v/>
      </c>
      <c r="G4190" s="16" t="str">
        <f t="shared" si="146"/>
        <v/>
      </c>
      <c r="H4190" s="70" t="str">
        <f t="shared" si="147"/>
        <v/>
      </c>
    </row>
    <row r="4191" spans="1:8">
      <c r="A4191" s="2"/>
      <c r="B4191" s="12"/>
      <c r="C4191" s="12"/>
      <c r="E4191" t="str">
        <f>IF(LEN(D4191)=0,"",[1]!i_pq_tradedays($B$3,A4192,A4191)-1)</f>
        <v/>
      </c>
      <c r="G4191" s="16" t="str">
        <f t="shared" si="146"/>
        <v/>
      </c>
      <c r="H4191" s="70" t="str">
        <f t="shared" si="147"/>
        <v/>
      </c>
    </row>
    <row r="4192" spans="1:8">
      <c r="A4192" s="2"/>
      <c r="B4192" s="12"/>
      <c r="C4192" s="12"/>
      <c r="E4192" t="str">
        <f>IF(LEN(D4192)=0,"",[1]!i_pq_tradedays($B$3,A4193,A4192)-1)</f>
        <v/>
      </c>
      <c r="G4192" s="16" t="str">
        <f t="shared" si="146"/>
        <v/>
      </c>
      <c r="H4192" s="70" t="str">
        <f t="shared" si="147"/>
        <v/>
      </c>
    </row>
    <row r="4193" spans="1:8">
      <c r="A4193" s="2"/>
      <c r="B4193" s="12"/>
      <c r="C4193" s="12"/>
      <c r="E4193" t="str">
        <f>IF(LEN(D4193)=0,"",[1]!i_pq_tradedays($B$3,A4194,A4193)-1)</f>
        <v/>
      </c>
      <c r="G4193" s="16" t="str">
        <f t="shared" si="146"/>
        <v/>
      </c>
      <c r="H4193" s="70" t="str">
        <f t="shared" si="147"/>
        <v/>
      </c>
    </row>
    <row r="4194" spans="1:8">
      <c r="A4194" s="2"/>
      <c r="B4194" s="12"/>
      <c r="C4194" s="12"/>
      <c r="E4194" t="str">
        <f>IF(LEN(D4194)=0,"",[1]!i_pq_tradedays($B$3,A4195,A4194)-1)</f>
        <v/>
      </c>
      <c r="G4194" s="16" t="str">
        <f t="shared" si="146"/>
        <v/>
      </c>
      <c r="H4194" s="70" t="str">
        <f t="shared" si="147"/>
        <v/>
      </c>
    </row>
    <row r="4195" spans="1:8">
      <c r="A4195" s="2"/>
      <c r="B4195" s="12"/>
      <c r="C4195" s="12"/>
      <c r="E4195" t="str">
        <f>IF(LEN(D4195)=0,"",[1]!i_pq_tradedays($B$3,A4196,A4195)-1)</f>
        <v/>
      </c>
      <c r="G4195" s="16" t="str">
        <f t="shared" si="146"/>
        <v/>
      </c>
      <c r="H4195" s="70" t="str">
        <f t="shared" si="147"/>
        <v/>
      </c>
    </row>
    <row r="4196" spans="1:8">
      <c r="A4196" s="2"/>
      <c r="B4196" s="12"/>
      <c r="C4196" s="12"/>
      <c r="E4196" t="str">
        <f>IF(LEN(D4196)=0,"",[1]!i_pq_tradedays($B$3,A4197,A4196)-1)</f>
        <v/>
      </c>
      <c r="G4196" s="16" t="str">
        <f t="shared" si="146"/>
        <v/>
      </c>
      <c r="H4196" s="70" t="str">
        <f t="shared" si="147"/>
        <v/>
      </c>
    </row>
    <row r="4197" spans="1:8">
      <c r="A4197" s="2"/>
      <c r="B4197" s="12"/>
      <c r="C4197" s="12"/>
      <c r="E4197" t="str">
        <f>IF(LEN(D4197)=0,"",[1]!i_pq_tradedays($B$3,A4198,A4197)-1)</f>
        <v/>
      </c>
      <c r="G4197" s="16" t="str">
        <f t="shared" si="146"/>
        <v/>
      </c>
      <c r="H4197" s="70" t="str">
        <f t="shared" si="147"/>
        <v/>
      </c>
    </row>
    <row r="4198" spans="1:8">
      <c r="A4198" s="2"/>
      <c r="B4198" s="12"/>
      <c r="C4198" s="12"/>
      <c r="E4198" t="str">
        <f>IF(LEN(D4198)=0,"",[1]!i_pq_tradedays($B$3,A4199,A4198)-1)</f>
        <v/>
      </c>
      <c r="G4198" s="16" t="str">
        <f t="shared" si="146"/>
        <v/>
      </c>
      <c r="H4198" s="70" t="str">
        <f t="shared" si="147"/>
        <v/>
      </c>
    </row>
    <row r="4199" spans="1:8">
      <c r="A4199" s="2"/>
      <c r="B4199" s="12"/>
      <c r="C4199" s="12"/>
      <c r="E4199" t="str">
        <f>IF(LEN(D4199)=0,"",[1]!i_pq_tradedays($B$3,A4200,A4199)-1)</f>
        <v/>
      </c>
      <c r="G4199" s="16" t="str">
        <f t="shared" si="146"/>
        <v/>
      </c>
      <c r="H4199" s="70" t="str">
        <f t="shared" si="147"/>
        <v/>
      </c>
    </row>
    <row r="4200" spans="1:8">
      <c r="A4200" s="2"/>
      <c r="B4200" s="12"/>
      <c r="C4200" s="12"/>
      <c r="E4200" t="str">
        <f>IF(LEN(D4200)=0,"",[1]!i_pq_tradedays($B$3,A4201,A4200)-1)</f>
        <v/>
      </c>
      <c r="G4200" s="16" t="str">
        <f t="shared" si="146"/>
        <v/>
      </c>
      <c r="H4200" s="70" t="str">
        <f t="shared" si="147"/>
        <v/>
      </c>
    </row>
    <row r="4201" spans="1:8">
      <c r="A4201" s="2"/>
      <c r="B4201" s="12"/>
      <c r="C4201" s="12"/>
      <c r="E4201" t="str">
        <f>IF(LEN(D4201)=0,"",[1]!i_pq_tradedays($B$3,A4202,A4201)-1)</f>
        <v/>
      </c>
      <c r="G4201" s="16" t="str">
        <f t="shared" si="146"/>
        <v/>
      </c>
      <c r="H4201" s="70" t="str">
        <f t="shared" si="147"/>
        <v/>
      </c>
    </row>
    <row r="4202" spans="1:8">
      <c r="A4202" s="2"/>
      <c r="B4202" s="12"/>
      <c r="C4202" s="12"/>
      <c r="E4202" t="str">
        <f>IF(LEN(D4202)=0,"",[1]!i_pq_tradedays($B$3,A4203,A4202)-1)</f>
        <v/>
      </c>
      <c r="G4202" s="16" t="str">
        <f t="shared" si="146"/>
        <v/>
      </c>
      <c r="H4202" s="70" t="str">
        <f t="shared" si="147"/>
        <v/>
      </c>
    </row>
    <row r="4203" spans="1:8">
      <c r="A4203" s="2"/>
      <c r="B4203" s="12"/>
      <c r="C4203" s="12"/>
      <c r="E4203" t="str">
        <f>IF(LEN(D4203)=0,"",[1]!i_pq_tradedays($B$3,A4204,A4203)-1)</f>
        <v/>
      </c>
      <c r="G4203" s="16" t="str">
        <f t="shared" si="146"/>
        <v/>
      </c>
      <c r="H4203" s="70" t="str">
        <f t="shared" si="147"/>
        <v/>
      </c>
    </row>
    <row r="4204" spans="1:8">
      <c r="A4204" s="2"/>
      <c r="B4204" s="12"/>
      <c r="C4204" s="12"/>
      <c r="E4204" t="str">
        <f>IF(LEN(D4204)=0,"",[1]!i_pq_tradedays($B$3,A4205,A4204)-1)</f>
        <v/>
      </c>
      <c r="G4204" s="16" t="str">
        <f t="shared" si="146"/>
        <v/>
      </c>
      <c r="H4204" s="70" t="str">
        <f t="shared" si="147"/>
        <v/>
      </c>
    </row>
    <row r="4205" spans="1:8">
      <c r="A4205" s="2"/>
      <c r="B4205" s="12"/>
      <c r="C4205" s="12"/>
      <c r="E4205" t="str">
        <f>IF(LEN(D4205)=0,"",[1]!i_pq_tradedays($B$3,A4206,A4205)-1)</f>
        <v/>
      </c>
      <c r="G4205" s="16" t="str">
        <f t="shared" si="146"/>
        <v/>
      </c>
      <c r="H4205" s="70" t="str">
        <f t="shared" si="147"/>
        <v/>
      </c>
    </row>
    <row r="4206" spans="1:8">
      <c r="A4206" s="2"/>
      <c r="B4206" s="12"/>
      <c r="C4206" s="12"/>
      <c r="E4206" t="str">
        <f>IF(LEN(D4206)=0,"",[1]!i_pq_tradedays($B$3,A4207,A4206)-1)</f>
        <v/>
      </c>
      <c r="G4206" s="16" t="str">
        <f t="shared" si="146"/>
        <v/>
      </c>
      <c r="H4206" s="70" t="str">
        <f t="shared" si="147"/>
        <v/>
      </c>
    </row>
    <row r="4207" spans="1:8">
      <c r="A4207" s="2"/>
      <c r="B4207" s="12"/>
      <c r="C4207" s="12"/>
      <c r="E4207" t="str">
        <f>IF(LEN(D4207)=0,"",[1]!i_pq_tradedays($B$3,A4208,A4207)-1)</f>
        <v/>
      </c>
      <c r="G4207" s="16" t="str">
        <f t="shared" si="146"/>
        <v/>
      </c>
      <c r="H4207" s="70" t="str">
        <f t="shared" si="147"/>
        <v/>
      </c>
    </row>
    <row r="4208" spans="1:8">
      <c r="A4208" s="2"/>
      <c r="B4208" s="12"/>
      <c r="C4208" s="12"/>
      <c r="E4208" t="str">
        <f>IF(LEN(D4208)=0,"",[1]!i_pq_tradedays($B$3,A4209,A4208)-1)</f>
        <v/>
      </c>
      <c r="G4208" s="16" t="str">
        <f t="shared" si="146"/>
        <v/>
      </c>
      <c r="H4208" s="70" t="str">
        <f t="shared" si="147"/>
        <v/>
      </c>
    </row>
    <row r="4209" spans="1:8">
      <c r="A4209" s="2"/>
      <c r="B4209" s="12"/>
      <c r="C4209" s="12"/>
      <c r="E4209" t="str">
        <f>IF(LEN(D4209)=0,"",[1]!i_pq_tradedays($B$3,A4210,A4209)-1)</f>
        <v/>
      </c>
      <c r="G4209" s="16" t="str">
        <f t="shared" si="146"/>
        <v/>
      </c>
      <c r="H4209" s="70" t="str">
        <f t="shared" si="147"/>
        <v/>
      </c>
    </row>
    <row r="4210" spans="1:8">
      <c r="A4210" s="2"/>
      <c r="B4210" s="12"/>
      <c r="C4210" s="12"/>
      <c r="E4210" t="str">
        <f>IF(LEN(D4210)=0,"",[1]!i_pq_tradedays($B$3,A4211,A4210)-1)</f>
        <v/>
      </c>
      <c r="G4210" s="16" t="str">
        <f t="shared" si="146"/>
        <v/>
      </c>
      <c r="H4210" s="70" t="str">
        <f t="shared" si="147"/>
        <v/>
      </c>
    </row>
    <row r="4211" spans="1:8">
      <c r="A4211" s="2"/>
      <c r="B4211" s="12"/>
      <c r="C4211" s="12"/>
      <c r="E4211" t="str">
        <f>IF(LEN(D4211)=0,"",[1]!i_pq_tradedays($B$3,A4212,A4211)-1)</f>
        <v/>
      </c>
      <c r="G4211" s="16" t="str">
        <f t="shared" si="146"/>
        <v/>
      </c>
      <c r="H4211" s="70" t="str">
        <f t="shared" si="147"/>
        <v/>
      </c>
    </row>
    <row r="4212" spans="1:8">
      <c r="A4212" s="2"/>
      <c r="B4212" s="12"/>
      <c r="C4212" s="12"/>
      <c r="E4212" t="str">
        <f>IF(LEN(D4212)=0,"",[1]!i_pq_tradedays($B$3,A4213,A4212)-1)</f>
        <v/>
      </c>
      <c r="G4212" s="16" t="str">
        <f t="shared" si="146"/>
        <v/>
      </c>
      <c r="H4212" s="70" t="str">
        <f t="shared" si="147"/>
        <v/>
      </c>
    </row>
    <row r="4213" spans="1:8">
      <c r="A4213" s="2"/>
      <c r="B4213" s="12"/>
      <c r="C4213" s="12"/>
      <c r="E4213" t="str">
        <f>IF(LEN(D4213)=0,"",[1]!i_pq_tradedays($B$3,A4214,A4213)-1)</f>
        <v/>
      </c>
      <c r="G4213" s="16" t="str">
        <f t="shared" ref="G4213:G4276" si="148">IF(LEN(D4213)=0,"",D4213/E4213)</f>
        <v/>
      </c>
      <c r="H4213" s="70" t="str">
        <f t="shared" ref="H4213:H4276" si="149">IF(LEN(D4213)=0,"",G4213/G4214-1)</f>
        <v/>
      </c>
    </row>
    <row r="4214" spans="1:8">
      <c r="A4214" s="2"/>
      <c r="B4214" s="12"/>
      <c r="C4214" s="12"/>
      <c r="E4214" t="str">
        <f>IF(LEN(D4214)=0,"",[1]!i_pq_tradedays($B$3,A4215,A4214)-1)</f>
        <v/>
      </c>
      <c r="G4214" s="16" t="str">
        <f t="shared" si="148"/>
        <v/>
      </c>
      <c r="H4214" s="70" t="str">
        <f t="shared" si="149"/>
        <v/>
      </c>
    </row>
    <row r="4215" spans="1:8">
      <c r="A4215" s="2"/>
      <c r="B4215" s="12"/>
      <c r="C4215" s="12"/>
      <c r="E4215" t="str">
        <f>IF(LEN(D4215)=0,"",[1]!i_pq_tradedays($B$3,A4216,A4215)-1)</f>
        <v/>
      </c>
      <c r="G4215" s="16" t="str">
        <f t="shared" si="148"/>
        <v/>
      </c>
      <c r="H4215" s="70" t="str">
        <f t="shared" si="149"/>
        <v/>
      </c>
    </row>
    <row r="4216" spans="1:8">
      <c r="A4216" s="2"/>
      <c r="B4216" s="12"/>
      <c r="C4216" s="12"/>
      <c r="E4216" t="str">
        <f>IF(LEN(D4216)=0,"",[1]!i_pq_tradedays($B$3,A4217,A4216)-1)</f>
        <v/>
      </c>
      <c r="G4216" s="16" t="str">
        <f t="shared" si="148"/>
        <v/>
      </c>
      <c r="H4216" s="70" t="str">
        <f t="shared" si="149"/>
        <v/>
      </c>
    </row>
    <row r="4217" spans="1:8">
      <c r="A4217" s="2"/>
      <c r="B4217" s="12"/>
      <c r="C4217" s="12"/>
      <c r="E4217" t="str">
        <f>IF(LEN(D4217)=0,"",[1]!i_pq_tradedays($B$3,A4218,A4217)-1)</f>
        <v/>
      </c>
      <c r="G4217" s="16" t="str">
        <f t="shared" si="148"/>
        <v/>
      </c>
      <c r="H4217" s="70" t="str">
        <f t="shared" si="149"/>
        <v/>
      </c>
    </row>
    <row r="4218" spans="1:8">
      <c r="A4218" s="2"/>
      <c r="B4218" s="12"/>
      <c r="C4218" s="12"/>
      <c r="E4218" t="str">
        <f>IF(LEN(D4218)=0,"",[1]!i_pq_tradedays($B$3,A4219,A4218)-1)</f>
        <v/>
      </c>
      <c r="G4218" s="16" t="str">
        <f t="shared" si="148"/>
        <v/>
      </c>
      <c r="H4218" s="70" t="str">
        <f t="shared" si="149"/>
        <v/>
      </c>
    </row>
    <row r="4219" spans="1:8">
      <c r="A4219" s="2"/>
      <c r="B4219" s="12"/>
      <c r="C4219" s="12"/>
      <c r="E4219" t="str">
        <f>IF(LEN(D4219)=0,"",[1]!i_pq_tradedays($B$3,A4220,A4219)-1)</f>
        <v/>
      </c>
      <c r="G4219" s="16" t="str">
        <f t="shared" si="148"/>
        <v/>
      </c>
      <c r="H4219" s="70" t="str">
        <f t="shared" si="149"/>
        <v/>
      </c>
    </row>
    <row r="4220" spans="1:8">
      <c r="A4220" s="2"/>
      <c r="B4220" s="12"/>
      <c r="C4220" s="12"/>
      <c r="E4220" t="str">
        <f>IF(LEN(D4220)=0,"",[1]!i_pq_tradedays($B$3,A4221,A4220)-1)</f>
        <v/>
      </c>
      <c r="G4220" s="16" t="str">
        <f t="shared" si="148"/>
        <v/>
      </c>
      <c r="H4220" s="70" t="str">
        <f t="shared" si="149"/>
        <v/>
      </c>
    </row>
    <row r="4221" spans="1:8">
      <c r="A4221" s="2"/>
      <c r="B4221" s="12"/>
      <c r="C4221" s="12"/>
      <c r="E4221" t="str">
        <f>IF(LEN(D4221)=0,"",[1]!i_pq_tradedays($B$3,A4222,A4221)-1)</f>
        <v/>
      </c>
      <c r="G4221" s="16" t="str">
        <f t="shared" si="148"/>
        <v/>
      </c>
      <c r="H4221" s="70" t="str">
        <f t="shared" si="149"/>
        <v/>
      </c>
    </row>
    <row r="4222" spans="1:8">
      <c r="A4222" s="2"/>
      <c r="B4222" s="12"/>
      <c r="C4222" s="12"/>
      <c r="E4222" t="str">
        <f>IF(LEN(D4222)=0,"",[1]!i_pq_tradedays($B$3,A4223,A4222)-1)</f>
        <v/>
      </c>
      <c r="G4222" s="16" t="str">
        <f t="shared" si="148"/>
        <v/>
      </c>
      <c r="H4222" s="70" t="str">
        <f t="shared" si="149"/>
        <v/>
      </c>
    </row>
    <row r="4223" spans="1:8">
      <c r="A4223" s="2"/>
      <c r="B4223" s="12"/>
      <c r="C4223" s="12"/>
      <c r="E4223" t="str">
        <f>IF(LEN(D4223)=0,"",[1]!i_pq_tradedays($B$3,A4224,A4223)-1)</f>
        <v/>
      </c>
      <c r="G4223" s="16" t="str">
        <f t="shared" si="148"/>
        <v/>
      </c>
      <c r="H4223" s="70" t="str">
        <f t="shared" si="149"/>
        <v/>
      </c>
    </row>
    <row r="4224" spans="1:8">
      <c r="A4224" s="2"/>
      <c r="B4224" s="12"/>
      <c r="C4224" s="12"/>
      <c r="E4224" t="str">
        <f>IF(LEN(D4224)=0,"",[1]!i_pq_tradedays($B$3,A4225,A4224)-1)</f>
        <v/>
      </c>
      <c r="G4224" s="16" t="str">
        <f t="shared" si="148"/>
        <v/>
      </c>
      <c r="H4224" s="70" t="str">
        <f t="shared" si="149"/>
        <v/>
      </c>
    </row>
    <row r="4225" spans="1:8">
      <c r="A4225" s="2"/>
      <c r="B4225" s="12"/>
      <c r="C4225" s="12"/>
      <c r="E4225" t="str">
        <f>IF(LEN(D4225)=0,"",[1]!i_pq_tradedays($B$3,A4226,A4225)-1)</f>
        <v/>
      </c>
      <c r="G4225" s="16" t="str">
        <f t="shared" si="148"/>
        <v/>
      </c>
      <c r="H4225" s="70" t="str">
        <f t="shared" si="149"/>
        <v/>
      </c>
    </row>
    <row r="4226" spans="1:8">
      <c r="A4226" s="2"/>
      <c r="B4226" s="12"/>
      <c r="C4226" s="12"/>
      <c r="E4226" t="str">
        <f>IF(LEN(D4226)=0,"",[1]!i_pq_tradedays($B$3,A4227,A4226)-1)</f>
        <v/>
      </c>
      <c r="G4226" s="16" t="str">
        <f t="shared" si="148"/>
        <v/>
      </c>
      <c r="H4226" s="70" t="str">
        <f t="shared" si="149"/>
        <v/>
      </c>
    </row>
    <row r="4227" spans="1:8">
      <c r="A4227" s="2"/>
      <c r="B4227" s="12"/>
      <c r="C4227" s="12"/>
      <c r="E4227" t="str">
        <f>IF(LEN(D4227)=0,"",[1]!i_pq_tradedays($B$3,A4228,A4227)-1)</f>
        <v/>
      </c>
      <c r="G4227" s="16" t="str">
        <f t="shared" si="148"/>
        <v/>
      </c>
      <c r="H4227" s="70" t="str">
        <f t="shared" si="149"/>
        <v/>
      </c>
    </row>
    <row r="4228" spans="1:8">
      <c r="A4228" s="2"/>
      <c r="B4228" s="12"/>
      <c r="C4228" s="12"/>
      <c r="E4228" t="str">
        <f>IF(LEN(D4228)=0,"",[1]!i_pq_tradedays($B$3,A4229,A4228)-1)</f>
        <v/>
      </c>
      <c r="G4228" s="16" t="str">
        <f t="shared" si="148"/>
        <v/>
      </c>
      <c r="H4228" s="70" t="str">
        <f t="shared" si="149"/>
        <v/>
      </c>
    </row>
    <row r="4229" spans="1:8">
      <c r="A4229" s="2"/>
      <c r="B4229" s="12"/>
      <c r="C4229" s="12"/>
      <c r="E4229" t="str">
        <f>IF(LEN(D4229)=0,"",[1]!i_pq_tradedays($B$3,A4230,A4229)-1)</f>
        <v/>
      </c>
      <c r="G4229" s="16" t="str">
        <f t="shared" si="148"/>
        <v/>
      </c>
      <c r="H4229" s="70" t="str">
        <f t="shared" si="149"/>
        <v/>
      </c>
    </row>
    <row r="4230" spans="1:8">
      <c r="A4230" s="2"/>
      <c r="B4230" s="12"/>
      <c r="C4230" s="12"/>
      <c r="E4230" t="str">
        <f>IF(LEN(D4230)=0,"",[1]!i_pq_tradedays($B$3,A4231,A4230)-1)</f>
        <v/>
      </c>
      <c r="G4230" s="16" t="str">
        <f t="shared" si="148"/>
        <v/>
      </c>
      <c r="H4230" s="70" t="str">
        <f t="shared" si="149"/>
        <v/>
      </c>
    </row>
    <row r="4231" spans="1:8">
      <c r="A4231" s="2"/>
      <c r="B4231" s="12"/>
      <c r="C4231" s="12"/>
      <c r="E4231" t="str">
        <f>IF(LEN(D4231)=0,"",[1]!i_pq_tradedays($B$3,A4232,A4231)-1)</f>
        <v/>
      </c>
      <c r="G4231" s="16" t="str">
        <f t="shared" si="148"/>
        <v/>
      </c>
      <c r="H4231" s="70" t="str">
        <f t="shared" si="149"/>
        <v/>
      </c>
    </row>
    <row r="4232" spans="1:8">
      <c r="A4232" s="2"/>
      <c r="B4232" s="12"/>
      <c r="C4232" s="12"/>
      <c r="E4232" t="str">
        <f>IF(LEN(D4232)=0,"",[1]!i_pq_tradedays($B$3,A4233,A4232)-1)</f>
        <v/>
      </c>
      <c r="G4232" s="16" t="str">
        <f t="shared" si="148"/>
        <v/>
      </c>
      <c r="H4232" s="70" t="str">
        <f t="shared" si="149"/>
        <v/>
      </c>
    </row>
    <row r="4233" spans="1:8">
      <c r="A4233" s="2"/>
      <c r="B4233" s="12"/>
      <c r="C4233" s="12"/>
      <c r="E4233" t="str">
        <f>IF(LEN(D4233)=0,"",[1]!i_pq_tradedays($B$3,A4234,A4233)-1)</f>
        <v/>
      </c>
      <c r="G4233" s="16" t="str">
        <f t="shared" si="148"/>
        <v/>
      </c>
      <c r="H4233" s="70" t="str">
        <f t="shared" si="149"/>
        <v/>
      </c>
    </row>
    <row r="4234" spans="1:8">
      <c r="A4234" s="2"/>
      <c r="B4234" s="12"/>
      <c r="C4234" s="12"/>
      <c r="E4234" t="str">
        <f>IF(LEN(D4234)=0,"",[1]!i_pq_tradedays($B$3,A4235,A4234)-1)</f>
        <v/>
      </c>
      <c r="G4234" s="16" t="str">
        <f t="shared" si="148"/>
        <v/>
      </c>
      <c r="H4234" s="70" t="str">
        <f t="shared" si="149"/>
        <v/>
      </c>
    </row>
    <row r="4235" spans="1:8">
      <c r="A4235" s="2"/>
      <c r="B4235" s="12"/>
      <c r="C4235" s="12"/>
      <c r="E4235" t="str">
        <f>IF(LEN(D4235)=0,"",[1]!i_pq_tradedays($B$3,A4236,A4235)-1)</f>
        <v/>
      </c>
      <c r="G4235" s="16" t="str">
        <f t="shared" si="148"/>
        <v/>
      </c>
      <c r="H4235" s="70" t="str">
        <f t="shared" si="149"/>
        <v/>
      </c>
    </row>
    <row r="4236" spans="1:8">
      <c r="A4236" s="2"/>
      <c r="B4236" s="12"/>
      <c r="C4236" s="12"/>
      <c r="E4236" t="str">
        <f>IF(LEN(D4236)=0,"",[1]!i_pq_tradedays($B$3,A4237,A4236)-1)</f>
        <v/>
      </c>
      <c r="G4236" s="16" t="str">
        <f t="shared" si="148"/>
        <v/>
      </c>
      <c r="H4236" s="70" t="str">
        <f t="shared" si="149"/>
        <v/>
      </c>
    </row>
    <row r="4237" spans="1:8">
      <c r="A4237" s="2"/>
      <c r="B4237" s="12"/>
      <c r="C4237" s="12"/>
      <c r="E4237" t="str">
        <f>IF(LEN(D4237)=0,"",[1]!i_pq_tradedays($B$3,A4238,A4237)-1)</f>
        <v/>
      </c>
      <c r="G4237" s="16" t="str">
        <f t="shared" si="148"/>
        <v/>
      </c>
      <c r="H4237" s="70" t="str">
        <f t="shared" si="149"/>
        <v/>
      </c>
    </row>
    <row r="4238" spans="1:8">
      <c r="A4238" s="2"/>
      <c r="B4238" s="12"/>
      <c r="C4238" s="12"/>
      <c r="E4238" t="str">
        <f>IF(LEN(D4238)=0,"",[1]!i_pq_tradedays($B$3,A4239,A4238)-1)</f>
        <v/>
      </c>
      <c r="G4238" s="16" t="str">
        <f t="shared" si="148"/>
        <v/>
      </c>
      <c r="H4238" s="70" t="str">
        <f t="shared" si="149"/>
        <v/>
      </c>
    </row>
    <row r="4239" spans="1:8">
      <c r="A4239" s="2"/>
      <c r="B4239" s="12"/>
      <c r="C4239" s="12"/>
      <c r="E4239" t="str">
        <f>IF(LEN(D4239)=0,"",[1]!i_pq_tradedays($B$3,A4240,A4239)-1)</f>
        <v/>
      </c>
      <c r="G4239" s="16" t="str">
        <f t="shared" si="148"/>
        <v/>
      </c>
      <c r="H4239" s="70" t="str">
        <f t="shared" si="149"/>
        <v/>
      </c>
    </row>
    <row r="4240" spans="1:8">
      <c r="A4240" s="2"/>
      <c r="B4240" s="12"/>
      <c r="C4240" s="12"/>
      <c r="E4240" t="str">
        <f>IF(LEN(D4240)=0,"",[1]!i_pq_tradedays($B$3,A4241,A4240)-1)</f>
        <v/>
      </c>
      <c r="G4240" s="16" t="str">
        <f t="shared" si="148"/>
        <v/>
      </c>
      <c r="H4240" s="70" t="str">
        <f t="shared" si="149"/>
        <v/>
      </c>
    </row>
    <row r="4241" spans="1:8">
      <c r="A4241" s="2"/>
      <c r="B4241" s="12"/>
      <c r="C4241" s="12"/>
      <c r="E4241" t="str">
        <f>IF(LEN(D4241)=0,"",[1]!i_pq_tradedays($B$3,A4242,A4241)-1)</f>
        <v/>
      </c>
      <c r="G4241" s="16" t="str">
        <f t="shared" si="148"/>
        <v/>
      </c>
      <c r="H4241" s="70" t="str">
        <f t="shared" si="149"/>
        <v/>
      </c>
    </row>
    <row r="4242" spans="1:8">
      <c r="A4242" s="2"/>
      <c r="B4242" s="12"/>
      <c r="C4242" s="12"/>
      <c r="E4242" t="str">
        <f>IF(LEN(D4242)=0,"",[1]!i_pq_tradedays($B$3,A4243,A4242)-1)</f>
        <v/>
      </c>
      <c r="G4242" s="16" t="str">
        <f t="shared" si="148"/>
        <v/>
      </c>
      <c r="H4242" s="70" t="str">
        <f t="shared" si="149"/>
        <v/>
      </c>
    </row>
    <row r="4243" spans="1:8">
      <c r="A4243" s="2"/>
      <c r="B4243" s="12"/>
      <c r="C4243" s="12"/>
      <c r="E4243" t="str">
        <f>IF(LEN(D4243)=0,"",[1]!i_pq_tradedays($B$3,A4244,A4243)-1)</f>
        <v/>
      </c>
      <c r="G4243" s="16" t="str">
        <f t="shared" si="148"/>
        <v/>
      </c>
      <c r="H4243" s="70" t="str">
        <f t="shared" si="149"/>
        <v/>
      </c>
    </row>
    <row r="4244" spans="1:8">
      <c r="A4244" s="2"/>
      <c r="B4244" s="12"/>
      <c r="C4244" s="12"/>
      <c r="E4244" t="str">
        <f>IF(LEN(D4244)=0,"",[1]!i_pq_tradedays($B$3,A4245,A4244)-1)</f>
        <v/>
      </c>
      <c r="G4244" s="16" t="str">
        <f t="shared" si="148"/>
        <v/>
      </c>
      <c r="H4244" s="70" t="str">
        <f t="shared" si="149"/>
        <v/>
      </c>
    </row>
    <row r="4245" spans="1:8">
      <c r="A4245" s="2"/>
      <c r="B4245" s="12"/>
      <c r="C4245" s="12"/>
      <c r="E4245" t="str">
        <f>IF(LEN(D4245)=0,"",[1]!i_pq_tradedays($B$3,A4246,A4245)-1)</f>
        <v/>
      </c>
      <c r="G4245" s="16" t="str">
        <f t="shared" si="148"/>
        <v/>
      </c>
      <c r="H4245" s="70" t="str">
        <f t="shared" si="149"/>
        <v/>
      </c>
    </row>
    <row r="4246" spans="1:8">
      <c r="A4246" s="2"/>
      <c r="B4246" s="12"/>
      <c r="C4246" s="12"/>
      <c r="E4246" t="str">
        <f>IF(LEN(D4246)=0,"",[1]!i_pq_tradedays($B$3,A4247,A4246)-1)</f>
        <v/>
      </c>
      <c r="G4246" s="16" t="str">
        <f t="shared" si="148"/>
        <v/>
      </c>
      <c r="H4246" s="70" t="str">
        <f t="shared" si="149"/>
        <v/>
      </c>
    </row>
    <row r="4247" spans="1:8">
      <c r="A4247" s="2"/>
      <c r="B4247" s="12"/>
      <c r="C4247" s="12"/>
      <c r="E4247" t="str">
        <f>IF(LEN(D4247)=0,"",[1]!i_pq_tradedays($B$3,A4248,A4247)-1)</f>
        <v/>
      </c>
      <c r="G4247" s="16" t="str">
        <f t="shared" si="148"/>
        <v/>
      </c>
      <c r="H4247" s="70" t="str">
        <f t="shared" si="149"/>
        <v/>
      </c>
    </row>
    <row r="4248" spans="1:8">
      <c r="A4248" s="2"/>
      <c r="B4248" s="12"/>
      <c r="C4248" s="12"/>
      <c r="E4248" t="str">
        <f>IF(LEN(D4248)=0,"",[1]!i_pq_tradedays($B$3,A4249,A4248)-1)</f>
        <v/>
      </c>
      <c r="G4248" s="16" t="str">
        <f t="shared" si="148"/>
        <v/>
      </c>
      <c r="H4248" s="70" t="str">
        <f t="shared" si="149"/>
        <v/>
      </c>
    </row>
    <row r="4249" spans="1:8">
      <c r="A4249" s="2"/>
      <c r="B4249" s="12"/>
      <c r="C4249" s="12"/>
      <c r="E4249" t="str">
        <f>IF(LEN(D4249)=0,"",[1]!i_pq_tradedays($B$3,A4250,A4249)-1)</f>
        <v/>
      </c>
      <c r="G4249" s="16" t="str">
        <f t="shared" si="148"/>
        <v/>
      </c>
      <c r="H4249" s="70" t="str">
        <f t="shared" si="149"/>
        <v/>
      </c>
    </row>
    <row r="4250" spans="1:8">
      <c r="A4250" s="2"/>
      <c r="B4250" s="12"/>
      <c r="C4250" s="12"/>
      <c r="E4250" t="str">
        <f>IF(LEN(D4250)=0,"",[1]!i_pq_tradedays($B$3,A4251,A4250)-1)</f>
        <v/>
      </c>
      <c r="G4250" s="16" t="str">
        <f t="shared" si="148"/>
        <v/>
      </c>
      <c r="H4250" s="70" t="str">
        <f t="shared" si="149"/>
        <v/>
      </c>
    </row>
    <row r="4251" spans="1:8">
      <c r="A4251" s="2"/>
      <c r="B4251" s="12"/>
      <c r="C4251" s="12"/>
      <c r="E4251" t="str">
        <f>IF(LEN(D4251)=0,"",[1]!i_pq_tradedays($B$3,A4252,A4251)-1)</f>
        <v/>
      </c>
      <c r="G4251" s="16" t="str">
        <f t="shared" si="148"/>
        <v/>
      </c>
      <c r="H4251" s="70" t="str">
        <f t="shared" si="149"/>
        <v/>
      </c>
    </row>
    <row r="4252" spans="1:8">
      <c r="A4252" s="2"/>
      <c r="B4252" s="12"/>
      <c r="C4252" s="12"/>
      <c r="E4252" t="str">
        <f>IF(LEN(D4252)=0,"",[1]!i_pq_tradedays($B$3,A4253,A4252)-1)</f>
        <v/>
      </c>
      <c r="G4252" s="16" t="str">
        <f t="shared" si="148"/>
        <v/>
      </c>
      <c r="H4252" s="70" t="str">
        <f t="shared" si="149"/>
        <v/>
      </c>
    </row>
    <row r="4253" spans="1:8">
      <c r="A4253" s="2"/>
      <c r="B4253" s="12"/>
      <c r="C4253" s="12"/>
      <c r="E4253" t="str">
        <f>IF(LEN(D4253)=0,"",[1]!i_pq_tradedays($B$3,A4254,A4253)-1)</f>
        <v/>
      </c>
      <c r="G4253" s="16" t="str">
        <f t="shared" si="148"/>
        <v/>
      </c>
      <c r="H4253" s="70" t="str">
        <f t="shared" si="149"/>
        <v/>
      </c>
    </row>
    <row r="4254" spans="1:8">
      <c r="A4254" s="2"/>
      <c r="B4254" s="12"/>
      <c r="C4254" s="12"/>
      <c r="E4254" t="str">
        <f>IF(LEN(D4254)=0,"",[1]!i_pq_tradedays($B$3,A4255,A4254)-1)</f>
        <v/>
      </c>
      <c r="G4254" s="16" t="str">
        <f t="shared" si="148"/>
        <v/>
      </c>
      <c r="H4254" s="70" t="str">
        <f t="shared" si="149"/>
        <v/>
      </c>
    </row>
    <row r="4255" spans="1:8">
      <c r="A4255" s="2"/>
      <c r="B4255" s="12"/>
      <c r="C4255" s="12"/>
      <c r="E4255" t="str">
        <f>IF(LEN(D4255)=0,"",[1]!i_pq_tradedays($B$3,A4256,A4255)-1)</f>
        <v/>
      </c>
      <c r="G4255" s="16" t="str">
        <f t="shared" si="148"/>
        <v/>
      </c>
      <c r="H4255" s="70" t="str">
        <f t="shared" si="149"/>
        <v/>
      </c>
    </row>
    <row r="4256" spans="1:8">
      <c r="A4256" s="2"/>
      <c r="B4256" s="12"/>
      <c r="C4256" s="12"/>
      <c r="E4256" t="str">
        <f>IF(LEN(D4256)=0,"",[1]!i_pq_tradedays($B$3,A4257,A4256)-1)</f>
        <v/>
      </c>
      <c r="G4256" s="16" t="str">
        <f t="shared" si="148"/>
        <v/>
      </c>
      <c r="H4256" s="70" t="str">
        <f t="shared" si="149"/>
        <v/>
      </c>
    </row>
    <row r="4257" spans="1:8">
      <c r="A4257" s="2"/>
      <c r="B4257" s="12"/>
      <c r="C4257" s="12"/>
      <c r="E4257" t="str">
        <f>IF(LEN(D4257)=0,"",[1]!i_pq_tradedays($B$3,A4258,A4257)-1)</f>
        <v/>
      </c>
      <c r="G4257" s="16" t="str">
        <f t="shared" si="148"/>
        <v/>
      </c>
      <c r="H4257" s="70" t="str">
        <f t="shared" si="149"/>
        <v/>
      </c>
    </row>
    <row r="4258" spans="1:8">
      <c r="A4258" s="2"/>
      <c r="B4258" s="12"/>
      <c r="C4258" s="12"/>
      <c r="E4258" t="str">
        <f>IF(LEN(D4258)=0,"",[1]!i_pq_tradedays($B$3,A4259,A4258)-1)</f>
        <v/>
      </c>
      <c r="G4258" s="16" t="str">
        <f t="shared" si="148"/>
        <v/>
      </c>
      <c r="H4258" s="70" t="str">
        <f t="shared" si="149"/>
        <v/>
      </c>
    </row>
    <row r="4259" spans="1:8">
      <c r="A4259" s="2"/>
      <c r="B4259" s="12"/>
      <c r="C4259" s="12"/>
      <c r="E4259" t="str">
        <f>IF(LEN(D4259)=0,"",[1]!i_pq_tradedays($B$3,A4260,A4259)-1)</f>
        <v/>
      </c>
      <c r="G4259" s="16" t="str">
        <f t="shared" si="148"/>
        <v/>
      </c>
      <c r="H4259" s="70" t="str">
        <f t="shared" si="149"/>
        <v/>
      </c>
    </row>
    <row r="4260" spans="1:8">
      <c r="A4260" s="2"/>
      <c r="B4260" s="12"/>
      <c r="C4260" s="12"/>
      <c r="E4260" t="str">
        <f>IF(LEN(D4260)=0,"",[1]!i_pq_tradedays($B$3,A4261,A4260)-1)</f>
        <v/>
      </c>
      <c r="G4260" s="16" t="str">
        <f t="shared" si="148"/>
        <v/>
      </c>
      <c r="H4260" s="70" t="str">
        <f t="shared" si="149"/>
        <v/>
      </c>
    </row>
    <row r="4261" spans="1:8">
      <c r="A4261" s="2"/>
      <c r="B4261" s="12"/>
      <c r="C4261" s="12"/>
      <c r="E4261" t="str">
        <f>IF(LEN(D4261)=0,"",[1]!i_pq_tradedays($B$3,A4262,A4261)-1)</f>
        <v/>
      </c>
      <c r="G4261" s="16" t="str">
        <f t="shared" si="148"/>
        <v/>
      </c>
      <c r="H4261" s="70" t="str">
        <f t="shared" si="149"/>
        <v/>
      </c>
    </row>
    <row r="4262" spans="1:8">
      <c r="A4262" s="2"/>
      <c r="B4262" s="12"/>
      <c r="C4262" s="12"/>
      <c r="E4262" t="str">
        <f>IF(LEN(D4262)=0,"",[1]!i_pq_tradedays($B$3,A4263,A4262)-1)</f>
        <v/>
      </c>
      <c r="G4262" s="16" t="str">
        <f t="shared" si="148"/>
        <v/>
      </c>
      <c r="H4262" s="70" t="str">
        <f t="shared" si="149"/>
        <v/>
      </c>
    </row>
    <row r="4263" spans="1:8">
      <c r="A4263" s="2"/>
      <c r="B4263" s="12"/>
      <c r="C4263" s="12"/>
      <c r="E4263" t="str">
        <f>IF(LEN(D4263)=0,"",[1]!i_pq_tradedays($B$3,A4264,A4263)-1)</f>
        <v/>
      </c>
      <c r="G4263" s="16" t="str">
        <f t="shared" si="148"/>
        <v/>
      </c>
      <c r="H4263" s="70" t="str">
        <f t="shared" si="149"/>
        <v/>
      </c>
    </row>
    <row r="4264" spans="1:8">
      <c r="A4264" s="2"/>
      <c r="B4264" s="12"/>
      <c r="C4264" s="12"/>
      <c r="E4264" t="str">
        <f>IF(LEN(D4264)=0,"",[1]!i_pq_tradedays($B$3,A4265,A4264)-1)</f>
        <v/>
      </c>
      <c r="G4264" s="16" t="str">
        <f t="shared" si="148"/>
        <v/>
      </c>
      <c r="H4264" s="70" t="str">
        <f t="shared" si="149"/>
        <v/>
      </c>
    </row>
    <row r="4265" spans="1:8">
      <c r="A4265" s="2"/>
      <c r="B4265" s="12"/>
      <c r="C4265" s="12"/>
      <c r="E4265" t="str">
        <f>IF(LEN(D4265)=0,"",[1]!i_pq_tradedays($B$3,A4266,A4265)-1)</f>
        <v/>
      </c>
      <c r="G4265" s="16" t="str">
        <f t="shared" si="148"/>
        <v/>
      </c>
      <c r="H4265" s="70" t="str">
        <f t="shared" si="149"/>
        <v/>
      </c>
    </row>
    <row r="4266" spans="1:8">
      <c r="A4266" s="2"/>
      <c r="B4266" s="12"/>
      <c r="C4266" s="12"/>
      <c r="E4266" t="str">
        <f>IF(LEN(D4266)=0,"",[1]!i_pq_tradedays($B$3,A4267,A4266)-1)</f>
        <v/>
      </c>
      <c r="G4266" s="16" t="str">
        <f t="shared" si="148"/>
        <v/>
      </c>
      <c r="H4266" s="70" t="str">
        <f t="shared" si="149"/>
        <v/>
      </c>
    </row>
    <row r="4267" spans="1:8">
      <c r="A4267" s="2"/>
      <c r="B4267" s="12"/>
      <c r="C4267" s="12"/>
      <c r="E4267" t="str">
        <f>IF(LEN(D4267)=0,"",[1]!i_pq_tradedays($B$3,A4268,A4267)-1)</f>
        <v/>
      </c>
      <c r="G4267" s="16" t="str">
        <f t="shared" si="148"/>
        <v/>
      </c>
      <c r="H4267" s="70" t="str">
        <f t="shared" si="149"/>
        <v/>
      </c>
    </row>
    <row r="4268" spans="1:8">
      <c r="A4268" s="2"/>
      <c r="B4268" s="12"/>
      <c r="C4268" s="12"/>
      <c r="E4268" t="str">
        <f>IF(LEN(D4268)=0,"",[1]!i_pq_tradedays($B$3,A4269,A4268)-1)</f>
        <v/>
      </c>
      <c r="G4268" s="16" t="str">
        <f t="shared" si="148"/>
        <v/>
      </c>
      <c r="H4268" s="70" t="str">
        <f t="shared" si="149"/>
        <v/>
      </c>
    </row>
    <row r="4269" spans="1:8">
      <c r="A4269" s="2"/>
      <c r="B4269" s="12"/>
      <c r="C4269" s="12"/>
      <c r="E4269" t="str">
        <f>IF(LEN(D4269)=0,"",[1]!i_pq_tradedays($B$3,A4270,A4269)-1)</f>
        <v/>
      </c>
      <c r="G4269" s="16" t="str">
        <f t="shared" si="148"/>
        <v/>
      </c>
      <c r="H4269" s="70" t="str">
        <f t="shared" si="149"/>
        <v/>
      </c>
    </row>
    <row r="4270" spans="1:8">
      <c r="A4270" s="2"/>
      <c r="B4270" s="12"/>
      <c r="C4270" s="12"/>
      <c r="E4270" t="str">
        <f>IF(LEN(D4270)=0,"",[1]!i_pq_tradedays($B$3,A4271,A4270)-1)</f>
        <v/>
      </c>
      <c r="G4270" s="16" t="str">
        <f t="shared" si="148"/>
        <v/>
      </c>
      <c r="H4270" s="70" t="str">
        <f t="shared" si="149"/>
        <v/>
      </c>
    </row>
    <row r="4271" spans="1:8">
      <c r="A4271" s="2"/>
      <c r="B4271" s="12"/>
      <c r="C4271" s="12"/>
      <c r="E4271" t="str">
        <f>IF(LEN(D4271)=0,"",[1]!i_pq_tradedays($B$3,A4272,A4271)-1)</f>
        <v/>
      </c>
      <c r="G4271" s="16" t="str">
        <f t="shared" si="148"/>
        <v/>
      </c>
      <c r="H4271" s="70" t="str">
        <f t="shared" si="149"/>
        <v/>
      </c>
    </row>
    <row r="4272" spans="1:8">
      <c r="A4272" s="2"/>
      <c r="B4272" s="12"/>
      <c r="C4272" s="12"/>
      <c r="E4272" t="str">
        <f>IF(LEN(D4272)=0,"",[1]!i_pq_tradedays($B$3,A4273,A4272)-1)</f>
        <v/>
      </c>
      <c r="G4272" s="16" t="str">
        <f t="shared" si="148"/>
        <v/>
      </c>
      <c r="H4272" s="70" t="str">
        <f t="shared" si="149"/>
        <v/>
      </c>
    </row>
    <row r="4273" spans="1:8">
      <c r="A4273" s="2"/>
      <c r="B4273" s="12"/>
      <c r="C4273" s="12"/>
      <c r="E4273" t="str">
        <f>IF(LEN(D4273)=0,"",[1]!i_pq_tradedays($B$3,A4274,A4273)-1)</f>
        <v/>
      </c>
      <c r="G4273" s="16" t="str">
        <f t="shared" si="148"/>
        <v/>
      </c>
      <c r="H4273" s="70" t="str">
        <f t="shared" si="149"/>
        <v/>
      </c>
    </row>
    <row r="4274" spans="1:8">
      <c r="A4274" s="2"/>
      <c r="B4274" s="12"/>
      <c r="C4274" s="12"/>
      <c r="E4274" t="str">
        <f>IF(LEN(D4274)=0,"",[1]!i_pq_tradedays($B$3,A4275,A4274)-1)</f>
        <v/>
      </c>
      <c r="G4274" s="16" t="str">
        <f t="shared" si="148"/>
        <v/>
      </c>
      <c r="H4274" s="70" t="str">
        <f t="shared" si="149"/>
        <v/>
      </c>
    </row>
    <row r="4275" spans="1:8">
      <c r="A4275" s="2"/>
      <c r="B4275" s="12"/>
      <c r="C4275" s="12"/>
      <c r="E4275" t="str">
        <f>IF(LEN(D4275)=0,"",[1]!i_pq_tradedays($B$3,A4276,A4275)-1)</f>
        <v/>
      </c>
      <c r="G4275" s="16" t="str">
        <f t="shared" si="148"/>
        <v/>
      </c>
      <c r="H4275" s="70" t="str">
        <f t="shared" si="149"/>
        <v/>
      </c>
    </row>
    <row r="4276" spans="1:8">
      <c r="A4276" s="2"/>
      <c r="B4276" s="12"/>
      <c r="C4276" s="12"/>
      <c r="E4276" t="str">
        <f>IF(LEN(D4276)=0,"",[1]!i_pq_tradedays($B$3,A4277,A4276)-1)</f>
        <v/>
      </c>
      <c r="G4276" s="16" t="str">
        <f t="shared" si="148"/>
        <v/>
      </c>
      <c r="H4276" s="70" t="str">
        <f t="shared" si="149"/>
        <v/>
      </c>
    </row>
    <row r="4277" spans="1:8">
      <c r="A4277" s="2"/>
      <c r="B4277" s="12"/>
      <c r="C4277" s="12"/>
      <c r="E4277" t="str">
        <f>IF(LEN(D4277)=0,"",[1]!i_pq_tradedays($B$3,A4278,A4277)-1)</f>
        <v/>
      </c>
      <c r="G4277" s="16" t="str">
        <f t="shared" ref="G4277:G4340" si="150">IF(LEN(D4277)=0,"",D4277/E4277)</f>
        <v/>
      </c>
      <c r="H4277" s="70" t="str">
        <f t="shared" ref="H4277:H4340" si="151">IF(LEN(D4277)=0,"",G4277/G4278-1)</f>
        <v/>
      </c>
    </row>
    <row r="4278" spans="1:8">
      <c r="A4278" s="2"/>
      <c r="B4278" s="12"/>
      <c r="C4278" s="12"/>
      <c r="E4278" t="str">
        <f>IF(LEN(D4278)=0,"",[1]!i_pq_tradedays($B$3,A4279,A4278)-1)</f>
        <v/>
      </c>
      <c r="G4278" s="16" t="str">
        <f t="shared" si="150"/>
        <v/>
      </c>
      <c r="H4278" s="70" t="str">
        <f t="shared" si="151"/>
        <v/>
      </c>
    </row>
    <row r="4279" spans="1:8">
      <c r="A4279" s="2"/>
      <c r="B4279" s="12"/>
      <c r="C4279" s="12"/>
      <c r="E4279" t="str">
        <f>IF(LEN(D4279)=0,"",[1]!i_pq_tradedays($B$3,A4280,A4279)-1)</f>
        <v/>
      </c>
      <c r="G4279" s="16" t="str">
        <f t="shared" si="150"/>
        <v/>
      </c>
      <c r="H4279" s="70" t="str">
        <f t="shared" si="151"/>
        <v/>
      </c>
    </row>
    <row r="4280" spans="1:8">
      <c r="A4280" s="2"/>
      <c r="B4280" s="12"/>
      <c r="C4280" s="12"/>
      <c r="E4280" t="str">
        <f>IF(LEN(D4280)=0,"",[1]!i_pq_tradedays($B$3,A4281,A4280)-1)</f>
        <v/>
      </c>
      <c r="G4280" s="16" t="str">
        <f t="shared" si="150"/>
        <v/>
      </c>
      <c r="H4280" s="70" t="str">
        <f t="shared" si="151"/>
        <v/>
      </c>
    </row>
    <row r="4281" spans="1:8">
      <c r="A4281" s="2"/>
      <c r="B4281" s="12"/>
      <c r="C4281" s="12"/>
      <c r="E4281" t="str">
        <f>IF(LEN(D4281)=0,"",[1]!i_pq_tradedays($B$3,A4282,A4281)-1)</f>
        <v/>
      </c>
      <c r="G4281" s="16" t="str">
        <f t="shared" si="150"/>
        <v/>
      </c>
      <c r="H4281" s="70" t="str">
        <f t="shared" si="151"/>
        <v/>
      </c>
    </row>
    <row r="4282" spans="1:8">
      <c r="A4282" s="2"/>
      <c r="B4282" s="12"/>
      <c r="C4282" s="12"/>
      <c r="E4282" t="str">
        <f>IF(LEN(D4282)=0,"",[1]!i_pq_tradedays($B$3,A4283,A4282)-1)</f>
        <v/>
      </c>
      <c r="G4282" s="16" t="str">
        <f t="shared" si="150"/>
        <v/>
      </c>
      <c r="H4282" s="70" t="str">
        <f t="shared" si="151"/>
        <v/>
      </c>
    </row>
    <row r="4283" spans="1:8">
      <c r="A4283" s="2"/>
      <c r="B4283" s="12"/>
      <c r="C4283" s="12"/>
      <c r="E4283" t="str">
        <f>IF(LEN(D4283)=0,"",[1]!i_pq_tradedays($B$3,A4284,A4283)-1)</f>
        <v/>
      </c>
      <c r="G4283" s="16" t="str">
        <f t="shared" si="150"/>
        <v/>
      </c>
      <c r="H4283" s="70" t="str">
        <f t="shared" si="151"/>
        <v/>
      </c>
    </row>
    <row r="4284" spans="1:8">
      <c r="A4284" s="2"/>
      <c r="B4284" s="12"/>
      <c r="C4284" s="12"/>
      <c r="E4284" t="str">
        <f>IF(LEN(D4284)=0,"",[1]!i_pq_tradedays($B$3,A4285,A4284)-1)</f>
        <v/>
      </c>
      <c r="G4284" s="16" t="str">
        <f t="shared" si="150"/>
        <v/>
      </c>
      <c r="H4284" s="70" t="str">
        <f t="shared" si="151"/>
        <v/>
      </c>
    </row>
    <row r="4285" spans="1:8">
      <c r="A4285" s="2"/>
      <c r="B4285" s="12"/>
      <c r="C4285" s="12"/>
      <c r="E4285" t="str">
        <f>IF(LEN(D4285)=0,"",[1]!i_pq_tradedays($B$3,A4286,A4285)-1)</f>
        <v/>
      </c>
      <c r="G4285" s="16" t="str">
        <f t="shared" si="150"/>
        <v/>
      </c>
      <c r="H4285" s="70" t="str">
        <f t="shared" si="151"/>
        <v/>
      </c>
    </row>
    <row r="4286" spans="1:8">
      <c r="A4286" s="2"/>
      <c r="B4286" s="12"/>
      <c r="C4286" s="12"/>
      <c r="E4286" t="str">
        <f>IF(LEN(D4286)=0,"",[1]!i_pq_tradedays($B$3,A4287,A4286)-1)</f>
        <v/>
      </c>
      <c r="G4286" s="16" t="str">
        <f t="shared" si="150"/>
        <v/>
      </c>
      <c r="H4286" s="70" t="str">
        <f t="shared" si="151"/>
        <v/>
      </c>
    </row>
    <row r="4287" spans="1:8">
      <c r="A4287" s="2"/>
      <c r="B4287" s="12"/>
      <c r="C4287" s="12"/>
      <c r="E4287" t="str">
        <f>IF(LEN(D4287)=0,"",[1]!i_pq_tradedays($B$3,A4288,A4287)-1)</f>
        <v/>
      </c>
      <c r="G4287" s="16" t="str">
        <f t="shared" si="150"/>
        <v/>
      </c>
      <c r="H4287" s="70" t="str">
        <f t="shared" si="151"/>
        <v/>
      </c>
    </row>
    <row r="4288" spans="1:8">
      <c r="A4288" s="2"/>
      <c r="B4288" s="12"/>
      <c r="C4288" s="12"/>
      <c r="E4288" t="str">
        <f>IF(LEN(D4288)=0,"",[1]!i_pq_tradedays($B$3,A4289,A4288)-1)</f>
        <v/>
      </c>
      <c r="G4288" s="16" t="str">
        <f t="shared" si="150"/>
        <v/>
      </c>
      <c r="H4288" s="70" t="str">
        <f t="shared" si="151"/>
        <v/>
      </c>
    </row>
    <row r="4289" spans="1:8">
      <c r="A4289" s="2"/>
      <c r="B4289" s="12"/>
      <c r="C4289" s="12"/>
      <c r="E4289" t="str">
        <f>IF(LEN(D4289)=0,"",[1]!i_pq_tradedays($B$3,A4290,A4289)-1)</f>
        <v/>
      </c>
      <c r="G4289" s="16" t="str">
        <f t="shared" si="150"/>
        <v/>
      </c>
      <c r="H4289" s="70" t="str">
        <f t="shared" si="151"/>
        <v/>
      </c>
    </row>
    <row r="4290" spans="1:8">
      <c r="A4290" s="2"/>
      <c r="B4290" s="12"/>
      <c r="C4290" s="12"/>
      <c r="E4290" t="str">
        <f>IF(LEN(D4290)=0,"",[1]!i_pq_tradedays($B$3,A4291,A4290)-1)</f>
        <v/>
      </c>
      <c r="G4290" s="16" t="str">
        <f t="shared" si="150"/>
        <v/>
      </c>
      <c r="H4290" s="70" t="str">
        <f t="shared" si="151"/>
        <v/>
      </c>
    </row>
    <row r="4291" spans="1:8">
      <c r="A4291" s="2"/>
      <c r="B4291" s="12"/>
      <c r="C4291" s="12"/>
      <c r="E4291" t="str">
        <f>IF(LEN(D4291)=0,"",[1]!i_pq_tradedays($B$3,A4292,A4291)-1)</f>
        <v/>
      </c>
      <c r="G4291" s="16" t="str">
        <f t="shared" si="150"/>
        <v/>
      </c>
      <c r="H4291" s="70" t="str">
        <f t="shared" si="151"/>
        <v/>
      </c>
    </row>
    <row r="4292" spans="1:8">
      <c r="A4292" s="2"/>
      <c r="B4292" s="12"/>
      <c r="C4292" s="12"/>
      <c r="E4292" t="str">
        <f>IF(LEN(D4292)=0,"",[1]!i_pq_tradedays($B$3,A4293,A4292)-1)</f>
        <v/>
      </c>
      <c r="G4292" s="16" t="str">
        <f t="shared" si="150"/>
        <v/>
      </c>
      <c r="H4292" s="70" t="str">
        <f t="shared" si="151"/>
        <v/>
      </c>
    </row>
    <row r="4293" spans="1:8">
      <c r="A4293" s="2"/>
      <c r="B4293" s="12"/>
      <c r="C4293" s="12"/>
      <c r="E4293" t="str">
        <f>IF(LEN(D4293)=0,"",[1]!i_pq_tradedays($B$3,A4294,A4293)-1)</f>
        <v/>
      </c>
      <c r="G4293" s="16" t="str">
        <f t="shared" si="150"/>
        <v/>
      </c>
      <c r="H4293" s="70" t="str">
        <f t="shared" si="151"/>
        <v/>
      </c>
    </row>
    <row r="4294" spans="1:8">
      <c r="A4294" s="2"/>
      <c r="B4294" s="12"/>
      <c r="C4294" s="12"/>
      <c r="E4294" t="str">
        <f>IF(LEN(D4294)=0,"",[1]!i_pq_tradedays($B$3,A4295,A4294)-1)</f>
        <v/>
      </c>
      <c r="G4294" s="16" t="str">
        <f t="shared" si="150"/>
        <v/>
      </c>
      <c r="H4294" s="70" t="str">
        <f t="shared" si="151"/>
        <v/>
      </c>
    </row>
    <row r="4295" spans="1:8">
      <c r="A4295" s="2"/>
      <c r="B4295" s="12"/>
      <c r="C4295" s="12"/>
      <c r="E4295" t="str">
        <f>IF(LEN(D4295)=0,"",[1]!i_pq_tradedays($B$3,A4296,A4295)-1)</f>
        <v/>
      </c>
      <c r="G4295" s="16" t="str">
        <f t="shared" si="150"/>
        <v/>
      </c>
      <c r="H4295" s="70" t="str">
        <f t="shared" si="151"/>
        <v/>
      </c>
    </row>
    <row r="4296" spans="1:8">
      <c r="A4296" s="2"/>
      <c r="B4296" s="12"/>
      <c r="C4296" s="12"/>
      <c r="E4296" t="str">
        <f>IF(LEN(D4296)=0,"",[1]!i_pq_tradedays($B$3,A4297,A4296)-1)</f>
        <v/>
      </c>
      <c r="G4296" s="16" t="str">
        <f t="shared" si="150"/>
        <v/>
      </c>
      <c r="H4296" s="70" t="str">
        <f t="shared" si="151"/>
        <v/>
      </c>
    </row>
    <row r="4297" spans="1:8">
      <c r="A4297" s="2"/>
      <c r="B4297" s="12"/>
      <c r="C4297" s="12"/>
      <c r="E4297" t="str">
        <f>IF(LEN(D4297)=0,"",[1]!i_pq_tradedays($B$3,A4298,A4297)-1)</f>
        <v/>
      </c>
      <c r="G4297" s="16" t="str">
        <f t="shared" si="150"/>
        <v/>
      </c>
      <c r="H4297" s="70" t="str">
        <f t="shared" si="151"/>
        <v/>
      </c>
    </row>
    <row r="4298" spans="1:8">
      <c r="A4298" s="2"/>
      <c r="B4298" s="12"/>
      <c r="C4298" s="12"/>
      <c r="E4298" t="str">
        <f>IF(LEN(D4298)=0,"",[1]!i_pq_tradedays($B$3,A4299,A4298)-1)</f>
        <v/>
      </c>
      <c r="G4298" s="16" t="str">
        <f t="shared" si="150"/>
        <v/>
      </c>
      <c r="H4298" s="70" t="str">
        <f t="shared" si="151"/>
        <v/>
      </c>
    </row>
    <row r="4299" spans="1:8">
      <c r="A4299" s="2"/>
      <c r="B4299" s="12"/>
      <c r="C4299" s="12"/>
      <c r="E4299" t="str">
        <f>IF(LEN(D4299)=0,"",[1]!i_pq_tradedays($B$3,A4300,A4299)-1)</f>
        <v/>
      </c>
      <c r="G4299" s="16" t="str">
        <f t="shared" si="150"/>
        <v/>
      </c>
      <c r="H4299" s="70" t="str">
        <f t="shared" si="151"/>
        <v/>
      </c>
    </row>
    <row r="4300" spans="1:8">
      <c r="A4300" s="2"/>
      <c r="B4300" s="12"/>
      <c r="C4300" s="12"/>
      <c r="E4300" t="str">
        <f>IF(LEN(D4300)=0,"",[1]!i_pq_tradedays($B$3,A4301,A4300)-1)</f>
        <v/>
      </c>
      <c r="G4300" s="16" t="str">
        <f t="shared" si="150"/>
        <v/>
      </c>
      <c r="H4300" s="70" t="str">
        <f t="shared" si="151"/>
        <v/>
      </c>
    </row>
    <row r="4301" spans="1:8">
      <c r="A4301" s="2"/>
      <c r="B4301" s="12"/>
      <c r="C4301" s="12"/>
      <c r="E4301" t="str">
        <f>IF(LEN(D4301)=0,"",[1]!i_pq_tradedays($B$3,A4302,A4301)-1)</f>
        <v/>
      </c>
      <c r="G4301" s="16" t="str">
        <f t="shared" si="150"/>
        <v/>
      </c>
      <c r="H4301" s="70" t="str">
        <f t="shared" si="151"/>
        <v/>
      </c>
    </row>
    <row r="4302" spans="1:8">
      <c r="A4302" s="2"/>
      <c r="B4302" s="12"/>
      <c r="C4302" s="12"/>
      <c r="E4302" t="str">
        <f>IF(LEN(D4302)=0,"",[1]!i_pq_tradedays($B$3,A4303,A4302)-1)</f>
        <v/>
      </c>
      <c r="G4302" s="16" t="str">
        <f t="shared" si="150"/>
        <v/>
      </c>
      <c r="H4302" s="70" t="str">
        <f t="shared" si="151"/>
        <v/>
      </c>
    </row>
    <row r="4303" spans="1:8">
      <c r="A4303" s="2"/>
      <c r="B4303" s="12"/>
      <c r="C4303" s="12"/>
      <c r="E4303" t="str">
        <f>IF(LEN(D4303)=0,"",[1]!i_pq_tradedays($B$3,A4304,A4303)-1)</f>
        <v/>
      </c>
      <c r="G4303" s="16" t="str">
        <f t="shared" si="150"/>
        <v/>
      </c>
      <c r="H4303" s="70" t="str">
        <f t="shared" si="151"/>
        <v/>
      </c>
    </row>
    <row r="4304" spans="1:8">
      <c r="A4304" s="2"/>
      <c r="B4304" s="12"/>
      <c r="C4304" s="12"/>
      <c r="E4304" t="str">
        <f>IF(LEN(D4304)=0,"",[1]!i_pq_tradedays($B$3,A4305,A4304)-1)</f>
        <v/>
      </c>
      <c r="G4304" s="16" t="str">
        <f t="shared" si="150"/>
        <v/>
      </c>
      <c r="H4304" s="70" t="str">
        <f t="shared" si="151"/>
        <v/>
      </c>
    </row>
    <row r="4305" spans="1:8">
      <c r="A4305" s="2"/>
      <c r="B4305" s="12"/>
      <c r="C4305" s="12"/>
      <c r="E4305" t="str">
        <f>IF(LEN(D4305)=0,"",[1]!i_pq_tradedays($B$3,A4306,A4305)-1)</f>
        <v/>
      </c>
      <c r="G4305" s="16" t="str">
        <f t="shared" si="150"/>
        <v/>
      </c>
      <c r="H4305" s="70" t="str">
        <f t="shared" si="151"/>
        <v/>
      </c>
    </row>
    <row r="4306" spans="1:8">
      <c r="A4306" s="2"/>
      <c r="B4306" s="12"/>
      <c r="C4306" s="12"/>
      <c r="E4306" t="str">
        <f>IF(LEN(D4306)=0,"",[1]!i_pq_tradedays($B$3,A4307,A4306)-1)</f>
        <v/>
      </c>
      <c r="G4306" s="16" t="str">
        <f t="shared" si="150"/>
        <v/>
      </c>
      <c r="H4306" s="70" t="str">
        <f t="shared" si="151"/>
        <v/>
      </c>
    </row>
    <row r="4307" spans="1:8">
      <c r="A4307" s="2"/>
      <c r="B4307" s="12"/>
      <c r="C4307" s="12"/>
      <c r="E4307" t="str">
        <f>IF(LEN(D4307)=0,"",[1]!i_pq_tradedays($B$3,A4308,A4307)-1)</f>
        <v/>
      </c>
      <c r="G4307" s="16" t="str">
        <f t="shared" si="150"/>
        <v/>
      </c>
      <c r="H4307" s="70" t="str">
        <f t="shared" si="151"/>
        <v/>
      </c>
    </row>
    <row r="4308" spans="1:8">
      <c r="A4308" s="2"/>
      <c r="B4308" s="12"/>
      <c r="C4308" s="12"/>
      <c r="E4308" t="str">
        <f>IF(LEN(D4308)=0,"",[1]!i_pq_tradedays($B$3,A4309,A4308)-1)</f>
        <v/>
      </c>
      <c r="G4308" s="16" t="str">
        <f t="shared" si="150"/>
        <v/>
      </c>
      <c r="H4308" s="70" t="str">
        <f t="shared" si="151"/>
        <v/>
      </c>
    </row>
    <row r="4309" spans="1:8">
      <c r="A4309" s="2"/>
      <c r="B4309" s="12"/>
      <c r="C4309" s="12"/>
      <c r="E4309" t="str">
        <f>IF(LEN(D4309)=0,"",[1]!i_pq_tradedays($B$3,A4310,A4309)-1)</f>
        <v/>
      </c>
      <c r="G4309" s="16" t="str">
        <f t="shared" si="150"/>
        <v/>
      </c>
      <c r="H4309" s="70" t="str">
        <f t="shared" si="151"/>
        <v/>
      </c>
    </row>
    <row r="4310" spans="1:8">
      <c r="A4310" s="2"/>
      <c r="B4310" s="12"/>
      <c r="C4310" s="12"/>
      <c r="E4310" t="str">
        <f>IF(LEN(D4310)=0,"",[1]!i_pq_tradedays($B$3,A4311,A4310)-1)</f>
        <v/>
      </c>
      <c r="G4310" s="16" t="str">
        <f t="shared" si="150"/>
        <v/>
      </c>
      <c r="H4310" s="70" t="str">
        <f t="shared" si="151"/>
        <v/>
      </c>
    </row>
    <row r="4311" spans="1:8">
      <c r="A4311" s="2"/>
      <c r="B4311" s="12"/>
      <c r="C4311" s="12"/>
      <c r="E4311" t="str">
        <f>IF(LEN(D4311)=0,"",[1]!i_pq_tradedays($B$3,A4312,A4311)-1)</f>
        <v/>
      </c>
      <c r="G4311" s="16" t="str">
        <f t="shared" si="150"/>
        <v/>
      </c>
      <c r="H4311" s="70" t="str">
        <f t="shared" si="151"/>
        <v/>
      </c>
    </row>
    <row r="4312" spans="1:8">
      <c r="A4312" s="2"/>
      <c r="B4312" s="12"/>
      <c r="C4312" s="12"/>
      <c r="E4312" t="str">
        <f>IF(LEN(D4312)=0,"",[1]!i_pq_tradedays($B$3,A4313,A4312)-1)</f>
        <v/>
      </c>
      <c r="G4312" s="16" t="str">
        <f t="shared" si="150"/>
        <v/>
      </c>
      <c r="H4312" s="70" t="str">
        <f t="shared" si="151"/>
        <v/>
      </c>
    </row>
    <row r="4313" spans="1:8">
      <c r="A4313" s="2"/>
      <c r="B4313" s="12"/>
      <c r="C4313" s="12"/>
      <c r="E4313" t="str">
        <f>IF(LEN(D4313)=0,"",[1]!i_pq_tradedays($B$3,A4314,A4313)-1)</f>
        <v/>
      </c>
      <c r="G4313" s="16" t="str">
        <f t="shared" si="150"/>
        <v/>
      </c>
      <c r="H4313" s="70" t="str">
        <f t="shared" si="151"/>
        <v/>
      </c>
    </row>
    <row r="4314" spans="1:8">
      <c r="A4314" s="2"/>
      <c r="B4314" s="12"/>
      <c r="C4314" s="12"/>
      <c r="E4314" t="str">
        <f>IF(LEN(D4314)=0,"",[1]!i_pq_tradedays($B$3,A4315,A4314)-1)</f>
        <v/>
      </c>
      <c r="G4314" s="16" t="str">
        <f t="shared" si="150"/>
        <v/>
      </c>
      <c r="H4314" s="70" t="str">
        <f t="shared" si="151"/>
        <v/>
      </c>
    </row>
    <row r="4315" spans="1:8">
      <c r="A4315" s="2"/>
      <c r="B4315" s="12"/>
      <c r="C4315" s="12"/>
      <c r="E4315" t="str">
        <f>IF(LEN(D4315)=0,"",[1]!i_pq_tradedays($B$3,A4316,A4315)-1)</f>
        <v/>
      </c>
      <c r="G4315" s="16" t="str">
        <f t="shared" si="150"/>
        <v/>
      </c>
      <c r="H4315" s="70" t="str">
        <f t="shared" si="151"/>
        <v/>
      </c>
    </row>
    <row r="4316" spans="1:8">
      <c r="A4316" s="2"/>
      <c r="B4316" s="12"/>
      <c r="C4316" s="12"/>
      <c r="E4316" t="str">
        <f>IF(LEN(D4316)=0,"",[1]!i_pq_tradedays($B$3,A4317,A4316)-1)</f>
        <v/>
      </c>
      <c r="G4316" s="16" t="str">
        <f t="shared" si="150"/>
        <v/>
      </c>
      <c r="H4316" s="70" t="str">
        <f t="shared" si="151"/>
        <v/>
      </c>
    </row>
    <row r="4317" spans="1:8">
      <c r="A4317" s="2"/>
      <c r="B4317" s="12"/>
      <c r="C4317" s="12"/>
      <c r="E4317" t="str">
        <f>IF(LEN(D4317)=0,"",[1]!i_pq_tradedays($B$3,A4318,A4317)-1)</f>
        <v/>
      </c>
      <c r="G4317" s="16" t="str">
        <f t="shared" si="150"/>
        <v/>
      </c>
      <c r="H4317" s="70" t="str">
        <f t="shared" si="151"/>
        <v/>
      </c>
    </row>
    <row r="4318" spans="1:8">
      <c r="A4318" s="2"/>
      <c r="B4318" s="12"/>
      <c r="C4318" s="12"/>
      <c r="E4318" t="str">
        <f>IF(LEN(D4318)=0,"",[1]!i_pq_tradedays($B$3,A4319,A4318)-1)</f>
        <v/>
      </c>
      <c r="G4318" s="16" t="str">
        <f t="shared" si="150"/>
        <v/>
      </c>
      <c r="H4318" s="70" t="str">
        <f t="shared" si="151"/>
        <v/>
      </c>
    </row>
    <row r="4319" spans="1:8">
      <c r="A4319" s="2"/>
      <c r="B4319" s="12"/>
      <c r="C4319" s="12"/>
      <c r="E4319" t="str">
        <f>IF(LEN(D4319)=0,"",[1]!i_pq_tradedays($B$3,A4320,A4319)-1)</f>
        <v/>
      </c>
      <c r="G4319" s="16" t="str">
        <f t="shared" si="150"/>
        <v/>
      </c>
      <c r="H4319" s="70" t="str">
        <f t="shared" si="151"/>
        <v/>
      </c>
    </row>
    <row r="4320" spans="1:8">
      <c r="A4320" s="2"/>
      <c r="B4320" s="12"/>
      <c r="C4320" s="12"/>
      <c r="E4320" t="str">
        <f>IF(LEN(D4320)=0,"",[1]!i_pq_tradedays($B$3,A4321,A4320)-1)</f>
        <v/>
      </c>
      <c r="G4320" s="16" t="str">
        <f t="shared" si="150"/>
        <v/>
      </c>
      <c r="H4320" s="70" t="str">
        <f t="shared" si="151"/>
        <v/>
      </c>
    </row>
    <row r="4321" spans="1:8">
      <c r="A4321" s="2"/>
      <c r="B4321" s="12"/>
      <c r="C4321" s="12"/>
      <c r="E4321" t="str">
        <f>IF(LEN(D4321)=0,"",[1]!i_pq_tradedays($B$3,A4322,A4321)-1)</f>
        <v/>
      </c>
      <c r="G4321" s="16" t="str">
        <f t="shared" si="150"/>
        <v/>
      </c>
      <c r="H4321" s="70" t="str">
        <f t="shared" si="151"/>
        <v/>
      </c>
    </row>
    <row r="4322" spans="1:8">
      <c r="A4322" s="2"/>
      <c r="B4322" s="12"/>
      <c r="C4322" s="12"/>
      <c r="E4322" t="str">
        <f>IF(LEN(D4322)=0,"",[1]!i_pq_tradedays($B$3,A4323,A4322)-1)</f>
        <v/>
      </c>
      <c r="G4322" s="16" t="str">
        <f t="shared" si="150"/>
        <v/>
      </c>
      <c r="H4322" s="70" t="str">
        <f t="shared" si="151"/>
        <v/>
      </c>
    </row>
    <row r="4323" spans="1:8">
      <c r="A4323" s="2"/>
      <c r="B4323" s="12"/>
      <c r="C4323" s="12"/>
      <c r="E4323" t="str">
        <f>IF(LEN(D4323)=0,"",[1]!i_pq_tradedays($B$3,A4324,A4323)-1)</f>
        <v/>
      </c>
      <c r="G4323" s="16" t="str">
        <f t="shared" si="150"/>
        <v/>
      </c>
      <c r="H4323" s="70" t="str">
        <f t="shared" si="151"/>
        <v/>
      </c>
    </row>
    <row r="4324" spans="1:8">
      <c r="A4324" s="2"/>
      <c r="B4324" s="12"/>
      <c r="C4324" s="12"/>
      <c r="E4324" t="str">
        <f>IF(LEN(D4324)=0,"",[1]!i_pq_tradedays($B$3,A4325,A4324)-1)</f>
        <v/>
      </c>
      <c r="G4324" s="16" t="str">
        <f t="shared" si="150"/>
        <v/>
      </c>
      <c r="H4324" s="70" t="str">
        <f t="shared" si="151"/>
        <v/>
      </c>
    </row>
    <row r="4325" spans="1:8">
      <c r="A4325" s="2"/>
      <c r="B4325" s="12"/>
      <c r="C4325" s="12"/>
      <c r="E4325" t="str">
        <f>IF(LEN(D4325)=0,"",[1]!i_pq_tradedays($B$3,A4326,A4325)-1)</f>
        <v/>
      </c>
      <c r="G4325" s="16" t="str">
        <f t="shared" si="150"/>
        <v/>
      </c>
      <c r="H4325" s="70" t="str">
        <f t="shared" si="151"/>
        <v/>
      </c>
    </row>
    <row r="4326" spans="1:8">
      <c r="A4326" s="2"/>
      <c r="B4326" s="12"/>
      <c r="C4326" s="12"/>
      <c r="E4326" t="str">
        <f>IF(LEN(D4326)=0,"",[1]!i_pq_tradedays($B$3,A4327,A4326)-1)</f>
        <v/>
      </c>
      <c r="G4326" s="16" t="str">
        <f t="shared" si="150"/>
        <v/>
      </c>
      <c r="H4326" s="70" t="str">
        <f t="shared" si="151"/>
        <v/>
      </c>
    </row>
    <row r="4327" spans="1:8">
      <c r="A4327" s="2"/>
      <c r="B4327" s="12"/>
      <c r="C4327" s="12"/>
      <c r="E4327" t="str">
        <f>IF(LEN(D4327)=0,"",[1]!i_pq_tradedays($B$3,A4328,A4327)-1)</f>
        <v/>
      </c>
      <c r="G4327" s="16" t="str">
        <f t="shared" si="150"/>
        <v/>
      </c>
      <c r="H4327" s="70" t="str">
        <f t="shared" si="151"/>
        <v/>
      </c>
    </row>
    <row r="4328" spans="1:8">
      <c r="A4328" s="2"/>
      <c r="B4328" s="12"/>
      <c r="C4328" s="12"/>
      <c r="E4328" t="str">
        <f>IF(LEN(D4328)=0,"",[1]!i_pq_tradedays($B$3,A4329,A4328)-1)</f>
        <v/>
      </c>
      <c r="G4328" s="16" t="str">
        <f t="shared" si="150"/>
        <v/>
      </c>
      <c r="H4328" s="70" t="str">
        <f t="shared" si="151"/>
        <v/>
      </c>
    </row>
    <row r="4329" spans="1:8">
      <c r="A4329" s="2"/>
      <c r="B4329" s="12"/>
      <c r="C4329" s="12"/>
      <c r="E4329" t="str">
        <f>IF(LEN(D4329)=0,"",[1]!i_pq_tradedays($B$3,A4330,A4329)-1)</f>
        <v/>
      </c>
      <c r="G4329" s="16" t="str">
        <f t="shared" si="150"/>
        <v/>
      </c>
      <c r="H4329" s="70" t="str">
        <f t="shared" si="151"/>
        <v/>
      </c>
    </row>
    <row r="4330" spans="1:8">
      <c r="A4330" s="2"/>
      <c r="B4330" s="12"/>
      <c r="C4330" s="12"/>
      <c r="E4330" t="str">
        <f>IF(LEN(D4330)=0,"",[1]!i_pq_tradedays($B$3,A4331,A4330)-1)</f>
        <v/>
      </c>
      <c r="G4330" s="16" t="str">
        <f t="shared" si="150"/>
        <v/>
      </c>
      <c r="H4330" s="70" t="str">
        <f t="shared" si="151"/>
        <v/>
      </c>
    </row>
    <row r="4331" spans="1:8">
      <c r="A4331" s="2"/>
      <c r="B4331" s="12"/>
      <c r="C4331" s="12"/>
      <c r="E4331" t="str">
        <f>IF(LEN(D4331)=0,"",[1]!i_pq_tradedays($B$3,A4332,A4331)-1)</f>
        <v/>
      </c>
      <c r="G4331" s="16" t="str">
        <f t="shared" si="150"/>
        <v/>
      </c>
      <c r="H4331" s="70" t="str">
        <f t="shared" si="151"/>
        <v/>
      </c>
    </row>
    <row r="4332" spans="1:8">
      <c r="A4332" s="2"/>
      <c r="B4332" s="12"/>
      <c r="C4332" s="12"/>
      <c r="E4332" t="str">
        <f>IF(LEN(D4332)=0,"",[1]!i_pq_tradedays($B$3,A4333,A4332)-1)</f>
        <v/>
      </c>
      <c r="G4332" s="16" t="str">
        <f t="shared" si="150"/>
        <v/>
      </c>
      <c r="H4332" s="70" t="str">
        <f t="shared" si="151"/>
        <v/>
      </c>
    </row>
    <row r="4333" spans="1:8">
      <c r="A4333" s="2"/>
      <c r="B4333" s="12"/>
      <c r="C4333" s="12"/>
      <c r="E4333" t="str">
        <f>IF(LEN(D4333)=0,"",[1]!i_pq_tradedays($B$3,A4334,A4333)-1)</f>
        <v/>
      </c>
      <c r="G4333" s="16" t="str">
        <f t="shared" si="150"/>
        <v/>
      </c>
      <c r="H4333" s="70" t="str">
        <f t="shared" si="151"/>
        <v/>
      </c>
    </row>
    <row r="4334" spans="1:8">
      <c r="A4334" s="2"/>
      <c r="B4334" s="12"/>
      <c r="C4334" s="12"/>
      <c r="E4334" t="str">
        <f>IF(LEN(D4334)=0,"",[1]!i_pq_tradedays($B$3,A4335,A4334)-1)</f>
        <v/>
      </c>
      <c r="G4334" s="16" t="str">
        <f t="shared" si="150"/>
        <v/>
      </c>
      <c r="H4334" s="70" t="str">
        <f t="shared" si="151"/>
        <v/>
      </c>
    </row>
    <row r="4335" spans="1:8">
      <c r="A4335" s="2"/>
      <c r="B4335" s="12"/>
      <c r="C4335" s="12"/>
      <c r="E4335" t="str">
        <f>IF(LEN(D4335)=0,"",[1]!i_pq_tradedays($B$3,A4336,A4335)-1)</f>
        <v/>
      </c>
      <c r="G4335" s="16" t="str">
        <f t="shared" si="150"/>
        <v/>
      </c>
      <c r="H4335" s="70" t="str">
        <f t="shared" si="151"/>
        <v/>
      </c>
    </row>
    <row r="4336" spans="1:8">
      <c r="A4336" s="2"/>
      <c r="B4336" s="12"/>
      <c r="C4336" s="12"/>
      <c r="E4336" t="str">
        <f>IF(LEN(D4336)=0,"",[1]!i_pq_tradedays($B$3,A4337,A4336)-1)</f>
        <v/>
      </c>
      <c r="G4336" s="16" t="str">
        <f t="shared" si="150"/>
        <v/>
      </c>
      <c r="H4336" s="70" t="str">
        <f t="shared" si="151"/>
        <v/>
      </c>
    </row>
    <row r="4337" spans="1:8">
      <c r="A4337" s="2"/>
      <c r="B4337" s="12"/>
      <c r="C4337" s="12"/>
      <c r="E4337" t="str">
        <f>IF(LEN(D4337)=0,"",[1]!i_pq_tradedays($B$3,A4338,A4337)-1)</f>
        <v/>
      </c>
      <c r="G4337" s="16" t="str">
        <f t="shared" si="150"/>
        <v/>
      </c>
      <c r="H4337" s="70" t="str">
        <f t="shared" si="151"/>
        <v/>
      </c>
    </row>
    <row r="4338" spans="1:8">
      <c r="A4338" s="2"/>
      <c r="B4338" s="12"/>
      <c r="C4338" s="12"/>
      <c r="E4338" t="str">
        <f>IF(LEN(D4338)=0,"",[1]!i_pq_tradedays($B$3,A4339,A4338)-1)</f>
        <v/>
      </c>
      <c r="G4338" s="16" t="str">
        <f t="shared" si="150"/>
        <v/>
      </c>
      <c r="H4338" s="70" t="str">
        <f t="shared" si="151"/>
        <v/>
      </c>
    </row>
    <row r="4339" spans="1:8">
      <c r="A4339" s="2"/>
      <c r="B4339" s="12"/>
      <c r="C4339" s="12"/>
      <c r="E4339" t="str">
        <f>IF(LEN(D4339)=0,"",[1]!i_pq_tradedays($B$3,A4340,A4339)-1)</f>
        <v/>
      </c>
      <c r="G4339" s="16" t="str">
        <f t="shared" si="150"/>
        <v/>
      </c>
      <c r="H4339" s="70" t="str">
        <f t="shared" si="151"/>
        <v/>
      </c>
    </row>
    <row r="4340" spans="1:8">
      <c r="A4340" s="2"/>
      <c r="B4340" s="12"/>
      <c r="C4340" s="12"/>
      <c r="E4340" t="str">
        <f>IF(LEN(D4340)=0,"",[1]!i_pq_tradedays($B$3,A4341,A4340)-1)</f>
        <v/>
      </c>
      <c r="G4340" s="16" t="str">
        <f t="shared" si="150"/>
        <v/>
      </c>
      <c r="H4340" s="70" t="str">
        <f t="shared" si="151"/>
        <v/>
      </c>
    </row>
    <row r="4341" spans="1:8">
      <c r="A4341" s="2"/>
      <c r="B4341" s="12"/>
      <c r="C4341" s="12"/>
      <c r="E4341" t="str">
        <f>IF(LEN(D4341)=0,"",[1]!i_pq_tradedays($B$3,A4342,A4341)-1)</f>
        <v/>
      </c>
      <c r="G4341" s="16" t="str">
        <f t="shared" ref="G4341:G4404" si="152">IF(LEN(D4341)=0,"",D4341/E4341)</f>
        <v/>
      </c>
      <c r="H4341" s="70" t="str">
        <f t="shared" ref="H4341:H4404" si="153">IF(LEN(D4341)=0,"",G4341/G4342-1)</f>
        <v/>
      </c>
    </row>
    <row r="4342" spans="1:8">
      <c r="A4342" s="2"/>
      <c r="B4342" s="12"/>
      <c r="C4342" s="12"/>
      <c r="E4342" t="str">
        <f>IF(LEN(D4342)=0,"",[1]!i_pq_tradedays($B$3,A4343,A4342)-1)</f>
        <v/>
      </c>
      <c r="G4342" s="16" t="str">
        <f t="shared" si="152"/>
        <v/>
      </c>
      <c r="H4342" s="70" t="str">
        <f t="shared" si="153"/>
        <v/>
      </c>
    </row>
    <row r="4343" spans="1:8">
      <c r="A4343" s="2"/>
      <c r="B4343" s="12"/>
      <c r="C4343" s="12"/>
      <c r="E4343" t="str">
        <f>IF(LEN(D4343)=0,"",[1]!i_pq_tradedays($B$3,A4344,A4343)-1)</f>
        <v/>
      </c>
      <c r="G4343" s="16" t="str">
        <f t="shared" si="152"/>
        <v/>
      </c>
      <c r="H4343" s="70" t="str">
        <f t="shared" si="153"/>
        <v/>
      </c>
    </row>
    <row r="4344" spans="1:8">
      <c r="A4344" s="2"/>
      <c r="B4344" s="12"/>
      <c r="C4344" s="12"/>
      <c r="E4344" t="str">
        <f>IF(LEN(D4344)=0,"",[1]!i_pq_tradedays($B$3,A4345,A4344)-1)</f>
        <v/>
      </c>
      <c r="G4344" s="16" t="str">
        <f t="shared" si="152"/>
        <v/>
      </c>
      <c r="H4344" s="70" t="str">
        <f t="shared" si="153"/>
        <v/>
      </c>
    </row>
    <row r="4345" spans="1:8">
      <c r="A4345" s="2"/>
      <c r="B4345" s="12"/>
      <c r="C4345" s="12"/>
      <c r="E4345" t="str">
        <f>IF(LEN(D4345)=0,"",[1]!i_pq_tradedays($B$3,A4346,A4345)-1)</f>
        <v/>
      </c>
      <c r="G4345" s="16" t="str">
        <f t="shared" si="152"/>
        <v/>
      </c>
      <c r="H4345" s="70" t="str">
        <f t="shared" si="153"/>
        <v/>
      </c>
    </row>
    <row r="4346" spans="1:8">
      <c r="A4346" s="2"/>
      <c r="B4346" s="12"/>
      <c r="C4346" s="12"/>
      <c r="E4346" t="str">
        <f>IF(LEN(D4346)=0,"",[1]!i_pq_tradedays($B$3,A4347,A4346)-1)</f>
        <v/>
      </c>
      <c r="G4346" s="16" t="str">
        <f t="shared" si="152"/>
        <v/>
      </c>
      <c r="H4346" s="70" t="str">
        <f t="shared" si="153"/>
        <v/>
      </c>
    </row>
    <row r="4347" spans="1:8">
      <c r="A4347" s="2"/>
      <c r="B4347" s="12"/>
      <c r="C4347" s="12"/>
      <c r="E4347" t="str">
        <f>IF(LEN(D4347)=0,"",[1]!i_pq_tradedays($B$3,A4348,A4347)-1)</f>
        <v/>
      </c>
      <c r="G4347" s="16" t="str">
        <f t="shared" si="152"/>
        <v/>
      </c>
      <c r="H4347" s="70" t="str">
        <f t="shared" si="153"/>
        <v/>
      </c>
    </row>
    <row r="4348" spans="1:8">
      <c r="A4348" s="2"/>
      <c r="B4348" s="12"/>
      <c r="C4348" s="12"/>
      <c r="E4348" t="str">
        <f>IF(LEN(D4348)=0,"",[1]!i_pq_tradedays($B$3,A4349,A4348)-1)</f>
        <v/>
      </c>
      <c r="G4348" s="16" t="str">
        <f t="shared" si="152"/>
        <v/>
      </c>
      <c r="H4348" s="70" t="str">
        <f t="shared" si="153"/>
        <v/>
      </c>
    </row>
    <row r="4349" spans="1:8">
      <c r="A4349" s="2"/>
      <c r="B4349" s="12"/>
      <c r="C4349" s="12"/>
      <c r="E4349" t="str">
        <f>IF(LEN(D4349)=0,"",[1]!i_pq_tradedays($B$3,A4350,A4349)-1)</f>
        <v/>
      </c>
      <c r="G4349" s="16" t="str">
        <f t="shared" si="152"/>
        <v/>
      </c>
      <c r="H4349" s="70" t="str">
        <f t="shared" si="153"/>
        <v/>
      </c>
    </row>
    <row r="4350" spans="1:8">
      <c r="A4350" s="2"/>
      <c r="B4350" s="12"/>
      <c r="C4350" s="12"/>
      <c r="E4350" t="str">
        <f>IF(LEN(D4350)=0,"",[1]!i_pq_tradedays($B$3,A4351,A4350)-1)</f>
        <v/>
      </c>
      <c r="G4350" s="16" t="str">
        <f t="shared" si="152"/>
        <v/>
      </c>
      <c r="H4350" s="70" t="str">
        <f t="shared" si="153"/>
        <v/>
      </c>
    </row>
    <row r="4351" spans="1:8">
      <c r="A4351" s="2"/>
      <c r="B4351" s="12"/>
      <c r="C4351" s="12"/>
      <c r="E4351" t="str">
        <f>IF(LEN(D4351)=0,"",[1]!i_pq_tradedays($B$3,A4352,A4351)-1)</f>
        <v/>
      </c>
      <c r="G4351" s="16" t="str">
        <f t="shared" si="152"/>
        <v/>
      </c>
      <c r="H4351" s="70" t="str">
        <f t="shared" si="153"/>
        <v/>
      </c>
    </row>
    <row r="4352" spans="1:8">
      <c r="A4352" s="2"/>
      <c r="B4352" s="12"/>
      <c r="C4352" s="12"/>
      <c r="E4352" t="str">
        <f>IF(LEN(D4352)=0,"",[1]!i_pq_tradedays($B$3,A4353,A4352)-1)</f>
        <v/>
      </c>
      <c r="G4352" s="16" t="str">
        <f t="shared" si="152"/>
        <v/>
      </c>
      <c r="H4352" s="70" t="str">
        <f t="shared" si="153"/>
        <v/>
      </c>
    </row>
    <row r="4353" spans="1:8">
      <c r="A4353" s="2"/>
      <c r="B4353" s="12"/>
      <c r="C4353" s="12"/>
      <c r="E4353" t="str">
        <f>IF(LEN(D4353)=0,"",[1]!i_pq_tradedays($B$3,A4354,A4353)-1)</f>
        <v/>
      </c>
      <c r="G4353" s="16" t="str">
        <f t="shared" si="152"/>
        <v/>
      </c>
      <c r="H4353" s="70" t="str">
        <f t="shared" si="153"/>
        <v/>
      </c>
    </row>
    <row r="4354" spans="1:8">
      <c r="A4354" s="2"/>
      <c r="B4354" s="12"/>
      <c r="C4354" s="12"/>
      <c r="E4354" t="str">
        <f>IF(LEN(D4354)=0,"",[1]!i_pq_tradedays($B$3,A4355,A4354)-1)</f>
        <v/>
      </c>
      <c r="G4354" s="16" t="str">
        <f t="shared" si="152"/>
        <v/>
      </c>
      <c r="H4354" s="70" t="str">
        <f t="shared" si="153"/>
        <v/>
      </c>
    </row>
    <row r="4355" spans="1:8">
      <c r="A4355" s="2"/>
      <c r="B4355" s="12"/>
      <c r="C4355" s="12"/>
      <c r="E4355" t="str">
        <f>IF(LEN(D4355)=0,"",[1]!i_pq_tradedays($B$3,A4356,A4355)-1)</f>
        <v/>
      </c>
      <c r="G4355" s="16" t="str">
        <f t="shared" si="152"/>
        <v/>
      </c>
      <c r="H4355" s="70" t="str">
        <f t="shared" si="153"/>
        <v/>
      </c>
    </row>
    <row r="4356" spans="1:8">
      <c r="A4356" s="2"/>
      <c r="B4356" s="12"/>
      <c r="C4356" s="12"/>
      <c r="E4356" t="str">
        <f>IF(LEN(D4356)=0,"",[1]!i_pq_tradedays($B$3,A4357,A4356)-1)</f>
        <v/>
      </c>
      <c r="G4356" s="16" t="str">
        <f t="shared" si="152"/>
        <v/>
      </c>
      <c r="H4356" s="70" t="str">
        <f t="shared" si="153"/>
        <v/>
      </c>
    </row>
    <row r="4357" spans="1:8">
      <c r="A4357" s="2"/>
      <c r="B4357" s="12"/>
      <c r="C4357" s="12"/>
      <c r="E4357" t="str">
        <f>IF(LEN(D4357)=0,"",[1]!i_pq_tradedays($B$3,A4358,A4357)-1)</f>
        <v/>
      </c>
      <c r="G4357" s="16" t="str">
        <f t="shared" si="152"/>
        <v/>
      </c>
      <c r="H4357" s="70" t="str">
        <f t="shared" si="153"/>
        <v/>
      </c>
    </row>
    <row r="4358" spans="1:8">
      <c r="A4358" s="2"/>
      <c r="B4358" s="12"/>
      <c r="C4358" s="12"/>
      <c r="E4358" t="str">
        <f>IF(LEN(D4358)=0,"",[1]!i_pq_tradedays($B$3,A4359,A4358)-1)</f>
        <v/>
      </c>
      <c r="G4358" s="16" t="str">
        <f t="shared" si="152"/>
        <v/>
      </c>
      <c r="H4358" s="70" t="str">
        <f t="shared" si="153"/>
        <v/>
      </c>
    </row>
    <row r="4359" spans="1:8">
      <c r="A4359" s="2"/>
      <c r="B4359" s="12"/>
      <c r="C4359" s="12"/>
      <c r="E4359" t="str">
        <f>IF(LEN(D4359)=0,"",[1]!i_pq_tradedays($B$3,A4360,A4359)-1)</f>
        <v/>
      </c>
      <c r="G4359" s="16" t="str">
        <f t="shared" si="152"/>
        <v/>
      </c>
      <c r="H4359" s="70" t="str">
        <f t="shared" si="153"/>
        <v/>
      </c>
    </row>
    <row r="4360" spans="1:8">
      <c r="A4360" s="2"/>
      <c r="B4360" s="12"/>
      <c r="C4360" s="12"/>
      <c r="E4360" t="str">
        <f>IF(LEN(D4360)=0,"",[1]!i_pq_tradedays($B$3,A4361,A4360)-1)</f>
        <v/>
      </c>
      <c r="G4360" s="16" t="str">
        <f t="shared" si="152"/>
        <v/>
      </c>
      <c r="H4360" s="70" t="str">
        <f t="shared" si="153"/>
        <v/>
      </c>
    </row>
    <row r="4361" spans="1:8">
      <c r="A4361" s="2"/>
      <c r="B4361" s="12"/>
      <c r="C4361" s="12"/>
      <c r="E4361" t="str">
        <f>IF(LEN(D4361)=0,"",[1]!i_pq_tradedays($B$3,A4362,A4361)-1)</f>
        <v/>
      </c>
      <c r="G4361" s="16" t="str">
        <f t="shared" si="152"/>
        <v/>
      </c>
      <c r="H4361" s="70" t="str">
        <f t="shared" si="153"/>
        <v/>
      </c>
    </row>
    <row r="4362" spans="1:8">
      <c r="A4362" s="2"/>
      <c r="B4362" s="12"/>
      <c r="C4362" s="12"/>
      <c r="E4362" t="str">
        <f>IF(LEN(D4362)=0,"",[1]!i_pq_tradedays($B$3,A4363,A4362)-1)</f>
        <v/>
      </c>
      <c r="G4362" s="16" t="str">
        <f t="shared" si="152"/>
        <v/>
      </c>
      <c r="H4362" s="70" t="str">
        <f t="shared" si="153"/>
        <v/>
      </c>
    </row>
    <row r="4363" spans="1:8">
      <c r="A4363" s="2"/>
      <c r="B4363" s="12"/>
      <c r="C4363" s="12"/>
      <c r="E4363" t="str">
        <f>IF(LEN(D4363)=0,"",[1]!i_pq_tradedays($B$3,A4364,A4363)-1)</f>
        <v/>
      </c>
      <c r="G4363" s="16" t="str">
        <f t="shared" si="152"/>
        <v/>
      </c>
      <c r="H4363" s="70" t="str">
        <f t="shared" si="153"/>
        <v/>
      </c>
    </row>
    <row r="4364" spans="1:8">
      <c r="A4364" s="2"/>
      <c r="B4364" s="12"/>
      <c r="C4364" s="12"/>
      <c r="E4364" t="str">
        <f>IF(LEN(D4364)=0,"",[1]!i_pq_tradedays($B$3,A4365,A4364)-1)</f>
        <v/>
      </c>
      <c r="G4364" s="16" t="str">
        <f t="shared" si="152"/>
        <v/>
      </c>
      <c r="H4364" s="70" t="str">
        <f t="shared" si="153"/>
        <v/>
      </c>
    </row>
    <row r="4365" spans="1:8">
      <c r="A4365" s="2"/>
      <c r="B4365" s="12"/>
      <c r="C4365" s="12"/>
      <c r="E4365" t="str">
        <f>IF(LEN(D4365)=0,"",[1]!i_pq_tradedays($B$3,A4366,A4365)-1)</f>
        <v/>
      </c>
      <c r="G4365" s="16" t="str">
        <f t="shared" si="152"/>
        <v/>
      </c>
      <c r="H4365" s="70" t="str">
        <f t="shared" si="153"/>
        <v/>
      </c>
    </row>
    <row r="4366" spans="1:8">
      <c r="A4366" s="2"/>
      <c r="B4366" s="12"/>
      <c r="C4366" s="12"/>
      <c r="E4366" t="str">
        <f>IF(LEN(D4366)=0,"",[1]!i_pq_tradedays($B$3,A4367,A4366)-1)</f>
        <v/>
      </c>
      <c r="G4366" s="16" t="str">
        <f t="shared" si="152"/>
        <v/>
      </c>
      <c r="H4366" s="70" t="str">
        <f t="shared" si="153"/>
        <v/>
      </c>
    </row>
    <row r="4367" spans="1:8">
      <c r="A4367" s="2"/>
      <c r="B4367" s="12"/>
      <c r="C4367" s="12"/>
      <c r="E4367" t="str">
        <f>IF(LEN(D4367)=0,"",[1]!i_pq_tradedays($B$3,A4368,A4367)-1)</f>
        <v/>
      </c>
      <c r="G4367" s="16" t="str">
        <f t="shared" si="152"/>
        <v/>
      </c>
      <c r="H4367" s="70" t="str">
        <f t="shared" si="153"/>
        <v/>
      </c>
    </row>
    <row r="4368" spans="1:8">
      <c r="A4368" s="2"/>
      <c r="B4368" s="12"/>
      <c r="C4368" s="12"/>
      <c r="E4368" t="str">
        <f>IF(LEN(D4368)=0,"",[1]!i_pq_tradedays($B$3,A4369,A4368)-1)</f>
        <v/>
      </c>
      <c r="G4368" s="16" t="str">
        <f t="shared" si="152"/>
        <v/>
      </c>
      <c r="H4368" s="70" t="str">
        <f t="shared" si="153"/>
        <v/>
      </c>
    </row>
    <row r="4369" spans="1:8">
      <c r="A4369" s="2"/>
      <c r="B4369" s="12"/>
      <c r="C4369" s="12"/>
      <c r="E4369" t="str">
        <f>IF(LEN(D4369)=0,"",[1]!i_pq_tradedays($B$3,A4370,A4369)-1)</f>
        <v/>
      </c>
      <c r="G4369" s="16" t="str">
        <f t="shared" si="152"/>
        <v/>
      </c>
      <c r="H4369" s="70" t="str">
        <f t="shared" si="153"/>
        <v/>
      </c>
    </row>
    <row r="4370" spans="1:8">
      <c r="A4370" s="2"/>
      <c r="B4370" s="12"/>
      <c r="C4370" s="12"/>
      <c r="E4370" t="str">
        <f>IF(LEN(D4370)=0,"",[1]!i_pq_tradedays($B$3,A4371,A4370)-1)</f>
        <v/>
      </c>
      <c r="G4370" s="16" t="str">
        <f t="shared" si="152"/>
        <v/>
      </c>
      <c r="H4370" s="70" t="str">
        <f t="shared" si="153"/>
        <v/>
      </c>
    </row>
    <row r="4371" spans="1:8">
      <c r="A4371" s="2"/>
      <c r="B4371" s="12"/>
      <c r="C4371" s="12"/>
      <c r="E4371" t="str">
        <f>IF(LEN(D4371)=0,"",[1]!i_pq_tradedays($B$3,A4372,A4371)-1)</f>
        <v/>
      </c>
      <c r="G4371" s="16" t="str">
        <f t="shared" si="152"/>
        <v/>
      </c>
      <c r="H4371" s="70" t="str">
        <f t="shared" si="153"/>
        <v/>
      </c>
    </row>
    <row r="4372" spans="1:8">
      <c r="A4372" s="2"/>
      <c r="B4372" s="12"/>
      <c r="C4372" s="12"/>
      <c r="E4372" t="str">
        <f>IF(LEN(D4372)=0,"",[1]!i_pq_tradedays($B$3,A4373,A4372)-1)</f>
        <v/>
      </c>
      <c r="G4372" s="16" t="str">
        <f t="shared" si="152"/>
        <v/>
      </c>
      <c r="H4372" s="70" t="str">
        <f t="shared" si="153"/>
        <v/>
      </c>
    </row>
    <row r="4373" spans="1:8">
      <c r="A4373" s="2"/>
      <c r="B4373" s="12"/>
      <c r="C4373" s="12"/>
      <c r="E4373" t="str">
        <f>IF(LEN(D4373)=0,"",[1]!i_pq_tradedays($B$3,A4374,A4373)-1)</f>
        <v/>
      </c>
      <c r="G4373" s="16" t="str">
        <f t="shared" si="152"/>
        <v/>
      </c>
      <c r="H4373" s="70" t="str">
        <f t="shared" si="153"/>
        <v/>
      </c>
    </row>
    <row r="4374" spans="1:8">
      <c r="A4374" s="2"/>
      <c r="B4374" s="12"/>
      <c r="C4374" s="12"/>
      <c r="E4374" t="str">
        <f>IF(LEN(D4374)=0,"",[1]!i_pq_tradedays($B$3,A4375,A4374)-1)</f>
        <v/>
      </c>
      <c r="G4374" s="16" t="str">
        <f t="shared" si="152"/>
        <v/>
      </c>
      <c r="H4374" s="70" t="str">
        <f t="shared" si="153"/>
        <v/>
      </c>
    </row>
    <row r="4375" spans="1:8">
      <c r="A4375" s="2"/>
      <c r="B4375" s="12"/>
      <c r="C4375" s="12"/>
      <c r="E4375" t="str">
        <f>IF(LEN(D4375)=0,"",[1]!i_pq_tradedays($B$3,A4376,A4375)-1)</f>
        <v/>
      </c>
      <c r="G4375" s="16" t="str">
        <f t="shared" si="152"/>
        <v/>
      </c>
      <c r="H4375" s="70" t="str">
        <f t="shared" si="153"/>
        <v/>
      </c>
    </row>
    <row r="4376" spans="1:8">
      <c r="A4376" s="2"/>
      <c r="B4376" s="12"/>
      <c r="C4376" s="12"/>
      <c r="E4376" t="str">
        <f>IF(LEN(D4376)=0,"",[1]!i_pq_tradedays($B$3,A4377,A4376)-1)</f>
        <v/>
      </c>
      <c r="G4376" s="16" t="str">
        <f t="shared" si="152"/>
        <v/>
      </c>
      <c r="H4376" s="70" t="str">
        <f t="shared" si="153"/>
        <v/>
      </c>
    </row>
    <row r="4377" spans="1:8">
      <c r="A4377" s="2"/>
      <c r="B4377" s="12"/>
      <c r="C4377" s="12"/>
      <c r="E4377" t="str">
        <f>IF(LEN(D4377)=0,"",[1]!i_pq_tradedays($B$3,A4378,A4377)-1)</f>
        <v/>
      </c>
      <c r="G4377" s="16" t="str">
        <f t="shared" si="152"/>
        <v/>
      </c>
      <c r="H4377" s="70" t="str">
        <f t="shared" si="153"/>
        <v/>
      </c>
    </row>
    <row r="4378" spans="1:8">
      <c r="A4378" s="2"/>
      <c r="B4378" s="12"/>
      <c r="C4378" s="12"/>
      <c r="E4378" t="str">
        <f>IF(LEN(D4378)=0,"",[1]!i_pq_tradedays($B$3,A4379,A4378)-1)</f>
        <v/>
      </c>
      <c r="G4378" s="16" t="str">
        <f t="shared" si="152"/>
        <v/>
      </c>
      <c r="H4378" s="70" t="str">
        <f t="shared" si="153"/>
        <v/>
      </c>
    </row>
    <row r="4379" spans="1:8">
      <c r="A4379" s="2"/>
      <c r="B4379" s="12"/>
      <c r="C4379" s="12"/>
      <c r="E4379" t="str">
        <f>IF(LEN(D4379)=0,"",[1]!i_pq_tradedays($B$3,A4380,A4379)-1)</f>
        <v/>
      </c>
      <c r="G4379" s="16" t="str">
        <f t="shared" si="152"/>
        <v/>
      </c>
      <c r="H4379" s="70" t="str">
        <f t="shared" si="153"/>
        <v/>
      </c>
    </row>
    <row r="4380" spans="1:8">
      <c r="A4380" s="2"/>
      <c r="B4380" s="12"/>
      <c r="C4380" s="12"/>
      <c r="E4380" t="str">
        <f>IF(LEN(D4380)=0,"",[1]!i_pq_tradedays($B$3,A4381,A4380)-1)</f>
        <v/>
      </c>
      <c r="G4380" s="16" t="str">
        <f t="shared" si="152"/>
        <v/>
      </c>
      <c r="H4380" s="70" t="str">
        <f t="shared" si="153"/>
        <v/>
      </c>
    </row>
    <row r="4381" spans="1:8">
      <c r="A4381" s="2"/>
      <c r="B4381" s="12"/>
      <c r="C4381" s="12"/>
      <c r="E4381" t="str">
        <f>IF(LEN(D4381)=0,"",[1]!i_pq_tradedays($B$3,A4382,A4381)-1)</f>
        <v/>
      </c>
      <c r="G4381" s="16" t="str">
        <f t="shared" si="152"/>
        <v/>
      </c>
      <c r="H4381" s="70" t="str">
        <f t="shared" si="153"/>
        <v/>
      </c>
    </row>
    <row r="4382" spans="1:8">
      <c r="A4382" s="2"/>
      <c r="B4382" s="12"/>
      <c r="C4382" s="12"/>
      <c r="E4382" t="str">
        <f>IF(LEN(D4382)=0,"",[1]!i_pq_tradedays($B$3,A4383,A4382)-1)</f>
        <v/>
      </c>
      <c r="G4382" s="16" t="str">
        <f t="shared" si="152"/>
        <v/>
      </c>
      <c r="H4382" s="70" t="str">
        <f t="shared" si="153"/>
        <v/>
      </c>
    </row>
    <row r="4383" spans="1:8">
      <c r="A4383" s="2"/>
      <c r="B4383" s="12"/>
      <c r="C4383" s="12"/>
      <c r="E4383" t="str">
        <f>IF(LEN(D4383)=0,"",[1]!i_pq_tradedays($B$3,A4384,A4383)-1)</f>
        <v/>
      </c>
      <c r="G4383" s="16" t="str">
        <f t="shared" si="152"/>
        <v/>
      </c>
      <c r="H4383" s="70" t="str">
        <f t="shared" si="153"/>
        <v/>
      </c>
    </row>
    <row r="4384" spans="1:8">
      <c r="A4384" s="2"/>
      <c r="B4384" s="12"/>
      <c r="C4384" s="12"/>
      <c r="E4384" t="str">
        <f>IF(LEN(D4384)=0,"",[1]!i_pq_tradedays($B$3,A4385,A4384)-1)</f>
        <v/>
      </c>
      <c r="G4384" s="16" t="str">
        <f t="shared" si="152"/>
        <v/>
      </c>
      <c r="H4384" s="70" t="str">
        <f t="shared" si="153"/>
        <v/>
      </c>
    </row>
    <row r="4385" spans="1:8">
      <c r="A4385" s="2"/>
      <c r="B4385" s="12"/>
      <c r="C4385" s="12"/>
      <c r="E4385" t="str">
        <f>IF(LEN(D4385)=0,"",[1]!i_pq_tradedays($B$3,A4386,A4385)-1)</f>
        <v/>
      </c>
      <c r="G4385" s="16" t="str">
        <f t="shared" si="152"/>
        <v/>
      </c>
      <c r="H4385" s="70" t="str">
        <f t="shared" si="153"/>
        <v/>
      </c>
    </row>
    <row r="4386" spans="1:8">
      <c r="A4386" s="2"/>
      <c r="B4386" s="12"/>
      <c r="C4386" s="12"/>
      <c r="E4386" t="str">
        <f>IF(LEN(D4386)=0,"",[1]!i_pq_tradedays($B$3,A4387,A4386)-1)</f>
        <v/>
      </c>
      <c r="G4386" s="16" t="str">
        <f t="shared" si="152"/>
        <v/>
      </c>
      <c r="H4386" s="70" t="str">
        <f t="shared" si="153"/>
        <v/>
      </c>
    </row>
    <row r="4387" spans="1:8">
      <c r="A4387" s="2"/>
      <c r="B4387" s="12"/>
      <c r="C4387" s="12"/>
      <c r="E4387" t="str">
        <f>IF(LEN(D4387)=0,"",[1]!i_pq_tradedays($B$3,A4388,A4387)-1)</f>
        <v/>
      </c>
      <c r="G4387" s="16" t="str">
        <f t="shared" si="152"/>
        <v/>
      </c>
      <c r="H4387" s="70" t="str">
        <f t="shared" si="153"/>
        <v/>
      </c>
    </row>
    <row r="4388" spans="1:8">
      <c r="A4388" s="2"/>
      <c r="B4388" s="12"/>
      <c r="C4388" s="12"/>
      <c r="E4388" t="str">
        <f>IF(LEN(D4388)=0,"",[1]!i_pq_tradedays($B$3,A4389,A4388)-1)</f>
        <v/>
      </c>
      <c r="G4388" s="16" t="str">
        <f t="shared" si="152"/>
        <v/>
      </c>
      <c r="H4388" s="70" t="str">
        <f t="shared" si="153"/>
        <v/>
      </c>
    </row>
    <row r="4389" spans="1:8">
      <c r="A4389" s="2"/>
      <c r="B4389" s="12"/>
      <c r="C4389" s="12"/>
      <c r="E4389" t="str">
        <f>IF(LEN(D4389)=0,"",[1]!i_pq_tradedays($B$3,A4390,A4389)-1)</f>
        <v/>
      </c>
      <c r="G4389" s="16" t="str">
        <f t="shared" si="152"/>
        <v/>
      </c>
      <c r="H4389" s="70" t="str">
        <f t="shared" si="153"/>
        <v/>
      </c>
    </row>
    <row r="4390" spans="1:8">
      <c r="A4390" s="2"/>
      <c r="B4390" s="12"/>
      <c r="C4390" s="12"/>
      <c r="E4390" t="str">
        <f>IF(LEN(D4390)=0,"",[1]!i_pq_tradedays($B$3,A4391,A4390)-1)</f>
        <v/>
      </c>
      <c r="G4390" s="16" t="str">
        <f t="shared" si="152"/>
        <v/>
      </c>
      <c r="H4390" s="70" t="str">
        <f t="shared" si="153"/>
        <v/>
      </c>
    </row>
    <row r="4391" spans="1:8">
      <c r="A4391" s="2"/>
      <c r="B4391" s="12"/>
      <c r="C4391" s="12"/>
      <c r="E4391" t="str">
        <f>IF(LEN(D4391)=0,"",[1]!i_pq_tradedays($B$3,A4392,A4391)-1)</f>
        <v/>
      </c>
      <c r="G4391" s="16" t="str">
        <f t="shared" si="152"/>
        <v/>
      </c>
      <c r="H4391" s="70" t="str">
        <f t="shared" si="153"/>
        <v/>
      </c>
    </row>
    <row r="4392" spans="1:8">
      <c r="A4392" s="2"/>
      <c r="B4392" s="12"/>
      <c r="C4392" s="12"/>
      <c r="E4392" t="str">
        <f>IF(LEN(D4392)=0,"",[1]!i_pq_tradedays($B$3,A4393,A4392)-1)</f>
        <v/>
      </c>
      <c r="G4392" s="16" t="str">
        <f t="shared" si="152"/>
        <v/>
      </c>
      <c r="H4392" s="70" t="str">
        <f t="shared" si="153"/>
        <v/>
      </c>
    </row>
    <row r="4393" spans="1:8">
      <c r="A4393" s="2"/>
      <c r="B4393" s="12"/>
      <c r="C4393" s="12"/>
      <c r="E4393" t="str">
        <f>IF(LEN(D4393)=0,"",[1]!i_pq_tradedays($B$3,A4394,A4393)-1)</f>
        <v/>
      </c>
      <c r="G4393" s="16" t="str">
        <f t="shared" si="152"/>
        <v/>
      </c>
      <c r="H4393" s="70" t="str">
        <f t="shared" si="153"/>
        <v/>
      </c>
    </row>
    <row r="4394" spans="1:8">
      <c r="A4394" s="2"/>
      <c r="B4394" s="12"/>
      <c r="C4394" s="12"/>
      <c r="E4394" t="str">
        <f>IF(LEN(D4394)=0,"",[1]!i_pq_tradedays($B$3,A4395,A4394)-1)</f>
        <v/>
      </c>
      <c r="G4394" s="16" t="str">
        <f t="shared" si="152"/>
        <v/>
      </c>
      <c r="H4394" s="70" t="str">
        <f t="shared" si="153"/>
        <v/>
      </c>
    </row>
    <row r="4395" spans="1:8">
      <c r="A4395" s="2"/>
      <c r="B4395" s="12"/>
      <c r="C4395" s="12"/>
      <c r="E4395" t="str">
        <f>IF(LEN(D4395)=0,"",[1]!i_pq_tradedays($B$3,A4396,A4395)-1)</f>
        <v/>
      </c>
      <c r="G4395" s="16" t="str">
        <f t="shared" si="152"/>
        <v/>
      </c>
      <c r="H4395" s="70" t="str">
        <f t="shared" si="153"/>
        <v/>
      </c>
    </row>
    <row r="4396" spans="1:8">
      <c r="A4396" s="2"/>
      <c r="B4396" s="12"/>
      <c r="C4396" s="12"/>
      <c r="E4396" t="str">
        <f>IF(LEN(D4396)=0,"",[1]!i_pq_tradedays($B$3,A4397,A4396)-1)</f>
        <v/>
      </c>
      <c r="G4396" s="16" t="str">
        <f t="shared" si="152"/>
        <v/>
      </c>
      <c r="H4396" s="70" t="str">
        <f t="shared" si="153"/>
        <v/>
      </c>
    </row>
    <row r="4397" spans="1:8">
      <c r="A4397" s="2"/>
      <c r="B4397" s="12"/>
      <c r="C4397" s="12"/>
      <c r="E4397" t="str">
        <f>IF(LEN(D4397)=0,"",[1]!i_pq_tradedays($B$3,A4398,A4397)-1)</f>
        <v/>
      </c>
      <c r="G4397" s="16" t="str">
        <f t="shared" si="152"/>
        <v/>
      </c>
      <c r="H4397" s="70" t="str">
        <f t="shared" si="153"/>
        <v/>
      </c>
    </row>
    <row r="4398" spans="1:8">
      <c r="A4398" s="2"/>
      <c r="B4398" s="12"/>
      <c r="C4398" s="12"/>
      <c r="E4398" t="str">
        <f>IF(LEN(D4398)=0,"",[1]!i_pq_tradedays($B$3,A4399,A4398)-1)</f>
        <v/>
      </c>
      <c r="G4398" s="16" t="str">
        <f t="shared" si="152"/>
        <v/>
      </c>
      <c r="H4398" s="70" t="str">
        <f t="shared" si="153"/>
        <v/>
      </c>
    </row>
    <row r="4399" spans="1:8">
      <c r="A4399" s="2"/>
      <c r="B4399" s="12"/>
      <c r="C4399" s="12"/>
      <c r="E4399" t="str">
        <f>IF(LEN(D4399)=0,"",[1]!i_pq_tradedays($B$3,A4400,A4399)-1)</f>
        <v/>
      </c>
      <c r="G4399" s="16" t="str">
        <f t="shared" si="152"/>
        <v/>
      </c>
      <c r="H4399" s="70" t="str">
        <f t="shared" si="153"/>
        <v/>
      </c>
    </row>
    <row r="4400" spans="1:8">
      <c r="A4400" s="2"/>
      <c r="B4400" s="12"/>
      <c r="C4400" s="12"/>
      <c r="E4400" t="str">
        <f>IF(LEN(D4400)=0,"",[1]!i_pq_tradedays($B$3,A4401,A4400)-1)</f>
        <v/>
      </c>
      <c r="G4400" s="16" t="str">
        <f t="shared" si="152"/>
        <v/>
      </c>
      <c r="H4400" s="70" t="str">
        <f t="shared" si="153"/>
        <v/>
      </c>
    </row>
    <row r="4401" spans="1:8">
      <c r="A4401" s="2"/>
      <c r="B4401" s="12"/>
      <c r="C4401" s="12"/>
      <c r="E4401" t="str">
        <f>IF(LEN(D4401)=0,"",[1]!i_pq_tradedays($B$3,A4402,A4401)-1)</f>
        <v/>
      </c>
      <c r="G4401" s="16" t="str">
        <f t="shared" si="152"/>
        <v/>
      </c>
      <c r="H4401" s="70" t="str">
        <f t="shared" si="153"/>
        <v/>
      </c>
    </row>
    <row r="4402" spans="1:8">
      <c r="A4402" s="2"/>
      <c r="B4402" s="12"/>
      <c r="C4402" s="12"/>
      <c r="E4402" t="str">
        <f>IF(LEN(D4402)=0,"",[1]!i_pq_tradedays($B$3,A4403,A4402)-1)</f>
        <v/>
      </c>
      <c r="G4402" s="16" t="str">
        <f t="shared" si="152"/>
        <v/>
      </c>
      <c r="H4402" s="70" t="str">
        <f t="shared" si="153"/>
        <v/>
      </c>
    </row>
    <row r="4403" spans="1:8">
      <c r="A4403" s="2"/>
      <c r="B4403" s="12"/>
      <c r="C4403" s="12"/>
      <c r="E4403" t="str">
        <f>IF(LEN(D4403)=0,"",[1]!i_pq_tradedays($B$3,A4404,A4403)-1)</f>
        <v/>
      </c>
      <c r="G4403" s="16" t="str">
        <f t="shared" si="152"/>
        <v/>
      </c>
      <c r="H4403" s="70" t="str">
        <f t="shared" si="153"/>
        <v/>
      </c>
    </row>
    <row r="4404" spans="1:8">
      <c r="A4404" s="2"/>
      <c r="B4404" s="12"/>
      <c r="C4404" s="12"/>
      <c r="E4404" t="str">
        <f>IF(LEN(D4404)=0,"",[1]!i_pq_tradedays($B$3,A4405,A4404)-1)</f>
        <v/>
      </c>
      <c r="G4404" s="16" t="str">
        <f t="shared" si="152"/>
        <v/>
      </c>
      <c r="H4404" s="70" t="str">
        <f t="shared" si="153"/>
        <v/>
      </c>
    </row>
    <row r="4405" spans="1:8">
      <c r="A4405" s="2"/>
      <c r="B4405" s="12"/>
      <c r="C4405" s="12"/>
      <c r="E4405" t="str">
        <f>IF(LEN(D4405)=0,"",[1]!i_pq_tradedays($B$3,A4406,A4405)-1)</f>
        <v/>
      </c>
      <c r="G4405" s="16" t="str">
        <f t="shared" ref="G4405:G4468" si="154">IF(LEN(D4405)=0,"",D4405/E4405)</f>
        <v/>
      </c>
      <c r="H4405" s="70" t="str">
        <f t="shared" ref="H4405:H4468" si="155">IF(LEN(D4405)=0,"",G4405/G4406-1)</f>
        <v/>
      </c>
    </row>
    <row r="4406" spans="1:8">
      <c r="A4406" s="2"/>
      <c r="B4406" s="12"/>
      <c r="C4406" s="12"/>
      <c r="E4406" t="str">
        <f>IF(LEN(D4406)=0,"",[1]!i_pq_tradedays($B$3,A4407,A4406)-1)</f>
        <v/>
      </c>
      <c r="G4406" s="16" t="str">
        <f t="shared" si="154"/>
        <v/>
      </c>
      <c r="H4406" s="70" t="str">
        <f t="shared" si="155"/>
        <v/>
      </c>
    </row>
    <row r="4407" spans="1:8">
      <c r="A4407" s="2"/>
      <c r="B4407" s="12"/>
      <c r="C4407" s="12"/>
      <c r="E4407" t="str">
        <f>IF(LEN(D4407)=0,"",[1]!i_pq_tradedays($B$3,A4408,A4407)-1)</f>
        <v/>
      </c>
      <c r="G4407" s="16" t="str">
        <f t="shared" si="154"/>
        <v/>
      </c>
      <c r="H4407" s="70" t="str">
        <f t="shared" si="155"/>
        <v/>
      </c>
    </row>
    <row r="4408" spans="1:8">
      <c r="A4408" s="2"/>
      <c r="B4408" s="12"/>
      <c r="C4408" s="12"/>
      <c r="E4408" t="str">
        <f>IF(LEN(D4408)=0,"",[1]!i_pq_tradedays($B$3,A4409,A4408)-1)</f>
        <v/>
      </c>
      <c r="G4408" s="16" t="str">
        <f t="shared" si="154"/>
        <v/>
      </c>
      <c r="H4408" s="70" t="str">
        <f t="shared" si="155"/>
        <v/>
      </c>
    </row>
    <row r="4409" spans="1:8">
      <c r="A4409" s="2"/>
      <c r="B4409" s="12"/>
      <c r="C4409" s="12"/>
      <c r="E4409" t="str">
        <f>IF(LEN(D4409)=0,"",[1]!i_pq_tradedays($B$3,A4410,A4409)-1)</f>
        <v/>
      </c>
      <c r="G4409" s="16" t="str">
        <f t="shared" si="154"/>
        <v/>
      </c>
      <c r="H4409" s="70" t="str">
        <f t="shared" si="155"/>
        <v/>
      </c>
    </row>
    <row r="4410" spans="1:8">
      <c r="A4410" s="2"/>
      <c r="B4410" s="12"/>
      <c r="C4410" s="12"/>
      <c r="E4410" t="str">
        <f>IF(LEN(D4410)=0,"",[1]!i_pq_tradedays($B$3,A4411,A4410)-1)</f>
        <v/>
      </c>
      <c r="G4410" s="16" t="str">
        <f t="shared" si="154"/>
        <v/>
      </c>
      <c r="H4410" s="70" t="str">
        <f t="shared" si="155"/>
        <v/>
      </c>
    </row>
    <row r="4411" spans="1:8">
      <c r="A4411" s="2"/>
      <c r="B4411" s="12"/>
      <c r="C4411" s="12"/>
      <c r="E4411" t="str">
        <f>IF(LEN(D4411)=0,"",[1]!i_pq_tradedays($B$3,A4412,A4411)-1)</f>
        <v/>
      </c>
      <c r="G4411" s="16" t="str">
        <f t="shared" si="154"/>
        <v/>
      </c>
      <c r="H4411" s="70" t="str">
        <f t="shared" si="155"/>
        <v/>
      </c>
    </row>
    <row r="4412" spans="1:8">
      <c r="A4412" s="2"/>
      <c r="B4412" s="12"/>
      <c r="C4412" s="12"/>
      <c r="E4412" t="str">
        <f>IF(LEN(D4412)=0,"",[1]!i_pq_tradedays($B$3,A4413,A4412)-1)</f>
        <v/>
      </c>
      <c r="G4412" s="16" t="str">
        <f t="shared" si="154"/>
        <v/>
      </c>
      <c r="H4412" s="70" t="str">
        <f t="shared" si="155"/>
        <v/>
      </c>
    </row>
    <row r="4413" spans="1:8">
      <c r="A4413" s="2"/>
      <c r="B4413" s="12"/>
      <c r="C4413" s="12"/>
      <c r="E4413" t="str">
        <f>IF(LEN(D4413)=0,"",[1]!i_pq_tradedays($B$3,A4414,A4413)-1)</f>
        <v/>
      </c>
      <c r="G4413" s="16" t="str">
        <f t="shared" si="154"/>
        <v/>
      </c>
      <c r="H4413" s="70" t="str">
        <f t="shared" si="155"/>
        <v/>
      </c>
    </row>
    <row r="4414" spans="1:8">
      <c r="A4414" s="2"/>
      <c r="B4414" s="12"/>
      <c r="C4414" s="12"/>
      <c r="E4414" t="str">
        <f>IF(LEN(D4414)=0,"",[1]!i_pq_tradedays($B$3,A4415,A4414)-1)</f>
        <v/>
      </c>
      <c r="G4414" s="16" t="str">
        <f t="shared" si="154"/>
        <v/>
      </c>
      <c r="H4414" s="70" t="str">
        <f t="shared" si="155"/>
        <v/>
      </c>
    </row>
    <row r="4415" spans="1:8">
      <c r="A4415" s="2"/>
      <c r="B4415" s="12"/>
      <c r="C4415" s="12"/>
      <c r="E4415" t="str">
        <f>IF(LEN(D4415)=0,"",[1]!i_pq_tradedays($B$3,A4416,A4415)-1)</f>
        <v/>
      </c>
      <c r="G4415" s="16" t="str">
        <f t="shared" si="154"/>
        <v/>
      </c>
      <c r="H4415" s="70" t="str">
        <f t="shared" si="155"/>
        <v/>
      </c>
    </row>
    <row r="4416" spans="1:8">
      <c r="A4416" s="2"/>
      <c r="B4416" s="12"/>
      <c r="C4416" s="12"/>
      <c r="E4416" t="str">
        <f>IF(LEN(D4416)=0,"",[1]!i_pq_tradedays($B$3,A4417,A4416)-1)</f>
        <v/>
      </c>
      <c r="G4416" s="16" t="str">
        <f t="shared" si="154"/>
        <v/>
      </c>
      <c r="H4416" s="70" t="str">
        <f t="shared" si="155"/>
        <v/>
      </c>
    </row>
    <row r="4417" spans="1:8">
      <c r="A4417" s="2"/>
      <c r="B4417" s="12"/>
      <c r="C4417" s="12"/>
      <c r="E4417" t="str">
        <f>IF(LEN(D4417)=0,"",[1]!i_pq_tradedays($B$3,A4418,A4417)-1)</f>
        <v/>
      </c>
      <c r="G4417" s="16" t="str">
        <f t="shared" si="154"/>
        <v/>
      </c>
      <c r="H4417" s="70" t="str">
        <f t="shared" si="155"/>
        <v/>
      </c>
    </row>
    <row r="4418" spans="1:8">
      <c r="A4418" s="2"/>
      <c r="B4418" s="12"/>
      <c r="C4418" s="12"/>
      <c r="E4418" t="str">
        <f>IF(LEN(D4418)=0,"",[1]!i_pq_tradedays($B$3,A4419,A4418)-1)</f>
        <v/>
      </c>
      <c r="G4418" s="16" t="str">
        <f t="shared" si="154"/>
        <v/>
      </c>
      <c r="H4418" s="70" t="str">
        <f t="shared" si="155"/>
        <v/>
      </c>
    </row>
    <row r="4419" spans="1:8">
      <c r="A4419" s="2"/>
      <c r="B4419" s="12"/>
      <c r="C4419" s="12"/>
      <c r="E4419" t="str">
        <f>IF(LEN(D4419)=0,"",[1]!i_pq_tradedays($B$3,A4420,A4419)-1)</f>
        <v/>
      </c>
      <c r="G4419" s="16" t="str">
        <f t="shared" si="154"/>
        <v/>
      </c>
      <c r="H4419" s="70" t="str">
        <f t="shared" si="155"/>
        <v/>
      </c>
    </row>
    <row r="4420" spans="1:8">
      <c r="A4420" s="2"/>
      <c r="B4420" s="12"/>
      <c r="C4420" s="12"/>
      <c r="E4420" t="str">
        <f>IF(LEN(D4420)=0,"",[1]!i_pq_tradedays($B$3,A4421,A4420)-1)</f>
        <v/>
      </c>
      <c r="G4420" s="16" t="str">
        <f t="shared" si="154"/>
        <v/>
      </c>
      <c r="H4420" s="70" t="str">
        <f t="shared" si="155"/>
        <v/>
      </c>
    </row>
    <row r="4421" spans="1:8">
      <c r="A4421" s="2"/>
      <c r="B4421" s="12"/>
      <c r="C4421" s="12"/>
      <c r="E4421" t="str">
        <f>IF(LEN(D4421)=0,"",[1]!i_pq_tradedays($B$3,A4422,A4421)-1)</f>
        <v/>
      </c>
      <c r="G4421" s="16" t="str">
        <f t="shared" si="154"/>
        <v/>
      </c>
      <c r="H4421" s="70" t="str">
        <f t="shared" si="155"/>
        <v/>
      </c>
    </row>
    <row r="4422" spans="1:8">
      <c r="A4422" s="2"/>
      <c r="B4422" s="12"/>
      <c r="C4422" s="12"/>
      <c r="E4422" t="str">
        <f>IF(LEN(D4422)=0,"",[1]!i_pq_tradedays($B$3,A4423,A4422)-1)</f>
        <v/>
      </c>
      <c r="G4422" s="16" t="str">
        <f t="shared" si="154"/>
        <v/>
      </c>
      <c r="H4422" s="70" t="str">
        <f t="shared" si="155"/>
        <v/>
      </c>
    </row>
    <row r="4423" spans="1:8">
      <c r="A4423" s="2"/>
      <c r="B4423" s="12"/>
      <c r="C4423" s="12"/>
      <c r="E4423" t="str">
        <f>IF(LEN(D4423)=0,"",[1]!i_pq_tradedays($B$3,A4424,A4423)-1)</f>
        <v/>
      </c>
      <c r="G4423" s="16" t="str">
        <f t="shared" si="154"/>
        <v/>
      </c>
      <c r="H4423" s="70" t="str">
        <f t="shared" si="155"/>
        <v/>
      </c>
    </row>
    <row r="4424" spans="1:8">
      <c r="A4424" s="2"/>
      <c r="B4424" s="12"/>
      <c r="C4424" s="12"/>
      <c r="E4424" t="str">
        <f>IF(LEN(D4424)=0,"",[1]!i_pq_tradedays($B$3,A4425,A4424)-1)</f>
        <v/>
      </c>
      <c r="G4424" s="16" t="str">
        <f t="shared" si="154"/>
        <v/>
      </c>
      <c r="H4424" s="70" t="str">
        <f t="shared" si="155"/>
        <v/>
      </c>
    </row>
    <row r="4425" spans="1:8">
      <c r="A4425" s="2"/>
      <c r="B4425" s="12"/>
      <c r="C4425" s="12"/>
      <c r="E4425" t="str">
        <f>IF(LEN(D4425)=0,"",[1]!i_pq_tradedays($B$3,A4426,A4425)-1)</f>
        <v/>
      </c>
      <c r="G4425" s="16" t="str">
        <f t="shared" si="154"/>
        <v/>
      </c>
      <c r="H4425" s="70" t="str">
        <f t="shared" si="155"/>
        <v/>
      </c>
    </row>
    <row r="4426" spans="1:8">
      <c r="A4426" s="2"/>
      <c r="B4426" s="12"/>
      <c r="C4426" s="12"/>
      <c r="E4426" t="str">
        <f>IF(LEN(D4426)=0,"",[1]!i_pq_tradedays($B$3,A4427,A4426)-1)</f>
        <v/>
      </c>
      <c r="G4426" s="16" t="str">
        <f t="shared" si="154"/>
        <v/>
      </c>
      <c r="H4426" s="70" t="str">
        <f t="shared" si="155"/>
        <v/>
      </c>
    </row>
    <row r="4427" spans="1:8">
      <c r="A4427" s="2"/>
      <c r="B4427" s="12"/>
      <c r="C4427" s="12"/>
      <c r="E4427" t="str">
        <f>IF(LEN(D4427)=0,"",[1]!i_pq_tradedays($B$3,A4428,A4427)-1)</f>
        <v/>
      </c>
      <c r="G4427" s="16" t="str">
        <f t="shared" si="154"/>
        <v/>
      </c>
      <c r="H4427" s="70" t="str">
        <f t="shared" si="155"/>
        <v/>
      </c>
    </row>
    <row r="4428" spans="1:8">
      <c r="A4428" s="2"/>
      <c r="B4428" s="12"/>
      <c r="C4428" s="12"/>
      <c r="E4428" t="str">
        <f>IF(LEN(D4428)=0,"",[1]!i_pq_tradedays($B$3,A4429,A4428)-1)</f>
        <v/>
      </c>
      <c r="G4428" s="16" t="str">
        <f t="shared" si="154"/>
        <v/>
      </c>
      <c r="H4428" s="70" t="str">
        <f t="shared" si="155"/>
        <v/>
      </c>
    </row>
    <row r="4429" spans="1:8">
      <c r="A4429" s="2"/>
      <c r="B4429" s="12"/>
      <c r="C4429" s="12"/>
      <c r="E4429" t="str">
        <f>IF(LEN(D4429)=0,"",[1]!i_pq_tradedays($B$3,A4430,A4429)-1)</f>
        <v/>
      </c>
      <c r="G4429" s="16" t="str">
        <f t="shared" si="154"/>
        <v/>
      </c>
      <c r="H4429" s="70" t="str">
        <f t="shared" si="155"/>
        <v/>
      </c>
    </row>
    <row r="4430" spans="1:8">
      <c r="A4430" s="2"/>
      <c r="B4430" s="12"/>
      <c r="C4430" s="12"/>
      <c r="E4430" t="str">
        <f>IF(LEN(D4430)=0,"",[1]!i_pq_tradedays($B$3,A4431,A4430)-1)</f>
        <v/>
      </c>
      <c r="G4430" s="16" t="str">
        <f t="shared" si="154"/>
        <v/>
      </c>
      <c r="H4430" s="70" t="str">
        <f t="shared" si="155"/>
        <v/>
      </c>
    </row>
    <row r="4431" spans="1:8">
      <c r="A4431" s="2"/>
      <c r="B4431" s="12"/>
      <c r="C4431" s="12"/>
      <c r="E4431" t="str">
        <f>IF(LEN(D4431)=0,"",[1]!i_pq_tradedays($B$3,A4432,A4431)-1)</f>
        <v/>
      </c>
      <c r="G4431" s="16" t="str">
        <f t="shared" si="154"/>
        <v/>
      </c>
      <c r="H4431" s="70" t="str">
        <f t="shared" si="155"/>
        <v/>
      </c>
    </row>
    <row r="4432" spans="1:8">
      <c r="A4432" s="2"/>
      <c r="B4432" s="12"/>
      <c r="C4432" s="12"/>
      <c r="E4432" t="str">
        <f>IF(LEN(D4432)=0,"",[1]!i_pq_tradedays($B$3,A4433,A4432)-1)</f>
        <v/>
      </c>
      <c r="G4432" s="16" t="str">
        <f t="shared" si="154"/>
        <v/>
      </c>
      <c r="H4432" s="70" t="str">
        <f t="shared" si="155"/>
        <v/>
      </c>
    </row>
    <row r="4433" spans="1:8">
      <c r="A4433" s="2"/>
      <c r="B4433" s="12"/>
      <c r="C4433" s="12"/>
      <c r="E4433" t="str">
        <f>IF(LEN(D4433)=0,"",[1]!i_pq_tradedays($B$3,A4434,A4433)-1)</f>
        <v/>
      </c>
      <c r="G4433" s="16" t="str">
        <f t="shared" si="154"/>
        <v/>
      </c>
      <c r="H4433" s="70" t="str">
        <f t="shared" si="155"/>
        <v/>
      </c>
    </row>
    <row r="4434" spans="1:8">
      <c r="A4434" s="2"/>
      <c r="B4434" s="12"/>
      <c r="C4434" s="12"/>
      <c r="E4434" t="str">
        <f>IF(LEN(D4434)=0,"",[1]!i_pq_tradedays($B$3,A4435,A4434)-1)</f>
        <v/>
      </c>
      <c r="G4434" s="16" t="str">
        <f t="shared" si="154"/>
        <v/>
      </c>
      <c r="H4434" s="70" t="str">
        <f t="shared" si="155"/>
        <v/>
      </c>
    </row>
    <row r="4435" spans="1:8">
      <c r="A4435" s="2"/>
      <c r="B4435" s="12"/>
      <c r="C4435" s="12"/>
      <c r="E4435" t="str">
        <f>IF(LEN(D4435)=0,"",[1]!i_pq_tradedays($B$3,A4436,A4435)-1)</f>
        <v/>
      </c>
      <c r="G4435" s="16" t="str">
        <f t="shared" si="154"/>
        <v/>
      </c>
      <c r="H4435" s="70" t="str">
        <f t="shared" si="155"/>
        <v/>
      </c>
    </row>
    <row r="4436" spans="1:8">
      <c r="A4436" s="2"/>
      <c r="B4436" s="12"/>
      <c r="C4436" s="12"/>
      <c r="E4436" t="str">
        <f>IF(LEN(D4436)=0,"",[1]!i_pq_tradedays($B$3,A4437,A4436)-1)</f>
        <v/>
      </c>
      <c r="G4436" s="16" t="str">
        <f t="shared" si="154"/>
        <v/>
      </c>
      <c r="H4436" s="70" t="str">
        <f t="shared" si="155"/>
        <v/>
      </c>
    </row>
    <row r="4437" spans="1:8">
      <c r="A4437" s="2"/>
      <c r="B4437" s="12"/>
      <c r="C4437" s="12"/>
      <c r="E4437" t="str">
        <f>IF(LEN(D4437)=0,"",[1]!i_pq_tradedays($B$3,A4438,A4437)-1)</f>
        <v/>
      </c>
      <c r="G4437" s="16" t="str">
        <f t="shared" si="154"/>
        <v/>
      </c>
      <c r="H4437" s="70" t="str">
        <f t="shared" si="155"/>
        <v/>
      </c>
    </row>
    <row r="4438" spans="1:8">
      <c r="A4438" s="2"/>
      <c r="B4438" s="12"/>
      <c r="C4438" s="12"/>
      <c r="E4438" t="str">
        <f>IF(LEN(D4438)=0,"",[1]!i_pq_tradedays($B$3,A4439,A4438)-1)</f>
        <v/>
      </c>
      <c r="G4438" s="16" t="str">
        <f t="shared" si="154"/>
        <v/>
      </c>
      <c r="H4438" s="70" t="str">
        <f t="shared" si="155"/>
        <v/>
      </c>
    </row>
    <row r="4439" spans="1:8">
      <c r="A4439" s="2"/>
      <c r="B4439" s="12"/>
      <c r="C4439" s="12"/>
      <c r="E4439" t="str">
        <f>IF(LEN(D4439)=0,"",[1]!i_pq_tradedays($B$3,A4440,A4439)-1)</f>
        <v/>
      </c>
      <c r="G4439" s="16" t="str">
        <f t="shared" si="154"/>
        <v/>
      </c>
      <c r="H4439" s="70" t="str">
        <f t="shared" si="155"/>
        <v/>
      </c>
    </row>
    <row r="4440" spans="1:8">
      <c r="A4440" s="2"/>
      <c r="B4440" s="12"/>
      <c r="C4440" s="12"/>
      <c r="E4440" t="str">
        <f>IF(LEN(D4440)=0,"",[1]!i_pq_tradedays($B$3,A4441,A4440)-1)</f>
        <v/>
      </c>
      <c r="G4440" s="16" t="str">
        <f t="shared" si="154"/>
        <v/>
      </c>
      <c r="H4440" s="70" t="str">
        <f t="shared" si="155"/>
        <v/>
      </c>
    </row>
    <row r="4441" spans="1:8">
      <c r="A4441" s="2"/>
      <c r="B4441" s="12"/>
      <c r="C4441" s="12"/>
      <c r="E4441" t="str">
        <f>IF(LEN(D4441)=0,"",[1]!i_pq_tradedays($B$3,A4442,A4441)-1)</f>
        <v/>
      </c>
      <c r="G4441" s="16" t="str">
        <f t="shared" si="154"/>
        <v/>
      </c>
      <c r="H4441" s="70" t="str">
        <f t="shared" si="155"/>
        <v/>
      </c>
    </row>
    <row r="4442" spans="1:8">
      <c r="A4442" s="2"/>
      <c r="B4442" s="12"/>
      <c r="C4442" s="12"/>
      <c r="E4442" t="str">
        <f>IF(LEN(D4442)=0,"",[1]!i_pq_tradedays($B$3,A4443,A4442)-1)</f>
        <v/>
      </c>
      <c r="G4442" s="16" t="str">
        <f t="shared" si="154"/>
        <v/>
      </c>
      <c r="H4442" s="70" t="str">
        <f t="shared" si="155"/>
        <v/>
      </c>
    </row>
    <row r="4443" spans="1:8">
      <c r="A4443" s="2"/>
      <c r="B4443" s="12"/>
      <c r="C4443" s="12"/>
      <c r="E4443" t="str">
        <f>IF(LEN(D4443)=0,"",[1]!i_pq_tradedays($B$3,A4444,A4443)-1)</f>
        <v/>
      </c>
      <c r="G4443" s="16" t="str">
        <f t="shared" si="154"/>
        <v/>
      </c>
      <c r="H4443" s="70" t="str">
        <f t="shared" si="155"/>
        <v/>
      </c>
    </row>
    <row r="4444" spans="1:8">
      <c r="A4444" s="2"/>
      <c r="B4444" s="12"/>
      <c r="C4444" s="12"/>
      <c r="E4444" t="str">
        <f>IF(LEN(D4444)=0,"",[1]!i_pq_tradedays($B$3,A4445,A4444)-1)</f>
        <v/>
      </c>
      <c r="G4444" s="16" t="str">
        <f t="shared" si="154"/>
        <v/>
      </c>
      <c r="H4444" s="70" t="str">
        <f t="shared" si="155"/>
        <v/>
      </c>
    </row>
    <row r="4445" spans="1:8">
      <c r="A4445" s="2"/>
      <c r="B4445" s="12"/>
      <c r="C4445" s="12"/>
      <c r="E4445" t="str">
        <f>IF(LEN(D4445)=0,"",[1]!i_pq_tradedays($B$3,A4446,A4445)-1)</f>
        <v/>
      </c>
      <c r="G4445" s="16" t="str">
        <f t="shared" si="154"/>
        <v/>
      </c>
      <c r="H4445" s="70" t="str">
        <f t="shared" si="155"/>
        <v/>
      </c>
    </row>
    <row r="4446" spans="1:8">
      <c r="A4446" s="2"/>
      <c r="B4446" s="12"/>
      <c r="C4446" s="12"/>
      <c r="E4446" t="str">
        <f>IF(LEN(D4446)=0,"",[1]!i_pq_tradedays($B$3,A4447,A4446)-1)</f>
        <v/>
      </c>
      <c r="G4446" s="16" t="str">
        <f t="shared" si="154"/>
        <v/>
      </c>
      <c r="H4446" s="70" t="str">
        <f t="shared" si="155"/>
        <v/>
      </c>
    </row>
    <row r="4447" spans="1:8">
      <c r="A4447" s="2"/>
      <c r="B4447" s="12"/>
      <c r="C4447" s="12"/>
      <c r="E4447" t="str">
        <f>IF(LEN(D4447)=0,"",[1]!i_pq_tradedays($B$3,A4448,A4447)-1)</f>
        <v/>
      </c>
      <c r="G4447" s="16" t="str">
        <f t="shared" si="154"/>
        <v/>
      </c>
      <c r="H4447" s="70" t="str">
        <f t="shared" si="155"/>
        <v/>
      </c>
    </row>
    <row r="4448" spans="1:8">
      <c r="A4448" s="2"/>
      <c r="B4448" s="12"/>
      <c r="C4448" s="12"/>
      <c r="E4448" t="str">
        <f>IF(LEN(D4448)=0,"",[1]!i_pq_tradedays($B$3,A4449,A4448)-1)</f>
        <v/>
      </c>
      <c r="G4448" s="16" t="str">
        <f t="shared" si="154"/>
        <v/>
      </c>
      <c r="H4448" s="70" t="str">
        <f t="shared" si="155"/>
        <v/>
      </c>
    </row>
    <row r="4449" spans="1:8">
      <c r="A4449" s="2"/>
      <c r="B4449" s="12"/>
      <c r="C4449" s="12"/>
      <c r="E4449" t="str">
        <f>IF(LEN(D4449)=0,"",[1]!i_pq_tradedays($B$3,A4450,A4449)-1)</f>
        <v/>
      </c>
      <c r="G4449" s="16" t="str">
        <f t="shared" si="154"/>
        <v/>
      </c>
      <c r="H4449" s="70" t="str">
        <f t="shared" si="155"/>
        <v/>
      </c>
    </row>
    <row r="4450" spans="1:8">
      <c r="A4450" s="2"/>
      <c r="B4450" s="12"/>
      <c r="C4450" s="12"/>
      <c r="E4450" t="str">
        <f>IF(LEN(D4450)=0,"",[1]!i_pq_tradedays($B$3,A4451,A4450)-1)</f>
        <v/>
      </c>
      <c r="G4450" s="16" t="str">
        <f t="shared" si="154"/>
        <v/>
      </c>
      <c r="H4450" s="70" t="str">
        <f t="shared" si="155"/>
        <v/>
      </c>
    </row>
    <row r="4451" spans="1:8">
      <c r="A4451" s="2"/>
      <c r="B4451" s="12"/>
      <c r="C4451" s="12"/>
      <c r="E4451" t="str">
        <f>IF(LEN(D4451)=0,"",[1]!i_pq_tradedays($B$3,A4452,A4451)-1)</f>
        <v/>
      </c>
      <c r="G4451" s="16" t="str">
        <f t="shared" si="154"/>
        <v/>
      </c>
      <c r="H4451" s="70" t="str">
        <f t="shared" si="155"/>
        <v/>
      </c>
    </row>
    <row r="4452" spans="1:8">
      <c r="A4452" s="2"/>
      <c r="B4452" s="12"/>
      <c r="C4452" s="12"/>
      <c r="E4452" t="str">
        <f>IF(LEN(D4452)=0,"",[1]!i_pq_tradedays($B$3,A4453,A4452)-1)</f>
        <v/>
      </c>
      <c r="G4452" s="16" t="str">
        <f t="shared" si="154"/>
        <v/>
      </c>
      <c r="H4452" s="70" t="str">
        <f t="shared" si="155"/>
        <v/>
      </c>
    </row>
    <row r="4453" spans="1:8">
      <c r="A4453" s="2"/>
      <c r="B4453" s="12"/>
      <c r="C4453" s="12"/>
      <c r="E4453" t="str">
        <f>IF(LEN(D4453)=0,"",[1]!i_pq_tradedays($B$3,A4454,A4453)-1)</f>
        <v/>
      </c>
      <c r="G4453" s="16" t="str">
        <f t="shared" si="154"/>
        <v/>
      </c>
      <c r="H4453" s="70" t="str">
        <f t="shared" si="155"/>
        <v/>
      </c>
    </row>
    <row r="4454" spans="1:8">
      <c r="A4454" s="2"/>
      <c r="B4454" s="12"/>
      <c r="C4454" s="12"/>
      <c r="E4454" t="str">
        <f>IF(LEN(D4454)=0,"",[1]!i_pq_tradedays($B$3,A4455,A4454)-1)</f>
        <v/>
      </c>
      <c r="G4454" s="16" t="str">
        <f t="shared" si="154"/>
        <v/>
      </c>
      <c r="H4454" s="70" t="str">
        <f t="shared" si="155"/>
        <v/>
      </c>
    </row>
    <row r="4455" spans="1:8">
      <c r="A4455" s="2"/>
      <c r="B4455" s="12"/>
      <c r="C4455" s="12"/>
      <c r="E4455" t="str">
        <f>IF(LEN(D4455)=0,"",[1]!i_pq_tradedays($B$3,A4456,A4455)-1)</f>
        <v/>
      </c>
      <c r="G4455" s="16" t="str">
        <f t="shared" si="154"/>
        <v/>
      </c>
      <c r="H4455" s="70" t="str">
        <f t="shared" si="155"/>
        <v/>
      </c>
    </row>
    <row r="4456" spans="1:8">
      <c r="A4456" s="2"/>
      <c r="B4456" s="12"/>
      <c r="C4456" s="12"/>
      <c r="E4456" t="str">
        <f>IF(LEN(D4456)=0,"",[1]!i_pq_tradedays($B$3,A4457,A4456)-1)</f>
        <v/>
      </c>
      <c r="G4456" s="16" t="str">
        <f t="shared" si="154"/>
        <v/>
      </c>
      <c r="H4456" s="70" t="str">
        <f t="shared" si="155"/>
        <v/>
      </c>
    </row>
    <row r="4457" spans="1:8">
      <c r="A4457" s="2"/>
      <c r="B4457" s="12"/>
      <c r="C4457" s="12"/>
      <c r="E4457" t="str">
        <f>IF(LEN(D4457)=0,"",[1]!i_pq_tradedays($B$3,A4458,A4457)-1)</f>
        <v/>
      </c>
      <c r="G4457" s="16" t="str">
        <f t="shared" si="154"/>
        <v/>
      </c>
      <c r="H4457" s="70" t="str">
        <f t="shared" si="155"/>
        <v/>
      </c>
    </row>
    <row r="4458" spans="1:8">
      <c r="A4458" s="2"/>
      <c r="B4458" s="12"/>
      <c r="C4458" s="12"/>
      <c r="E4458" t="str">
        <f>IF(LEN(D4458)=0,"",[1]!i_pq_tradedays($B$3,A4459,A4458)-1)</f>
        <v/>
      </c>
      <c r="G4458" s="16" t="str">
        <f t="shared" si="154"/>
        <v/>
      </c>
      <c r="H4458" s="70" t="str">
        <f t="shared" si="155"/>
        <v/>
      </c>
    </row>
    <row r="4459" spans="1:8">
      <c r="A4459" s="2"/>
      <c r="B4459" s="12"/>
      <c r="C4459" s="12"/>
      <c r="E4459" t="str">
        <f>IF(LEN(D4459)=0,"",[1]!i_pq_tradedays($B$3,A4460,A4459)-1)</f>
        <v/>
      </c>
      <c r="G4459" s="16" t="str">
        <f t="shared" si="154"/>
        <v/>
      </c>
      <c r="H4459" s="70" t="str">
        <f t="shared" si="155"/>
        <v/>
      </c>
    </row>
    <row r="4460" spans="1:8">
      <c r="A4460" s="2"/>
      <c r="B4460" s="12"/>
      <c r="C4460" s="12"/>
      <c r="E4460" t="str">
        <f>IF(LEN(D4460)=0,"",[1]!i_pq_tradedays($B$3,A4461,A4460)-1)</f>
        <v/>
      </c>
      <c r="G4460" s="16" t="str">
        <f t="shared" si="154"/>
        <v/>
      </c>
      <c r="H4460" s="70" t="str">
        <f t="shared" si="155"/>
        <v/>
      </c>
    </row>
    <row r="4461" spans="1:8">
      <c r="A4461" s="2"/>
      <c r="B4461" s="12"/>
      <c r="C4461" s="12"/>
      <c r="E4461" t="str">
        <f>IF(LEN(D4461)=0,"",[1]!i_pq_tradedays($B$3,A4462,A4461)-1)</f>
        <v/>
      </c>
      <c r="G4461" s="16" t="str">
        <f t="shared" si="154"/>
        <v/>
      </c>
      <c r="H4461" s="70" t="str">
        <f t="shared" si="155"/>
        <v/>
      </c>
    </row>
    <row r="4462" spans="1:8">
      <c r="A4462" s="2"/>
      <c r="B4462" s="12"/>
      <c r="C4462" s="12"/>
      <c r="E4462" t="str">
        <f>IF(LEN(D4462)=0,"",[1]!i_pq_tradedays($B$3,A4463,A4462)-1)</f>
        <v/>
      </c>
      <c r="G4462" s="16" t="str">
        <f t="shared" si="154"/>
        <v/>
      </c>
      <c r="H4462" s="70" t="str">
        <f t="shared" si="155"/>
        <v/>
      </c>
    </row>
    <row r="4463" spans="1:8">
      <c r="A4463" s="2"/>
      <c r="B4463" s="12"/>
      <c r="C4463" s="12"/>
      <c r="E4463" t="str">
        <f>IF(LEN(D4463)=0,"",[1]!i_pq_tradedays($B$3,A4464,A4463)-1)</f>
        <v/>
      </c>
      <c r="G4463" s="16" t="str">
        <f t="shared" si="154"/>
        <v/>
      </c>
      <c r="H4463" s="70" t="str">
        <f t="shared" si="155"/>
        <v/>
      </c>
    </row>
    <row r="4464" spans="1:8">
      <c r="A4464" s="2"/>
      <c r="B4464" s="12"/>
      <c r="C4464" s="12"/>
      <c r="E4464" t="str">
        <f>IF(LEN(D4464)=0,"",[1]!i_pq_tradedays($B$3,A4465,A4464)-1)</f>
        <v/>
      </c>
      <c r="G4464" s="16" t="str">
        <f t="shared" si="154"/>
        <v/>
      </c>
      <c r="H4464" s="70" t="str">
        <f t="shared" si="155"/>
        <v/>
      </c>
    </row>
    <row r="4465" spans="1:8">
      <c r="A4465" s="2"/>
      <c r="B4465" s="12"/>
      <c r="C4465" s="12"/>
      <c r="E4465" t="str">
        <f>IF(LEN(D4465)=0,"",[1]!i_pq_tradedays($B$3,A4466,A4465)-1)</f>
        <v/>
      </c>
      <c r="G4465" s="16" t="str">
        <f t="shared" si="154"/>
        <v/>
      </c>
      <c r="H4465" s="70" t="str">
        <f t="shared" si="155"/>
        <v/>
      </c>
    </row>
    <row r="4466" spans="1:8">
      <c r="A4466" s="2"/>
      <c r="B4466" s="12"/>
      <c r="C4466" s="12"/>
      <c r="E4466" t="str">
        <f>IF(LEN(D4466)=0,"",[1]!i_pq_tradedays($B$3,A4467,A4466)-1)</f>
        <v/>
      </c>
      <c r="G4466" s="16" t="str">
        <f t="shared" si="154"/>
        <v/>
      </c>
      <c r="H4466" s="70" t="str">
        <f t="shared" si="155"/>
        <v/>
      </c>
    </row>
    <row r="4467" spans="1:8">
      <c r="A4467" s="2"/>
      <c r="B4467" s="12"/>
      <c r="C4467" s="12"/>
      <c r="E4467" t="str">
        <f>IF(LEN(D4467)=0,"",[1]!i_pq_tradedays($B$3,A4468,A4467)-1)</f>
        <v/>
      </c>
      <c r="G4467" s="16" t="str">
        <f t="shared" si="154"/>
        <v/>
      </c>
      <c r="H4467" s="70" t="str">
        <f t="shared" si="155"/>
        <v/>
      </c>
    </row>
    <row r="4468" spans="1:8">
      <c r="A4468" s="2"/>
      <c r="B4468" s="12"/>
      <c r="C4468" s="12"/>
      <c r="E4468" t="str">
        <f>IF(LEN(D4468)=0,"",[1]!i_pq_tradedays($B$3,A4469,A4468)-1)</f>
        <v/>
      </c>
      <c r="G4468" s="16" t="str">
        <f t="shared" si="154"/>
        <v/>
      </c>
      <c r="H4468" s="70" t="str">
        <f t="shared" si="155"/>
        <v/>
      </c>
    </row>
    <row r="4469" spans="1:8">
      <c r="A4469" s="2"/>
      <c r="B4469" s="12"/>
      <c r="C4469" s="12"/>
      <c r="E4469" t="str">
        <f>IF(LEN(D4469)=0,"",[1]!i_pq_tradedays($B$3,A4470,A4469)-1)</f>
        <v/>
      </c>
      <c r="G4469" s="16" t="str">
        <f t="shared" ref="G4469:G4532" si="156">IF(LEN(D4469)=0,"",D4469/E4469)</f>
        <v/>
      </c>
      <c r="H4469" s="70" t="str">
        <f t="shared" ref="H4469:H4532" si="157">IF(LEN(D4469)=0,"",G4469/G4470-1)</f>
        <v/>
      </c>
    </row>
    <row r="4470" spans="1:8">
      <c r="A4470" s="2"/>
      <c r="B4470" s="12"/>
      <c r="C4470" s="12"/>
      <c r="E4470" t="str">
        <f>IF(LEN(D4470)=0,"",[1]!i_pq_tradedays($B$3,A4471,A4470)-1)</f>
        <v/>
      </c>
      <c r="G4470" s="16" t="str">
        <f t="shared" si="156"/>
        <v/>
      </c>
      <c r="H4470" s="70" t="str">
        <f t="shared" si="157"/>
        <v/>
      </c>
    </row>
    <row r="4471" spans="1:8">
      <c r="A4471" s="2"/>
      <c r="B4471" s="12"/>
      <c r="C4471" s="12"/>
      <c r="E4471" t="str">
        <f>IF(LEN(D4471)=0,"",[1]!i_pq_tradedays($B$3,A4472,A4471)-1)</f>
        <v/>
      </c>
      <c r="G4471" s="16" t="str">
        <f t="shared" si="156"/>
        <v/>
      </c>
      <c r="H4471" s="70" t="str">
        <f t="shared" si="157"/>
        <v/>
      </c>
    </row>
    <row r="4472" spans="1:8">
      <c r="A4472" s="2"/>
      <c r="B4472" s="12"/>
      <c r="C4472" s="12"/>
      <c r="E4472" t="str">
        <f>IF(LEN(D4472)=0,"",[1]!i_pq_tradedays($B$3,A4473,A4472)-1)</f>
        <v/>
      </c>
      <c r="G4472" s="16" t="str">
        <f t="shared" si="156"/>
        <v/>
      </c>
      <c r="H4472" s="70" t="str">
        <f t="shared" si="157"/>
        <v/>
      </c>
    </row>
    <row r="4473" spans="1:8">
      <c r="A4473" s="2"/>
      <c r="B4473" s="12"/>
      <c r="C4473" s="12"/>
      <c r="E4473" t="str">
        <f>IF(LEN(D4473)=0,"",[1]!i_pq_tradedays($B$3,A4474,A4473)-1)</f>
        <v/>
      </c>
      <c r="G4473" s="16" t="str">
        <f t="shared" si="156"/>
        <v/>
      </c>
      <c r="H4473" s="70" t="str">
        <f t="shared" si="157"/>
        <v/>
      </c>
    </row>
    <row r="4474" spans="1:8">
      <c r="A4474" s="2"/>
      <c r="B4474" s="12"/>
      <c r="C4474" s="12"/>
      <c r="E4474" t="str">
        <f>IF(LEN(D4474)=0,"",[1]!i_pq_tradedays($B$3,A4475,A4474)-1)</f>
        <v/>
      </c>
      <c r="G4474" s="16" t="str">
        <f t="shared" si="156"/>
        <v/>
      </c>
      <c r="H4474" s="70" t="str">
        <f t="shared" si="157"/>
        <v/>
      </c>
    </row>
    <row r="4475" spans="1:8">
      <c r="A4475" s="2"/>
      <c r="B4475" s="12"/>
      <c r="C4475" s="12"/>
      <c r="E4475" t="str">
        <f>IF(LEN(D4475)=0,"",[1]!i_pq_tradedays($B$3,A4476,A4475)-1)</f>
        <v/>
      </c>
      <c r="G4475" s="16" t="str">
        <f t="shared" si="156"/>
        <v/>
      </c>
      <c r="H4475" s="70" t="str">
        <f t="shared" si="157"/>
        <v/>
      </c>
    </row>
    <row r="4476" spans="1:8">
      <c r="A4476" s="2"/>
      <c r="B4476" s="12"/>
      <c r="C4476" s="12"/>
      <c r="E4476" t="str">
        <f>IF(LEN(D4476)=0,"",[1]!i_pq_tradedays($B$3,A4477,A4476)-1)</f>
        <v/>
      </c>
      <c r="G4476" s="16" t="str">
        <f t="shared" si="156"/>
        <v/>
      </c>
      <c r="H4476" s="70" t="str">
        <f t="shared" si="157"/>
        <v/>
      </c>
    </row>
    <row r="4477" spans="1:8">
      <c r="A4477" s="2"/>
      <c r="B4477" s="12"/>
      <c r="C4477" s="12"/>
      <c r="E4477" t="str">
        <f>IF(LEN(D4477)=0,"",[1]!i_pq_tradedays($B$3,A4478,A4477)-1)</f>
        <v/>
      </c>
      <c r="G4477" s="16" t="str">
        <f t="shared" si="156"/>
        <v/>
      </c>
      <c r="H4477" s="70" t="str">
        <f t="shared" si="157"/>
        <v/>
      </c>
    </row>
    <row r="4478" spans="1:8">
      <c r="A4478" s="2"/>
      <c r="B4478" s="12"/>
      <c r="C4478" s="12"/>
      <c r="E4478" t="str">
        <f>IF(LEN(D4478)=0,"",[1]!i_pq_tradedays($B$3,A4479,A4478)-1)</f>
        <v/>
      </c>
      <c r="G4478" s="16" t="str">
        <f t="shared" si="156"/>
        <v/>
      </c>
      <c r="H4478" s="70" t="str">
        <f t="shared" si="157"/>
        <v/>
      </c>
    </row>
    <row r="4479" spans="1:8">
      <c r="A4479" s="2"/>
      <c r="B4479" s="12"/>
      <c r="C4479" s="12"/>
      <c r="E4479" t="str">
        <f>IF(LEN(D4479)=0,"",[1]!i_pq_tradedays($B$3,A4480,A4479)-1)</f>
        <v/>
      </c>
      <c r="G4479" s="16" t="str">
        <f t="shared" si="156"/>
        <v/>
      </c>
      <c r="H4479" s="70" t="str">
        <f t="shared" si="157"/>
        <v/>
      </c>
    </row>
    <row r="4480" spans="1:8">
      <c r="A4480" s="2"/>
      <c r="B4480" s="12"/>
      <c r="C4480" s="12"/>
      <c r="E4480" t="str">
        <f>IF(LEN(D4480)=0,"",[1]!i_pq_tradedays($B$3,A4481,A4480)-1)</f>
        <v/>
      </c>
      <c r="G4480" s="16" t="str">
        <f t="shared" si="156"/>
        <v/>
      </c>
      <c r="H4480" s="70" t="str">
        <f t="shared" si="157"/>
        <v/>
      </c>
    </row>
    <row r="4481" spans="1:8">
      <c r="A4481" s="2"/>
      <c r="B4481" s="12"/>
      <c r="C4481" s="12"/>
      <c r="E4481" t="str">
        <f>IF(LEN(D4481)=0,"",[1]!i_pq_tradedays($B$3,A4482,A4481)-1)</f>
        <v/>
      </c>
      <c r="G4481" s="16" t="str">
        <f t="shared" si="156"/>
        <v/>
      </c>
      <c r="H4481" s="70" t="str">
        <f t="shared" si="157"/>
        <v/>
      </c>
    </row>
    <row r="4482" spans="1:8">
      <c r="A4482" s="2"/>
      <c r="B4482" s="12"/>
      <c r="C4482" s="12"/>
      <c r="E4482" t="str">
        <f>IF(LEN(D4482)=0,"",[1]!i_pq_tradedays($B$3,A4483,A4482)-1)</f>
        <v/>
      </c>
      <c r="G4482" s="16" t="str">
        <f t="shared" si="156"/>
        <v/>
      </c>
      <c r="H4482" s="70" t="str">
        <f t="shared" si="157"/>
        <v/>
      </c>
    </row>
    <row r="4483" spans="1:8">
      <c r="A4483" s="2"/>
      <c r="B4483" s="12"/>
      <c r="C4483" s="12"/>
      <c r="E4483" t="str">
        <f>IF(LEN(D4483)=0,"",[1]!i_pq_tradedays($B$3,A4484,A4483)-1)</f>
        <v/>
      </c>
      <c r="G4483" s="16" t="str">
        <f t="shared" si="156"/>
        <v/>
      </c>
      <c r="H4483" s="70" t="str">
        <f t="shared" si="157"/>
        <v/>
      </c>
    </row>
    <row r="4484" spans="1:8">
      <c r="A4484" s="2"/>
      <c r="B4484" s="12"/>
      <c r="C4484" s="12"/>
      <c r="E4484" t="str">
        <f>IF(LEN(D4484)=0,"",[1]!i_pq_tradedays($B$3,A4485,A4484)-1)</f>
        <v/>
      </c>
      <c r="G4484" s="16" t="str">
        <f t="shared" si="156"/>
        <v/>
      </c>
      <c r="H4484" s="70" t="str">
        <f t="shared" si="157"/>
        <v/>
      </c>
    </row>
    <row r="4485" spans="1:8">
      <c r="A4485" s="2"/>
      <c r="B4485" s="12"/>
      <c r="C4485" s="12"/>
      <c r="E4485" t="str">
        <f>IF(LEN(D4485)=0,"",[1]!i_pq_tradedays($B$3,A4486,A4485)-1)</f>
        <v/>
      </c>
      <c r="G4485" s="16" t="str">
        <f t="shared" si="156"/>
        <v/>
      </c>
      <c r="H4485" s="70" t="str">
        <f t="shared" si="157"/>
        <v/>
      </c>
    </row>
    <row r="4486" spans="1:8">
      <c r="A4486" s="2"/>
      <c r="B4486" s="12"/>
      <c r="C4486" s="12"/>
      <c r="E4486" t="str">
        <f>IF(LEN(D4486)=0,"",[1]!i_pq_tradedays($B$3,A4487,A4486)-1)</f>
        <v/>
      </c>
      <c r="G4486" s="16" t="str">
        <f t="shared" si="156"/>
        <v/>
      </c>
      <c r="H4486" s="70" t="str">
        <f t="shared" si="157"/>
        <v/>
      </c>
    </row>
    <row r="4487" spans="1:8">
      <c r="A4487" s="2"/>
      <c r="B4487" s="12"/>
      <c r="C4487" s="12"/>
      <c r="E4487" t="str">
        <f>IF(LEN(D4487)=0,"",[1]!i_pq_tradedays($B$3,A4488,A4487)-1)</f>
        <v/>
      </c>
      <c r="G4487" s="16" t="str">
        <f t="shared" si="156"/>
        <v/>
      </c>
      <c r="H4487" s="70" t="str">
        <f t="shared" si="157"/>
        <v/>
      </c>
    </row>
    <row r="4488" spans="1:8">
      <c r="A4488" s="2"/>
      <c r="B4488" s="12"/>
      <c r="C4488" s="12"/>
      <c r="E4488" t="str">
        <f>IF(LEN(D4488)=0,"",[1]!i_pq_tradedays($B$3,A4489,A4488)-1)</f>
        <v/>
      </c>
      <c r="G4488" s="16" t="str">
        <f t="shared" si="156"/>
        <v/>
      </c>
      <c r="H4488" s="70" t="str">
        <f t="shared" si="157"/>
        <v/>
      </c>
    </row>
    <row r="4489" spans="1:8">
      <c r="A4489" s="2"/>
      <c r="B4489" s="12"/>
      <c r="C4489" s="12"/>
      <c r="E4489" t="str">
        <f>IF(LEN(D4489)=0,"",[1]!i_pq_tradedays($B$3,A4490,A4489)-1)</f>
        <v/>
      </c>
      <c r="G4489" s="16" t="str">
        <f t="shared" si="156"/>
        <v/>
      </c>
      <c r="H4489" s="70" t="str">
        <f t="shared" si="157"/>
        <v/>
      </c>
    </row>
    <row r="4490" spans="1:8">
      <c r="A4490" s="2"/>
      <c r="B4490" s="12"/>
      <c r="C4490" s="12"/>
      <c r="E4490" t="str">
        <f>IF(LEN(D4490)=0,"",[1]!i_pq_tradedays($B$3,A4491,A4490)-1)</f>
        <v/>
      </c>
      <c r="G4490" s="16" t="str">
        <f t="shared" si="156"/>
        <v/>
      </c>
      <c r="H4490" s="70" t="str">
        <f t="shared" si="157"/>
        <v/>
      </c>
    </row>
    <row r="4491" spans="1:8">
      <c r="A4491" s="2"/>
      <c r="B4491" s="12"/>
      <c r="C4491" s="12"/>
      <c r="E4491" t="str">
        <f>IF(LEN(D4491)=0,"",[1]!i_pq_tradedays($B$3,A4492,A4491)-1)</f>
        <v/>
      </c>
      <c r="G4491" s="16" t="str">
        <f t="shared" si="156"/>
        <v/>
      </c>
      <c r="H4491" s="70" t="str">
        <f t="shared" si="157"/>
        <v/>
      </c>
    </row>
    <row r="4492" spans="1:8">
      <c r="A4492" s="2"/>
      <c r="B4492" s="12"/>
      <c r="C4492" s="12"/>
      <c r="E4492" t="str">
        <f>IF(LEN(D4492)=0,"",[1]!i_pq_tradedays($B$3,A4493,A4492)-1)</f>
        <v/>
      </c>
      <c r="G4492" s="16" t="str">
        <f t="shared" si="156"/>
        <v/>
      </c>
      <c r="H4492" s="70" t="str">
        <f t="shared" si="157"/>
        <v/>
      </c>
    </row>
    <row r="4493" spans="1:8">
      <c r="A4493" s="2"/>
      <c r="B4493" s="12"/>
      <c r="C4493" s="12"/>
      <c r="E4493" t="str">
        <f>IF(LEN(D4493)=0,"",[1]!i_pq_tradedays($B$3,A4494,A4493)-1)</f>
        <v/>
      </c>
      <c r="G4493" s="16" t="str">
        <f t="shared" si="156"/>
        <v/>
      </c>
      <c r="H4493" s="70" t="str">
        <f t="shared" si="157"/>
        <v/>
      </c>
    </row>
    <row r="4494" spans="1:8">
      <c r="A4494" s="2"/>
      <c r="B4494" s="12"/>
      <c r="C4494" s="12"/>
      <c r="E4494" t="str">
        <f>IF(LEN(D4494)=0,"",[1]!i_pq_tradedays($B$3,A4495,A4494)-1)</f>
        <v/>
      </c>
      <c r="G4494" s="16" t="str">
        <f t="shared" si="156"/>
        <v/>
      </c>
      <c r="H4494" s="70" t="str">
        <f t="shared" si="157"/>
        <v/>
      </c>
    </row>
    <row r="4495" spans="1:8">
      <c r="A4495" s="2"/>
      <c r="B4495" s="12"/>
      <c r="C4495" s="12"/>
      <c r="E4495" t="str">
        <f>IF(LEN(D4495)=0,"",[1]!i_pq_tradedays($B$3,A4496,A4495)-1)</f>
        <v/>
      </c>
      <c r="G4495" s="16" t="str">
        <f t="shared" si="156"/>
        <v/>
      </c>
      <c r="H4495" s="70" t="str">
        <f t="shared" si="157"/>
        <v/>
      </c>
    </row>
    <row r="4496" spans="1:8">
      <c r="A4496" s="2"/>
      <c r="B4496" s="12"/>
      <c r="C4496" s="12"/>
      <c r="E4496" t="str">
        <f>IF(LEN(D4496)=0,"",[1]!i_pq_tradedays($B$3,A4497,A4496)-1)</f>
        <v/>
      </c>
      <c r="G4496" s="16" t="str">
        <f t="shared" si="156"/>
        <v/>
      </c>
      <c r="H4496" s="70" t="str">
        <f t="shared" si="157"/>
        <v/>
      </c>
    </row>
    <row r="4497" spans="1:8">
      <c r="A4497" s="2"/>
      <c r="B4497" s="12"/>
      <c r="C4497" s="12"/>
      <c r="E4497" t="str">
        <f>IF(LEN(D4497)=0,"",[1]!i_pq_tradedays($B$3,A4498,A4497)-1)</f>
        <v/>
      </c>
      <c r="G4497" s="16" t="str">
        <f t="shared" si="156"/>
        <v/>
      </c>
      <c r="H4497" s="70" t="str">
        <f t="shared" si="157"/>
        <v/>
      </c>
    </row>
    <row r="4498" spans="1:8">
      <c r="A4498" s="2"/>
      <c r="B4498" s="12"/>
      <c r="C4498" s="12"/>
      <c r="E4498" t="str">
        <f>IF(LEN(D4498)=0,"",[1]!i_pq_tradedays($B$3,A4499,A4498)-1)</f>
        <v/>
      </c>
      <c r="G4498" s="16" t="str">
        <f t="shared" si="156"/>
        <v/>
      </c>
      <c r="H4498" s="70" t="str">
        <f t="shared" si="157"/>
        <v/>
      </c>
    </row>
    <row r="4499" spans="1:8">
      <c r="A4499" s="2"/>
      <c r="B4499" s="12"/>
      <c r="C4499" s="12"/>
      <c r="E4499" t="str">
        <f>IF(LEN(D4499)=0,"",[1]!i_pq_tradedays($B$3,A4500,A4499)-1)</f>
        <v/>
      </c>
      <c r="G4499" s="16" t="str">
        <f t="shared" si="156"/>
        <v/>
      </c>
      <c r="H4499" s="70" t="str">
        <f t="shared" si="157"/>
        <v/>
      </c>
    </row>
    <row r="4500" spans="1:8">
      <c r="A4500" s="2"/>
      <c r="B4500" s="12"/>
      <c r="C4500" s="12"/>
      <c r="E4500" t="str">
        <f>IF(LEN(D4500)=0,"",[1]!i_pq_tradedays($B$3,A4501,A4500)-1)</f>
        <v/>
      </c>
      <c r="G4500" s="16" t="str">
        <f t="shared" si="156"/>
        <v/>
      </c>
      <c r="H4500" s="70" t="str">
        <f t="shared" si="157"/>
        <v/>
      </c>
    </row>
    <row r="4501" spans="1:8">
      <c r="A4501" s="2"/>
      <c r="B4501" s="12"/>
      <c r="C4501" s="12"/>
      <c r="E4501" t="str">
        <f>IF(LEN(D4501)=0,"",[1]!i_pq_tradedays($B$3,A4502,A4501)-1)</f>
        <v/>
      </c>
      <c r="G4501" s="16" t="str">
        <f t="shared" si="156"/>
        <v/>
      </c>
      <c r="H4501" s="70" t="str">
        <f t="shared" si="157"/>
        <v/>
      </c>
    </row>
    <row r="4502" spans="1:8">
      <c r="A4502" s="2"/>
      <c r="B4502" s="12"/>
      <c r="C4502" s="12"/>
      <c r="E4502" t="str">
        <f>IF(LEN(D4502)=0,"",[1]!i_pq_tradedays($B$3,A4503,A4502)-1)</f>
        <v/>
      </c>
      <c r="G4502" s="16" t="str">
        <f t="shared" si="156"/>
        <v/>
      </c>
      <c r="H4502" s="70" t="str">
        <f t="shared" si="157"/>
        <v/>
      </c>
    </row>
    <row r="4503" spans="1:8">
      <c r="A4503" s="2"/>
      <c r="B4503" s="12"/>
      <c r="C4503" s="12"/>
      <c r="E4503" t="str">
        <f>IF(LEN(D4503)=0,"",[1]!i_pq_tradedays($B$3,A4504,A4503)-1)</f>
        <v/>
      </c>
      <c r="G4503" s="16" t="str">
        <f t="shared" si="156"/>
        <v/>
      </c>
      <c r="H4503" s="70" t="str">
        <f t="shared" si="157"/>
        <v/>
      </c>
    </row>
    <row r="4504" spans="1:8">
      <c r="A4504" s="2"/>
      <c r="B4504" s="12"/>
      <c r="C4504" s="12"/>
      <c r="E4504" t="str">
        <f>IF(LEN(D4504)=0,"",[1]!i_pq_tradedays($B$3,A4505,A4504)-1)</f>
        <v/>
      </c>
      <c r="G4504" s="16" t="str">
        <f t="shared" si="156"/>
        <v/>
      </c>
      <c r="H4504" s="70" t="str">
        <f t="shared" si="157"/>
        <v/>
      </c>
    </row>
    <row r="4505" spans="1:8">
      <c r="A4505" s="2"/>
      <c r="B4505" s="12"/>
      <c r="C4505" s="12"/>
      <c r="E4505" t="str">
        <f>IF(LEN(D4505)=0,"",[1]!i_pq_tradedays($B$3,A4506,A4505)-1)</f>
        <v/>
      </c>
      <c r="G4505" s="16" t="str">
        <f t="shared" si="156"/>
        <v/>
      </c>
      <c r="H4505" s="70" t="str">
        <f t="shared" si="157"/>
        <v/>
      </c>
    </row>
    <row r="4506" spans="1:8">
      <c r="A4506" s="2"/>
      <c r="B4506" s="12"/>
      <c r="C4506" s="12"/>
      <c r="E4506" t="str">
        <f>IF(LEN(D4506)=0,"",[1]!i_pq_tradedays($B$3,A4507,A4506)-1)</f>
        <v/>
      </c>
      <c r="G4506" s="16" t="str">
        <f t="shared" si="156"/>
        <v/>
      </c>
      <c r="H4506" s="70" t="str">
        <f t="shared" si="157"/>
        <v/>
      </c>
    </row>
    <row r="4507" spans="1:8">
      <c r="A4507" s="2"/>
      <c r="B4507" s="12"/>
      <c r="C4507" s="12"/>
      <c r="E4507" t="str">
        <f>IF(LEN(D4507)=0,"",[1]!i_pq_tradedays($B$3,A4508,A4507)-1)</f>
        <v/>
      </c>
      <c r="G4507" s="16" t="str">
        <f t="shared" si="156"/>
        <v/>
      </c>
      <c r="H4507" s="70" t="str">
        <f t="shared" si="157"/>
        <v/>
      </c>
    </row>
    <row r="4508" spans="1:8">
      <c r="A4508" s="2"/>
      <c r="B4508" s="12"/>
      <c r="C4508" s="12"/>
      <c r="E4508" t="str">
        <f>IF(LEN(D4508)=0,"",[1]!i_pq_tradedays($B$3,A4509,A4508)-1)</f>
        <v/>
      </c>
      <c r="G4508" s="16" t="str">
        <f t="shared" si="156"/>
        <v/>
      </c>
      <c r="H4508" s="70" t="str">
        <f t="shared" si="157"/>
        <v/>
      </c>
    </row>
    <row r="4509" spans="1:8">
      <c r="A4509" s="2"/>
      <c r="B4509" s="12"/>
      <c r="C4509" s="12"/>
      <c r="E4509" t="str">
        <f>IF(LEN(D4509)=0,"",[1]!i_pq_tradedays($B$3,A4510,A4509)-1)</f>
        <v/>
      </c>
      <c r="G4509" s="16" t="str">
        <f t="shared" si="156"/>
        <v/>
      </c>
      <c r="H4509" s="70" t="str">
        <f t="shared" si="157"/>
        <v/>
      </c>
    </row>
    <row r="4510" spans="1:8">
      <c r="A4510" s="2"/>
      <c r="B4510" s="12"/>
      <c r="C4510" s="12"/>
      <c r="E4510" t="str">
        <f>IF(LEN(D4510)=0,"",[1]!i_pq_tradedays($B$3,A4511,A4510)-1)</f>
        <v/>
      </c>
      <c r="G4510" s="16" t="str">
        <f t="shared" si="156"/>
        <v/>
      </c>
      <c r="H4510" s="70" t="str">
        <f t="shared" si="157"/>
        <v/>
      </c>
    </row>
    <row r="4511" spans="1:8">
      <c r="A4511" s="2"/>
      <c r="B4511" s="12"/>
      <c r="C4511" s="12"/>
      <c r="E4511" t="str">
        <f>IF(LEN(D4511)=0,"",[1]!i_pq_tradedays($B$3,A4512,A4511)-1)</f>
        <v/>
      </c>
      <c r="G4511" s="16" t="str">
        <f t="shared" si="156"/>
        <v/>
      </c>
      <c r="H4511" s="70" t="str">
        <f t="shared" si="157"/>
        <v/>
      </c>
    </row>
    <row r="4512" spans="1:8">
      <c r="A4512" s="2"/>
      <c r="B4512" s="12"/>
      <c r="C4512" s="12"/>
      <c r="E4512" t="str">
        <f>IF(LEN(D4512)=0,"",[1]!i_pq_tradedays($B$3,A4513,A4512)-1)</f>
        <v/>
      </c>
      <c r="G4512" s="16" t="str">
        <f t="shared" si="156"/>
        <v/>
      </c>
      <c r="H4512" s="70" t="str">
        <f t="shared" si="157"/>
        <v/>
      </c>
    </row>
    <row r="4513" spans="1:8">
      <c r="A4513" s="2"/>
      <c r="B4513" s="12"/>
      <c r="C4513" s="12"/>
      <c r="E4513" t="str">
        <f>IF(LEN(D4513)=0,"",[1]!i_pq_tradedays($B$3,A4514,A4513)-1)</f>
        <v/>
      </c>
      <c r="G4513" s="16" t="str">
        <f t="shared" si="156"/>
        <v/>
      </c>
      <c r="H4513" s="70" t="str">
        <f t="shared" si="157"/>
        <v/>
      </c>
    </row>
    <row r="4514" spans="1:8">
      <c r="A4514" s="2"/>
      <c r="B4514" s="12"/>
      <c r="C4514" s="12"/>
      <c r="E4514" t="str">
        <f>IF(LEN(D4514)=0,"",[1]!i_pq_tradedays($B$3,A4515,A4514)-1)</f>
        <v/>
      </c>
      <c r="G4514" s="16" t="str">
        <f t="shared" si="156"/>
        <v/>
      </c>
      <c r="H4514" s="70" t="str">
        <f t="shared" si="157"/>
        <v/>
      </c>
    </row>
    <row r="4515" spans="1:8">
      <c r="A4515" s="2"/>
      <c r="B4515" s="12"/>
      <c r="C4515" s="12"/>
      <c r="E4515" t="str">
        <f>IF(LEN(D4515)=0,"",[1]!i_pq_tradedays($B$3,A4516,A4515)-1)</f>
        <v/>
      </c>
      <c r="G4515" s="16" t="str">
        <f t="shared" si="156"/>
        <v/>
      </c>
      <c r="H4515" s="70" t="str">
        <f t="shared" si="157"/>
        <v/>
      </c>
    </row>
    <row r="4516" spans="1:8">
      <c r="A4516" s="2"/>
      <c r="B4516" s="12"/>
      <c r="C4516" s="12"/>
      <c r="E4516" t="str">
        <f>IF(LEN(D4516)=0,"",[1]!i_pq_tradedays($B$3,A4517,A4516)-1)</f>
        <v/>
      </c>
      <c r="G4516" s="16" t="str">
        <f t="shared" si="156"/>
        <v/>
      </c>
      <c r="H4516" s="70" t="str">
        <f t="shared" si="157"/>
        <v/>
      </c>
    </row>
    <row r="4517" spans="1:8">
      <c r="A4517" s="2"/>
      <c r="B4517" s="12"/>
      <c r="C4517" s="12"/>
      <c r="E4517" t="str">
        <f>IF(LEN(D4517)=0,"",[1]!i_pq_tradedays($B$3,A4518,A4517)-1)</f>
        <v/>
      </c>
      <c r="G4517" s="16" t="str">
        <f t="shared" si="156"/>
        <v/>
      </c>
      <c r="H4517" s="70" t="str">
        <f t="shared" si="157"/>
        <v/>
      </c>
    </row>
    <row r="4518" spans="1:8">
      <c r="A4518" s="2"/>
      <c r="B4518" s="12"/>
      <c r="C4518" s="12"/>
      <c r="E4518" t="str">
        <f>IF(LEN(D4518)=0,"",[1]!i_pq_tradedays($B$3,A4519,A4518)-1)</f>
        <v/>
      </c>
      <c r="G4518" s="16" t="str">
        <f t="shared" si="156"/>
        <v/>
      </c>
      <c r="H4518" s="70" t="str">
        <f t="shared" si="157"/>
        <v/>
      </c>
    </row>
    <row r="4519" spans="1:8">
      <c r="A4519" s="2"/>
      <c r="B4519" s="12"/>
      <c r="C4519" s="12"/>
      <c r="E4519" t="str">
        <f>IF(LEN(D4519)=0,"",[1]!i_pq_tradedays($B$3,A4520,A4519)-1)</f>
        <v/>
      </c>
      <c r="G4519" s="16" t="str">
        <f t="shared" si="156"/>
        <v/>
      </c>
      <c r="H4519" s="70" t="str">
        <f t="shared" si="157"/>
        <v/>
      </c>
    </row>
    <row r="4520" spans="1:8">
      <c r="A4520" s="2"/>
      <c r="B4520" s="12"/>
      <c r="C4520" s="12"/>
      <c r="E4520" t="str">
        <f>IF(LEN(D4520)=0,"",[1]!i_pq_tradedays($B$3,A4521,A4520)-1)</f>
        <v/>
      </c>
      <c r="G4520" s="16" t="str">
        <f t="shared" si="156"/>
        <v/>
      </c>
      <c r="H4520" s="70" t="str">
        <f t="shared" si="157"/>
        <v/>
      </c>
    </row>
    <row r="4521" spans="1:8">
      <c r="A4521" s="2"/>
      <c r="B4521" s="12"/>
      <c r="C4521" s="12"/>
      <c r="E4521" t="str">
        <f>IF(LEN(D4521)=0,"",[1]!i_pq_tradedays($B$3,A4522,A4521)-1)</f>
        <v/>
      </c>
      <c r="G4521" s="16" t="str">
        <f t="shared" si="156"/>
        <v/>
      </c>
      <c r="H4521" s="70" t="str">
        <f t="shared" si="157"/>
        <v/>
      </c>
    </row>
    <row r="4522" spans="1:8">
      <c r="A4522" s="2"/>
      <c r="B4522" s="12"/>
      <c r="C4522" s="12"/>
      <c r="E4522" t="str">
        <f>IF(LEN(D4522)=0,"",[1]!i_pq_tradedays($B$3,A4523,A4522)-1)</f>
        <v/>
      </c>
      <c r="G4522" s="16" t="str">
        <f t="shared" si="156"/>
        <v/>
      </c>
      <c r="H4522" s="70" t="str">
        <f t="shared" si="157"/>
        <v/>
      </c>
    </row>
    <row r="4523" spans="1:8">
      <c r="A4523" s="2"/>
      <c r="B4523" s="12"/>
      <c r="C4523" s="12"/>
      <c r="E4523" t="str">
        <f>IF(LEN(D4523)=0,"",[1]!i_pq_tradedays($B$3,A4524,A4523)-1)</f>
        <v/>
      </c>
      <c r="G4523" s="16" t="str">
        <f t="shared" si="156"/>
        <v/>
      </c>
      <c r="H4523" s="70" t="str">
        <f t="shared" si="157"/>
        <v/>
      </c>
    </row>
    <row r="4524" spans="1:8">
      <c r="A4524" s="2"/>
      <c r="B4524" s="12"/>
      <c r="C4524" s="12"/>
      <c r="E4524" t="str">
        <f>IF(LEN(D4524)=0,"",[1]!i_pq_tradedays($B$3,A4525,A4524)-1)</f>
        <v/>
      </c>
      <c r="G4524" s="16" t="str">
        <f t="shared" si="156"/>
        <v/>
      </c>
      <c r="H4524" s="70" t="str">
        <f t="shared" si="157"/>
        <v/>
      </c>
    </row>
    <row r="4525" spans="1:8">
      <c r="A4525" s="2"/>
      <c r="B4525" s="12"/>
      <c r="C4525" s="12"/>
      <c r="E4525" t="str">
        <f>IF(LEN(D4525)=0,"",[1]!i_pq_tradedays($B$3,A4526,A4525)-1)</f>
        <v/>
      </c>
      <c r="G4525" s="16" t="str">
        <f t="shared" si="156"/>
        <v/>
      </c>
      <c r="H4525" s="70" t="str">
        <f t="shared" si="157"/>
        <v/>
      </c>
    </row>
    <row r="4526" spans="1:8">
      <c r="A4526" s="2"/>
      <c r="B4526" s="12"/>
      <c r="C4526" s="12"/>
      <c r="E4526" t="str">
        <f>IF(LEN(D4526)=0,"",[1]!i_pq_tradedays($B$3,A4527,A4526)-1)</f>
        <v/>
      </c>
      <c r="G4526" s="16" t="str">
        <f t="shared" si="156"/>
        <v/>
      </c>
      <c r="H4526" s="70" t="str">
        <f t="shared" si="157"/>
        <v/>
      </c>
    </row>
    <row r="4527" spans="1:8">
      <c r="A4527" s="2"/>
      <c r="B4527" s="12"/>
      <c r="C4527" s="12"/>
      <c r="E4527" t="str">
        <f>IF(LEN(D4527)=0,"",[1]!i_pq_tradedays($B$3,A4528,A4527)-1)</f>
        <v/>
      </c>
      <c r="G4527" s="16" t="str">
        <f t="shared" si="156"/>
        <v/>
      </c>
      <c r="H4527" s="70" t="str">
        <f t="shared" si="157"/>
        <v/>
      </c>
    </row>
    <row r="4528" spans="1:8">
      <c r="A4528" s="2"/>
      <c r="B4528" s="12"/>
      <c r="C4528" s="12"/>
      <c r="E4528" t="str">
        <f>IF(LEN(D4528)=0,"",[1]!i_pq_tradedays($B$3,A4529,A4528)-1)</f>
        <v/>
      </c>
      <c r="G4528" s="16" t="str">
        <f t="shared" si="156"/>
        <v/>
      </c>
      <c r="H4528" s="70" t="str">
        <f t="shared" si="157"/>
        <v/>
      </c>
    </row>
    <row r="4529" spans="1:8">
      <c r="A4529" s="2"/>
      <c r="B4529" s="12"/>
      <c r="C4529" s="12"/>
      <c r="E4529" t="str">
        <f>IF(LEN(D4529)=0,"",[1]!i_pq_tradedays($B$3,A4530,A4529)-1)</f>
        <v/>
      </c>
      <c r="G4529" s="16" t="str">
        <f t="shared" si="156"/>
        <v/>
      </c>
      <c r="H4529" s="70" t="str">
        <f t="shared" si="157"/>
        <v/>
      </c>
    </row>
    <row r="4530" spans="1:8">
      <c r="A4530" s="2"/>
      <c r="B4530" s="12"/>
      <c r="C4530" s="12"/>
      <c r="E4530" t="str">
        <f>IF(LEN(D4530)=0,"",[1]!i_pq_tradedays($B$3,A4531,A4530)-1)</f>
        <v/>
      </c>
      <c r="G4530" s="16" t="str">
        <f t="shared" si="156"/>
        <v/>
      </c>
      <c r="H4530" s="70" t="str">
        <f t="shared" si="157"/>
        <v/>
      </c>
    </row>
    <row r="4531" spans="1:8">
      <c r="A4531" s="2"/>
      <c r="B4531" s="12"/>
      <c r="C4531" s="12"/>
      <c r="E4531" t="str">
        <f>IF(LEN(D4531)=0,"",[1]!i_pq_tradedays($B$3,A4532,A4531)-1)</f>
        <v/>
      </c>
      <c r="G4531" s="16" t="str">
        <f t="shared" si="156"/>
        <v/>
      </c>
      <c r="H4531" s="70" t="str">
        <f t="shared" si="157"/>
        <v/>
      </c>
    </row>
    <row r="4532" spans="1:8">
      <c r="A4532" s="2"/>
      <c r="B4532" s="12"/>
      <c r="C4532" s="12"/>
      <c r="E4532" t="str">
        <f>IF(LEN(D4532)=0,"",[1]!i_pq_tradedays($B$3,A4533,A4532)-1)</f>
        <v/>
      </c>
      <c r="G4532" s="16" t="str">
        <f t="shared" si="156"/>
        <v/>
      </c>
      <c r="H4532" s="70" t="str">
        <f t="shared" si="157"/>
        <v/>
      </c>
    </row>
    <row r="4533" spans="1:8">
      <c r="A4533" s="2"/>
      <c r="B4533" s="12"/>
      <c r="C4533" s="12"/>
      <c r="E4533" t="str">
        <f>IF(LEN(D4533)=0,"",[1]!i_pq_tradedays($B$3,A4534,A4533)-1)</f>
        <v/>
      </c>
      <c r="G4533" s="16" t="str">
        <f t="shared" ref="G4533:G4596" si="158">IF(LEN(D4533)=0,"",D4533/E4533)</f>
        <v/>
      </c>
      <c r="H4533" s="70" t="str">
        <f t="shared" ref="H4533:H4596" si="159">IF(LEN(D4533)=0,"",G4533/G4534-1)</f>
        <v/>
      </c>
    </row>
    <row r="4534" spans="1:8">
      <c r="A4534" s="2"/>
      <c r="B4534" s="12"/>
      <c r="C4534" s="12"/>
      <c r="E4534" t="str">
        <f>IF(LEN(D4534)=0,"",[1]!i_pq_tradedays($B$3,A4535,A4534)-1)</f>
        <v/>
      </c>
      <c r="G4534" s="16" t="str">
        <f t="shared" si="158"/>
        <v/>
      </c>
      <c r="H4534" s="70" t="str">
        <f t="shared" si="159"/>
        <v/>
      </c>
    </row>
    <row r="4535" spans="1:8">
      <c r="A4535" s="2"/>
      <c r="B4535" s="12"/>
      <c r="C4535" s="12"/>
      <c r="E4535" t="str">
        <f>IF(LEN(D4535)=0,"",[1]!i_pq_tradedays($B$3,A4536,A4535)-1)</f>
        <v/>
      </c>
      <c r="G4535" s="16" t="str">
        <f t="shared" si="158"/>
        <v/>
      </c>
      <c r="H4535" s="70" t="str">
        <f t="shared" si="159"/>
        <v/>
      </c>
    </row>
    <row r="4536" spans="1:8">
      <c r="A4536" s="2"/>
      <c r="B4536" s="12"/>
      <c r="C4536" s="12"/>
      <c r="E4536" t="str">
        <f>IF(LEN(D4536)=0,"",[1]!i_pq_tradedays($B$3,A4537,A4536)-1)</f>
        <v/>
      </c>
      <c r="G4536" s="16" t="str">
        <f t="shared" si="158"/>
        <v/>
      </c>
      <c r="H4536" s="70" t="str">
        <f t="shared" si="159"/>
        <v/>
      </c>
    </row>
    <row r="4537" spans="1:8">
      <c r="A4537" s="2"/>
      <c r="B4537" s="12"/>
      <c r="C4537" s="12"/>
      <c r="E4537" t="str">
        <f>IF(LEN(D4537)=0,"",[1]!i_pq_tradedays($B$3,A4538,A4537)-1)</f>
        <v/>
      </c>
      <c r="G4537" s="16" t="str">
        <f t="shared" si="158"/>
        <v/>
      </c>
      <c r="H4537" s="70" t="str">
        <f t="shared" si="159"/>
        <v/>
      </c>
    </row>
    <row r="4538" spans="1:8">
      <c r="A4538" s="2"/>
      <c r="B4538" s="12"/>
      <c r="C4538" s="12"/>
      <c r="E4538" t="str">
        <f>IF(LEN(D4538)=0,"",[1]!i_pq_tradedays($B$3,A4539,A4538)-1)</f>
        <v/>
      </c>
      <c r="G4538" s="16" t="str">
        <f t="shared" si="158"/>
        <v/>
      </c>
      <c r="H4538" s="70" t="str">
        <f t="shared" si="159"/>
        <v/>
      </c>
    </row>
    <row r="4539" spans="1:8">
      <c r="A4539" s="2"/>
      <c r="B4539" s="12"/>
      <c r="C4539" s="12"/>
      <c r="E4539" t="str">
        <f>IF(LEN(D4539)=0,"",[1]!i_pq_tradedays($B$3,A4540,A4539)-1)</f>
        <v/>
      </c>
      <c r="G4539" s="16" t="str">
        <f t="shared" si="158"/>
        <v/>
      </c>
      <c r="H4539" s="70" t="str">
        <f t="shared" si="159"/>
        <v/>
      </c>
    </row>
    <row r="4540" spans="1:8">
      <c r="A4540" s="2"/>
      <c r="B4540" s="12"/>
      <c r="C4540" s="12"/>
      <c r="E4540" t="str">
        <f>IF(LEN(D4540)=0,"",[1]!i_pq_tradedays($B$3,A4541,A4540)-1)</f>
        <v/>
      </c>
      <c r="G4540" s="16" t="str">
        <f t="shared" si="158"/>
        <v/>
      </c>
      <c r="H4540" s="70" t="str">
        <f t="shared" si="159"/>
        <v/>
      </c>
    </row>
    <row r="4541" spans="1:8">
      <c r="A4541" s="2"/>
      <c r="B4541" s="12"/>
      <c r="C4541" s="12"/>
      <c r="E4541" t="str">
        <f>IF(LEN(D4541)=0,"",[1]!i_pq_tradedays($B$3,A4542,A4541)-1)</f>
        <v/>
      </c>
      <c r="G4541" s="16" t="str">
        <f t="shared" si="158"/>
        <v/>
      </c>
      <c r="H4541" s="70" t="str">
        <f t="shared" si="159"/>
        <v/>
      </c>
    </row>
    <row r="4542" spans="1:8">
      <c r="A4542" s="2"/>
      <c r="B4542" s="12"/>
      <c r="C4542" s="12"/>
      <c r="E4542" t="str">
        <f>IF(LEN(D4542)=0,"",[1]!i_pq_tradedays($B$3,A4543,A4542)-1)</f>
        <v/>
      </c>
      <c r="G4542" s="16" t="str">
        <f t="shared" si="158"/>
        <v/>
      </c>
      <c r="H4542" s="70" t="str">
        <f t="shared" si="159"/>
        <v/>
      </c>
    </row>
    <row r="4543" spans="1:8">
      <c r="A4543" s="2"/>
      <c r="B4543" s="12"/>
      <c r="C4543" s="12"/>
      <c r="E4543" t="str">
        <f>IF(LEN(D4543)=0,"",[1]!i_pq_tradedays($B$3,A4544,A4543)-1)</f>
        <v/>
      </c>
      <c r="G4543" s="16" t="str">
        <f t="shared" si="158"/>
        <v/>
      </c>
      <c r="H4543" s="70" t="str">
        <f t="shared" si="159"/>
        <v/>
      </c>
    </row>
    <row r="4544" spans="1:8">
      <c r="A4544" s="2"/>
      <c r="B4544" s="12"/>
      <c r="C4544" s="12"/>
      <c r="E4544" t="str">
        <f>IF(LEN(D4544)=0,"",[1]!i_pq_tradedays($B$3,A4545,A4544)-1)</f>
        <v/>
      </c>
      <c r="G4544" s="16" t="str">
        <f t="shared" si="158"/>
        <v/>
      </c>
      <c r="H4544" s="70" t="str">
        <f t="shared" si="159"/>
        <v/>
      </c>
    </row>
    <row r="4545" spans="1:8">
      <c r="A4545" s="2"/>
      <c r="B4545" s="12"/>
      <c r="C4545" s="12"/>
      <c r="E4545" t="str">
        <f>IF(LEN(D4545)=0,"",[1]!i_pq_tradedays($B$3,A4546,A4545)-1)</f>
        <v/>
      </c>
      <c r="G4545" s="16" t="str">
        <f t="shared" si="158"/>
        <v/>
      </c>
      <c r="H4545" s="70" t="str">
        <f t="shared" si="159"/>
        <v/>
      </c>
    </row>
    <row r="4546" spans="1:8">
      <c r="A4546" s="2"/>
      <c r="B4546" s="12"/>
      <c r="C4546" s="12"/>
      <c r="E4546" t="str">
        <f>IF(LEN(D4546)=0,"",[1]!i_pq_tradedays($B$3,A4547,A4546)-1)</f>
        <v/>
      </c>
      <c r="G4546" s="16" t="str">
        <f t="shared" si="158"/>
        <v/>
      </c>
      <c r="H4546" s="70" t="str">
        <f t="shared" si="159"/>
        <v/>
      </c>
    </row>
    <row r="4547" spans="1:8">
      <c r="A4547" s="2"/>
      <c r="B4547" s="12"/>
      <c r="C4547" s="12"/>
      <c r="E4547" t="str">
        <f>IF(LEN(D4547)=0,"",[1]!i_pq_tradedays($B$3,A4548,A4547)-1)</f>
        <v/>
      </c>
      <c r="G4547" s="16" t="str">
        <f t="shared" si="158"/>
        <v/>
      </c>
      <c r="H4547" s="70" t="str">
        <f t="shared" si="159"/>
        <v/>
      </c>
    </row>
    <row r="4548" spans="1:8">
      <c r="A4548" s="2"/>
      <c r="B4548" s="12"/>
      <c r="C4548" s="12"/>
      <c r="E4548" t="str">
        <f>IF(LEN(D4548)=0,"",[1]!i_pq_tradedays($B$3,A4549,A4548)-1)</f>
        <v/>
      </c>
      <c r="G4548" s="16" t="str">
        <f t="shared" si="158"/>
        <v/>
      </c>
      <c r="H4548" s="70" t="str">
        <f t="shared" si="159"/>
        <v/>
      </c>
    </row>
    <row r="4549" spans="1:8">
      <c r="A4549" s="2"/>
      <c r="B4549" s="12"/>
      <c r="C4549" s="12"/>
      <c r="E4549" t="str">
        <f>IF(LEN(D4549)=0,"",[1]!i_pq_tradedays($B$3,A4550,A4549)-1)</f>
        <v/>
      </c>
      <c r="G4549" s="16" t="str">
        <f t="shared" si="158"/>
        <v/>
      </c>
      <c r="H4549" s="70" t="str">
        <f t="shared" si="159"/>
        <v/>
      </c>
    </row>
    <row r="4550" spans="1:8">
      <c r="A4550" s="2"/>
      <c r="B4550" s="12"/>
      <c r="C4550" s="12"/>
      <c r="E4550" t="str">
        <f>IF(LEN(D4550)=0,"",[1]!i_pq_tradedays($B$3,A4551,A4550)-1)</f>
        <v/>
      </c>
      <c r="G4550" s="16" t="str">
        <f t="shared" si="158"/>
        <v/>
      </c>
      <c r="H4550" s="70" t="str">
        <f t="shared" si="159"/>
        <v/>
      </c>
    </row>
    <row r="4551" spans="1:8">
      <c r="A4551" s="2"/>
      <c r="B4551" s="12"/>
      <c r="C4551" s="12"/>
      <c r="E4551" t="str">
        <f>IF(LEN(D4551)=0,"",[1]!i_pq_tradedays($B$3,A4552,A4551)-1)</f>
        <v/>
      </c>
      <c r="G4551" s="16" t="str">
        <f t="shared" si="158"/>
        <v/>
      </c>
      <c r="H4551" s="70" t="str">
        <f t="shared" si="159"/>
        <v/>
      </c>
    </row>
    <row r="4552" spans="1:8">
      <c r="A4552" s="2"/>
      <c r="B4552" s="12"/>
      <c r="C4552" s="12"/>
      <c r="E4552" t="str">
        <f>IF(LEN(D4552)=0,"",[1]!i_pq_tradedays($B$3,A4553,A4552)-1)</f>
        <v/>
      </c>
      <c r="G4552" s="16" t="str">
        <f t="shared" si="158"/>
        <v/>
      </c>
      <c r="H4552" s="70" t="str">
        <f t="shared" si="159"/>
        <v/>
      </c>
    </row>
    <row r="4553" spans="1:8">
      <c r="A4553" s="2"/>
      <c r="B4553" s="12"/>
      <c r="C4553" s="12"/>
      <c r="E4553" t="str">
        <f>IF(LEN(D4553)=0,"",[1]!i_pq_tradedays($B$3,A4554,A4553)-1)</f>
        <v/>
      </c>
      <c r="G4553" s="16" t="str">
        <f t="shared" si="158"/>
        <v/>
      </c>
      <c r="H4553" s="70" t="str">
        <f t="shared" si="159"/>
        <v/>
      </c>
    </row>
    <row r="4554" spans="1:8">
      <c r="A4554" s="2"/>
      <c r="B4554" s="12"/>
      <c r="C4554" s="12"/>
      <c r="E4554" t="str">
        <f>IF(LEN(D4554)=0,"",[1]!i_pq_tradedays($B$3,A4555,A4554)-1)</f>
        <v/>
      </c>
      <c r="G4554" s="16" t="str">
        <f t="shared" si="158"/>
        <v/>
      </c>
      <c r="H4554" s="70" t="str">
        <f t="shared" si="159"/>
        <v/>
      </c>
    </row>
    <row r="4555" spans="1:8">
      <c r="A4555" s="2"/>
      <c r="B4555" s="12"/>
      <c r="C4555" s="12"/>
      <c r="E4555" t="str">
        <f>IF(LEN(D4555)=0,"",[1]!i_pq_tradedays($B$3,A4556,A4555)-1)</f>
        <v/>
      </c>
      <c r="G4555" s="16" t="str">
        <f t="shared" si="158"/>
        <v/>
      </c>
      <c r="H4555" s="70" t="str">
        <f t="shared" si="159"/>
        <v/>
      </c>
    </row>
    <row r="4556" spans="1:8">
      <c r="A4556" s="2"/>
      <c r="B4556" s="12"/>
      <c r="C4556" s="12"/>
      <c r="E4556" t="str">
        <f>IF(LEN(D4556)=0,"",[1]!i_pq_tradedays($B$3,A4557,A4556)-1)</f>
        <v/>
      </c>
      <c r="G4556" s="16" t="str">
        <f t="shared" si="158"/>
        <v/>
      </c>
      <c r="H4556" s="70" t="str">
        <f t="shared" si="159"/>
        <v/>
      </c>
    </row>
    <row r="4557" spans="1:8">
      <c r="A4557" s="2"/>
      <c r="B4557" s="12"/>
      <c r="C4557" s="12"/>
      <c r="E4557" t="str">
        <f>IF(LEN(D4557)=0,"",[1]!i_pq_tradedays($B$3,A4558,A4557)-1)</f>
        <v/>
      </c>
      <c r="G4557" s="16" t="str">
        <f t="shared" si="158"/>
        <v/>
      </c>
      <c r="H4557" s="70" t="str">
        <f t="shared" si="159"/>
        <v/>
      </c>
    </row>
    <row r="4558" spans="1:8">
      <c r="A4558" s="2"/>
      <c r="B4558" s="12"/>
      <c r="C4558" s="12"/>
      <c r="E4558" t="str">
        <f>IF(LEN(D4558)=0,"",[1]!i_pq_tradedays($B$3,A4559,A4558)-1)</f>
        <v/>
      </c>
      <c r="G4558" s="16" t="str">
        <f t="shared" si="158"/>
        <v/>
      </c>
      <c r="H4558" s="70" t="str">
        <f t="shared" si="159"/>
        <v/>
      </c>
    </row>
    <row r="4559" spans="1:8">
      <c r="A4559" s="2"/>
      <c r="B4559" s="12"/>
      <c r="C4559" s="12"/>
      <c r="E4559" t="str">
        <f>IF(LEN(D4559)=0,"",[1]!i_pq_tradedays($B$3,A4560,A4559)-1)</f>
        <v/>
      </c>
      <c r="G4559" s="16" t="str">
        <f t="shared" si="158"/>
        <v/>
      </c>
      <c r="H4559" s="70" t="str">
        <f t="shared" si="159"/>
        <v/>
      </c>
    </row>
    <row r="4560" spans="1:8">
      <c r="A4560" s="2"/>
      <c r="B4560" s="12"/>
      <c r="C4560" s="12"/>
      <c r="E4560" t="str">
        <f>IF(LEN(D4560)=0,"",[1]!i_pq_tradedays($B$3,A4561,A4560)-1)</f>
        <v/>
      </c>
      <c r="G4560" s="16" t="str">
        <f t="shared" si="158"/>
        <v/>
      </c>
      <c r="H4560" s="70" t="str">
        <f t="shared" si="159"/>
        <v/>
      </c>
    </row>
    <row r="4561" spans="1:8">
      <c r="A4561" s="2"/>
      <c r="B4561" s="12"/>
      <c r="C4561" s="12"/>
      <c r="E4561" t="str">
        <f>IF(LEN(D4561)=0,"",[1]!i_pq_tradedays($B$3,A4562,A4561)-1)</f>
        <v/>
      </c>
      <c r="G4561" s="16" t="str">
        <f t="shared" si="158"/>
        <v/>
      </c>
      <c r="H4561" s="70" t="str">
        <f t="shared" si="159"/>
        <v/>
      </c>
    </row>
    <row r="4562" spans="1:8">
      <c r="A4562" s="2"/>
      <c r="B4562" s="12"/>
      <c r="C4562" s="12"/>
      <c r="E4562" t="str">
        <f>IF(LEN(D4562)=0,"",[1]!i_pq_tradedays($B$3,A4563,A4562)-1)</f>
        <v/>
      </c>
      <c r="G4562" s="16" t="str">
        <f t="shared" si="158"/>
        <v/>
      </c>
      <c r="H4562" s="70" t="str">
        <f t="shared" si="159"/>
        <v/>
      </c>
    </row>
    <row r="4563" spans="1:8">
      <c r="A4563" s="2"/>
      <c r="B4563" s="12"/>
      <c r="C4563" s="12"/>
      <c r="E4563" t="str">
        <f>IF(LEN(D4563)=0,"",[1]!i_pq_tradedays($B$3,A4564,A4563)-1)</f>
        <v/>
      </c>
      <c r="G4563" s="16" t="str">
        <f t="shared" si="158"/>
        <v/>
      </c>
      <c r="H4563" s="70" t="str">
        <f t="shared" si="159"/>
        <v/>
      </c>
    </row>
    <row r="4564" spans="1:8">
      <c r="A4564" s="2"/>
      <c r="B4564" s="12"/>
      <c r="C4564" s="12"/>
      <c r="E4564" t="str">
        <f>IF(LEN(D4564)=0,"",[1]!i_pq_tradedays($B$3,A4565,A4564)-1)</f>
        <v/>
      </c>
      <c r="G4564" s="16" t="str">
        <f t="shared" si="158"/>
        <v/>
      </c>
      <c r="H4564" s="70" t="str">
        <f t="shared" si="159"/>
        <v/>
      </c>
    </row>
    <row r="4565" spans="1:8">
      <c r="A4565" s="2"/>
      <c r="B4565" s="12"/>
      <c r="C4565" s="12"/>
      <c r="E4565" t="str">
        <f>IF(LEN(D4565)=0,"",[1]!i_pq_tradedays($B$3,A4566,A4565)-1)</f>
        <v/>
      </c>
      <c r="G4565" s="16" t="str">
        <f t="shared" si="158"/>
        <v/>
      </c>
      <c r="H4565" s="70" t="str">
        <f t="shared" si="159"/>
        <v/>
      </c>
    </row>
    <row r="4566" spans="1:8">
      <c r="A4566" s="2"/>
      <c r="B4566" s="12"/>
      <c r="C4566" s="12"/>
      <c r="E4566" t="str">
        <f>IF(LEN(D4566)=0,"",[1]!i_pq_tradedays($B$3,A4567,A4566)-1)</f>
        <v/>
      </c>
      <c r="G4566" s="16" t="str">
        <f t="shared" si="158"/>
        <v/>
      </c>
      <c r="H4566" s="70" t="str">
        <f t="shared" si="159"/>
        <v/>
      </c>
    </row>
    <row r="4567" spans="1:8">
      <c r="A4567" s="2"/>
      <c r="B4567" s="12"/>
      <c r="C4567" s="12"/>
      <c r="E4567" t="str">
        <f>IF(LEN(D4567)=0,"",[1]!i_pq_tradedays($B$3,A4568,A4567)-1)</f>
        <v/>
      </c>
      <c r="G4567" s="16" t="str">
        <f t="shared" si="158"/>
        <v/>
      </c>
      <c r="H4567" s="70" t="str">
        <f t="shared" si="159"/>
        <v/>
      </c>
    </row>
    <row r="4568" spans="1:8">
      <c r="A4568" s="2"/>
      <c r="B4568" s="12"/>
      <c r="C4568" s="12"/>
      <c r="E4568" t="str">
        <f>IF(LEN(D4568)=0,"",[1]!i_pq_tradedays($B$3,A4569,A4568)-1)</f>
        <v/>
      </c>
      <c r="G4568" s="16" t="str">
        <f t="shared" si="158"/>
        <v/>
      </c>
      <c r="H4568" s="70" t="str">
        <f t="shared" si="159"/>
        <v/>
      </c>
    </row>
    <row r="4569" spans="1:8">
      <c r="A4569" s="2"/>
      <c r="B4569" s="12"/>
      <c r="C4569" s="12"/>
      <c r="E4569" t="str">
        <f>IF(LEN(D4569)=0,"",[1]!i_pq_tradedays($B$3,A4570,A4569)-1)</f>
        <v/>
      </c>
      <c r="G4569" s="16" t="str">
        <f t="shared" si="158"/>
        <v/>
      </c>
      <c r="H4569" s="70" t="str">
        <f t="shared" si="159"/>
        <v/>
      </c>
    </row>
    <row r="4570" spans="1:8">
      <c r="A4570" s="2"/>
      <c r="B4570" s="12"/>
      <c r="C4570" s="12"/>
      <c r="E4570" t="str">
        <f>IF(LEN(D4570)=0,"",[1]!i_pq_tradedays($B$3,A4571,A4570)-1)</f>
        <v/>
      </c>
      <c r="G4570" s="16" t="str">
        <f t="shared" si="158"/>
        <v/>
      </c>
      <c r="H4570" s="70" t="str">
        <f t="shared" si="159"/>
        <v/>
      </c>
    </row>
    <row r="4571" spans="1:8">
      <c r="A4571" s="2"/>
      <c r="B4571" s="12"/>
      <c r="C4571" s="12"/>
      <c r="E4571" t="str">
        <f>IF(LEN(D4571)=0,"",[1]!i_pq_tradedays($B$3,A4572,A4571)-1)</f>
        <v/>
      </c>
      <c r="G4571" s="16" t="str">
        <f t="shared" si="158"/>
        <v/>
      </c>
      <c r="H4571" s="70" t="str">
        <f t="shared" si="159"/>
        <v/>
      </c>
    </row>
    <row r="4572" spans="1:8">
      <c r="A4572" s="2"/>
      <c r="B4572" s="12"/>
      <c r="C4572" s="12"/>
      <c r="E4572" t="str">
        <f>IF(LEN(D4572)=0,"",[1]!i_pq_tradedays($B$3,A4573,A4572)-1)</f>
        <v/>
      </c>
      <c r="G4572" s="16" t="str">
        <f t="shared" si="158"/>
        <v/>
      </c>
      <c r="H4572" s="70" t="str">
        <f t="shared" si="159"/>
        <v/>
      </c>
    </row>
    <row r="4573" spans="1:8">
      <c r="A4573" s="2"/>
      <c r="B4573" s="12"/>
      <c r="C4573" s="12"/>
      <c r="E4573" t="str">
        <f>IF(LEN(D4573)=0,"",[1]!i_pq_tradedays($B$3,A4574,A4573)-1)</f>
        <v/>
      </c>
      <c r="G4573" s="16" t="str">
        <f t="shared" si="158"/>
        <v/>
      </c>
      <c r="H4573" s="70" t="str">
        <f t="shared" si="159"/>
        <v/>
      </c>
    </row>
    <row r="4574" spans="1:8">
      <c r="A4574" s="2"/>
      <c r="B4574" s="12"/>
      <c r="C4574" s="12"/>
      <c r="E4574" t="str">
        <f>IF(LEN(D4574)=0,"",[1]!i_pq_tradedays($B$3,A4575,A4574)-1)</f>
        <v/>
      </c>
      <c r="G4574" s="16" t="str">
        <f t="shared" si="158"/>
        <v/>
      </c>
      <c r="H4574" s="70" t="str">
        <f t="shared" si="159"/>
        <v/>
      </c>
    </row>
    <row r="4575" spans="1:8">
      <c r="A4575" s="2"/>
      <c r="B4575" s="12"/>
      <c r="C4575" s="12"/>
      <c r="E4575" t="str">
        <f>IF(LEN(D4575)=0,"",[1]!i_pq_tradedays($B$3,A4576,A4575)-1)</f>
        <v/>
      </c>
      <c r="G4575" s="16" t="str">
        <f t="shared" si="158"/>
        <v/>
      </c>
      <c r="H4575" s="70" t="str">
        <f t="shared" si="159"/>
        <v/>
      </c>
    </row>
    <row r="4576" spans="1:8">
      <c r="A4576" s="2"/>
      <c r="B4576" s="12"/>
      <c r="C4576" s="12"/>
      <c r="E4576" t="str">
        <f>IF(LEN(D4576)=0,"",[1]!i_pq_tradedays($B$3,A4577,A4576)-1)</f>
        <v/>
      </c>
      <c r="G4576" s="16" t="str">
        <f t="shared" si="158"/>
        <v/>
      </c>
      <c r="H4576" s="70" t="str">
        <f t="shared" si="159"/>
        <v/>
      </c>
    </row>
    <row r="4577" spans="1:8">
      <c r="A4577" s="2"/>
      <c r="B4577" s="12"/>
      <c r="C4577" s="12"/>
      <c r="E4577" t="str">
        <f>IF(LEN(D4577)=0,"",[1]!i_pq_tradedays($B$3,A4578,A4577)-1)</f>
        <v/>
      </c>
      <c r="G4577" s="16" t="str">
        <f t="shared" si="158"/>
        <v/>
      </c>
      <c r="H4577" s="70" t="str">
        <f t="shared" si="159"/>
        <v/>
      </c>
    </row>
    <row r="4578" spans="1:8">
      <c r="A4578" s="2"/>
      <c r="B4578" s="12"/>
      <c r="C4578" s="12"/>
      <c r="E4578" t="str">
        <f>IF(LEN(D4578)=0,"",[1]!i_pq_tradedays($B$3,A4579,A4578)-1)</f>
        <v/>
      </c>
      <c r="G4578" s="16" t="str">
        <f t="shared" si="158"/>
        <v/>
      </c>
      <c r="H4578" s="70" t="str">
        <f t="shared" si="159"/>
        <v/>
      </c>
    </row>
    <row r="4579" spans="1:8">
      <c r="A4579" s="2"/>
      <c r="B4579" s="12"/>
      <c r="C4579" s="12"/>
      <c r="E4579" t="str">
        <f>IF(LEN(D4579)=0,"",[1]!i_pq_tradedays($B$3,A4580,A4579)-1)</f>
        <v/>
      </c>
      <c r="G4579" s="16" t="str">
        <f t="shared" si="158"/>
        <v/>
      </c>
      <c r="H4579" s="70" t="str">
        <f t="shared" si="159"/>
        <v/>
      </c>
    </row>
    <row r="4580" spans="1:8">
      <c r="A4580" s="2"/>
      <c r="B4580" s="12"/>
      <c r="C4580" s="12"/>
      <c r="E4580" t="str">
        <f>IF(LEN(D4580)=0,"",[1]!i_pq_tradedays($B$3,A4581,A4580)-1)</f>
        <v/>
      </c>
      <c r="G4580" s="16" t="str">
        <f t="shared" si="158"/>
        <v/>
      </c>
      <c r="H4580" s="70" t="str">
        <f t="shared" si="159"/>
        <v/>
      </c>
    </row>
    <row r="4581" spans="1:8">
      <c r="A4581" s="2"/>
      <c r="B4581" s="12"/>
      <c r="C4581" s="12"/>
      <c r="E4581" t="str">
        <f>IF(LEN(D4581)=0,"",[1]!i_pq_tradedays($B$3,A4582,A4581)-1)</f>
        <v/>
      </c>
      <c r="G4581" s="16" t="str">
        <f t="shared" si="158"/>
        <v/>
      </c>
      <c r="H4581" s="70" t="str">
        <f t="shared" si="159"/>
        <v/>
      </c>
    </row>
    <row r="4582" spans="1:8">
      <c r="A4582" s="2"/>
      <c r="B4582" s="12"/>
      <c r="C4582" s="12"/>
      <c r="E4582" t="str">
        <f>IF(LEN(D4582)=0,"",[1]!i_pq_tradedays($B$3,A4583,A4582)-1)</f>
        <v/>
      </c>
      <c r="G4582" s="16" t="str">
        <f t="shared" si="158"/>
        <v/>
      </c>
      <c r="H4582" s="70" t="str">
        <f t="shared" si="159"/>
        <v/>
      </c>
    </row>
    <row r="4583" spans="1:8">
      <c r="A4583" s="2"/>
      <c r="B4583" s="12"/>
      <c r="C4583" s="12"/>
      <c r="E4583" t="str">
        <f>IF(LEN(D4583)=0,"",[1]!i_pq_tradedays($B$3,A4584,A4583)-1)</f>
        <v/>
      </c>
      <c r="G4583" s="16" t="str">
        <f t="shared" si="158"/>
        <v/>
      </c>
      <c r="H4583" s="70" t="str">
        <f t="shared" si="159"/>
        <v/>
      </c>
    </row>
    <row r="4584" spans="1:8">
      <c r="A4584" s="2"/>
      <c r="B4584" s="12"/>
      <c r="C4584" s="12"/>
      <c r="E4584" t="str">
        <f>IF(LEN(D4584)=0,"",[1]!i_pq_tradedays($B$3,A4585,A4584)-1)</f>
        <v/>
      </c>
      <c r="G4584" s="16" t="str">
        <f t="shared" si="158"/>
        <v/>
      </c>
      <c r="H4584" s="70" t="str">
        <f t="shared" si="159"/>
        <v/>
      </c>
    </row>
    <row r="4585" spans="1:8">
      <c r="A4585" s="2"/>
      <c r="B4585" s="12"/>
      <c r="C4585" s="12"/>
      <c r="E4585" t="str">
        <f>IF(LEN(D4585)=0,"",[1]!i_pq_tradedays($B$3,A4586,A4585)-1)</f>
        <v/>
      </c>
      <c r="G4585" s="16" t="str">
        <f t="shared" si="158"/>
        <v/>
      </c>
      <c r="H4585" s="70" t="str">
        <f t="shared" si="159"/>
        <v/>
      </c>
    </row>
    <row r="4586" spans="1:8">
      <c r="A4586" s="2"/>
      <c r="B4586" s="12"/>
      <c r="C4586" s="12"/>
      <c r="E4586" t="str">
        <f>IF(LEN(D4586)=0,"",[1]!i_pq_tradedays($B$3,A4587,A4586)-1)</f>
        <v/>
      </c>
      <c r="G4586" s="16" t="str">
        <f t="shared" si="158"/>
        <v/>
      </c>
      <c r="H4586" s="70" t="str">
        <f t="shared" si="159"/>
        <v/>
      </c>
    </row>
    <row r="4587" spans="1:8">
      <c r="A4587" s="2"/>
      <c r="B4587" s="12"/>
      <c r="C4587" s="12"/>
      <c r="E4587" t="str">
        <f>IF(LEN(D4587)=0,"",[1]!i_pq_tradedays($B$3,A4588,A4587)-1)</f>
        <v/>
      </c>
      <c r="G4587" s="16" t="str">
        <f t="shared" si="158"/>
        <v/>
      </c>
      <c r="H4587" s="70" t="str">
        <f t="shared" si="159"/>
        <v/>
      </c>
    </row>
    <row r="4588" spans="1:8">
      <c r="A4588" s="2"/>
      <c r="B4588" s="12"/>
      <c r="C4588" s="12"/>
      <c r="E4588" t="str">
        <f>IF(LEN(D4588)=0,"",[1]!i_pq_tradedays($B$3,A4589,A4588)-1)</f>
        <v/>
      </c>
      <c r="G4588" s="16" t="str">
        <f t="shared" si="158"/>
        <v/>
      </c>
      <c r="H4588" s="70" t="str">
        <f t="shared" si="159"/>
        <v/>
      </c>
    </row>
    <row r="4589" spans="1:8">
      <c r="A4589" s="2"/>
      <c r="B4589" s="12"/>
      <c r="C4589" s="12"/>
      <c r="E4589" t="str">
        <f>IF(LEN(D4589)=0,"",[1]!i_pq_tradedays($B$3,A4590,A4589)-1)</f>
        <v/>
      </c>
      <c r="G4589" s="16" t="str">
        <f t="shared" si="158"/>
        <v/>
      </c>
      <c r="H4589" s="70" t="str">
        <f t="shared" si="159"/>
        <v/>
      </c>
    </row>
    <row r="4590" spans="1:8">
      <c r="A4590" s="2"/>
      <c r="B4590" s="12"/>
      <c r="C4590" s="12"/>
      <c r="E4590" t="str">
        <f>IF(LEN(D4590)=0,"",[1]!i_pq_tradedays($B$3,A4591,A4590)-1)</f>
        <v/>
      </c>
      <c r="G4590" s="16" t="str">
        <f t="shared" si="158"/>
        <v/>
      </c>
      <c r="H4590" s="70" t="str">
        <f t="shared" si="159"/>
        <v/>
      </c>
    </row>
    <row r="4591" spans="1:8">
      <c r="A4591" s="2"/>
      <c r="B4591" s="12"/>
      <c r="C4591" s="12"/>
      <c r="E4591" t="str">
        <f>IF(LEN(D4591)=0,"",[1]!i_pq_tradedays($B$3,A4592,A4591)-1)</f>
        <v/>
      </c>
      <c r="G4591" s="16" t="str">
        <f t="shared" si="158"/>
        <v/>
      </c>
      <c r="H4591" s="70" t="str">
        <f t="shared" si="159"/>
        <v/>
      </c>
    </row>
    <row r="4592" spans="1:8">
      <c r="A4592" s="2"/>
      <c r="B4592" s="12"/>
      <c r="C4592" s="12"/>
      <c r="E4592" t="str">
        <f>IF(LEN(D4592)=0,"",[1]!i_pq_tradedays($B$3,A4593,A4592)-1)</f>
        <v/>
      </c>
      <c r="G4592" s="16" t="str">
        <f t="shared" si="158"/>
        <v/>
      </c>
      <c r="H4592" s="70" t="str">
        <f t="shared" si="159"/>
        <v/>
      </c>
    </row>
    <row r="4593" spans="1:8">
      <c r="A4593" s="2"/>
      <c r="B4593" s="12"/>
      <c r="C4593" s="12"/>
      <c r="E4593" t="str">
        <f>IF(LEN(D4593)=0,"",[1]!i_pq_tradedays($B$3,A4594,A4593)-1)</f>
        <v/>
      </c>
      <c r="G4593" s="16" t="str">
        <f t="shared" si="158"/>
        <v/>
      </c>
      <c r="H4593" s="70" t="str">
        <f t="shared" si="159"/>
        <v/>
      </c>
    </row>
    <row r="4594" spans="1:8">
      <c r="A4594" s="2"/>
      <c r="B4594" s="12"/>
      <c r="C4594" s="12"/>
      <c r="E4594" t="str">
        <f>IF(LEN(D4594)=0,"",[1]!i_pq_tradedays($B$3,A4595,A4594)-1)</f>
        <v/>
      </c>
      <c r="G4594" s="16" t="str">
        <f t="shared" si="158"/>
        <v/>
      </c>
      <c r="H4594" s="70" t="str">
        <f t="shared" si="159"/>
        <v/>
      </c>
    </row>
    <row r="4595" spans="1:8">
      <c r="A4595" s="2"/>
      <c r="B4595" s="12"/>
      <c r="C4595" s="12"/>
      <c r="E4595" t="str">
        <f>IF(LEN(D4595)=0,"",[1]!i_pq_tradedays($B$3,A4596,A4595)-1)</f>
        <v/>
      </c>
      <c r="G4595" s="16" t="str">
        <f t="shared" si="158"/>
        <v/>
      </c>
      <c r="H4595" s="70" t="str">
        <f t="shared" si="159"/>
        <v/>
      </c>
    </row>
    <row r="4596" spans="1:8">
      <c r="A4596" s="2"/>
      <c r="B4596" s="12"/>
      <c r="C4596" s="12"/>
      <c r="E4596" t="str">
        <f>IF(LEN(D4596)=0,"",[1]!i_pq_tradedays($B$3,A4597,A4596)-1)</f>
        <v/>
      </c>
      <c r="G4596" s="16" t="str">
        <f t="shared" si="158"/>
        <v/>
      </c>
      <c r="H4596" s="70" t="str">
        <f t="shared" si="159"/>
        <v/>
      </c>
    </row>
    <row r="4597" spans="1:8">
      <c r="A4597" s="2"/>
      <c r="B4597" s="12"/>
      <c r="C4597" s="12"/>
      <c r="E4597" t="str">
        <f>IF(LEN(D4597)=0,"",[1]!i_pq_tradedays($B$3,A4598,A4597)-1)</f>
        <v/>
      </c>
      <c r="G4597" s="16" t="str">
        <f t="shared" ref="G4597:G4660" si="160">IF(LEN(D4597)=0,"",D4597/E4597)</f>
        <v/>
      </c>
      <c r="H4597" s="70" t="str">
        <f t="shared" ref="H4597:H4660" si="161">IF(LEN(D4597)=0,"",G4597/G4598-1)</f>
        <v/>
      </c>
    </row>
    <row r="4598" spans="1:8">
      <c r="A4598" s="2"/>
      <c r="B4598" s="12"/>
      <c r="C4598" s="12"/>
      <c r="E4598" t="str">
        <f>IF(LEN(D4598)=0,"",[1]!i_pq_tradedays($B$3,A4599,A4598)-1)</f>
        <v/>
      </c>
      <c r="G4598" s="16" t="str">
        <f t="shared" si="160"/>
        <v/>
      </c>
      <c r="H4598" s="70" t="str">
        <f t="shared" si="161"/>
        <v/>
      </c>
    </row>
    <row r="4599" spans="1:8">
      <c r="A4599" s="2"/>
      <c r="B4599" s="12"/>
      <c r="C4599" s="12"/>
      <c r="E4599" t="str">
        <f>IF(LEN(D4599)=0,"",[1]!i_pq_tradedays($B$3,A4600,A4599)-1)</f>
        <v/>
      </c>
      <c r="G4599" s="16" t="str">
        <f t="shared" si="160"/>
        <v/>
      </c>
      <c r="H4599" s="70" t="str">
        <f t="shared" si="161"/>
        <v/>
      </c>
    </row>
    <row r="4600" spans="1:8">
      <c r="A4600" s="2"/>
      <c r="B4600" s="12"/>
      <c r="C4600" s="12"/>
      <c r="E4600" t="str">
        <f>IF(LEN(D4600)=0,"",[1]!i_pq_tradedays($B$3,A4601,A4600)-1)</f>
        <v/>
      </c>
      <c r="G4600" s="16" t="str">
        <f t="shared" si="160"/>
        <v/>
      </c>
      <c r="H4600" s="70" t="str">
        <f t="shared" si="161"/>
        <v/>
      </c>
    </row>
    <row r="4601" spans="1:8">
      <c r="A4601" s="2"/>
      <c r="B4601" s="12"/>
      <c r="C4601" s="12"/>
      <c r="E4601" t="str">
        <f>IF(LEN(D4601)=0,"",[1]!i_pq_tradedays($B$3,A4602,A4601)-1)</f>
        <v/>
      </c>
      <c r="G4601" s="16" t="str">
        <f t="shared" si="160"/>
        <v/>
      </c>
      <c r="H4601" s="70" t="str">
        <f t="shared" si="161"/>
        <v/>
      </c>
    </row>
    <row r="4602" spans="1:8">
      <c r="A4602" s="2"/>
      <c r="B4602" s="12"/>
      <c r="C4602" s="12"/>
      <c r="E4602" t="str">
        <f>IF(LEN(D4602)=0,"",[1]!i_pq_tradedays($B$3,A4603,A4602)-1)</f>
        <v/>
      </c>
      <c r="G4602" s="16" t="str">
        <f t="shared" si="160"/>
        <v/>
      </c>
      <c r="H4602" s="70" t="str">
        <f t="shared" si="161"/>
        <v/>
      </c>
    </row>
    <row r="4603" spans="1:8">
      <c r="A4603" s="2"/>
      <c r="B4603" s="12"/>
      <c r="C4603" s="12"/>
      <c r="E4603" t="str">
        <f>IF(LEN(D4603)=0,"",[1]!i_pq_tradedays($B$3,A4604,A4603)-1)</f>
        <v/>
      </c>
      <c r="G4603" s="16" t="str">
        <f t="shared" si="160"/>
        <v/>
      </c>
      <c r="H4603" s="70" t="str">
        <f t="shared" si="161"/>
        <v/>
      </c>
    </row>
    <row r="4604" spans="1:8">
      <c r="A4604" s="2"/>
      <c r="B4604" s="12"/>
      <c r="C4604" s="12"/>
      <c r="E4604" t="str">
        <f>IF(LEN(D4604)=0,"",[1]!i_pq_tradedays($B$3,A4605,A4604)-1)</f>
        <v/>
      </c>
      <c r="G4604" s="16" t="str">
        <f t="shared" si="160"/>
        <v/>
      </c>
      <c r="H4604" s="70" t="str">
        <f t="shared" si="161"/>
        <v/>
      </c>
    </row>
    <row r="4605" spans="1:8">
      <c r="A4605" s="2"/>
      <c r="B4605" s="12"/>
      <c r="C4605" s="12"/>
      <c r="E4605" t="str">
        <f>IF(LEN(D4605)=0,"",[1]!i_pq_tradedays($B$3,A4606,A4605)-1)</f>
        <v/>
      </c>
      <c r="G4605" s="16" t="str">
        <f t="shared" si="160"/>
        <v/>
      </c>
      <c r="H4605" s="70" t="str">
        <f t="shared" si="161"/>
        <v/>
      </c>
    </row>
    <row r="4606" spans="1:8">
      <c r="A4606" s="2"/>
      <c r="B4606" s="12"/>
      <c r="C4606" s="12"/>
      <c r="E4606" t="str">
        <f>IF(LEN(D4606)=0,"",[1]!i_pq_tradedays($B$3,A4607,A4606)-1)</f>
        <v/>
      </c>
      <c r="G4606" s="16" t="str">
        <f t="shared" si="160"/>
        <v/>
      </c>
      <c r="H4606" s="70" t="str">
        <f t="shared" si="161"/>
        <v/>
      </c>
    </row>
    <row r="4607" spans="1:8">
      <c r="A4607" s="2"/>
      <c r="B4607" s="12"/>
      <c r="C4607" s="12"/>
      <c r="E4607" t="str">
        <f>IF(LEN(D4607)=0,"",[1]!i_pq_tradedays($B$3,A4608,A4607)-1)</f>
        <v/>
      </c>
      <c r="G4607" s="16" t="str">
        <f t="shared" si="160"/>
        <v/>
      </c>
      <c r="H4607" s="70" t="str">
        <f t="shared" si="161"/>
        <v/>
      </c>
    </row>
    <row r="4608" spans="1:8">
      <c r="A4608" s="2"/>
      <c r="B4608" s="12"/>
      <c r="C4608" s="12"/>
      <c r="E4608" t="str">
        <f>IF(LEN(D4608)=0,"",[1]!i_pq_tradedays($B$3,A4609,A4608)-1)</f>
        <v/>
      </c>
      <c r="G4608" s="16" t="str">
        <f t="shared" si="160"/>
        <v/>
      </c>
      <c r="H4608" s="70" t="str">
        <f t="shared" si="161"/>
        <v/>
      </c>
    </row>
    <row r="4609" spans="1:8">
      <c r="A4609" s="2"/>
      <c r="B4609" s="12"/>
      <c r="C4609" s="12"/>
      <c r="E4609" t="str">
        <f>IF(LEN(D4609)=0,"",[1]!i_pq_tradedays($B$3,A4610,A4609)-1)</f>
        <v/>
      </c>
      <c r="G4609" s="16" t="str">
        <f t="shared" si="160"/>
        <v/>
      </c>
      <c r="H4609" s="70" t="str">
        <f t="shared" si="161"/>
        <v/>
      </c>
    </row>
    <row r="4610" spans="1:8">
      <c r="A4610" s="2"/>
      <c r="B4610" s="12"/>
      <c r="C4610" s="12"/>
      <c r="E4610" t="str">
        <f>IF(LEN(D4610)=0,"",[1]!i_pq_tradedays($B$3,A4611,A4610)-1)</f>
        <v/>
      </c>
      <c r="G4610" s="16" t="str">
        <f t="shared" si="160"/>
        <v/>
      </c>
      <c r="H4610" s="70" t="str">
        <f t="shared" si="161"/>
        <v/>
      </c>
    </row>
    <row r="4611" spans="1:8">
      <c r="A4611" s="2"/>
      <c r="B4611" s="12"/>
      <c r="C4611" s="12"/>
      <c r="E4611" t="str">
        <f>IF(LEN(D4611)=0,"",[1]!i_pq_tradedays($B$3,A4612,A4611)-1)</f>
        <v/>
      </c>
      <c r="G4611" s="16" t="str">
        <f t="shared" si="160"/>
        <v/>
      </c>
      <c r="H4611" s="70" t="str">
        <f t="shared" si="161"/>
        <v/>
      </c>
    </row>
    <row r="4612" spans="1:8">
      <c r="A4612" s="2"/>
      <c r="B4612" s="12"/>
      <c r="C4612" s="12"/>
      <c r="E4612" t="str">
        <f>IF(LEN(D4612)=0,"",[1]!i_pq_tradedays($B$3,A4613,A4612)-1)</f>
        <v/>
      </c>
      <c r="G4612" s="16" t="str">
        <f t="shared" si="160"/>
        <v/>
      </c>
      <c r="H4612" s="70" t="str">
        <f t="shared" si="161"/>
        <v/>
      </c>
    </row>
    <row r="4613" spans="1:8">
      <c r="A4613" s="2"/>
      <c r="B4613" s="12"/>
      <c r="C4613" s="12"/>
      <c r="E4613" t="str">
        <f>IF(LEN(D4613)=0,"",[1]!i_pq_tradedays($B$3,A4614,A4613)-1)</f>
        <v/>
      </c>
      <c r="G4613" s="16" t="str">
        <f t="shared" si="160"/>
        <v/>
      </c>
      <c r="H4613" s="70" t="str">
        <f t="shared" si="161"/>
        <v/>
      </c>
    </row>
    <row r="4614" spans="1:8">
      <c r="A4614" s="2"/>
      <c r="B4614" s="12"/>
      <c r="C4614" s="12"/>
      <c r="E4614" t="str">
        <f>IF(LEN(D4614)=0,"",[1]!i_pq_tradedays($B$3,A4615,A4614)-1)</f>
        <v/>
      </c>
      <c r="G4614" s="16" t="str">
        <f t="shared" si="160"/>
        <v/>
      </c>
      <c r="H4614" s="70" t="str">
        <f t="shared" si="161"/>
        <v/>
      </c>
    </row>
    <row r="4615" spans="1:8">
      <c r="A4615" s="2"/>
      <c r="B4615" s="12"/>
      <c r="C4615" s="12"/>
      <c r="E4615" t="str">
        <f>IF(LEN(D4615)=0,"",[1]!i_pq_tradedays($B$3,A4616,A4615)-1)</f>
        <v/>
      </c>
      <c r="G4615" s="16" t="str">
        <f t="shared" si="160"/>
        <v/>
      </c>
      <c r="H4615" s="70" t="str">
        <f t="shared" si="161"/>
        <v/>
      </c>
    </row>
    <row r="4616" spans="1:8">
      <c r="A4616" s="2"/>
      <c r="B4616" s="12"/>
      <c r="C4616" s="12"/>
      <c r="E4616" t="str">
        <f>IF(LEN(D4616)=0,"",[1]!i_pq_tradedays($B$3,A4617,A4616)-1)</f>
        <v/>
      </c>
      <c r="G4616" s="16" t="str">
        <f t="shared" si="160"/>
        <v/>
      </c>
      <c r="H4616" s="70" t="str">
        <f t="shared" si="161"/>
        <v/>
      </c>
    </row>
    <row r="4617" spans="1:8">
      <c r="A4617" s="2"/>
      <c r="B4617" s="12"/>
      <c r="C4617" s="12"/>
      <c r="E4617" t="str">
        <f>IF(LEN(D4617)=0,"",[1]!i_pq_tradedays($B$3,A4618,A4617)-1)</f>
        <v/>
      </c>
      <c r="G4617" s="16" t="str">
        <f t="shared" si="160"/>
        <v/>
      </c>
      <c r="H4617" s="70" t="str">
        <f t="shared" si="161"/>
        <v/>
      </c>
    </row>
    <row r="4618" spans="1:8">
      <c r="A4618" s="2"/>
      <c r="B4618" s="12"/>
      <c r="C4618" s="12"/>
      <c r="E4618" t="str">
        <f>IF(LEN(D4618)=0,"",[1]!i_pq_tradedays($B$3,A4619,A4618)-1)</f>
        <v/>
      </c>
      <c r="G4618" s="16" t="str">
        <f t="shared" si="160"/>
        <v/>
      </c>
      <c r="H4618" s="70" t="str">
        <f t="shared" si="161"/>
        <v/>
      </c>
    </row>
    <row r="4619" spans="1:8">
      <c r="A4619" s="2"/>
      <c r="B4619" s="12"/>
      <c r="C4619" s="12"/>
      <c r="E4619" t="str">
        <f>IF(LEN(D4619)=0,"",[1]!i_pq_tradedays($B$3,A4620,A4619)-1)</f>
        <v/>
      </c>
      <c r="G4619" s="16" t="str">
        <f t="shared" si="160"/>
        <v/>
      </c>
      <c r="H4619" s="70" t="str">
        <f t="shared" si="161"/>
        <v/>
      </c>
    </row>
    <row r="4620" spans="1:8">
      <c r="A4620" s="2"/>
      <c r="B4620" s="12"/>
      <c r="C4620" s="12"/>
      <c r="E4620" t="str">
        <f>IF(LEN(D4620)=0,"",[1]!i_pq_tradedays($B$3,A4621,A4620)-1)</f>
        <v/>
      </c>
      <c r="G4620" s="16" t="str">
        <f t="shared" si="160"/>
        <v/>
      </c>
      <c r="H4620" s="70" t="str">
        <f t="shared" si="161"/>
        <v/>
      </c>
    </row>
    <row r="4621" spans="1:8">
      <c r="A4621" s="2"/>
      <c r="B4621" s="12"/>
      <c r="C4621" s="12"/>
      <c r="E4621" t="str">
        <f>IF(LEN(D4621)=0,"",[1]!i_pq_tradedays($B$3,A4622,A4621)-1)</f>
        <v/>
      </c>
      <c r="G4621" s="16" t="str">
        <f t="shared" si="160"/>
        <v/>
      </c>
      <c r="H4621" s="70" t="str">
        <f t="shared" si="161"/>
        <v/>
      </c>
    </row>
    <row r="4622" spans="1:8">
      <c r="A4622" s="2"/>
      <c r="B4622" s="12"/>
      <c r="C4622" s="12"/>
      <c r="E4622" t="str">
        <f>IF(LEN(D4622)=0,"",[1]!i_pq_tradedays($B$3,A4623,A4622)-1)</f>
        <v/>
      </c>
      <c r="G4622" s="16" t="str">
        <f t="shared" si="160"/>
        <v/>
      </c>
      <c r="H4622" s="70" t="str">
        <f t="shared" si="161"/>
        <v/>
      </c>
    </row>
    <row r="4623" spans="1:8">
      <c r="A4623" s="2"/>
      <c r="B4623" s="12"/>
      <c r="C4623" s="12"/>
      <c r="E4623" t="str">
        <f>IF(LEN(D4623)=0,"",[1]!i_pq_tradedays($B$3,A4624,A4623)-1)</f>
        <v/>
      </c>
      <c r="G4623" s="16" t="str">
        <f t="shared" si="160"/>
        <v/>
      </c>
      <c r="H4623" s="70" t="str">
        <f t="shared" si="161"/>
        <v/>
      </c>
    </row>
    <row r="4624" spans="1:8">
      <c r="A4624" s="2"/>
      <c r="B4624" s="12"/>
      <c r="C4624" s="12"/>
      <c r="E4624" t="str">
        <f>IF(LEN(D4624)=0,"",[1]!i_pq_tradedays($B$3,A4625,A4624)-1)</f>
        <v/>
      </c>
      <c r="G4624" s="16" t="str">
        <f t="shared" si="160"/>
        <v/>
      </c>
      <c r="H4624" s="70" t="str">
        <f t="shared" si="161"/>
        <v/>
      </c>
    </row>
    <row r="4625" spans="1:8">
      <c r="A4625" s="2"/>
      <c r="B4625" s="12"/>
      <c r="C4625" s="12"/>
      <c r="E4625" t="str">
        <f>IF(LEN(D4625)=0,"",[1]!i_pq_tradedays($B$3,A4626,A4625)-1)</f>
        <v/>
      </c>
      <c r="G4625" s="16" t="str">
        <f t="shared" si="160"/>
        <v/>
      </c>
      <c r="H4625" s="70" t="str">
        <f t="shared" si="161"/>
        <v/>
      </c>
    </row>
    <row r="4626" spans="1:8">
      <c r="A4626" s="2"/>
      <c r="B4626" s="12"/>
      <c r="C4626" s="12"/>
      <c r="E4626" t="str">
        <f>IF(LEN(D4626)=0,"",[1]!i_pq_tradedays($B$3,A4627,A4626)-1)</f>
        <v/>
      </c>
      <c r="G4626" s="16" t="str">
        <f t="shared" si="160"/>
        <v/>
      </c>
      <c r="H4626" s="70" t="str">
        <f t="shared" si="161"/>
        <v/>
      </c>
    </row>
    <row r="4627" spans="1:8">
      <c r="A4627" s="2"/>
      <c r="B4627" s="12"/>
      <c r="C4627" s="12"/>
      <c r="E4627" t="str">
        <f>IF(LEN(D4627)=0,"",[1]!i_pq_tradedays($B$3,A4628,A4627)-1)</f>
        <v/>
      </c>
      <c r="G4627" s="16" t="str">
        <f t="shared" si="160"/>
        <v/>
      </c>
      <c r="H4627" s="70" t="str">
        <f t="shared" si="161"/>
        <v/>
      </c>
    </row>
    <row r="4628" spans="1:8">
      <c r="A4628" s="2"/>
      <c r="B4628" s="12"/>
      <c r="C4628" s="12"/>
      <c r="E4628" t="str">
        <f>IF(LEN(D4628)=0,"",[1]!i_pq_tradedays($B$3,A4629,A4628)-1)</f>
        <v/>
      </c>
      <c r="G4628" s="16" t="str">
        <f t="shared" si="160"/>
        <v/>
      </c>
      <c r="H4628" s="70" t="str">
        <f t="shared" si="161"/>
        <v/>
      </c>
    </row>
    <row r="4629" spans="1:8">
      <c r="A4629" s="2"/>
      <c r="B4629" s="12"/>
      <c r="C4629" s="12"/>
      <c r="E4629" t="str">
        <f>IF(LEN(D4629)=0,"",[1]!i_pq_tradedays($B$3,A4630,A4629)-1)</f>
        <v/>
      </c>
      <c r="G4629" s="16" t="str">
        <f t="shared" si="160"/>
        <v/>
      </c>
      <c r="H4629" s="70" t="str">
        <f t="shared" si="161"/>
        <v/>
      </c>
    </row>
    <row r="4630" spans="1:8">
      <c r="A4630" s="2"/>
      <c r="B4630" s="12"/>
      <c r="C4630" s="12"/>
      <c r="E4630" t="str">
        <f>IF(LEN(D4630)=0,"",[1]!i_pq_tradedays($B$3,A4631,A4630)-1)</f>
        <v/>
      </c>
      <c r="G4630" s="16" t="str">
        <f t="shared" si="160"/>
        <v/>
      </c>
      <c r="H4630" s="70" t="str">
        <f t="shared" si="161"/>
        <v/>
      </c>
    </row>
    <row r="4631" spans="1:8">
      <c r="A4631" s="2"/>
      <c r="B4631" s="12"/>
      <c r="C4631" s="12"/>
      <c r="E4631" t="str">
        <f>IF(LEN(D4631)=0,"",[1]!i_pq_tradedays($B$3,A4632,A4631)-1)</f>
        <v/>
      </c>
      <c r="G4631" s="16" t="str">
        <f t="shared" si="160"/>
        <v/>
      </c>
      <c r="H4631" s="70" t="str">
        <f t="shared" si="161"/>
        <v/>
      </c>
    </row>
    <row r="4632" spans="1:8">
      <c r="A4632" s="2"/>
      <c r="B4632" s="12"/>
      <c r="C4632" s="12"/>
      <c r="E4632" t="str">
        <f>IF(LEN(D4632)=0,"",[1]!i_pq_tradedays($B$3,A4633,A4632)-1)</f>
        <v/>
      </c>
      <c r="G4632" s="16" t="str">
        <f t="shared" si="160"/>
        <v/>
      </c>
      <c r="H4632" s="70" t="str">
        <f t="shared" si="161"/>
        <v/>
      </c>
    </row>
    <row r="4633" spans="1:8">
      <c r="A4633" s="2"/>
      <c r="B4633" s="12"/>
      <c r="C4633" s="12"/>
      <c r="E4633" t="str">
        <f>IF(LEN(D4633)=0,"",[1]!i_pq_tradedays($B$3,A4634,A4633)-1)</f>
        <v/>
      </c>
      <c r="G4633" s="16" t="str">
        <f t="shared" si="160"/>
        <v/>
      </c>
      <c r="H4633" s="70" t="str">
        <f t="shared" si="161"/>
        <v/>
      </c>
    </row>
    <row r="4634" spans="1:8">
      <c r="A4634" s="2"/>
      <c r="B4634" s="12"/>
      <c r="C4634" s="12"/>
      <c r="E4634" t="str">
        <f>IF(LEN(D4634)=0,"",[1]!i_pq_tradedays($B$3,A4635,A4634)-1)</f>
        <v/>
      </c>
      <c r="G4634" s="16" t="str">
        <f t="shared" si="160"/>
        <v/>
      </c>
      <c r="H4634" s="70" t="str">
        <f t="shared" si="161"/>
        <v/>
      </c>
    </row>
    <row r="4635" spans="1:8">
      <c r="A4635" s="2"/>
      <c r="B4635" s="12"/>
      <c r="C4635" s="12"/>
      <c r="E4635" t="str">
        <f>IF(LEN(D4635)=0,"",[1]!i_pq_tradedays($B$3,A4636,A4635)-1)</f>
        <v/>
      </c>
      <c r="G4635" s="16" t="str">
        <f t="shared" si="160"/>
        <v/>
      </c>
      <c r="H4635" s="70" t="str">
        <f t="shared" si="161"/>
        <v/>
      </c>
    </row>
    <row r="4636" spans="1:8">
      <c r="A4636" s="2"/>
      <c r="B4636" s="12"/>
      <c r="C4636" s="12"/>
      <c r="E4636" t="str">
        <f>IF(LEN(D4636)=0,"",[1]!i_pq_tradedays($B$3,A4637,A4636)-1)</f>
        <v/>
      </c>
      <c r="G4636" s="16" t="str">
        <f t="shared" si="160"/>
        <v/>
      </c>
      <c r="H4636" s="70" t="str">
        <f t="shared" si="161"/>
        <v/>
      </c>
    </row>
    <row r="4637" spans="1:8">
      <c r="A4637" s="2"/>
      <c r="B4637" s="12"/>
      <c r="C4637" s="12"/>
      <c r="E4637" t="str">
        <f>IF(LEN(D4637)=0,"",[1]!i_pq_tradedays($B$3,A4638,A4637)-1)</f>
        <v/>
      </c>
      <c r="G4637" s="16" t="str">
        <f t="shared" si="160"/>
        <v/>
      </c>
      <c r="H4637" s="70" t="str">
        <f t="shared" si="161"/>
        <v/>
      </c>
    </row>
    <row r="4638" spans="1:8">
      <c r="A4638" s="2"/>
      <c r="B4638" s="12"/>
      <c r="C4638" s="12"/>
      <c r="E4638" t="str">
        <f>IF(LEN(D4638)=0,"",[1]!i_pq_tradedays($B$3,A4639,A4638)-1)</f>
        <v/>
      </c>
      <c r="G4638" s="16" t="str">
        <f t="shared" si="160"/>
        <v/>
      </c>
      <c r="H4638" s="70" t="str">
        <f t="shared" si="161"/>
        <v/>
      </c>
    </row>
    <row r="4639" spans="1:8">
      <c r="A4639" s="2"/>
      <c r="B4639" s="12"/>
      <c r="C4639" s="12"/>
      <c r="E4639" t="str">
        <f>IF(LEN(D4639)=0,"",[1]!i_pq_tradedays($B$3,A4640,A4639)-1)</f>
        <v/>
      </c>
      <c r="G4639" s="16" t="str">
        <f t="shared" si="160"/>
        <v/>
      </c>
      <c r="H4639" s="70" t="str">
        <f t="shared" si="161"/>
        <v/>
      </c>
    </row>
    <row r="4640" spans="1:8">
      <c r="A4640" s="2"/>
      <c r="B4640" s="12"/>
      <c r="C4640" s="12"/>
      <c r="E4640" t="str">
        <f>IF(LEN(D4640)=0,"",[1]!i_pq_tradedays($B$3,A4641,A4640)-1)</f>
        <v/>
      </c>
      <c r="G4640" s="16" t="str">
        <f t="shared" si="160"/>
        <v/>
      </c>
      <c r="H4640" s="70" t="str">
        <f t="shared" si="161"/>
        <v/>
      </c>
    </row>
    <row r="4641" spans="1:8">
      <c r="A4641" s="2"/>
      <c r="B4641" s="12"/>
      <c r="C4641" s="12"/>
      <c r="E4641" t="str">
        <f>IF(LEN(D4641)=0,"",[1]!i_pq_tradedays($B$3,A4642,A4641)-1)</f>
        <v/>
      </c>
      <c r="G4641" s="16" t="str">
        <f t="shared" si="160"/>
        <v/>
      </c>
      <c r="H4641" s="70" t="str">
        <f t="shared" si="161"/>
        <v/>
      </c>
    </row>
    <row r="4642" spans="1:8">
      <c r="A4642" s="2"/>
      <c r="B4642" s="12"/>
      <c r="C4642" s="12"/>
      <c r="E4642" t="str">
        <f>IF(LEN(D4642)=0,"",[1]!i_pq_tradedays($B$3,A4643,A4642)-1)</f>
        <v/>
      </c>
      <c r="G4642" s="16" t="str">
        <f t="shared" si="160"/>
        <v/>
      </c>
      <c r="H4642" s="70" t="str">
        <f t="shared" si="161"/>
        <v/>
      </c>
    </row>
    <row r="4643" spans="1:8">
      <c r="A4643" s="2"/>
      <c r="B4643" s="12"/>
      <c r="C4643" s="12"/>
      <c r="E4643" t="str">
        <f>IF(LEN(D4643)=0,"",[1]!i_pq_tradedays($B$3,A4644,A4643)-1)</f>
        <v/>
      </c>
      <c r="G4643" s="16" t="str">
        <f t="shared" si="160"/>
        <v/>
      </c>
      <c r="H4643" s="70" t="str">
        <f t="shared" si="161"/>
        <v/>
      </c>
    </row>
    <row r="4644" spans="1:8">
      <c r="A4644" s="2"/>
      <c r="B4644" s="12"/>
      <c r="C4644" s="12"/>
      <c r="E4644" t="str">
        <f>IF(LEN(D4644)=0,"",[1]!i_pq_tradedays($B$3,A4645,A4644)-1)</f>
        <v/>
      </c>
      <c r="G4644" s="16" t="str">
        <f t="shared" si="160"/>
        <v/>
      </c>
      <c r="H4644" s="70" t="str">
        <f t="shared" si="161"/>
        <v/>
      </c>
    </row>
    <row r="4645" spans="1:8">
      <c r="A4645" s="2"/>
      <c r="B4645" s="12"/>
      <c r="C4645" s="12"/>
      <c r="E4645" t="str">
        <f>IF(LEN(D4645)=0,"",[1]!i_pq_tradedays($B$3,A4646,A4645)-1)</f>
        <v/>
      </c>
      <c r="G4645" s="16" t="str">
        <f t="shared" si="160"/>
        <v/>
      </c>
      <c r="H4645" s="70" t="str">
        <f t="shared" si="161"/>
        <v/>
      </c>
    </row>
    <row r="4646" spans="1:8">
      <c r="A4646" s="2"/>
      <c r="B4646" s="12"/>
      <c r="C4646" s="12"/>
      <c r="E4646" t="str">
        <f>IF(LEN(D4646)=0,"",[1]!i_pq_tradedays($B$3,A4647,A4646)-1)</f>
        <v/>
      </c>
      <c r="G4646" s="16" t="str">
        <f t="shared" si="160"/>
        <v/>
      </c>
      <c r="H4646" s="70" t="str">
        <f t="shared" si="161"/>
        <v/>
      </c>
    </row>
    <row r="4647" spans="1:8">
      <c r="A4647" s="2"/>
      <c r="B4647" s="12"/>
      <c r="C4647" s="12"/>
      <c r="E4647" t="str">
        <f>IF(LEN(D4647)=0,"",[1]!i_pq_tradedays($B$3,A4648,A4647)-1)</f>
        <v/>
      </c>
      <c r="G4647" s="16" t="str">
        <f t="shared" si="160"/>
        <v/>
      </c>
      <c r="H4647" s="70" t="str">
        <f t="shared" si="161"/>
        <v/>
      </c>
    </row>
    <row r="4648" spans="1:8">
      <c r="A4648" s="2"/>
      <c r="B4648" s="12"/>
      <c r="C4648" s="12"/>
      <c r="E4648" t="str">
        <f>IF(LEN(D4648)=0,"",[1]!i_pq_tradedays($B$3,A4649,A4648)-1)</f>
        <v/>
      </c>
      <c r="G4648" s="16" t="str">
        <f t="shared" si="160"/>
        <v/>
      </c>
      <c r="H4648" s="70" t="str">
        <f t="shared" si="161"/>
        <v/>
      </c>
    </row>
    <row r="4649" spans="1:8">
      <c r="A4649" s="2"/>
      <c r="B4649" s="12"/>
      <c r="C4649" s="12"/>
      <c r="E4649" t="str">
        <f>IF(LEN(D4649)=0,"",[1]!i_pq_tradedays($B$3,A4650,A4649)-1)</f>
        <v/>
      </c>
      <c r="G4649" s="16" t="str">
        <f t="shared" si="160"/>
        <v/>
      </c>
      <c r="H4649" s="70" t="str">
        <f t="shared" si="161"/>
        <v/>
      </c>
    </row>
    <row r="4650" spans="1:8">
      <c r="A4650" s="2"/>
      <c r="B4650" s="12"/>
      <c r="C4650" s="12"/>
      <c r="E4650" t="str">
        <f>IF(LEN(D4650)=0,"",[1]!i_pq_tradedays($B$3,A4651,A4650)-1)</f>
        <v/>
      </c>
      <c r="G4650" s="16" t="str">
        <f t="shared" si="160"/>
        <v/>
      </c>
      <c r="H4650" s="70" t="str">
        <f t="shared" si="161"/>
        <v/>
      </c>
    </row>
    <row r="4651" spans="1:8">
      <c r="A4651" s="2"/>
      <c r="B4651" s="12"/>
      <c r="C4651" s="12"/>
      <c r="E4651" t="str">
        <f>IF(LEN(D4651)=0,"",[1]!i_pq_tradedays($B$3,A4652,A4651)-1)</f>
        <v/>
      </c>
      <c r="G4651" s="16" t="str">
        <f t="shared" si="160"/>
        <v/>
      </c>
      <c r="H4651" s="70" t="str">
        <f t="shared" si="161"/>
        <v/>
      </c>
    </row>
    <row r="4652" spans="1:8">
      <c r="A4652" s="2"/>
      <c r="B4652" s="12"/>
      <c r="C4652" s="12"/>
      <c r="E4652" t="str">
        <f>IF(LEN(D4652)=0,"",[1]!i_pq_tradedays($B$3,A4653,A4652)-1)</f>
        <v/>
      </c>
      <c r="G4652" s="16" t="str">
        <f t="shared" si="160"/>
        <v/>
      </c>
      <c r="H4652" s="70" t="str">
        <f t="shared" si="161"/>
        <v/>
      </c>
    </row>
    <row r="4653" spans="1:8">
      <c r="A4653" s="2"/>
      <c r="B4653" s="12"/>
      <c r="C4653" s="12"/>
      <c r="E4653" t="str">
        <f>IF(LEN(D4653)=0,"",[1]!i_pq_tradedays($B$3,A4654,A4653)-1)</f>
        <v/>
      </c>
      <c r="G4653" s="16" t="str">
        <f t="shared" si="160"/>
        <v/>
      </c>
      <c r="H4653" s="70" t="str">
        <f t="shared" si="161"/>
        <v/>
      </c>
    </row>
    <row r="4654" spans="1:8">
      <c r="A4654" s="2"/>
      <c r="B4654" s="12"/>
      <c r="C4654" s="12"/>
      <c r="E4654" t="str">
        <f>IF(LEN(D4654)=0,"",[1]!i_pq_tradedays($B$3,A4655,A4654)-1)</f>
        <v/>
      </c>
      <c r="G4654" s="16" t="str">
        <f t="shared" si="160"/>
        <v/>
      </c>
      <c r="H4654" s="70" t="str">
        <f t="shared" si="161"/>
        <v/>
      </c>
    </row>
    <row r="4655" spans="1:8">
      <c r="A4655" s="2"/>
      <c r="B4655" s="12"/>
      <c r="C4655" s="12"/>
      <c r="E4655" t="str">
        <f>IF(LEN(D4655)=0,"",[1]!i_pq_tradedays($B$3,A4656,A4655)-1)</f>
        <v/>
      </c>
      <c r="G4655" s="16" t="str">
        <f t="shared" si="160"/>
        <v/>
      </c>
      <c r="H4655" s="70" t="str">
        <f t="shared" si="161"/>
        <v/>
      </c>
    </row>
    <row r="4656" spans="1:8">
      <c r="A4656" s="2"/>
      <c r="B4656" s="12"/>
      <c r="C4656" s="12"/>
      <c r="E4656" t="str">
        <f>IF(LEN(D4656)=0,"",[1]!i_pq_tradedays($B$3,A4657,A4656)-1)</f>
        <v/>
      </c>
      <c r="G4656" s="16" t="str">
        <f t="shared" si="160"/>
        <v/>
      </c>
      <c r="H4656" s="70" t="str">
        <f t="shared" si="161"/>
        <v/>
      </c>
    </row>
    <row r="4657" spans="1:8">
      <c r="A4657" s="2"/>
      <c r="B4657" s="12"/>
      <c r="C4657" s="12"/>
      <c r="E4657" t="str">
        <f>IF(LEN(D4657)=0,"",[1]!i_pq_tradedays($B$3,A4658,A4657)-1)</f>
        <v/>
      </c>
      <c r="G4657" s="16" t="str">
        <f t="shared" si="160"/>
        <v/>
      </c>
      <c r="H4657" s="70" t="str">
        <f t="shared" si="161"/>
        <v/>
      </c>
    </row>
    <row r="4658" spans="1:8">
      <c r="A4658" s="2"/>
      <c r="B4658" s="12"/>
      <c r="C4658" s="12"/>
      <c r="E4658" t="str">
        <f>IF(LEN(D4658)=0,"",[1]!i_pq_tradedays($B$3,A4659,A4658)-1)</f>
        <v/>
      </c>
      <c r="G4658" s="16" t="str">
        <f t="shared" si="160"/>
        <v/>
      </c>
      <c r="H4658" s="70" t="str">
        <f t="shared" si="161"/>
        <v/>
      </c>
    </row>
    <row r="4659" spans="1:8">
      <c r="A4659" s="2"/>
      <c r="B4659" s="12"/>
      <c r="C4659" s="12"/>
      <c r="E4659" t="str">
        <f>IF(LEN(D4659)=0,"",[1]!i_pq_tradedays($B$3,A4660,A4659)-1)</f>
        <v/>
      </c>
      <c r="G4659" s="16" t="str">
        <f t="shared" si="160"/>
        <v/>
      </c>
      <c r="H4659" s="70" t="str">
        <f t="shared" si="161"/>
        <v/>
      </c>
    </row>
    <row r="4660" spans="1:8">
      <c r="A4660" s="2"/>
      <c r="B4660" s="12"/>
      <c r="C4660" s="12"/>
      <c r="E4660" t="str">
        <f>IF(LEN(D4660)=0,"",[1]!i_pq_tradedays($B$3,A4661,A4660)-1)</f>
        <v/>
      </c>
      <c r="G4660" s="16" t="str">
        <f t="shared" si="160"/>
        <v/>
      </c>
      <c r="H4660" s="70" t="str">
        <f t="shared" si="161"/>
        <v/>
      </c>
    </row>
    <row r="4661" spans="1:8">
      <c r="A4661" s="2"/>
      <c r="B4661" s="12"/>
      <c r="C4661" s="12"/>
      <c r="E4661" t="str">
        <f>IF(LEN(D4661)=0,"",[1]!i_pq_tradedays($B$3,A4662,A4661)-1)</f>
        <v/>
      </c>
      <c r="G4661" s="16" t="str">
        <f t="shared" ref="G4661:G4724" si="162">IF(LEN(D4661)=0,"",D4661/E4661)</f>
        <v/>
      </c>
      <c r="H4661" s="70" t="str">
        <f t="shared" ref="H4661:H4724" si="163">IF(LEN(D4661)=0,"",G4661/G4662-1)</f>
        <v/>
      </c>
    </row>
    <row r="4662" spans="1:8">
      <c r="A4662" s="2"/>
      <c r="B4662" s="12"/>
      <c r="C4662" s="12"/>
      <c r="E4662" t="str">
        <f>IF(LEN(D4662)=0,"",[1]!i_pq_tradedays($B$3,A4663,A4662)-1)</f>
        <v/>
      </c>
      <c r="G4662" s="16" t="str">
        <f t="shared" si="162"/>
        <v/>
      </c>
      <c r="H4662" s="70" t="str">
        <f t="shared" si="163"/>
        <v/>
      </c>
    </row>
    <row r="4663" spans="1:8">
      <c r="A4663" s="2"/>
      <c r="B4663" s="12"/>
      <c r="C4663" s="12"/>
      <c r="E4663" t="str">
        <f>IF(LEN(D4663)=0,"",[1]!i_pq_tradedays($B$3,A4664,A4663)-1)</f>
        <v/>
      </c>
      <c r="G4663" s="16" t="str">
        <f t="shared" si="162"/>
        <v/>
      </c>
      <c r="H4663" s="70" t="str">
        <f t="shared" si="163"/>
        <v/>
      </c>
    </row>
    <row r="4664" spans="1:8">
      <c r="A4664" s="2"/>
      <c r="B4664" s="12"/>
      <c r="C4664" s="12"/>
      <c r="E4664" t="str">
        <f>IF(LEN(D4664)=0,"",[1]!i_pq_tradedays($B$3,A4665,A4664)-1)</f>
        <v/>
      </c>
      <c r="G4664" s="16" t="str">
        <f t="shared" si="162"/>
        <v/>
      </c>
      <c r="H4664" s="70" t="str">
        <f t="shared" si="163"/>
        <v/>
      </c>
    </row>
    <row r="4665" spans="1:8">
      <c r="A4665" s="2"/>
      <c r="B4665" s="12"/>
      <c r="C4665" s="12"/>
      <c r="E4665" t="str">
        <f>IF(LEN(D4665)=0,"",[1]!i_pq_tradedays($B$3,A4666,A4665)-1)</f>
        <v/>
      </c>
      <c r="G4665" s="16" t="str">
        <f t="shared" si="162"/>
        <v/>
      </c>
      <c r="H4665" s="70" t="str">
        <f t="shared" si="163"/>
        <v/>
      </c>
    </row>
    <row r="4666" spans="1:8">
      <c r="A4666" s="2"/>
      <c r="B4666" s="12"/>
      <c r="C4666" s="12"/>
      <c r="E4666" t="str">
        <f>IF(LEN(D4666)=0,"",[1]!i_pq_tradedays($B$3,A4667,A4666)-1)</f>
        <v/>
      </c>
      <c r="G4666" s="16" t="str">
        <f t="shared" si="162"/>
        <v/>
      </c>
      <c r="H4666" s="70" t="str">
        <f t="shared" si="163"/>
        <v/>
      </c>
    </row>
    <row r="4667" spans="1:8">
      <c r="A4667" s="2"/>
      <c r="B4667" s="12"/>
      <c r="C4667" s="12"/>
      <c r="E4667" t="str">
        <f>IF(LEN(D4667)=0,"",[1]!i_pq_tradedays($B$3,A4668,A4667)-1)</f>
        <v/>
      </c>
      <c r="G4667" s="16" t="str">
        <f t="shared" si="162"/>
        <v/>
      </c>
      <c r="H4667" s="70" t="str">
        <f t="shared" si="163"/>
        <v/>
      </c>
    </row>
    <row r="4668" spans="1:8">
      <c r="A4668" s="2"/>
      <c r="B4668" s="12"/>
      <c r="C4668" s="12"/>
      <c r="E4668" t="str">
        <f>IF(LEN(D4668)=0,"",[1]!i_pq_tradedays($B$3,A4669,A4668)-1)</f>
        <v/>
      </c>
      <c r="G4668" s="16" t="str">
        <f t="shared" si="162"/>
        <v/>
      </c>
      <c r="H4668" s="70" t="str">
        <f t="shared" si="163"/>
        <v/>
      </c>
    </row>
    <row r="4669" spans="1:8">
      <c r="A4669" s="2"/>
      <c r="B4669" s="12"/>
      <c r="C4669" s="12"/>
      <c r="E4669" t="str">
        <f>IF(LEN(D4669)=0,"",[1]!i_pq_tradedays($B$3,A4670,A4669)-1)</f>
        <v/>
      </c>
      <c r="G4669" s="16" t="str">
        <f t="shared" si="162"/>
        <v/>
      </c>
      <c r="H4669" s="70" t="str">
        <f t="shared" si="163"/>
        <v/>
      </c>
    </row>
    <row r="4670" spans="1:8">
      <c r="A4670" s="2"/>
      <c r="B4670" s="12"/>
      <c r="C4670" s="12"/>
      <c r="E4670" t="str">
        <f>IF(LEN(D4670)=0,"",[1]!i_pq_tradedays($B$3,A4671,A4670)-1)</f>
        <v/>
      </c>
      <c r="G4670" s="16" t="str">
        <f t="shared" si="162"/>
        <v/>
      </c>
      <c r="H4670" s="70" t="str">
        <f t="shared" si="163"/>
        <v/>
      </c>
    </row>
    <row r="4671" spans="1:8">
      <c r="A4671" s="2"/>
      <c r="B4671" s="12"/>
      <c r="C4671" s="12"/>
      <c r="E4671" t="str">
        <f>IF(LEN(D4671)=0,"",[1]!i_pq_tradedays($B$3,A4672,A4671)-1)</f>
        <v/>
      </c>
      <c r="G4671" s="16" t="str">
        <f t="shared" si="162"/>
        <v/>
      </c>
      <c r="H4671" s="70" t="str">
        <f t="shared" si="163"/>
        <v/>
      </c>
    </row>
    <row r="4672" spans="1:8">
      <c r="A4672" s="2"/>
      <c r="B4672" s="12"/>
      <c r="C4672" s="12"/>
      <c r="E4672" t="str">
        <f>IF(LEN(D4672)=0,"",[1]!i_pq_tradedays($B$3,A4673,A4672)-1)</f>
        <v/>
      </c>
      <c r="G4672" s="16" t="str">
        <f t="shared" si="162"/>
        <v/>
      </c>
      <c r="H4672" s="70" t="str">
        <f t="shared" si="163"/>
        <v/>
      </c>
    </row>
    <row r="4673" spans="1:8">
      <c r="A4673" s="2"/>
      <c r="B4673" s="12"/>
      <c r="C4673" s="12"/>
      <c r="E4673" t="str">
        <f>IF(LEN(D4673)=0,"",[1]!i_pq_tradedays($B$3,A4674,A4673)-1)</f>
        <v/>
      </c>
      <c r="G4673" s="16" t="str">
        <f t="shared" si="162"/>
        <v/>
      </c>
      <c r="H4673" s="70" t="str">
        <f t="shared" si="163"/>
        <v/>
      </c>
    </row>
    <row r="4674" spans="1:8">
      <c r="A4674" s="2"/>
      <c r="B4674" s="12"/>
      <c r="C4674" s="12"/>
      <c r="E4674" t="str">
        <f>IF(LEN(D4674)=0,"",[1]!i_pq_tradedays($B$3,A4675,A4674)-1)</f>
        <v/>
      </c>
      <c r="G4674" s="16" t="str">
        <f t="shared" si="162"/>
        <v/>
      </c>
      <c r="H4674" s="70" t="str">
        <f t="shared" si="163"/>
        <v/>
      </c>
    </row>
    <row r="4675" spans="1:8">
      <c r="A4675" s="2"/>
      <c r="B4675" s="12"/>
      <c r="C4675" s="12"/>
      <c r="E4675" t="str">
        <f>IF(LEN(D4675)=0,"",[1]!i_pq_tradedays($B$3,A4676,A4675)-1)</f>
        <v/>
      </c>
      <c r="G4675" s="16" t="str">
        <f t="shared" si="162"/>
        <v/>
      </c>
      <c r="H4675" s="70" t="str">
        <f t="shared" si="163"/>
        <v/>
      </c>
    </row>
    <row r="4676" spans="1:8">
      <c r="A4676" s="2"/>
      <c r="B4676" s="12"/>
      <c r="C4676" s="12"/>
      <c r="E4676" t="str">
        <f>IF(LEN(D4676)=0,"",[1]!i_pq_tradedays($B$3,A4677,A4676)-1)</f>
        <v/>
      </c>
      <c r="G4676" s="16" t="str">
        <f t="shared" si="162"/>
        <v/>
      </c>
      <c r="H4676" s="70" t="str">
        <f t="shared" si="163"/>
        <v/>
      </c>
    </row>
    <row r="4677" spans="1:8">
      <c r="A4677" s="2"/>
      <c r="B4677" s="12"/>
      <c r="C4677" s="12"/>
      <c r="E4677" t="str">
        <f>IF(LEN(D4677)=0,"",[1]!i_pq_tradedays($B$3,A4678,A4677)-1)</f>
        <v/>
      </c>
      <c r="G4677" s="16" t="str">
        <f t="shared" si="162"/>
        <v/>
      </c>
      <c r="H4677" s="70" t="str">
        <f t="shared" si="163"/>
        <v/>
      </c>
    </row>
    <row r="4678" spans="1:8">
      <c r="A4678" s="2"/>
      <c r="B4678" s="12"/>
      <c r="C4678" s="12"/>
      <c r="E4678" t="str">
        <f>IF(LEN(D4678)=0,"",[1]!i_pq_tradedays($B$3,A4679,A4678)-1)</f>
        <v/>
      </c>
      <c r="G4678" s="16" t="str">
        <f t="shared" si="162"/>
        <v/>
      </c>
      <c r="H4678" s="70" t="str">
        <f t="shared" si="163"/>
        <v/>
      </c>
    </row>
    <row r="4679" spans="1:8">
      <c r="A4679" s="2"/>
      <c r="B4679" s="12"/>
      <c r="C4679" s="12"/>
      <c r="E4679" t="str">
        <f>IF(LEN(D4679)=0,"",[1]!i_pq_tradedays($B$3,A4680,A4679)-1)</f>
        <v/>
      </c>
      <c r="G4679" s="16" t="str">
        <f t="shared" si="162"/>
        <v/>
      </c>
      <c r="H4679" s="70" t="str">
        <f t="shared" si="163"/>
        <v/>
      </c>
    </row>
    <row r="4680" spans="1:8">
      <c r="A4680" s="2"/>
      <c r="B4680" s="12"/>
      <c r="C4680" s="12"/>
      <c r="E4680" t="str">
        <f>IF(LEN(D4680)=0,"",[1]!i_pq_tradedays($B$3,A4681,A4680)-1)</f>
        <v/>
      </c>
      <c r="G4680" s="16" t="str">
        <f t="shared" si="162"/>
        <v/>
      </c>
      <c r="H4680" s="70" t="str">
        <f t="shared" si="163"/>
        <v/>
      </c>
    </row>
    <row r="4681" spans="1:8">
      <c r="A4681" s="2"/>
      <c r="B4681" s="12"/>
      <c r="C4681" s="12"/>
      <c r="E4681" t="str">
        <f>IF(LEN(D4681)=0,"",[1]!i_pq_tradedays($B$3,A4682,A4681)-1)</f>
        <v/>
      </c>
      <c r="G4681" s="16" t="str">
        <f t="shared" si="162"/>
        <v/>
      </c>
      <c r="H4681" s="70" t="str">
        <f t="shared" si="163"/>
        <v/>
      </c>
    </row>
    <row r="4682" spans="1:8">
      <c r="A4682" s="2"/>
      <c r="B4682" s="12"/>
      <c r="C4682" s="12"/>
      <c r="E4682" t="str">
        <f>IF(LEN(D4682)=0,"",[1]!i_pq_tradedays($B$3,A4683,A4682)-1)</f>
        <v/>
      </c>
      <c r="G4682" s="16" t="str">
        <f t="shared" si="162"/>
        <v/>
      </c>
      <c r="H4682" s="70" t="str">
        <f t="shared" si="163"/>
        <v/>
      </c>
    </row>
    <row r="4683" spans="1:8">
      <c r="A4683" s="2"/>
      <c r="B4683" s="12"/>
      <c r="C4683" s="12"/>
      <c r="E4683" t="str">
        <f>IF(LEN(D4683)=0,"",[1]!i_pq_tradedays($B$3,A4684,A4683)-1)</f>
        <v/>
      </c>
      <c r="G4683" s="16" t="str">
        <f t="shared" si="162"/>
        <v/>
      </c>
      <c r="H4683" s="70" t="str">
        <f t="shared" si="163"/>
        <v/>
      </c>
    </row>
    <row r="4684" spans="1:8">
      <c r="A4684" s="2"/>
      <c r="B4684" s="12"/>
      <c r="C4684" s="12"/>
      <c r="E4684" t="str">
        <f>IF(LEN(D4684)=0,"",[1]!i_pq_tradedays($B$3,A4685,A4684)-1)</f>
        <v/>
      </c>
      <c r="G4684" s="16" t="str">
        <f t="shared" si="162"/>
        <v/>
      </c>
      <c r="H4684" s="70" t="str">
        <f t="shared" si="163"/>
        <v/>
      </c>
    </row>
    <row r="4685" spans="1:8">
      <c r="A4685" s="2"/>
      <c r="B4685" s="12"/>
      <c r="C4685" s="12"/>
      <c r="E4685" t="str">
        <f>IF(LEN(D4685)=0,"",[1]!i_pq_tradedays($B$3,A4686,A4685)-1)</f>
        <v/>
      </c>
      <c r="G4685" s="16" t="str">
        <f t="shared" si="162"/>
        <v/>
      </c>
      <c r="H4685" s="70" t="str">
        <f t="shared" si="163"/>
        <v/>
      </c>
    </row>
    <row r="4686" spans="1:8">
      <c r="A4686" s="2"/>
      <c r="B4686" s="12"/>
      <c r="C4686" s="12"/>
      <c r="E4686" t="str">
        <f>IF(LEN(D4686)=0,"",[1]!i_pq_tradedays($B$3,A4687,A4686)-1)</f>
        <v/>
      </c>
      <c r="G4686" s="16" t="str">
        <f t="shared" si="162"/>
        <v/>
      </c>
      <c r="H4686" s="70" t="str">
        <f t="shared" si="163"/>
        <v/>
      </c>
    </row>
    <row r="4687" spans="1:8">
      <c r="A4687" s="2"/>
      <c r="B4687" s="12"/>
      <c r="C4687" s="12"/>
      <c r="E4687" t="str">
        <f>IF(LEN(D4687)=0,"",[1]!i_pq_tradedays($B$3,A4688,A4687)-1)</f>
        <v/>
      </c>
      <c r="G4687" s="16" t="str">
        <f t="shared" si="162"/>
        <v/>
      </c>
      <c r="H4687" s="70" t="str">
        <f t="shared" si="163"/>
        <v/>
      </c>
    </row>
    <row r="4688" spans="1:8">
      <c r="A4688" s="2"/>
      <c r="B4688" s="12"/>
      <c r="C4688" s="12"/>
      <c r="E4688" t="str">
        <f>IF(LEN(D4688)=0,"",[1]!i_pq_tradedays($B$3,A4689,A4688)-1)</f>
        <v/>
      </c>
      <c r="G4688" s="16" t="str">
        <f t="shared" si="162"/>
        <v/>
      </c>
      <c r="H4688" s="70" t="str">
        <f t="shared" si="163"/>
        <v/>
      </c>
    </row>
    <row r="4689" spans="1:8">
      <c r="A4689" s="2"/>
      <c r="B4689" s="12"/>
      <c r="C4689" s="12"/>
      <c r="E4689" t="str">
        <f>IF(LEN(D4689)=0,"",[1]!i_pq_tradedays($B$3,A4690,A4689)-1)</f>
        <v/>
      </c>
      <c r="G4689" s="16" t="str">
        <f t="shared" si="162"/>
        <v/>
      </c>
      <c r="H4689" s="70" t="str">
        <f t="shared" si="163"/>
        <v/>
      </c>
    </row>
    <row r="4690" spans="1:8">
      <c r="A4690" s="2"/>
      <c r="B4690" s="12"/>
      <c r="C4690" s="12"/>
      <c r="E4690" t="str">
        <f>IF(LEN(D4690)=0,"",[1]!i_pq_tradedays($B$3,A4691,A4690)-1)</f>
        <v/>
      </c>
      <c r="G4690" s="16" t="str">
        <f t="shared" si="162"/>
        <v/>
      </c>
      <c r="H4690" s="70" t="str">
        <f t="shared" si="163"/>
        <v/>
      </c>
    </row>
    <row r="4691" spans="1:8">
      <c r="A4691" s="2"/>
      <c r="B4691" s="12"/>
      <c r="C4691" s="12"/>
      <c r="E4691" t="str">
        <f>IF(LEN(D4691)=0,"",[1]!i_pq_tradedays($B$3,A4692,A4691)-1)</f>
        <v/>
      </c>
      <c r="G4691" s="16" t="str">
        <f t="shared" si="162"/>
        <v/>
      </c>
      <c r="H4691" s="70" t="str">
        <f t="shared" si="163"/>
        <v/>
      </c>
    </row>
    <row r="4692" spans="1:8">
      <c r="A4692" s="2"/>
      <c r="B4692" s="12"/>
      <c r="C4692" s="12"/>
      <c r="E4692" t="str">
        <f>IF(LEN(D4692)=0,"",[1]!i_pq_tradedays($B$3,A4693,A4692)-1)</f>
        <v/>
      </c>
      <c r="G4692" s="16" t="str">
        <f t="shared" si="162"/>
        <v/>
      </c>
      <c r="H4692" s="70" t="str">
        <f t="shared" si="163"/>
        <v/>
      </c>
    </row>
    <row r="4693" spans="1:8">
      <c r="A4693" s="2"/>
      <c r="B4693" s="12"/>
      <c r="C4693" s="12"/>
      <c r="E4693" t="str">
        <f>IF(LEN(D4693)=0,"",[1]!i_pq_tradedays($B$3,A4694,A4693)-1)</f>
        <v/>
      </c>
      <c r="G4693" s="16" t="str">
        <f t="shared" si="162"/>
        <v/>
      </c>
      <c r="H4693" s="70" t="str">
        <f t="shared" si="163"/>
        <v/>
      </c>
    </row>
    <row r="4694" spans="1:8">
      <c r="A4694" s="2"/>
      <c r="B4694" s="12"/>
      <c r="C4694" s="12"/>
      <c r="E4694" t="str">
        <f>IF(LEN(D4694)=0,"",[1]!i_pq_tradedays($B$3,A4695,A4694)-1)</f>
        <v/>
      </c>
      <c r="G4694" s="16" t="str">
        <f t="shared" si="162"/>
        <v/>
      </c>
      <c r="H4694" s="70" t="str">
        <f t="shared" si="163"/>
        <v/>
      </c>
    </row>
    <row r="4695" spans="1:8">
      <c r="A4695" s="2"/>
      <c r="B4695" s="12"/>
      <c r="C4695" s="12"/>
      <c r="E4695" t="str">
        <f>IF(LEN(D4695)=0,"",[1]!i_pq_tradedays($B$3,A4696,A4695)-1)</f>
        <v/>
      </c>
      <c r="G4695" s="16" t="str">
        <f t="shared" si="162"/>
        <v/>
      </c>
      <c r="H4695" s="70" t="str">
        <f t="shared" si="163"/>
        <v/>
      </c>
    </row>
    <row r="4696" spans="1:8">
      <c r="A4696" s="2"/>
      <c r="B4696" s="12"/>
      <c r="C4696" s="12"/>
      <c r="E4696" t="str">
        <f>IF(LEN(D4696)=0,"",[1]!i_pq_tradedays($B$3,A4697,A4696)-1)</f>
        <v/>
      </c>
      <c r="G4696" s="16" t="str">
        <f t="shared" si="162"/>
        <v/>
      </c>
      <c r="H4696" s="70" t="str">
        <f t="shared" si="163"/>
        <v/>
      </c>
    </row>
    <row r="4697" spans="1:8">
      <c r="A4697" s="2"/>
      <c r="B4697" s="12"/>
      <c r="C4697" s="12"/>
      <c r="E4697" t="str">
        <f>IF(LEN(D4697)=0,"",[1]!i_pq_tradedays($B$3,A4698,A4697)-1)</f>
        <v/>
      </c>
      <c r="G4697" s="16" t="str">
        <f t="shared" si="162"/>
        <v/>
      </c>
      <c r="H4697" s="70" t="str">
        <f t="shared" si="163"/>
        <v/>
      </c>
    </row>
    <row r="4698" spans="1:8">
      <c r="A4698" s="2"/>
      <c r="B4698" s="12"/>
      <c r="C4698" s="12"/>
      <c r="E4698" t="str">
        <f>IF(LEN(D4698)=0,"",[1]!i_pq_tradedays($B$3,A4699,A4698)-1)</f>
        <v/>
      </c>
      <c r="G4698" s="16" t="str">
        <f t="shared" si="162"/>
        <v/>
      </c>
      <c r="H4698" s="70" t="str">
        <f t="shared" si="163"/>
        <v/>
      </c>
    </row>
    <row r="4699" spans="1:8">
      <c r="A4699" s="2"/>
      <c r="B4699" s="12"/>
      <c r="C4699" s="12"/>
      <c r="E4699" t="str">
        <f>IF(LEN(D4699)=0,"",[1]!i_pq_tradedays($B$3,A4700,A4699)-1)</f>
        <v/>
      </c>
      <c r="G4699" s="16" t="str">
        <f t="shared" si="162"/>
        <v/>
      </c>
      <c r="H4699" s="70" t="str">
        <f t="shared" si="163"/>
        <v/>
      </c>
    </row>
    <row r="4700" spans="1:8">
      <c r="A4700" s="2"/>
      <c r="B4700" s="12"/>
      <c r="C4700" s="12"/>
      <c r="E4700" t="str">
        <f>IF(LEN(D4700)=0,"",[1]!i_pq_tradedays($B$3,A4701,A4700)-1)</f>
        <v/>
      </c>
      <c r="G4700" s="16" t="str">
        <f t="shared" si="162"/>
        <v/>
      </c>
      <c r="H4700" s="70" t="str">
        <f t="shared" si="163"/>
        <v/>
      </c>
    </row>
    <row r="4701" spans="1:8">
      <c r="A4701" s="2"/>
      <c r="B4701" s="12"/>
      <c r="C4701" s="12"/>
      <c r="E4701" t="str">
        <f>IF(LEN(D4701)=0,"",[1]!i_pq_tradedays($B$3,A4702,A4701)-1)</f>
        <v/>
      </c>
      <c r="G4701" s="16" t="str">
        <f t="shared" si="162"/>
        <v/>
      </c>
      <c r="H4701" s="70" t="str">
        <f t="shared" si="163"/>
        <v/>
      </c>
    </row>
    <row r="4702" spans="1:8">
      <c r="A4702" s="2"/>
      <c r="B4702" s="12"/>
      <c r="C4702" s="12"/>
      <c r="E4702" t="str">
        <f>IF(LEN(D4702)=0,"",[1]!i_pq_tradedays($B$3,A4703,A4702)-1)</f>
        <v/>
      </c>
      <c r="G4702" s="16" t="str">
        <f t="shared" si="162"/>
        <v/>
      </c>
      <c r="H4702" s="70" t="str">
        <f t="shared" si="163"/>
        <v/>
      </c>
    </row>
    <row r="4703" spans="1:8">
      <c r="A4703" s="2"/>
      <c r="B4703" s="12"/>
      <c r="C4703" s="12"/>
      <c r="E4703" t="str">
        <f>IF(LEN(D4703)=0,"",[1]!i_pq_tradedays($B$3,A4704,A4703)-1)</f>
        <v/>
      </c>
      <c r="G4703" s="16" t="str">
        <f t="shared" si="162"/>
        <v/>
      </c>
      <c r="H4703" s="70" t="str">
        <f t="shared" si="163"/>
        <v/>
      </c>
    </row>
    <row r="4704" spans="1:8">
      <c r="A4704" s="2"/>
      <c r="B4704" s="12"/>
      <c r="C4704" s="12"/>
      <c r="E4704" t="str">
        <f>IF(LEN(D4704)=0,"",[1]!i_pq_tradedays($B$3,A4705,A4704)-1)</f>
        <v/>
      </c>
      <c r="G4704" s="16" t="str">
        <f t="shared" si="162"/>
        <v/>
      </c>
      <c r="H4704" s="70" t="str">
        <f t="shared" si="163"/>
        <v/>
      </c>
    </row>
    <row r="4705" spans="1:8">
      <c r="A4705" s="2"/>
      <c r="B4705" s="12"/>
      <c r="C4705" s="12"/>
      <c r="E4705" t="str">
        <f>IF(LEN(D4705)=0,"",[1]!i_pq_tradedays($B$3,A4706,A4705)-1)</f>
        <v/>
      </c>
      <c r="G4705" s="16" t="str">
        <f t="shared" si="162"/>
        <v/>
      </c>
      <c r="H4705" s="70" t="str">
        <f t="shared" si="163"/>
        <v/>
      </c>
    </row>
    <row r="4706" spans="1:8">
      <c r="A4706" s="2"/>
      <c r="B4706" s="12"/>
      <c r="C4706" s="12"/>
      <c r="E4706" t="str">
        <f>IF(LEN(D4706)=0,"",[1]!i_pq_tradedays($B$3,A4707,A4706)-1)</f>
        <v/>
      </c>
      <c r="G4706" s="16" t="str">
        <f t="shared" si="162"/>
        <v/>
      </c>
      <c r="H4706" s="70" t="str">
        <f t="shared" si="163"/>
        <v/>
      </c>
    </row>
    <row r="4707" spans="1:8">
      <c r="A4707" s="2"/>
      <c r="B4707" s="12"/>
      <c r="C4707" s="12"/>
      <c r="E4707" t="str">
        <f>IF(LEN(D4707)=0,"",[1]!i_pq_tradedays($B$3,A4708,A4707)-1)</f>
        <v/>
      </c>
      <c r="G4707" s="16" t="str">
        <f t="shared" si="162"/>
        <v/>
      </c>
      <c r="H4707" s="70" t="str">
        <f t="shared" si="163"/>
        <v/>
      </c>
    </row>
    <row r="4708" spans="1:8">
      <c r="A4708" s="2"/>
      <c r="B4708" s="12"/>
      <c r="C4708" s="12"/>
      <c r="E4708" t="str">
        <f>IF(LEN(D4708)=0,"",[1]!i_pq_tradedays($B$3,A4709,A4708)-1)</f>
        <v/>
      </c>
      <c r="G4708" s="16" t="str">
        <f t="shared" si="162"/>
        <v/>
      </c>
      <c r="H4708" s="70" t="str">
        <f t="shared" si="163"/>
        <v/>
      </c>
    </row>
    <row r="4709" spans="1:8">
      <c r="A4709" s="2"/>
      <c r="B4709" s="12"/>
      <c r="C4709" s="12"/>
      <c r="E4709" t="str">
        <f>IF(LEN(D4709)=0,"",[1]!i_pq_tradedays($B$3,A4710,A4709)-1)</f>
        <v/>
      </c>
      <c r="G4709" s="16" t="str">
        <f t="shared" si="162"/>
        <v/>
      </c>
      <c r="H4709" s="70" t="str">
        <f t="shared" si="163"/>
        <v/>
      </c>
    </row>
    <row r="4710" spans="1:8">
      <c r="A4710" s="2"/>
      <c r="B4710" s="12"/>
      <c r="C4710" s="12"/>
      <c r="E4710" t="str">
        <f>IF(LEN(D4710)=0,"",[1]!i_pq_tradedays($B$3,A4711,A4710)-1)</f>
        <v/>
      </c>
      <c r="G4710" s="16" t="str">
        <f t="shared" si="162"/>
        <v/>
      </c>
      <c r="H4710" s="70" t="str">
        <f t="shared" si="163"/>
        <v/>
      </c>
    </row>
    <row r="4711" spans="1:8">
      <c r="A4711" s="2"/>
      <c r="B4711" s="12"/>
      <c r="C4711" s="12"/>
      <c r="E4711" t="str">
        <f>IF(LEN(D4711)=0,"",[1]!i_pq_tradedays($B$3,A4712,A4711)-1)</f>
        <v/>
      </c>
      <c r="G4711" s="16" t="str">
        <f t="shared" si="162"/>
        <v/>
      </c>
      <c r="H4711" s="70" t="str">
        <f t="shared" si="163"/>
        <v/>
      </c>
    </row>
    <row r="4712" spans="1:8">
      <c r="A4712" s="2"/>
      <c r="B4712" s="12"/>
      <c r="C4712" s="12"/>
      <c r="E4712" t="str">
        <f>IF(LEN(D4712)=0,"",[1]!i_pq_tradedays($B$3,A4713,A4712)-1)</f>
        <v/>
      </c>
      <c r="G4712" s="16" t="str">
        <f t="shared" si="162"/>
        <v/>
      </c>
      <c r="H4712" s="70" t="str">
        <f t="shared" si="163"/>
        <v/>
      </c>
    </row>
    <row r="4713" spans="1:8">
      <c r="A4713" s="2"/>
      <c r="B4713" s="12"/>
      <c r="C4713" s="12"/>
      <c r="E4713" t="str">
        <f>IF(LEN(D4713)=0,"",[1]!i_pq_tradedays($B$3,A4714,A4713)-1)</f>
        <v/>
      </c>
      <c r="G4713" s="16" t="str">
        <f t="shared" si="162"/>
        <v/>
      </c>
      <c r="H4713" s="70" t="str">
        <f t="shared" si="163"/>
        <v/>
      </c>
    </row>
    <row r="4714" spans="1:8">
      <c r="A4714" s="2"/>
      <c r="B4714" s="12"/>
      <c r="C4714" s="12"/>
      <c r="E4714" t="str">
        <f>IF(LEN(D4714)=0,"",[1]!i_pq_tradedays($B$3,A4715,A4714)-1)</f>
        <v/>
      </c>
      <c r="G4714" s="16" t="str">
        <f t="shared" si="162"/>
        <v/>
      </c>
      <c r="H4714" s="70" t="str">
        <f t="shared" si="163"/>
        <v/>
      </c>
    </row>
    <row r="4715" spans="1:8">
      <c r="A4715" s="2"/>
      <c r="B4715" s="12"/>
      <c r="C4715" s="12"/>
      <c r="E4715" t="str">
        <f>IF(LEN(D4715)=0,"",[1]!i_pq_tradedays($B$3,A4716,A4715)-1)</f>
        <v/>
      </c>
      <c r="G4715" s="16" t="str">
        <f t="shared" si="162"/>
        <v/>
      </c>
      <c r="H4715" s="70" t="str">
        <f t="shared" si="163"/>
        <v/>
      </c>
    </row>
    <row r="4716" spans="1:8">
      <c r="A4716" s="2"/>
      <c r="B4716" s="12"/>
      <c r="C4716" s="12"/>
      <c r="E4716" t="str">
        <f>IF(LEN(D4716)=0,"",[1]!i_pq_tradedays($B$3,A4717,A4716)-1)</f>
        <v/>
      </c>
      <c r="G4716" s="16" t="str">
        <f t="shared" si="162"/>
        <v/>
      </c>
      <c r="H4716" s="70" t="str">
        <f t="shared" si="163"/>
        <v/>
      </c>
    </row>
    <row r="4717" spans="1:8">
      <c r="A4717" s="2"/>
      <c r="B4717" s="12"/>
      <c r="C4717" s="12"/>
      <c r="E4717" t="str">
        <f>IF(LEN(D4717)=0,"",[1]!i_pq_tradedays($B$3,A4718,A4717)-1)</f>
        <v/>
      </c>
      <c r="G4717" s="16" t="str">
        <f t="shared" si="162"/>
        <v/>
      </c>
      <c r="H4717" s="70" t="str">
        <f t="shared" si="163"/>
        <v/>
      </c>
    </row>
    <row r="4718" spans="1:8">
      <c r="A4718" s="2"/>
      <c r="B4718" s="12"/>
      <c r="C4718" s="12"/>
      <c r="E4718" t="str">
        <f>IF(LEN(D4718)=0,"",[1]!i_pq_tradedays($B$3,A4719,A4718)-1)</f>
        <v/>
      </c>
      <c r="G4718" s="16" t="str">
        <f t="shared" si="162"/>
        <v/>
      </c>
      <c r="H4718" s="70" t="str">
        <f t="shared" si="163"/>
        <v/>
      </c>
    </row>
    <row r="4719" spans="1:8">
      <c r="A4719" s="2"/>
      <c r="B4719" s="12"/>
      <c r="C4719" s="12"/>
      <c r="E4719" t="str">
        <f>IF(LEN(D4719)=0,"",[1]!i_pq_tradedays($B$3,A4720,A4719)-1)</f>
        <v/>
      </c>
      <c r="G4719" s="16" t="str">
        <f t="shared" si="162"/>
        <v/>
      </c>
      <c r="H4719" s="70" t="str">
        <f t="shared" si="163"/>
        <v/>
      </c>
    </row>
    <row r="4720" spans="1:8">
      <c r="A4720" s="2"/>
      <c r="B4720" s="12"/>
      <c r="C4720" s="12"/>
      <c r="E4720" t="str">
        <f>IF(LEN(D4720)=0,"",[1]!i_pq_tradedays($B$3,A4721,A4720)-1)</f>
        <v/>
      </c>
      <c r="G4720" s="16" t="str">
        <f t="shared" si="162"/>
        <v/>
      </c>
      <c r="H4720" s="70" t="str">
        <f t="shared" si="163"/>
        <v/>
      </c>
    </row>
    <row r="4721" spans="1:8">
      <c r="A4721" s="2"/>
      <c r="B4721" s="12"/>
      <c r="C4721" s="12"/>
      <c r="E4721" t="str">
        <f>IF(LEN(D4721)=0,"",[1]!i_pq_tradedays($B$3,A4722,A4721)-1)</f>
        <v/>
      </c>
      <c r="G4721" s="16" t="str">
        <f t="shared" si="162"/>
        <v/>
      </c>
      <c r="H4721" s="70" t="str">
        <f t="shared" si="163"/>
        <v/>
      </c>
    </row>
    <row r="4722" spans="1:8">
      <c r="A4722" s="2"/>
      <c r="B4722" s="12"/>
      <c r="C4722" s="12"/>
      <c r="E4722" t="str">
        <f>IF(LEN(D4722)=0,"",[1]!i_pq_tradedays($B$3,A4723,A4722)-1)</f>
        <v/>
      </c>
      <c r="G4722" s="16" t="str">
        <f t="shared" si="162"/>
        <v/>
      </c>
      <c r="H4722" s="70" t="str">
        <f t="shared" si="163"/>
        <v/>
      </c>
    </row>
    <row r="4723" spans="1:8">
      <c r="A4723" s="2"/>
      <c r="B4723" s="12"/>
      <c r="C4723" s="12"/>
      <c r="E4723" t="str">
        <f>IF(LEN(D4723)=0,"",[1]!i_pq_tradedays($B$3,A4724,A4723)-1)</f>
        <v/>
      </c>
      <c r="G4723" s="16" t="str">
        <f t="shared" si="162"/>
        <v/>
      </c>
      <c r="H4723" s="70" t="str">
        <f t="shared" si="163"/>
        <v/>
      </c>
    </row>
    <row r="4724" spans="1:8">
      <c r="A4724" s="2"/>
      <c r="B4724" s="12"/>
      <c r="C4724" s="12"/>
      <c r="E4724" t="str">
        <f>IF(LEN(D4724)=0,"",[1]!i_pq_tradedays($B$3,A4725,A4724)-1)</f>
        <v/>
      </c>
      <c r="G4724" s="16" t="str">
        <f t="shared" si="162"/>
        <v/>
      </c>
      <c r="H4724" s="70" t="str">
        <f t="shared" si="163"/>
        <v/>
      </c>
    </row>
    <row r="4725" spans="1:8">
      <c r="A4725" s="2"/>
      <c r="B4725" s="12"/>
      <c r="C4725" s="12"/>
      <c r="E4725" t="str">
        <f>IF(LEN(D4725)=0,"",[1]!i_pq_tradedays($B$3,A4726,A4725)-1)</f>
        <v/>
      </c>
      <c r="G4725" s="16" t="str">
        <f t="shared" ref="G4725:G4788" si="164">IF(LEN(D4725)=0,"",D4725/E4725)</f>
        <v/>
      </c>
      <c r="H4725" s="70" t="str">
        <f t="shared" ref="H4725:H4788" si="165">IF(LEN(D4725)=0,"",G4725/G4726-1)</f>
        <v/>
      </c>
    </row>
    <row r="4726" spans="1:8">
      <c r="A4726" s="2"/>
      <c r="B4726" s="12"/>
      <c r="C4726" s="12"/>
      <c r="E4726" t="str">
        <f>IF(LEN(D4726)=0,"",[1]!i_pq_tradedays($B$3,A4727,A4726)-1)</f>
        <v/>
      </c>
      <c r="G4726" s="16" t="str">
        <f t="shared" si="164"/>
        <v/>
      </c>
      <c r="H4726" s="70" t="str">
        <f t="shared" si="165"/>
        <v/>
      </c>
    </row>
    <row r="4727" spans="1:8">
      <c r="A4727" s="2"/>
      <c r="B4727" s="12"/>
      <c r="C4727" s="12"/>
      <c r="E4727" t="str">
        <f>IF(LEN(D4727)=0,"",[1]!i_pq_tradedays($B$3,A4728,A4727)-1)</f>
        <v/>
      </c>
      <c r="G4727" s="16" t="str">
        <f t="shared" si="164"/>
        <v/>
      </c>
      <c r="H4727" s="70" t="str">
        <f t="shared" si="165"/>
        <v/>
      </c>
    </row>
    <row r="4728" spans="1:8">
      <c r="A4728" s="2"/>
      <c r="B4728" s="12"/>
      <c r="C4728" s="12"/>
      <c r="E4728" t="str">
        <f>IF(LEN(D4728)=0,"",[1]!i_pq_tradedays($B$3,A4729,A4728)-1)</f>
        <v/>
      </c>
      <c r="G4728" s="16" t="str">
        <f t="shared" si="164"/>
        <v/>
      </c>
      <c r="H4728" s="70" t="str">
        <f t="shared" si="165"/>
        <v/>
      </c>
    </row>
    <row r="4729" spans="1:8">
      <c r="A4729" s="2"/>
      <c r="B4729" s="12"/>
      <c r="C4729" s="12"/>
      <c r="E4729" t="str">
        <f>IF(LEN(D4729)=0,"",[1]!i_pq_tradedays($B$3,A4730,A4729)-1)</f>
        <v/>
      </c>
      <c r="G4729" s="16" t="str">
        <f t="shared" si="164"/>
        <v/>
      </c>
      <c r="H4729" s="70" t="str">
        <f t="shared" si="165"/>
        <v/>
      </c>
    </row>
    <row r="4730" spans="1:8">
      <c r="A4730" s="2"/>
      <c r="B4730" s="12"/>
      <c r="C4730" s="12"/>
      <c r="E4730" t="str">
        <f>IF(LEN(D4730)=0,"",[1]!i_pq_tradedays($B$3,A4731,A4730)-1)</f>
        <v/>
      </c>
      <c r="G4730" s="16" t="str">
        <f t="shared" si="164"/>
        <v/>
      </c>
      <c r="H4730" s="70" t="str">
        <f t="shared" si="165"/>
        <v/>
      </c>
    </row>
    <row r="4731" spans="1:8">
      <c r="A4731" s="2"/>
      <c r="B4731" s="12"/>
      <c r="C4731" s="12"/>
      <c r="E4731" t="str">
        <f>IF(LEN(D4731)=0,"",[1]!i_pq_tradedays($B$3,A4732,A4731)-1)</f>
        <v/>
      </c>
      <c r="G4731" s="16" t="str">
        <f t="shared" si="164"/>
        <v/>
      </c>
      <c r="H4731" s="70" t="str">
        <f t="shared" si="165"/>
        <v/>
      </c>
    </row>
    <row r="4732" spans="1:8">
      <c r="A4732" s="2"/>
      <c r="B4732" s="12"/>
      <c r="C4732" s="12"/>
      <c r="E4732" t="str">
        <f>IF(LEN(D4732)=0,"",[1]!i_pq_tradedays($B$3,A4733,A4732)-1)</f>
        <v/>
      </c>
      <c r="G4732" s="16" t="str">
        <f t="shared" si="164"/>
        <v/>
      </c>
      <c r="H4732" s="70" t="str">
        <f t="shared" si="165"/>
        <v/>
      </c>
    </row>
    <row r="4733" spans="1:8">
      <c r="A4733" s="2"/>
      <c r="B4733" s="12"/>
      <c r="C4733" s="12"/>
      <c r="E4733" t="str">
        <f>IF(LEN(D4733)=0,"",[1]!i_pq_tradedays($B$3,A4734,A4733)-1)</f>
        <v/>
      </c>
      <c r="G4733" s="16" t="str">
        <f t="shared" si="164"/>
        <v/>
      </c>
      <c r="H4733" s="70" t="str">
        <f t="shared" si="165"/>
        <v/>
      </c>
    </row>
    <row r="4734" spans="1:8">
      <c r="A4734" s="2"/>
      <c r="B4734" s="12"/>
      <c r="C4734" s="12"/>
      <c r="E4734" t="str">
        <f>IF(LEN(D4734)=0,"",[1]!i_pq_tradedays($B$3,A4735,A4734)-1)</f>
        <v/>
      </c>
      <c r="G4734" s="16" t="str">
        <f t="shared" si="164"/>
        <v/>
      </c>
      <c r="H4734" s="70" t="str">
        <f t="shared" si="165"/>
        <v/>
      </c>
    </row>
    <row r="4735" spans="1:8">
      <c r="A4735" s="2"/>
      <c r="B4735" s="12"/>
      <c r="C4735" s="12"/>
      <c r="E4735" t="str">
        <f>IF(LEN(D4735)=0,"",[1]!i_pq_tradedays($B$3,A4736,A4735)-1)</f>
        <v/>
      </c>
      <c r="G4735" s="16" t="str">
        <f t="shared" si="164"/>
        <v/>
      </c>
      <c r="H4735" s="70" t="str">
        <f t="shared" si="165"/>
        <v/>
      </c>
    </row>
    <row r="4736" spans="1:8">
      <c r="A4736" s="2"/>
      <c r="B4736" s="12"/>
      <c r="C4736" s="12"/>
      <c r="E4736" t="str">
        <f>IF(LEN(D4736)=0,"",[1]!i_pq_tradedays($B$3,A4737,A4736)-1)</f>
        <v/>
      </c>
      <c r="G4736" s="16" t="str">
        <f t="shared" si="164"/>
        <v/>
      </c>
      <c r="H4736" s="70" t="str">
        <f t="shared" si="165"/>
        <v/>
      </c>
    </row>
    <row r="4737" spans="1:8">
      <c r="A4737" s="2"/>
      <c r="B4737" s="12"/>
      <c r="C4737" s="12"/>
      <c r="E4737" t="str">
        <f>IF(LEN(D4737)=0,"",[1]!i_pq_tradedays($B$3,A4738,A4737)-1)</f>
        <v/>
      </c>
      <c r="G4737" s="16" t="str">
        <f t="shared" si="164"/>
        <v/>
      </c>
      <c r="H4737" s="70" t="str">
        <f t="shared" si="165"/>
        <v/>
      </c>
    </row>
    <row r="4738" spans="1:8">
      <c r="A4738" s="2"/>
      <c r="B4738" s="12"/>
      <c r="C4738" s="12"/>
      <c r="E4738" t="str">
        <f>IF(LEN(D4738)=0,"",[1]!i_pq_tradedays($B$3,A4739,A4738)-1)</f>
        <v/>
      </c>
      <c r="G4738" s="16" t="str">
        <f t="shared" si="164"/>
        <v/>
      </c>
      <c r="H4738" s="70" t="str">
        <f t="shared" si="165"/>
        <v/>
      </c>
    </row>
    <row r="4739" spans="1:8">
      <c r="A4739" s="2"/>
      <c r="B4739" s="12"/>
      <c r="C4739" s="12"/>
      <c r="E4739" t="str">
        <f>IF(LEN(D4739)=0,"",[1]!i_pq_tradedays($B$3,A4740,A4739)-1)</f>
        <v/>
      </c>
      <c r="G4739" s="16" t="str">
        <f t="shared" si="164"/>
        <v/>
      </c>
      <c r="H4739" s="70" t="str">
        <f t="shared" si="165"/>
        <v/>
      </c>
    </row>
    <row r="4740" spans="1:8">
      <c r="A4740" s="2"/>
      <c r="B4740" s="12"/>
      <c r="C4740" s="12"/>
      <c r="E4740" t="str">
        <f>IF(LEN(D4740)=0,"",[1]!i_pq_tradedays($B$3,A4741,A4740)-1)</f>
        <v/>
      </c>
      <c r="G4740" s="16" t="str">
        <f t="shared" si="164"/>
        <v/>
      </c>
      <c r="H4740" s="70" t="str">
        <f t="shared" si="165"/>
        <v/>
      </c>
    </row>
    <row r="4741" spans="1:8">
      <c r="A4741" s="2"/>
      <c r="B4741" s="12"/>
      <c r="C4741" s="12"/>
      <c r="E4741" t="str">
        <f>IF(LEN(D4741)=0,"",[1]!i_pq_tradedays($B$3,A4742,A4741)-1)</f>
        <v/>
      </c>
      <c r="G4741" s="16" t="str">
        <f t="shared" si="164"/>
        <v/>
      </c>
      <c r="H4741" s="70" t="str">
        <f t="shared" si="165"/>
        <v/>
      </c>
    </row>
    <row r="4742" spans="1:8">
      <c r="A4742" s="2"/>
      <c r="B4742" s="12"/>
      <c r="C4742" s="12"/>
      <c r="E4742" t="str">
        <f>IF(LEN(D4742)=0,"",[1]!i_pq_tradedays($B$3,A4743,A4742)-1)</f>
        <v/>
      </c>
      <c r="G4742" s="16" t="str">
        <f t="shared" si="164"/>
        <v/>
      </c>
      <c r="H4742" s="70" t="str">
        <f t="shared" si="165"/>
        <v/>
      </c>
    </row>
    <row r="4743" spans="1:8">
      <c r="A4743" s="2"/>
      <c r="B4743" s="12"/>
      <c r="C4743" s="12"/>
      <c r="E4743" t="str">
        <f>IF(LEN(D4743)=0,"",[1]!i_pq_tradedays($B$3,A4744,A4743)-1)</f>
        <v/>
      </c>
      <c r="G4743" s="16" t="str">
        <f t="shared" si="164"/>
        <v/>
      </c>
      <c r="H4743" s="70" t="str">
        <f t="shared" si="165"/>
        <v/>
      </c>
    </row>
    <row r="4744" spans="1:8">
      <c r="A4744" s="2"/>
      <c r="B4744" s="12"/>
      <c r="C4744" s="12"/>
      <c r="E4744" t="str">
        <f>IF(LEN(D4744)=0,"",[1]!i_pq_tradedays($B$3,A4745,A4744)-1)</f>
        <v/>
      </c>
      <c r="G4744" s="16" t="str">
        <f t="shared" si="164"/>
        <v/>
      </c>
      <c r="H4744" s="70" t="str">
        <f t="shared" si="165"/>
        <v/>
      </c>
    </row>
    <row r="4745" spans="1:8">
      <c r="A4745" s="2"/>
      <c r="B4745" s="12"/>
      <c r="C4745" s="12"/>
      <c r="E4745" t="str">
        <f>IF(LEN(D4745)=0,"",[1]!i_pq_tradedays($B$3,A4746,A4745)-1)</f>
        <v/>
      </c>
      <c r="G4745" s="16" t="str">
        <f t="shared" si="164"/>
        <v/>
      </c>
      <c r="H4745" s="70" t="str">
        <f t="shared" si="165"/>
        <v/>
      </c>
    </row>
    <row r="4746" spans="1:8">
      <c r="A4746" s="2"/>
      <c r="B4746" s="12"/>
      <c r="C4746" s="12"/>
      <c r="E4746" t="str">
        <f>IF(LEN(D4746)=0,"",[1]!i_pq_tradedays($B$3,A4747,A4746)-1)</f>
        <v/>
      </c>
      <c r="G4746" s="16" t="str">
        <f t="shared" si="164"/>
        <v/>
      </c>
      <c r="H4746" s="70" t="str">
        <f t="shared" si="165"/>
        <v/>
      </c>
    </row>
    <row r="4747" spans="1:8">
      <c r="A4747" s="2"/>
      <c r="B4747" s="12"/>
      <c r="C4747" s="12"/>
      <c r="E4747" t="str">
        <f>IF(LEN(D4747)=0,"",[1]!i_pq_tradedays($B$3,A4748,A4747)-1)</f>
        <v/>
      </c>
      <c r="G4747" s="16" t="str">
        <f t="shared" si="164"/>
        <v/>
      </c>
      <c r="H4747" s="70" t="str">
        <f t="shared" si="165"/>
        <v/>
      </c>
    </row>
    <row r="4748" spans="1:8">
      <c r="A4748" s="2"/>
      <c r="B4748" s="12"/>
      <c r="C4748" s="12"/>
      <c r="E4748" t="str">
        <f>IF(LEN(D4748)=0,"",[1]!i_pq_tradedays($B$3,A4749,A4748)-1)</f>
        <v/>
      </c>
      <c r="G4748" s="16" t="str">
        <f t="shared" si="164"/>
        <v/>
      </c>
      <c r="H4748" s="70" t="str">
        <f t="shared" si="165"/>
        <v/>
      </c>
    </row>
    <row r="4749" spans="1:8">
      <c r="A4749" s="2"/>
      <c r="B4749" s="12"/>
      <c r="C4749" s="12"/>
      <c r="E4749" t="str">
        <f>IF(LEN(D4749)=0,"",[1]!i_pq_tradedays($B$3,A4750,A4749)-1)</f>
        <v/>
      </c>
      <c r="G4749" s="16" t="str">
        <f t="shared" si="164"/>
        <v/>
      </c>
      <c r="H4749" s="70" t="str">
        <f t="shared" si="165"/>
        <v/>
      </c>
    </row>
    <row r="4750" spans="1:8">
      <c r="A4750" s="2"/>
      <c r="B4750" s="12"/>
      <c r="C4750" s="12"/>
      <c r="E4750" t="str">
        <f>IF(LEN(D4750)=0,"",[1]!i_pq_tradedays($B$3,A4751,A4750)-1)</f>
        <v/>
      </c>
      <c r="G4750" s="16" t="str">
        <f t="shared" si="164"/>
        <v/>
      </c>
      <c r="H4750" s="70" t="str">
        <f t="shared" si="165"/>
        <v/>
      </c>
    </row>
    <row r="4751" spans="1:8">
      <c r="A4751" s="2"/>
      <c r="B4751" s="12"/>
      <c r="C4751" s="12"/>
      <c r="E4751" t="str">
        <f>IF(LEN(D4751)=0,"",[1]!i_pq_tradedays($B$3,A4752,A4751)-1)</f>
        <v/>
      </c>
      <c r="G4751" s="16" t="str">
        <f t="shared" si="164"/>
        <v/>
      </c>
      <c r="H4751" s="70" t="str">
        <f t="shared" si="165"/>
        <v/>
      </c>
    </row>
    <row r="4752" spans="1:8">
      <c r="A4752" s="2"/>
      <c r="B4752" s="12"/>
      <c r="C4752" s="12"/>
      <c r="E4752" t="str">
        <f>IF(LEN(D4752)=0,"",[1]!i_pq_tradedays($B$3,A4753,A4752)-1)</f>
        <v/>
      </c>
      <c r="G4752" s="16" t="str">
        <f t="shared" si="164"/>
        <v/>
      </c>
      <c r="H4752" s="70" t="str">
        <f t="shared" si="165"/>
        <v/>
      </c>
    </row>
    <row r="4753" spans="1:8">
      <c r="A4753" s="2"/>
      <c r="B4753" s="12"/>
      <c r="C4753" s="12"/>
      <c r="E4753" t="str">
        <f>IF(LEN(D4753)=0,"",[1]!i_pq_tradedays($B$3,A4754,A4753)-1)</f>
        <v/>
      </c>
      <c r="G4753" s="16" t="str">
        <f t="shared" si="164"/>
        <v/>
      </c>
      <c r="H4753" s="70" t="str">
        <f t="shared" si="165"/>
        <v/>
      </c>
    </row>
    <row r="4754" spans="1:8">
      <c r="A4754" s="2"/>
      <c r="B4754" s="12"/>
      <c r="C4754" s="12"/>
      <c r="E4754" t="str">
        <f>IF(LEN(D4754)=0,"",[1]!i_pq_tradedays($B$3,A4755,A4754)-1)</f>
        <v/>
      </c>
      <c r="G4754" s="16" t="str">
        <f t="shared" si="164"/>
        <v/>
      </c>
      <c r="H4754" s="70" t="str">
        <f t="shared" si="165"/>
        <v/>
      </c>
    </row>
    <row r="4755" spans="1:8">
      <c r="A4755" s="2"/>
      <c r="B4755" s="12"/>
      <c r="C4755" s="12"/>
      <c r="E4755" t="str">
        <f>IF(LEN(D4755)=0,"",[1]!i_pq_tradedays($B$3,A4756,A4755)-1)</f>
        <v/>
      </c>
      <c r="G4755" s="16" t="str">
        <f t="shared" si="164"/>
        <v/>
      </c>
      <c r="H4755" s="70" t="str">
        <f t="shared" si="165"/>
        <v/>
      </c>
    </row>
    <row r="4756" spans="1:8">
      <c r="A4756" s="2"/>
      <c r="B4756" s="12"/>
      <c r="C4756" s="12"/>
      <c r="E4756" t="str">
        <f>IF(LEN(D4756)=0,"",[1]!i_pq_tradedays($B$3,A4757,A4756)-1)</f>
        <v/>
      </c>
      <c r="G4756" s="16" t="str">
        <f t="shared" si="164"/>
        <v/>
      </c>
      <c r="H4756" s="70" t="str">
        <f t="shared" si="165"/>
        <v/>
      </c>
    </row>
    <row r="4757" spans="1:8">
      <c r="A4757" s="2"/>
      <c r="B4757" s="12"/>
      <c r="C4757" s="12"/>
      <c r="E4757" t="str">
        <f>IF(LEN(D4757)=0,"",[1]!i_pq_tradedays($B$3,A4758,A4757)-1)</f>
        <v/>
      </c>
      <c r="G4757" s="16" t="str">
        <f t="shared" si="164"/>
        <v/>
      </c>
      <c r="H4757" s="70" t="str">
        <f t="shared" si="165"/>
        <v/>
      </c>
    </row>
    <row r="4758" spans="1:8">
      <c r="A4758" s="2"/>
      <c r="B4758" s="12"/>
      <c r="C4758" s="12"/>
      <c r="E4758" t="str">
        <f>IF(LEN(D4758)=0,"",[1]!i_pq_tradedays($B$3,A4759,A4758)-1)</f>
        <v/>
      </c>
      <c r="G4758" s="16" t="str">
        <f t="shared" si="164"/>
        <v/>
      </c>
      <c r="H4758" s="70" t="str">
        <f t="shared" si="165"/>
        <v/>
      </c>
    </row>
    <row r="4759" spans="1:8">
      <c r="A4759" s="2"/>
      <c r="B4759" s="12"/>
      <c r="C4759" s="12"/>
      <c r="E4759" t="str">
        <f>IF(LEN(D4759)=0,"",[1]!i_pq_tradedays($B$3,A4760,A4759)-1)</f>
        <v/>
      </c>
      <c r="G4759" s="16" t="str">
        <f t="shared" si="164"/>
        <v/>
      </c>
      <c r="H4759" s="70" t="str">
        <f t="shared" si="165"/>
        <v/>
      </c>
    </row>
    <row r="4760" spans="1:8">
      <c r="A4760" s="2"/>
      <c r="B4760" s="12"/>
      <c r="C4760" s="12"/>
      <c r="E4760" t="str">
        <f>IF(LEN(D4760)=0,"",[1]!i_pq_tradedays($B$3,A4761,A4760)-1)</f>
        <v/>
      </c>
      <c r="G4760" s="16" t="str">
        <f t="shared" si="164"/>
        <v/>
      </c>
      <c r="H4760" s="70" t="str">
        <f t="shared" si="165"/>
        <v/>
      </c>
    </row>
    <row r="4761" spans="1:8">
      <c r="A4761" s="2"/>
      <c r="B4761" s="12"/>
      <c r="C4761" s="12"/>
      <c r="E4761" t="str">
        <f>IF(LEN(D4761)=0,"",[1]!i_pq_tradedays($B$3,A4762,A4761)-1)</f>
        <v/>
      </c>
      <c r="G4761" s="16" t="str">
        <f t="shared" si="164"/>
        <v/>
      </c>
      <c r="H4761" s="70" t="str">
        <f t="shared" si="165"/>
        <v/>
      </c>
    </row>
    <row r="4762" spans="1:8">
      <c r="A4762" s="2"/>
      <c r="B4762" s="12"/>
      <c r="C4762" s="12"/>
      <c r="E4762" t="str">
        <f>IF(LEN(D4762)=0,"",[1]!i_pq_tradedays($B$3,A4763,A4762)-1)</f>
        <v/>
      </c>
      <c r="G4762" s="16" t="str">
        <f t="shared" si="164"/>
        <v/>
      </c>
      <c r="H4762" s="70" t="str">
        <f t="shared" si="165"/>
        <v/>
      </c>
    </row>
    <row r="4763" spans="1:8">
      <c r="A4763" s="2"/>
      <c r="B4763" s="12"/>
      <c r="C4763" s="12"/>
      <c r="E4763" t="str">
        <f>IF(LEN(D4763)=0,"",[1]!i_pq_tradedays($B$3,A4764,A4763)-1)</f>
        <v/>
      </c>
      <c r="G4763" s="16" t="str">
        <f t="shared" si="164"/>
        <v/>
      </c>
      <c r="H4763" s="70" t="str">
        <f t="shared" si="165"/>
        <v/>
      </c>
    </row>
    <row r="4764" spans="1:8">
      <c r="A4764" s="2"/>
      <c r="B4764" s="12"/>
      <c r="C4764" s="12"/>
      <c r="E4764" t="str">
        <f>IF(LEN(D4764)=0,"",[1]!i_pq_tradedays($B$3,A4765,A4764)-1)</f>
        <v/>
      </c>
      <c r="G4764" s="16" t="str">
        <f t="shared" si="164"/>
        <v/>
      </c>
      <c r="H4764" s="70" t="str">
        <f t="shared" si="165"/>
        <v/>
      </c>
    </row>
    <row r="4765" spans="1:8">
      <c r="A4765" s="2"/>
      <c r="B4765" s="12"/>
      <c r="C4765" s="12"/>
      <c r="E4765" t="str">
        <f>IF(LEN(D4765)=0,"",[1]!i_pq_tradedays($B$3,A4766,A4765)-1)</f>
        <v/>
      </c>
      <c r="G4765" s="16" t="str">
        <f t="shared" si="164"/>
        <v/>
      </c>
      <c r="H4765" s="70" t="str">
        <f t="shared" si="165"/>
        <v/>
      </c>
    </row>
    <row r="4766" spans="1:8">
      <c r="A4766" s="2"/>
      <c r="B4766" s="12"/>
      <c r="C4766" s="12"/>
      <c r="E4766" t="str">
        <f>IF(LEN(D4766)=0,"",[1]!i_pq_tradedays($B$3,A4767,A4766)-1)</f>
        <v/>
      </c>
      <c r="G4766" s="16" t="str">
        <f t="shared" si="164"/>
        <v/>
      </c>
      <c r="H4766" s="70" t="str">
        <f t="shared" si="165"/>
        <v/>
      </c>
    </row>
    <row r="4767" spans="1:8">
      <c r="A4767" s="2"/>
      <c r="B4767" s="12"/>
      <c r="C4767" s="12"/>
      <c r="E4767" t="str">
        <f>IF(LEN(D4767)=0,"",[1]!i_pq_tradedays($B$3,A4768,A4767)-1)</f>
        <v/>
      </c>
      <c r="G4767" s="16" t="str">
        <f t="shared" si="164"/>
        <v/>
      </c>
      <c r="H4767" s="70" t="str">
        <f t="shared" si="165"/>
        <v/>
      </c>
    </row>
    <row r="4768" spans="1:8">
      <c r="A4768" s="2"/>
      <c r="B4768" s="12"/>
      <c r="C4768" s="12"/>
      <c r="E4768" t="str">
        <f>IF(LEN(D4768)=0,"",[1]!i_pq_tradedays($B$3,A4769,A4768)-1)</f>
        <v/>
      </c>
      <c r="G4768" s="16" t="str">
        <f t="shared" si="164"/>
        <v/>
      </c>
      <c r="H4768" s="70" t="str">
        <f t="shared" si="165"/>
        <v/>
      </c>
    </row>
    <row r="4769" spans="1:8">
      <c r="A4769" s="2"/>
      <c r="B4769" s="12"/>
      <c r="C4769" s="12"/>
      <c r="E4769" t="str">
        <f>IF(LEN(D4769)=0,"",[1]!i_pq_tradedays($B$3,A4770,A4769)-1)</f>
        <v/>
      </c>
      <c r="G4769" s="16" t="str">
        <f t="shared" si="164"/>
        <v/>
      </c>
      <c r="H4769" s="70" t="str">
        <f t="shared" si="165"/>
        <v/>
      </c>
    </row>
    <row r="4770" spans="1:8">
      <c r="A4770" s="2"/>
      <c r="B4770" s="12"/>
      <c r="C4770" s="12"/>
      <c r="E4770" t="str">
        <f>IF(LEN(D4770)=0,"",[1]!i_pq_tradedays($B$3,A4771,A4770)-1)</f>
        <v/>
      </c>
      <c r="G4770" s="16" t="str">
        <f t="shared" si="164"/>
        <v/>
      </c>
      <c r="H4770" s="70" t="str">
        <f t="shared" si="165"/>
        <v/>
      </c>
    </row>
    <row r="4771" spans="1:8">
      <c r="A4771" s="2"/>
      <c r="B4771" s="12"/>
      <c r="C4771" s="12"/>
      <c r="E4771" t="str">
        <f>IF(LEN(D4771)=0,"",[1]!i_pq_tradedays($B$3,A4772,A4771)-1)</f>
        <v/>
      </c>
      <c r="G4771" s="16" t="str">
        <f t="shared" si="164"/>
        <v/>
      </c>
      <c r="H4771" s="70" t="str">
        <f t="shared" si="165"/>
        <v/>
      </c>
    </row>
    <row r="4772" spans="1:8">
      <c r="A4772" s="2"/>
      <c r="B4772" s="12"/>
      <c r="C4772" s="12"/>
      <c r="E4772" t="str">
        <f>IF(LEN(D4772)=0,"",[1]!i_pq_tradedays($B$3,A4773,A4772)-1)</f>
        <v/>
      </c>
      <c r="G4772" s="16" t="str">
        <f t="shared" si="164"/>
        <v/>
      </c>
      <c r="H4772" s="70" t="str">
        <f t="shared" si="165"/>
        <v/>
      </c>
    </row>
    <row r="4773" spans="1:8">
      <c r="A4773" s="2"/>
      <c r="B4773" s="12"/>
      <c r="C4773" s="12"/>
      <c r="E4773" t="str">
        <f>IF(LEN(D4773)=0,"",[1]!i_pq_tradedays($B$3,A4774,A4773)-1)</f>
        <v/>
      </c>
      <c r="G4773" s="16" t="str">
        <f t="shared" si="164"/>
        <v/>
      </c>
      <c r="H4773" s="70" t="str">
        <f t="shared" si="165"/>
        <v/>
      </c>
    </row>
    <row r="4774" spans="1:8">
      <c r="A4774" s="2"/>
      <c r="B4774" s="12"/>
      <c r="C4774" s="12"/>
      <c r="E4774" t="str">
        <f>IF(LEN(D4774)=0,"",[1]!i_pq_tradedays($B$3,A4775,A4774)-1)</f>
        <v/>
      </c>
      <c r="G4774" s="16" t="str">
        <f t="shared" si="164"/>
        <v/>
      </c>
      <c r="H4774" s="70" t="str">
        <f t="shared" si="165"/>
        <v/>
      </c>
    </row>
    <row r="4775" spans="1:8">
      <c r="A4775" s="2"/>
      <c r="B4775" s="12"/>
      <c r="C4775" s="12"/>
      <c r="E4775" t="str">
        <f>IF(LEN(D4775)=0,"",[1]!i_pq_tradedays($B$3,A4776,A4775)-1)</f>
        <v/>
      </c>
      <c r="G4775" s="16" t="str">
        <f t="shared" si="164"/>
        <v/>
      </c>
      <c r="H4775" s="70" t="str">
        <f t="shared" si="165"/>
        <v/>
      </c>
    </row>
    <row r="4776" spans="1:8">
      <c r="A4776" s="2"/>
      <c r="B4776" s="12"/>
      <c r="C4776" s="12"/>
      <c r="E4776" t="str">
        <f>IF(LEN(D4776)=0,"",[1]!i_pq_tradedays($B$3,A4777,A4776)-1)</f>
        <v/>
      </c>
      <c r="G4776" s="16" t="str">
        <f t="shared" si="164"/>
        <v/>
      </c>
      <c r="H4776" s="70" t="str">
        <f t="shared" si="165"/>
        <v/>
      </c>
    </row>
    <row r="4777" spans="1:8">
      <c r="A4777" s="2"/>
      <c r="B4777" s="12"/>
      <c r="C4777" s="12"/>
      <c r="E4777" t="str">
        <f>IF(LEN(D4777)=0,"",[1]!i_pq_tradedays($B$3,A4778,A4777)-1)</f>
        <v/>
      </c>
      <c r="G4777" s="16" t="str">
        <f t="shared" si="164"/>
        <v/>
      </c>
      <c r="H4777" s="70" t="str">
        <f t="shared" si="165"/>
        <v/>
      </c>
    </row>
    <row r="4778" spans="1:8">
      <c r="A4778" s="2"/>
      <c r="B4778" s="12"/>
      <c r="C4778" s="12"/>
      <c r="E4778" t="str">
        <f>IF(LEN(D4778)=0,"",[1]!i_pq_tradedays($B$3,A4779,A4778)-1)</f>
        <v/>
      </c>
      <c r="G4778" s="16" t="str">
        <f t="shared" si="164"/>
        <v/>
      </c>
      <c r="H4778" s="70" t="str">
        <f t="shared" si="165"/>
        <v/>
      </c>
    </row>
    <row r="4779" spans="1:8">
      <c r="A4779" s="2"/>
      <c r="B4779" s="12"/>
      <c r="C4779" s="12"/>
      <c r="E4779" t="str">
        <f>IF(LEN(D4779)=0,"",[1]!i_pq_tradedays($B$3,A4780,A4779)-1)</f>
        <v/>
      </c>
      <c r="G4779" s="16" t="str">
        <f t="shared" si="164"/>
        <v/>
      </c>
      <c r="H4779" s="70" t="str">
        <f t="shared" si="165"/>
        <v/>
      </c>
    </row>
    <row r="4780" spans="1:8">
      <c r="A4780" s="2"/>
      <c r="B4780" s="12"/>
      <c r="C4780" s="12"/>
      <c r="E4780" t="str">
        <f>IF(LEN(D4780)=0,"",[1]!i_pq_tradedays($B$3,A4781,A4780)-1)</f>
        <v/>
      </c>
      <c r="G4780" s="16" t="str">
        <f t="shared" si="164"/>
        <v/>
      </c>
      <c r="H4780" s="70" t="str">
        <f t="shared" si="165"/>
        <v/>
      </c>
    </row>
    <row r="4781" spans="1:8">
      <c r="A4781" s="2"/>
      <c r="B4781" s="12"/>
      <c r="C4781" s="12"/>
      <c r="E4781" t="str">
        <f>IF(LEN(D4781)=0,"",[1]!i_pq_tradedays($B$3,A4782,A4781)-1)</f>
        <v/>
      </c>
      <c r="G4781" s="16" t="str">
        <f t="shared" si="164"/>
        <v/>
      </c>
      <c r="H4781" s="70" t="str">
        <f t="shared" si="165"/>
        <v/>
      </c>
    </row>
    <row r="4782" spans="1:8">
      <c r="A4782" s="2"/>
      <c r="B4782" s="12"/>
      <c r="C4782" s="12"/>
      <c r="E4782" t="str">
        <f>IF(LEN(D4782)=0,"",[1]!i_pq_tradedays($B$3,A4783,A4782)-1)</f>
        <v/>
      </c>
      <c r="G4782" s="16" t="str">
        <f t="shared" si="164"/>
        <v/>
      </c>
      <c r="H4782" s="70" t="str">
        <f t="shared" si="165"/>
        <v/>
      </c>
    </row>
    <row r="4783" spans="1:8">
      <c r="A4783" s="2"/>
      <c r="B4783" s="12"/>
      <c r="C4783" s="12"/>
      <c r="E4783" t="str">
        <f>IF(LEN(D4783)=0,"",[1]!i_pq_tradedays($B$3,A4784,A4783)-1)</f>
        <v/>
      </c>
      <c r="G4783" s="16" t="str">
        <f t="shared" si="164"/>
        <v/>
      </c>
      <c r="H4783" s="70" t="str">
        <f t="shared" si="165"/>
        <v/>
      </c>
    </row>
    <row r="4784" spans="1:8">
      <c r="A4784" s="2"/>
      <c r="B4784" s="12"/>
      <c r="C4784" s="12"/>
      <c r="E4784" t="str">
        <f>IF(LEN(D4784)=0,"",[1]!i_pq_tradedays($B$3,A4785,A4784)-1)</f>
        <v/>
      </c>
      <c r="G4784" s="16" t="str">
        <f t="shared" si="164"/>
        <v/>
      </c>
      <c r="H4784" s="70" t="str">
        <f t="shared" si="165"/>
        <v/>
      </c>
    </row>
    <row r="4785" spans="1:8">
      <c r="A4785" s="2"/>
      <c r="B4785" s="12"/>
      <c r="C4785" s="12"/>
      <c r="E4785" t="str">
        <f>IF(LEN(D4785)=0,"",[1]!i_pq_tradedays($B$3,A4786,A4785)-1)</f>
        <v/>
      </c>
      <c r="G4785" s="16" t="str">
        <f t="shared" si="164"/>
        <v/>
      </c>
      <c r="H4785" s="70" t="str">
        <f t="shared" si="165"/>
        <v/>
      </c>
    </row>
    <row r="4786" spans="1:8">
      <c r="A4786" s="2"/>
      <c r="B4786" s="12"/>
      <c r="C4786" s="12"/>
      <c r="E4786" t="str">
        <f>IF(LEN(D4786)=0,"",[1]!i_pq_tradedays($B$3,A4787,A4786)-1)</f>
        <v/>
      </c>
      <c r="G4786" s="16" t="str">
        <f t="shared" si="164"/>
        <v/>
      </c>
      <c r="H4786" s="70" t="str">
        <f t="shared" si="165"/>
        <v/>
      </c>
    </row>
    <row r="4787" spans="1:8">
      <c r="A4787" s="2"/>
      <c r="B4787" s="12"/>
      <c r="C4787" s="12"/>
      <c r="E4787" t="str">
        <f>IF(LEN(D4787)=0,"",[1]!i_pq_tradedays($B$3,A4788,A4787)-1)</f>
        <v/>
      </c>
      <c r="G4787" s="16" t="str">
        <f t="shared" si="164"/>
        <v/>
      </c>
      <c r="H4787" s="70" t="str">
        <f t="shared" si="165"/>
        <v/>
      </c>
    </row>
    <row r="4788" spans="1:8">
      <c r="A4788" s="2"/>
      <c r="B4788" s="12"/>
      <c r="C4788" s="12"/>
      <c r="E4788" t="str">
        <f>IF(LEN(D4788)=0,"",[1]!i_pq_tradedays($B$3,A4789,A4788)-1)</f>
        <v/>
      </c>
      <c r="G4788" s="16" t="str">
        <f t="shared" si="164"/>
        <v/>
      </c>
      <c r="H4788" s="70" t="str">
        <f t="shared" si="165"/>
        <v/>
      </c>
    </row>
    <row r="4789" spans="1:8">
      <c r="A4789" s="2"/>
      <c r="B4789" s="12"/>
      <c r="C4789" s="12"/>
      <c r="E4789" t="str">
        <f>IF(LEN(D4789)=0,"",[1]!i_pq_tradedays($B$3,A4790,A4789)-1)</f>
        <v/>
      </c>
      <c r="G4789" s="16" t="str">
        <f t="shared" ref="G4789:G4852" si="166">IF(LEN(D4789)=0,"",D4789/E4789)</f>
        <v/>
      </c>
      <c r="H4789" s="70" t="str">
        <f t="shared" ref="H4789:H4852" si="167">IF(LEN(D4789)=0,"",G4789/G4790-1)</f>
        <v/>
      </c>
    </row>
    <row r="4790" spans="1:8">
      <c r="A4790" s="2"/>
      <c r="B4790" s="12"/>
      <c r="C4790" s="12"/>
      <c r="E4790" t="str">
        <f>IF(LEN(D4790)=0,"",[1]!i_pq_tradedays($B$3,A4791,A4790)-1)</f>
        <v/>
      </c>
      <c r="G4790" s="16" t="str">
        <f t="shared" si="166"/>
        <v/>
      </c>
      <c r="H4790" s="70" t="str">
        <f t="shared" si="167"/>
        <v/>
      </c>
    </row>
    <row r="4791" spans="1:8">
      <c r="A4791" s="2"/>
      <c r="B4791" s="12"/>
      <c r="C4791" s="12"/>
      <c r="E4791" t="str">
        <f>IF(LEN(D4791)=0,"",[1]!i_pq_tradedays($B$3,A4792,A4791)-1)</f>
        <v/>
      </c>
      <c r="G4791" s="16" t="str">
        <f t="shared" si="166"/>
        <v/>
      </c>
      <c r="H4791" s="70" t="str">
        <f t="shared" si="167"/>
        <v/>
      </c>
    </row>
    <row r="4792" spans="1:8">
      <c r="A4792" s="2"/>
      <c r="B4792" s="12"/>
      <c r="C4792" s="12"/>
      <c r="E4792" t="str">
        <f>IF(LEN(D4792)=0,"",[1]!i_pq_tradedays($B$3,A4793,A4792)-1)</f>
        <v/>
      </c>
      <c r="G4792" s="16" t="str">
        <f t="shared" si="166"/>
        <v/>
      </c>
      <c r="H4792" s="70" t="str">
        <f t="shared" si="167"/>
        <v/>
      </c>
    </row>
    <row r="4793" spans="1:8">
      <c r="A4793" s="2"/>
      <c r="B4793" s="12"/>
      <c r="C4793" s="12"/>
      <c r="E4793" t="str">
        <f>IF(LEN(D4793)=0,"",[1]!i_pq_tradedays($B$3,A4794,A4793)-1)</f>
        <v/>
      </c>
      <c r="G4793" s="16" t="str">
        <f t="shared" si="166"/>
        <v/>
      </c>
      <c r="H4793" s="70" t="str">
        <f t="shared" si="167"/>
        <v/>
      </c>
    </row>
    <row r="4794" spans="1:8">
      <c r="A4794" s="2"/>
      <c r="B4794" s="12"/>
      <c r="C4794" s="12"/>
      <c r="E4794" t="str">
        <f>IF(LEN(D4794)=0,"",[1]!i_pq_tradedays($B$3,A4795,A4794)-1)</f>
        <v/>
      </c>
      <c r="G4794" s="16" t="str">
        <f t="shared" si="166"/>
        <v/>
      </c>
      <c r="H4794" s="70" t="str">
        <f t="shared" si="167"/>
        <v/>
      </c>
    </row>
    <row r="4795" spans="1:8">
      <c r="A4795" s="2"/>
      <c r="B4795" s="12"/>
      <c r="C4795" s="12"/>
      <c r="E4795" t="str">
        <f>IF(LEN(D4795)=0,"",[1]!i_pq_tradedays($B$3,A4796,A4795)-1)</f>
        <v/>
      </c>
      <c r="G4795" s="16" t="str">
        <f t="shared" si="166"/>
        <v/>
      </c>
      <c r="H4795" s="70" t="str">
        <f t="shared" si="167"/>
        <v/>
      </c>
    </row>
    <row r="4796" spans="1:8">
      <c r="A4796" s="2"/>
      <c r="B4796" s="12"/>
      <c r="C4796" s="12"/>
      <c r="E4796" t="str">
        <f>IF(LEN(D4796)=0,"",[1]!i_pq_tradedays($B$3,A4797,A4796)-1)</f>
        <v/>
      </c>
      <c r="G4796" s="16" t="str">
        <f t="shared" si="166"/>
        <v/>
      </c>
      <c r="H4796" s="70" t="str">
        <f t="shared" si="167"/>
        <v/>
      </c>
    </row>
    <row r="4797" spans="1:8">
      <c r="A4797" s="2"/>
      <c r="B4797" s="12"/>
      <c r="C4797" s="12"/>
      <c r="E4797" t="str">
        <f>IF(LEN(D4797)=0,"",[1]!i_pq_tradedays($B$3,A4798,A4797)-1)</f>
        <v/>
      </c>
      <c r="G4797" s="16" t="str">
        <f t="shared" si="166"/>
        <v/>
      </c>
      <c r="H4797" s="70" t="str">
        <f t="shared" si="167"/>
        <v/>
      </c>
    </row>
    <row r="4798" spans="1:8">
      <c r="A4798" s="2"/>
      <c r="B4798" s="12"/>
      <c r="C4798" s="12"/>
      <c r="E4798" t="str">
        <f>IF(LEN(D4798)=0,"",[1]!i_pq_tradedays($B$3,A4799,A4798)-1)</f>
        <v/>
      </c>
      <c r="G4798" s="16" t="str">
        <f t="shared" si="166"/>
        <v/>
      </c>
      <c r="H4798" s="70" t="str">
        <f t="shared" si="167"/>
        <v/>
      </c>
    </row>
    <row r="4799" spans="1:8">
      <c r="A4799" s="2"/>
      <c r="B4799" s="12"/>
      <c r="C4799" s="12"/>
      <c r="E4799" t="str">
        <f>IF(LEN(D4799)=0,"",[1]!i_pq_tradedays($B$3,A4800,A4799)-1)</f>
        <v/>
      </c>
      <c r="G4799" s="16" t="str">
        <f t="shared" si="166"/>
        <v/>
      </c>
      <c r="H4799" s="70" t="str">
        <f t="shared" si="167"/>
        <v/>
      </c>
    </row>
    <row r="4800" spans="1:8">
      <c r="A4800" s="2"/>
      <c r="B4800" s="12"/>
      <c r="C4800" s="12"/>
      <c r="E4800" t="str">
        <f>IF(LEN(D4800)=0,"",[1]!i_pq_tradedays($B$3,A4801,A4800)-1)</f>
        <v/>
      </c>
      <c r="G4800" s="16" t="str">
        <f t="shared" si="166"/>
        <v/>
      </c>
      <c r="H4800" s="70" t="str">
        <f t="shared" si="167"/>
        <v/>
      </c>
    </row>
    <row r="4801" spans="1:8">
      <c r="A4801" s="2"/>
      <c r="B4801" s="12"/>
      <c r="C4801" s="12"/>
      <c r="E4801" t="str">
        <f>IF(LEN(D4801)=0,"",[1]!i_pq_tradedays($B$3,A4802,A4801)-1)</f>
        <v/>
      </c>
      <c r="G4801" s="16" t="str">
        <f t="shared" si="166"/>
        <v/>
      </c>
      <c r="H4801" s="70" t="str">
        <f t="shared" si="167"/>
        <v/>
      </c>
    </row>
    <row r="4802" spans="1:8">
      <c r="A4802" s="2"/>
      <c r="B4802" s="12"/>
      <c r="C4802" s="12"/>
      <c r="E4802" t="str">
        <f>IF(LEN(D4802)=0,"",[1]!i_pq_tradedays($B$3,A4803,A4802)-1)</f>
        <v/>
      </c>
      <c r="G4802" s="16" t="str">
        <f t="shared" si="166"/>
        <v/>
      </c>
      <c r="H4802" s="70" t="str">
        <f t="shared" si="167"/>
        <v/>
      </c>
    </row>
    <row r="4803" spans="1:8">
      <c r="A4803" s="2"/>
      <c r="B4803" s="12"/>
      <c r="C4803" s="12"/>
      <c r="E4803" t="str">
        <f>IF(LEN(D4803)=0,"",[1]!i_pq_tradedays($B$3,A4804,A4803)-1)</f>
        <v/>
      </c>
      <c r="G4803" s="16" t="str">
        <f t="shared" si="166"/>
        <v/>
      </c>
      <c r="H4803" s="70" t="str">
        <f t="shared" si="167"/>
        <v/>
      </c>
    </row>
    <row r="4804" spans="1:8">
      <c r="A4804" s="2"/>
      <c r="B4804" s="12"/>
      <c r="C4804" s="12"/>
      <c r="E4804" t="str">
        <f>IF(LEN(D4804)=0,"",[1]!i_pq_tradedays($B$3,A4805,A4804)-1)</f>
        <v/>
      </c>
      <c r="G4804" s="16" t="str">
        <f t="shared" si="166"/>
        <v/>
      </c>
      <c r="H4804" s="70" t="str">
        <f t="shared" si="167"/>
        <v/>
      </c>
    </row>
    <row r="4805" spans="1:8">
      <c r="A4805" s="2"/>
      <c r="B4805" s="12"/>
      <c r="C4805" s="12"/>
      <c r="E4805" t="str">
        <f>IF(LEN(D4805)=0,"",[1]!i_pq_tradedays($B$3,A4806,A4805)-1)</f>
        <v/>
      </c>
      <c r="G4805" s="16" t="str">
        <f t="shared" si="166"/>
        <v/>
      </c>
      <c r="H4805" s="70" t="str">
        <f t="shared" si="167"/>
        <v/>
      </c>
    </row>
    <row r="4806" spans="1:8">
      <c r="A4806" s="2"/>
      <c r="B4806" s="12"/>
      <c r="C4806" s="12"/>
      <c r="E4806" t="str">
        <f>IF(LEN(D4806)=0,"",[1]!i_pq_tradedays($B$3,A4807,A4806)-1)</f>
        <v/>
      </c>
      <c r="G4806" s="16" t="str">
        <f t="shared" si="166"/>
        <v/>
      </c>
      <c r="H4806" s="70" t="str">
        <f t="shared" si="167"/>
        <v/>
      </c>
    </row>
    <row r="4807" spans="1:8">
      <c r="A4807" s="2"/>
      <c r="B4807" s="12"/>
      <c r="C4807" s="12"/>
      <c r="E4807" t="str">
        <f>IF(LEN(D4807)=0,"",[1]!i_pq_tradedays($B$3,A4808,A4807)-1)</f>
        <v/>
      </c>
      <c r="G4807" s="16" t="str">
        <f t="shared" si="166"/>
        <v/>
      </c>
      <c r="H4807" s="70" t="str">
        <f t="shared" si="167"/>
        <v/>
      </c>
    </row>
    <row r="4808" spans="1:8">
      <c r="A4808" s="2"/>
      <c r="B4808" s="12"/>
      <c r="C4808" s="12"/>
      <c r="E4808" t="str">
        <f>IF(LEN(D4808)=0,"",[1]!i_pq_tradedays($B$3,A4809,A4808)-1)</f>
        <v/>
      </c>
      <c r="G4808" s="16" t="str">
        <f t="shared" si="166"/>
        <v/>
      </c>
      <c r="H4808" s="70" t="str">
        <f t="shared" si="167"/>
        <v/>
      </c>
    </row>
    <row r="4809" spans="1:8">
      <c r="A4809" s="2"/>
      <c r="B4809" s="12"/>
      <c r="C4809" s="12"/>
      <c r="E4809" t="str">
        <f>IF(LEN(D4809)=0,"",[1]!i_pq_tradedays($B$3,A4810,A4809)-1)</f>
        <v/>
      </c>
      <c r="G4809" s="16" t="str">
        <f t="shared" si="166"/>
        <v/>
      </c>
      <c r="H4809" s="70" t="str">
        <f t="shared" si="167"/>
        <v/>
      </c>
    </row>
    <row r="4810" spans="1:8">
      <c r="A4810" s="2"/>
      <c r="B4810" s="12"/>
      <c r="C4810" s="12"/>
      <c r="E4810" t="str">
        <f>IF(LEN(D4810)=0,"",[1]!i_pq_tradedays($B$3,A4811,A4810)-1)</f>
        <v/>
      </c>
      <c r="G4810" s="16" t="str">
        <f t="shared" si="166"/>
        <v/>
      </c>
      <c r="H4810" s="70" t="str">
        <f t="shared" si="167"/>
        <v/>
      </c>
    </row>
    <row r="4811" spans="1:8">
      <c r="A4811" s="2"/>
      <c r="B4811" s="12"/>
      <c r="C4811" s="12"/>
      <c r="E4811" t="str">
        <f>IF(LEN(D4811)=0,"",[1]!i_pq_tradedays($B$3,A4812,A4811)-1)</f>
        <v/>
      </c>
      <c r="G4811" s="16" t="str">
        <f t="shared" si="166"/>
        <v/>
      </c>
      <c r="H4811" s="70" t="str">
        <f t="shared" si="167"/>
        <v/>
      </c>
    </row>
    <row r="4812" spans="1:8">
      <c r="A4812" s="2"/>
      <c r="B4812" s="12"/>
      <c r="C4812" s="12"/>
      <c r="E4812" t="str">
        <f>IF(LEN(D4812)=0,"",[1]!i_pq_tradedays($B$3,A4813,A4812)-1)</f>
        <v/>
      </c>
      <c r="G4812" s="16" t="str">
        <f t="shared" si="166"/>
        <v/>
      </c>
      <c r="H4812" s="70" t="str">
        <f t="shared" si="167"/>
        <v/>
      </c>
    </row>
    <row r="4813" spans="1:8">
      <c r="A4813" s="2"/>
      <c r="B4813" s="12"/>
      <c r="C4813" s="12"/>
      <c r="E4813" t="str">
        <f>IF(LEN(D4813)=0,"",[1]!i_pq_tradedays($B$3,A4814,A4813)-1)</f>
        <v/>
      </c>
      <c r="G4813" s="16" t="str">
        <f t="shared" si="166"/>
        <v/>
      </c>
      <c r="H4813" s="70" t="str">
        <f t="shared" si="167"/>
        <v/>
      </c>
    </row>
    <row r="4814" spans="1:8">
      <c r="A4814" s="2"/>
      <c r="B4814" s="12"/>
      <c r="C4814" s="12"/>
      <c r="E4814" t="str">
        <f>IF(LEN(D4814)=0,"",[1]!i_pq_tradedays($B$3,A4815,A4814)-1)</f>
        <v/>
      </c>
      <c r="G4814" s="16" t="str">
        <f t="shared" si="166"/>
        <v/>
      </c>
      <c r="H4814" s="70" t="str">
        <f t="shared" si="167"/>
        <v/>
      </c>
    </row>
    <row r="4815" spans="1:8">
      <c r="A4815" s="2"/>
      <c r="B4815" s="12"/>
      <c r="C4815" s="12"/>
      <c r="E4815" t="str">
        <f>IF(LEN(D4815)=0,"",[1]!i_pq_tradedays($B$3,A4816,A4815)-1)</f>
        <v/>
      </c>
      <c r="G4815" s="16" t="str">
        <f t="shared" si="166"/>
        <v/>
      </c>
      <c r="H4815" s="70" t="str">
        <f t="shared" si="167"/>
        <v/>
      </c>
    </row>
    <row r="4816" spans="1:8">
      <c r="A4816" s="2"/>
      <c r="B4816" s="12"/>
      <c r="C4816" s="12"/>
      <c r="E4816" t="str">
        <f>IF(LEN(D4816)=0,"",[1]!i_pq_tradedays($B$3,A4817,A4816)-1)</f>
        <v/>
      </c>
      <c r="G4816" s="16" t="str">
        <f t="shared" si="166"/>
        <v/>
      </c>
      <c r="H4816" s="70" t="str">
        <f t="shared" si="167"/>
        <v/>
      </c>
    </row>
    <row r="4817" spans="1:8">
      <c r="A4817" s="2"/>
      <c r="B4817" s="12"/>
      <c r="C4817" s="12"/>
      <c r="E4817" t="str">
        <f>IF(LEN(D4817)=0,"",[1]!i_pq_tradedays($B$3,A4818,A4817)-1)</f>
        <v/>
      </c>
      <c r="G4817" s="16" t="str">
        <f t="shared" si="166"/>
        <v/>
      </c>
      <c r="H4817" s="70" t="str">
        <f t="shared" si="167"/>
        <v/>
      </c>
    </row>
    <row r="4818" spans="1:8">
      <c r="A4818" s="2"/>
      <c r="B4818" s="12"/>
      <c r="C4818" s="12"/>
      <c r="E4818" t="str">
        <f>IF(LEN(D4818)=0,"",[1]!i_pq_tradedays($B$3,A4819,A4818)-1)</f>
        <v/>
      </c>
      <c r="G4818" s="16" t="str">
        <f t="shared" si="166"/>
        <v/>
      </c>
      <c r="H4818" s="70" t="str">
        <f t="shared" si="167"/>
        <v/>
      </c>
    </row>
    <row r="4819" spans="1:8">
      <c r="A4819" s="2"/>
      <c r="B4819" s="12"/>
      <c r="C4819" s="12"/>
      <c r="E4819" t="str">
        <f>IF(LEN(D4819)=0,"",[1]!i_pq_tradedays($B$3,A4820,A4819)-1)</f>
        <v/>
      </c>
      <c r="G4819" s="16" t="str">
        <f t="shared" si="166"/>
        <v/>
      </c>
      <c r="H4819" s="70" t="str">
        <f t="shared" si="167"/>
        <v/>
      </c>
    </row>
    <row r="4820" spans="1:8">
      <c r="A4820" s="2"/>
      <c r="B4820" s="12"/>
      <c r="C4820" s="12"/>
      <c r="E4820" t="str">
        <f>IF(LEN(D4820)=0,"",[1]!i_pq_tradedays($B$3,A4821,A4820)-1)</f>
        <v/>
      </c>
      <c r="G4820" s="16" t="str">
        <f t="shared" si="166"/>
        <v/>
      </c>
      <c r="H4820" s="70" t="str">
        <f t="shared" si="167"/>
        <v/>
      </c>
    </row>
    <row r="4821" spans="1:8">
      <c r="A4821" s="2"/>
      <c r="B4821" s="12"/>
      <c r="C4821" s="12"/>
      <c r="E4821" t="str">
        <f>IF(LEN(D4821)=0,"",[1]!i_pq_tradedays($B$3,A4822,A4821)-1)</f>
        <v/>
      </c>
      <c r="G4821" s="16" t="str">
        <f t="shared" si="166"/>
        <v/>
      </c>
      <c r="H4821" s="70" t="str">
        <f t="shared" si="167"/>
        <v/>
      </c>
    </row>
    <row r="4822" spans="1:8">
      <c r="A4822" s="2"/>
      <c r="B4822" s="12"/>
      <c r="C4822" s="12"/>
      <c r="E4822" t="str">
        <f>IF(LEN(D4822)=0,"",[1]!i_pq_tradedays($B$3,A4823,A4822)-1)</f>
        <v/>
      </c>
      <c r="G4822" s="16" t="str">
        <f t="shared" si="166"/>
        <v/>
      </c>
      <c r="H4822" s="70" t="str">
        <f t="shared" si="167"/>
        <v/>
      </c>
    </row>
    <row r="4823" spans="1:8">
      <c r="A4823" s="2"/>
      <c r="B4823" s="12"/>
      <c r="C4823" s="12"/>
      <c r="E4823" t="str">
        <f>IF(LEN(D4823)=0,"",[1]!i_pq_tradedays($B$3,A4824,A4823)-1)</f>
        <v/>
      </c>
      <c r="G4823" s="16" t="str">
        <f t="shared" si="166"/>
        <v/>
      </c>
      <c r="H4823" s="70" t="str">
        <f t="shared" si="167"/>
        <v/>
      </c>
    </row>
    <row r="4824" spans="1:8">
      <c r="A4824" s="2"/>
      <c r="B4824" s="12"/>
      <c r="C4824" s="12"/>
      <c r="E4824" t="str">
        <f>IF(LEN(D4824)=0,"",[1]!i_pq_tradedays($B$3,A4825,A4824)-1)</f>
        <v/>
      </c>
      <c r="G4824" s="16" t="str">
        <f t="shared" si="166"/>
        <v/>
      </c>
      <c r="H4824" s="70" t="str">
        <f t="shared" si="167"/>
        <v/>
      </c>
    </row>
    <row r="4825" spans="1:8">
      <c r="A4825" s="2"/>
      <c r="B4825" s="12"/>
      <c r="C4825" s="12"/>
      <c r="E4825" t="str">
        <f>IF(LEN(D4825)=0,"",[1]!i_pq_tradedays($B$3,A4826,A4825)-1)</f>
        <v/>
      </c>
      <c r="G4825" s="16" t="str">
        <f t="shared" si="166"/>
        <v/>
      </c>
      <c r="H4825" s="70" t="str">
        <f t="shared" si="167"/>
        <v/>
      </c>
    </row>
    <row r="4826" spans="1:8">
      <c r="A4826" s="2"/>
      <c r="B4826" s="12"/>
      <c r="C4826" s="12"/>
      <c r="E4826" t="str">
        <f>IF(LEN(D4826)=0,"",[1]!i_pq_tradedays($B$3,A4827,A4826)-1)</f>
        <v/>
      </c>
      <c r="G4826" s="16" t="str">
        <f t="shared" si="166"/>
        <v/>
      </c>
      <c r="H4826" s="70" t="str">
        <f t="shared" si="167"/>
        <v/>
      </c>
    </row>
    <row r="4827" spans="1:8">
      <c r="A4827" s="2"/>
      <c r="B4827" s="12"/>
      <c r="C4827" s="12"/>
      <c r="E4827" t="str">
        <f>IF(LEN(D4827)=0,"",[1]!i_pq_tradedays($B$3,A4828,A4827)-1)</f>
        <v/>
      </c>
      <c r="G4827" s="16" t="str">
        <f t="shared" si="166"/>
        <v/>
      </c>
      <c r="H4827" s="70" t="str">
        <f t="shared" si="167"/>
        <v/>
      </c>
    </row>
    <row r="4828" spans="1:8">
      <c r="A4828" s="2"/>
      <c r="B4828" s="12"/>
      <c r="C4828" s="12"/>
      <c r="E4828" t="str">
        <f>IF(LEN(D4828)=0,"",[1]!i_pq_tradedays($B$3,A4829,A4828)-1)</f>
        <v/>
      </c>
      <c r="G4828" s="16" t="str">
        <f t="shared" si="166"/>
        <v/>
      </c>
      <c r="H4828" s="70" t="str">
        <f t="shared" si="167"/>
        <v/>
      </c>
    </row>
    <row r="4829" spans="1:8">
      <c r="A4829" s="2"/>
      <c r="B4829" s="12"/>
      <c r="C4829" s="12"/>
      <c r="E4829" t="str">
        <f>IF(LEN(D4829)=0,"",[1]!i_pq_tradedays($B$3,A4830,A4829)-1)</f>
        <v/>
      </c>
      <c r="G4829" s="16" t="str">
        <f t="shared" si="166"/>
        <v/>
      </c>
      <c r="H4829" s="70" t="str">
        <f t="shared" si="167"/>
        <v/>
      </c>
    </row>
    <row r="4830" spans="1:8">
      <c r="A4830" s="2"/>
      <c r="B4830" s="12"/>
      <c r="C4830" s="12"/>
      <c r="E4830" t="str">
        <f>IF(LEN(D4830)=0,"",[1]!i_pq_tradedays($B$3,A4831,A4830)-1)</f>
        <v/>
      </c>
      <c r="G4830" s="16" t="str">
        <f t="shared" si="166"/>
        <v/>
      </c>
      <c r="H4830" s="70" t="str">
        <f t="shared" si="167"/>
        <v/>
      </c>
    </row>
    <row r="4831" spans="1:8">
      <c r="A4831" s="2"/>
      <c r="B4831" s="12"/>
      <c r="C4831" s="12"/>
      <c r="E4831" t="str">
        <f>IF(LEN(D4831)=0,"",[1]!i_pq_tradedays($B$3,A4832,A4831)-1)</f>
        <v/>
      </c>
      <c r="G4831" s="16" t="str">
        <f t="shared" si="166"/>
        <v/>
      </c>
      <c r="H4831" s="70" t="str">
        <f t="shared" si="167"/>
        <v/>
      </c>
    </row>
    <row r="4832" spans="1:8">
      <c r="A4832" s="2"/>
      <c r="B4832" s="12"/>
      <c r="C4832" s="12"/>
      <c r="E4832" t="str">
        <f>IF(LEN(D4832)=0,"",[1]!i_pq_tradedays($B$3,A4833,A4832)-1)</f>
        <v/>
      </c>
      <c r="G4832" s="16" t="str">
        <f t="shared" si="166"/>
        <v/>
      </c>
      <c r="H4832" s="70" t="str">
        <f t="shared" si="167"/>
        <v/>
      </c>
    </row>
    <row r="4833" spans="1:8">
      <c r="A4833" s="2"/>
      <c r="B4833" s="12"/>
      <c r="C4833" s="12"/>
      <c r="E4833" t="str">
        <f>IF(LEN(D4833)=0,"",[1]!i_pq_tradedays($B$3,A4834,A4833)-1)</f>
        <v/>
      </c>
      <c r="G4833" s="16" t="str">
        <f t="shared" si="166"/>
        <v/>
      </c>
      <c r="H4833" s="70" t="str">
        <f t="shared" si="167"/>
        <v/>
      </c>
    </row>
    <row r="4834" spans="1:8">
      <c r="A4834" s="2"/>
      <c r="B4834" s="12"/>
      <c r="C4834" s="12"/>
      <c r="E4834" t="str">
        <f>IF(LEN(D4834)=0,"",[1]!i_pq_tradedays($B$3,A4835,A4834)-1)</f>
        <v/>
      </c>
      <c r="G4834" s="16" t="str">
        <f t="shared" si="166"/>
        <v/>
      </c>
      <c r="H4834" s="70" t="str">
        <f t="shared" si="167"/>
        <v/>
      </c>
    </row>
    <row r="4835" spans="1:8">
      <c r="A4835" s="2"/>
      <c r="B4835" s="12"/>
      <c r="C4835" s="12"/>
      <c r="E4835" t="str">
        <f>IF(LEN(D4835)=0,"",[1]!i_pq_tradedays($B$3,A4836,A4835)-1)</f>
        <v/>
      </c>
      <c r="G4835" s="16" t="str">
        <f t="shared" si="166"/>
        <v/>
      </c>
      <c r="H4835" s="70" t="str">
        <f t="shared" si="167"/>
        <v/>
      </c>
    </row>
    <row r="4836" spans="1:8">
      <c r="A4836" s="2"/>
      <c r="B4836" s="12"/>
      <c r="C4836" s="12"/>
      <c r="E4836" t="str">
        <f>IF(LEN(D4836)=0,"",[1]!i_pq_tradedays($B$3,A4837,A4836)-1)</f>
        <v/>
      </c>
      <c r="G4836" s="16" t="str">
        <f t="shared" si="166"/>
        <v/>
      </c>
      <c r="H4836" s="70" t="str">
        <f t="shared" si="167"/>
        <v/>
      </c>
    </row>
    <row r="4837" spans="1:8">
      <c r="A4837" s="2"/>
      <c r="B4837" s="12"/>
      <c r="C4837" s="12"/>
      <c r="E4837" t="str">
        <f>IF(LEN(D4837)=0,"",[1]!i_pq_tradedays($B$3,A4838,A4837)-1)</f>
        <v/>
      </c>
      <c r="G4837" s="16" t="str">
        <f t="shared" si="166"/>
        <v/>
      </c>
      <c r="H4837" s="70" t="str">
        <f t="shared" si="167"/>
        <v/>
      </c>
    </row>
    <row r="4838" spans="1:8">
      <c r="A4838" s="2"/>
      <c r="B4838" s="12"/>
      <c r="C4838" s="12"/>
      <c r="E4838" t="str">
        <f>IF(LEN(D4838)=0,"",[1]!i_pq_tradedays($B$3,A4839,A4838)-1)</f>
        <v/>
      </c>
      <c r="G4838" s="16" t="str">
        <f t="shared" si="166"/>
        <v/>
      </c>
      <c r="H4838" s="70" t="str">
        <f t="shared" si="167"/>
        <v/>
      </c>
    </row>
    <row r="4839" spans="1:8">
      <c r="A4839" s="2"/>
      <c r="B4839" s="12"/>
      <c r="C4839" s="12"/>
      <c r="E4839" t="str">
        <f>IF(LEN(D4839)=0,"",[1]!i_pq_tradedays($B$3,A4840,A4839)-1)</f>
        <v/>
      </c>
      <c r="G4839" s="16" t="str">
        <f t="shared" si="166"/>
        <v/>
      </c>
      <c r="H4839" s="70" t="str">
        <f t="shared" si="167"/>
        <v/>
      </c>
    </row>
    <row r="4840" spans="1:8">
      <c r="A4840" s="2"/>
      <c r="B4840" s="12"/>
      <c r="C4840" s="12"/>
      <c r="E4840" t="str">
        <f>IF(LEN(D4840)=0,"",[1]!i_pq_tradedays($B$3,A4841,A4840)-1)</f>
        <v/>
      </c>
      <c r="G4840" s="16" t="str">
        <f t="shared" si="166"/>
        <v/>
      </c>
      <c r="H4840" s="70" t="str">
        <f t="shared" si="167"/>
        <v/>
      </c>
    </row>
    <row r="4841" spans="1:8">
      <c r="A4841" s="2"/>
      <c r="B4841" s="12"/>
      <c r="C4841" s="12"/>
      <c r="E4841" t="str">
        <f>IF(LEN(D4841)=0,"",[1]!i_pq_tradedays($B$3,A4842,A4841)-1)</f>
        <v/>
      </c>
      <c r="G4841" s="16" t="str">
        <f t="shared" si="166"/>
        <v/>
      </c>
      <c r="H4841" s="70" t="str">
        <f t="shared" si="167"/>
        <v/>
      </c>
    </row>
    <row r="4842" spans="1:8">
      <c r="A4842" s="2"/>
      <c r="B4842" s="12"/>
      <c r="C4842" s="12"/>
      <c r="E4842" t="str">
        <f>IF(LEN(D4842)=0,"",[1]!i_pq_tradedays($B$3,A4843,A4842)-1)</f>
        <v/>
      </c>
      <c r="G4842" s="16" t="str">
        <f t="shared" si="166"/>
        <v/>
      </c>
      <c r="H4842" s="70" t="str">
        <f t="shared" si="167"/>
        <v/>
      </c>
    </row>
    <row r="4843" spans="1:8">
      <c r="A4843" s="2"/>
      <c r="B4843" s="12"/>
      <c r="C4843" s="12"/>
      <c r="E4843" t="str">
        <f>IF(LEN(D4843)=0,"",[1]!i_pq_tradedays($B$3,A4844,A4843)-1)</f>
        <v/>
      </c>
      <c r="G4843" s="16" t="str">
        <f t="shared" si="166"/>
        <v/>
      </c>
      <c r="H4843" s="70" t="str">
        <f t="shared" si="167"/>
        <v/>
      </c>
    </row>
    <row r="4844" spans="1:8">
      <c r="A4844" s="2"/>
      <c r="B4844" s="12"/>
      <c r="C4844" s="12"/>
      <c r="E4844" t="str">
        <f>IF(LEN(D4844)=0,"",[1]!i_pq_tradedays($B$3,A4845,A4844)-1)</f>
        <v/>
      </c>
      <c r="G4844" s="16" t="str">
        <f t="shared" si="166"/>
        <v/>
      </c>
      <c r="H4844" s="70" t="str">
        <f t="shared" si="167"/>
        <v/>
      </c>
    </row>
    <row r="4845" spans="1:8">
      <c r="A4845" s="2"/>
      <c r="B4845" s="12"/>
      <c r="C4845" s="12"/>
      <c r="E4845" t="str">
        <f>IF(LEN(D4845)=0,"",[1]!i_pq_tradedays($B$3,A4846,A4845)-1)</f>
        <v/>
      </c>
      <c r="G4845" s="16" t="str">
        <f t="shared" si="166"/>
        <v/>
      </c>
      <c r="H4845" s="70" t="str">
        <f t="shared" si="167"/>
        <v/>
      </c>
    </row>
    <row r="4846" spans="1:8">
      <c r="A4846" s="2"/>
      <c r="B4846" s="12"/>
      <c r="C4846" s="12"/>
      <c r="E4846" t="str">
        <f>IF(LEN(D4846)=0,"",[1]!i_pq_tradedays($B$3,A4847,A4846)-1)</f>
        <v/>
      </c>
      <c r="G4846" s="16" t="str">
        <f t="shared" si="166"/>
        <v/>
      </c>
      <c r="H4846" s="70" t="str">
        <f t="shared" si="167"/>
        <v/>
      </c>
    </row>
    <row r="4847" spans="1:8">
      <c r="A4847" s="2"/>
      <c r="B4847" s="12"/>
      <c r="C4847" s="12"/>
      <c r="E4847" t="str">
        <f>IF(LEN(D4847)=0,"",[1]!i_pq_tradedays($B$3,A4848,A4847)-1)</f>
        <v/>
      </c>
      <c r="G4847" s="16" t="str">
        <f t="shared" si="166"/>
        <v/>
      </c>
      <c r="H4847" s="70" t="str">
        <f t="shared" si="167"/>
        <v/>
      </c>
    </row>
    <row r="4848" spans="1:8">
      <c r="A4848" s="2"/>
      <c r="B4848" s="12"/>
      <c r="C4848" s="12"/>
      <c r="E4848" t="str">
        <f>IF(LEN(D4848)=0,"",[1]!i_pq_tradedays($B$3,A4849,A4848)-1)</f>
        <v/>
      </c>
      <c r="G4848" s="16" t="str">
        <f t="shared" si="166"/>
        <v/>
      </c>
      <c r="H4848" s="70" t="str">
        <f t="shared" si="167"/>
        <v/>
      </c>
    </row>
    <row r="4849" spans="1:8">
      <c r="A4849" s="2"/>
      <c r="B4849" s="12"/>
      <c r="C4849" s="12"/>
      <c r="E4849" t="str">
        <f>IF(LEN(D4849)=0,"",[1]!i_pq_tradedays($B$3,A4850,A4849)-1)</f>
        <v/>
      </c>
      <c r="G4849" s="16" t="str">
        <f t="shared" si="166"/>
        <v/>
      </c>
      <c r="H4849" s="70" t="str">
        <f t="shared" si="167"/>
        <v/>
      </c>
    </row>
    <row r="4850" spans="1:8">
      <c r="A4850" s="2"/>
      <c r="B4850" s="12"/>
      <c r="C4850" s="12"/>
      <c r="E4850" t="str">
        <f>IF(LEN(D4850)=0,"",[1]!i_pq_tradedays($B$3,A4851,A4850)-1)</f>
        <v/>
      </c>
      <c r="G4850" s="16" t="str">
        <f t="shared" si="166"/>
        <v/>
      </c>
      <c r="H4850" s="70" t="str">
        <f t="shared" si="167"/>
        <v/>
      </c>
    </row>
    <row r="4851" spans="1:8">
      <c r="A4851" s="2"/>
      <c r="B4851" s="12"/>
      <c r="C4851" s="12"/>
      <c r="E4851" t="str">
        <f>IF(LEN(D4851)=0,"",[1]!i_pq_tradedays($B$3,A4852,A4851)-1)</f>
        <v/>
      </c>
      <c r="G4851" s="16" t="str">
        <f t="shared" si="166"/>
        <v/>
      </c>
      <c r="H4851" s="70" t="str">
        <f t="shared" si="167"/>
        <v/>
      </c>
    </row>
    <row r="4852" spans="1:8">
      <c r="A4852" s="2"/>
      <c r="B4852" s="12"/>
      <c r="C4852" s="12"/>
      <c r="E4852" t="str">
        <f>IF(LEN(D4852)=0,"",[1]!i_pq_tradedays($B$3,A4853,A4852)-1)</f>
        <v/>
      </c>
      <c r="G4852" s="16" t="str">
        <f t="shared" si="166"/>
        <v/>
      </c>
      <c r="H4852" s="70" t="str">
        <f t="shared" si="167"/>
        <v/>
      </c>
    </row>
    <row r="4853" spans="1:8">
      <c r="A4853" s="2"/>
      <c r="B4853" s="12"/>
      <c r="C4853" s="12"/>
      <c r="E4853" t="str">
        <f>IF(LEN(D4853)=0,"",[1]!i_pq_tradedays($B$3,A4854,A4853)-1)</f>
        <v/>
      </c>
      <c r="G4853" s="16" t="str">
        <f t="shared" ref="G4853:G4916" si="168">IF(LEN(D4853)=0,"",D4853/E4853)</f>
        <v/>
      </c>
      <c r="H4853" s="70" t="str">
        <f t="shared" ref="H4853:H4916" si="169">IF(LEN(D4853)=0,"",G4853/G4854-1)</f>
        <v/>
      </c>
    </row>
    <row r="4854" spans="1:8">
      <c r="A4854" s="2"/>
      <c r="B4854" s="12"/>
      <c r="C4854" s="12"/>
      <c r="E4854" t="str">
        <f>IF(LEN(D4854)=0,"",[1]!i_pq_tradedays($B$3,A4855,A4854)-1)</f>
        <v/>
      </c>
      <c r="G4854" s="16" t="str">
        <f t="shared" si="168"/>
        <v/>
      </c>
      <c r="H4854" s="70" t="str">
        <f t="shared" si="169"/>
        <v/>
      </c>
    </row>
    <row r="4855" spans="1:8">
      <c r="A4855" s="2"/>
      <c r="B4855" s="12"/>
      <c r="C4855" s="12"/>
      <c r="E4855" t="str">
        <f>IF(LEN(D4855)=0,"",[1]!i_pq_tradedays($B$3,A4856,A4855)-1)</f>
        <v/>
      </c>
      <c r="G4855" s="16" t="str">
        <f t="shared" si="168"/>
        <v/>
      </c>
      <c r="H4855" s="70" t="str">
        <f t="shared" si="169"/>
        <v/>
      </c>
    </row>
    <row r="4856" spans="1:8">
      <c r="A4856" s="2"/>
      <c r="B4856" s="12"/>
      <c r="C4856" s="12"/>
      <c r="E4856" t="str">
        <f>IF(LEN(D4856)=0,"",[1]!i_pq_tradedays($B$3,A4857,A4856)-1)</f>
        <v/>
      </c>
      <c r="G4856" s="16" t="str">
        <f t="shared" si="168"/>
        <v/>
      </c>
      <c r="H4856" s="70" t="str">
        <f t="shared" si="169"/>
        <v/>
      </c>
    </row>
    <row r="4857" spans="1:8">
      <c r="A4857" s="2"/>
      <c r="B4857" s="12"/>
      <c r="C4857" s="12"/>
      <c r="E4857" t="str">
        <f>IF(LEN(D4857)=0,"",[1]!i_pq_tradedays($B$3,A4858,A4857)-1)</f>
        <v/>
      </c>
      <c r="G4857" s="16" t="str">
        <f t="shared" si="168"/>
        <v/>
      </c>
      <c r="H4857" s="70" t="str">
        <f t="shared" si="169"/>
        <v/>
      </c>
    </row>
    <row r="4858" spans="1:8">
      <c r="A4858" s="2"/>
      <c r="B4858" s="12"/>
      <c r="C4858" s="12"/>
      <c r="E4858" t="str">
        <f>IF(LEN(D4858)=0,"",[1]!i_pq_tradedays($B$3,A4859,A4858)-1)</f>
        <v/>
      </c>
      <c r="G4858" s="16" t="str">
        <f t="shared" si="168"/>
        <v/>
      </c>
      <c r="H4858" s="70" t="str">
        <f t="shared" si="169"/>
        <v/>
      </c>
    </row>
    <row r="4859" spans="1:8">
      <c r="A4859" s="2"/>
      <c r="B4859" s="12"/>
      <c r="C4859" s="12"/>
      <c r="E4859" t="str">
        <f>IF(LEN(D4859)=0,"",[1]!i_pq_tradedays($B$3,A4860,A4859)-1)</f>
        <v/>
      </c>
      <c r="G4859" s="16" t="str">
        <f t="shared" si="168"/>
        <v/>
      </c>
      <c r="H4859" s="70" t="str">
        <f t="shared" si="169"/>
        <v/>
      </c>
    </row>
    <row r="4860" spans="1:8">
      <c r="A4860" s="2"/>
      <c r="B4860" s="12"/>
      <c r="C4860" s="12"/>
      <c r="E4860" t="str">
        <f>IF(LEN(D4860)=0,"",[1]!i_pq_tradedays($B$3,A4861,A4860)-1)</f>
        <v/>
      </c>
      <c r="G4860" s="16" t="str">
        <f t="shared" si="168"/>
        <v/>
      </c>
      <c r="H4860" s="70" t="str">
        <f t="shared" si="169"/>
        <v/>
      </c>
    </row>
    <row r="4861" spans="1:8">
      <c r="A4861" s="2"/>
      <c r="B4861" s="12"/>
      <c r="C4861" s="12"/>
      <c r="E4861" t="str">
        <f>IF(LEN(D4861)=0,"",[1]!i_pq_tradedays($B$3,A4862,A4861)-1)</f>
        <v/>
      </c>
      <c r="G4861" s="16" t="str">
        <f t="shared" si="168"/>
        <v/>
      </c>
      <c r="H4861" s="70" t="str">
        <f t="shared" si="169"/>
        <v/>
      </c>
    </row>
    <row r="4862" spans="1:8">
      <c r="A4862" s="2"/>
      <c r="B4862" s="12"/>
      <c r="C4862" s="12"/>
      <c r="E4862" t="str">
        <f>IF(LEN(D4862)=0,"",[1]!i_pq_tradedays($B$3,A4863,A4862)-1)</f>
        <v/>
      </c>
      <c r="G4862" s="16" t="str">
        <f t="shared" si="168"/>
        <v/>
      </c>
      <c r="H4862" s="70" t="str">
        <f t="shared" si="169"/>
        <v/>
      </c>
    </row>
    <row r="4863" spans="1:8">
      <c r="A4863" s="2"/>
      <c r="B4863" s="12"/>
      <c r="C4863" s="12"/>
      <c r="E4863" t="str">
        <f>IF(LEN(D4863)=0,"",[1]!i_pq_tradedays($B$3,A4864,A4863)-1)</f>
        <v/>
      </c>
      <c r="G4863" s="16" t="str">
        <f t="shared" si="168"/>
        <v/>
      </c>
      <c r="H4863" s="70" t="str">
        <f t="shared" si="169"/>
        <v/>
      </c>
    </row>
    <row r="4864" spans="1:8">
      <c r="A4864" s="2"/>
      <c r="B4864" s="12"/>
      <c r="C4864" s="12"/>
      <c r="E4864" t="str">
        <f>IF(LEN(D4864)=0,"",[1]!i_pq_tradedays($B$3,A4865,A4864)-1)</f>
        <v/>
      </c>
      <c r="G4864" s="16" t="str">
        <f t="shared" si="168"/>
        <v/>
      </c>
      <c r="H4864" s="70" t="str">
        <f t="shared" si="169"/>
        <v/>
      </c>
    </row>
    <row r="4865" spans="1:8">
      <c r="A4865" s="2"/>
      <c r="B4865" s="12"/>
      <c r="C4865" s="12"/>
      <c r="E4865" t="str">
        <f>IF(LEN(D4865)=0,"",[1]!i_pq_tradedays($B$3,A4866,A4865)-1)</f>
        <v/>
      </c>
      <c r="G4865" s="16" t="str">
        <f t="shared" si="168"/>
        <v/>
      </c>
      <c r="H4865" s="70" t="str">
        <f t="shared" si="169"/>
        <v/>
      </c>
    </row>
    <row r="4866" spans="1:8">
      <c r="A4866" s="2"/>
      <c r="B4866" s="12"/>
      <c r="C4866" s="12"/>
      <c r="E4866" t="str">
        <f>IF(LEN(D4866)=0,"",[1]!i_pq_tradedays($B$3,A4867,A4866)-1)</f>
        <v/>
      </c>
      <c r="G4866" s="16" t="str">
        <f t="shared" si="168"/>
        <v/>
      </c>
      <c r="H4866" s="70" t="str">
        <f t="shared" si="169"/>
        <v/>
      </c>
    </row>
    <row r="4867" spans="1:8">
      <c r="A4867" s="2"/>
      <c r="B4867" s="12"/>
      <c r="C4867" s="12"/>
      <c r="E4867" t="str">
        <f>IF(LEN(D4867)=0,"",[1]!i_pq_tradedays($B$3,A4868,A4867)-1)</f>
        <v/>
      </c>
      <c r="G4867" s="16" t="str">
        <f t="shared" si="168"/>
        <v/>
      </c>
      <c r="H4867" s="70" t="str">
        <f t="shared" si="169"/>
        <v/>
      </c>
    </row>
    <row r="4868" spans="1:8">
      <c r="A4868" s="2"/>
      <c r="B4868" s="12"/>
      <c r="C4868" s="12"/>
      <c r="E4868" t="str">
        <f>IF(LEN(D4868)=0,"",[1]!i_pq_tradedays($B$3,A4869,A4868)-1)</f>
        <v/>
      </c>
      <c r="G4868" s="16" t="str">
        <f t="shared" si="168"/>
        <v/>
      </c>
      <c r="H4868" s="70" t="str">
        <f t="shared" si="169"/>
        <v/>
      </c>
    </row>
    <row r="4869" spans="1:8">
      <c r="A4869" s="2"/>
      <c r="B4869" s="12"/>
      <c r="C4869" s="12"/>
      <c r="E4869" t="str">
        <f>IF(LEN(D4869)=0,"",[1]!i_pq_tradedays($B$3,A4870,A4869)-1)</f>
        <v/>
      </c>
      <c r="G4869" s="16" t="str">
        <f t="shared" si="168"/>
        <v/>
      </c>
      <c r="H4869" s="70" t="str">
        <f t="shared" si="169"/>
        <v/>
      </c>
    </row>
    <row r="4870" spans="1:8">
      <c r="A4870" s="2"/>
      <c r="B4870" s="12"/>
      <c r="C4870" s="12"/>
      <c r="E4870" t="str">
        <f>IF(LEN(D4870)=0,"",[1]!i_pq_tradedays($B$3,A4871,A4870)-1)</f>
        <v/>
      </c>
      <c r="G4870" s="16" t="str">
        <f t="shared" si="168"/>
        <v/>
      </c>
      <c r="H4870" s="70" t="str">
        <f t="shared" si="169"/>
        <v/>
      </c>
    </row>
    <row r="4871" spans="1:8">
      <c r="A4871" s="2"/>
      <c r="B4871" s="12"/>
      <c r="C4871" s="12"/>
      <c r="E4871" t="str">
        <f>IF(LEN(D4871)=0,"",[1]!i_pq_tradedays($B$3,A4872,A4871)-1)</f>
        <v/>
      </c>
      <c r="G4871" s="16" t="str">
        <f t="shared" si="168"/>
        <v/>
      </c>
      <c r="H4871" s="70" t="str">
        <f t="shared" si="169"/>
        <v/>
      </c>
    </row>
    <row r="4872" spans="1:8">
      <c r="A4872" s="2"/>
      <c r="B4872" s="12"/>
      <c r="C4872" s="12"/>
      <c r="E4872" t="str">
        <f>IF(LEN(D4872)=0,"",[1]!i_pq_tradedays($B$3,A4873,A4872)-1)</f>
        <v/>
      </c>
      <c r="G4872" s="16" t="str">
        <f t="shared" si="168"/>
        <v/>
      </c>
      <c r="H4872" s="70" t="str">
        <f t="shared" si="169"/>
        <v/>
      </c>
    </row>
    <row r="4873" spans="1:8">
      <c r="A4873" s="2"/>
      <c r="B4873" s="12"/>
      <c r="C4873" s="12"/>
      <c r="E4873" t="str">
        <f>IF(LEN(D4873)=0,"",[1]!i_pq_tradedays($B$3,A4874,A4873)-1)</f>
        <v/>
      </c>
      <c r="G4873" s="16" t="str">
        <f t="shared" si="168"/>
        <v/>
      </c>
      <c r="H4873" s="70" t="str">
        <f t="shared" si="169"/>
        <v/>
      </c>
    </row>
    <row r="4874" spans="1:8">
      <c r="A4874" s="2"/>
      <c r="B4874" s="12"/>
      <c r="C4874" s="12"/>
      <c r="E4874" t="str">
        <f>IF(LEN(D4874)=0,"",[1]!i_pq_tradedays($B$3,A4875,A4874)-1)</f>
        <v/>
      </c>
      <c r="G4874" s="16" t="str">
        <f t="shared" si="168"/>
        <v/>
      </c>
      <c r="H4874" s="70" t="str">
        <f t="shared" si="169"/>
        <v/>
      </c>
    </row>
    <row r="4875" spans="1:8">
      <c r="A4875" s="2"/>
      <c r="B4875" s="12"/>
      <c r="C4875" s="12"/>
      <c r="E4875" t="str">
        <f>IF(LEN(D4875)=0,"",[1]!i_pq_tradedays($B$3,A4876,A4875)-1)</f>
        <v/>
      </c>
      <c r="G4875" s="16" t="str">
        <f t="shared" si="168"/>
        <v/>
      </c>
      <c r="H4875" s="70" t="str">
        <f t="shared" si="169"/>
        <v/>
      </c>
    </row>
    <row r="4876" spans="1:8">
      <c r="A4876" s="2"/>
      <c r="B4876" s="12"/>
      <c r="C4876" s="12"/>
      <c r="E4876" t="str">
        <f>IF(LEN(D4876)=0,"",[1]!i_pq_tradedays($B$3,A4877,A4876)-1)</f>
        <v/>
      </c>
      <c r="G4876" s="16" t="str">
        <f t="shared" si="168"/>
        <v/>
      </c>
      <c r="H4876" s="70" t="str">
        <f t="shared" si="169"/>
        <v/>
      </c>
    </row>
    <row r="4877" spans="1:8">
      <c r="A4877" s="2"/>
      <c r="B4877" s="12"/>
      <c r="C4877" s="12"/>
      <c r="E4877" t="str">
        <f>IF(LEN(D4877)=0,"",[1]!i_pq_tradedays($B$3,A4878,A4877)-1)</f>
        <v/>
      </c>
      <c r="G4877" s="16" t="str">
        <f t="shared" si="168"/>
        <v/>
      </c>
      <c r="H4877" s="70" t="str">
        <f t="shared" si="169"/>
        <v/>
      </c>
    </row>
    <row r="4878" spans="1:8">
      <c r="A4878" s="2"/>
      <c r="B4878" s="12"/>
      <c r="C4878" s="12"/>
      <c r="E4878" t="str">
        <f>IF(LEN(D4878)=0,"",[1]!i_pq_tradedays($B$3,A4879,A4878)-1)</f>
        <v/>
      </c>
      <c r="G4878" s="16" t="str">
        <f t="shared" si="168"/>
        <v/>
      </c>
      <c r="H4878" s="70" t="str">
        <f t="shared" si="169"/>
        <v/>
      </c>
    </row>
    <row r="4879" spans="1:8">
      <c r="A4879" s="2"/>
      <c r="B4879" s="12"/>
      <c r="C4879" s="12"/>
      <c r="E4879" t="str">
        <f>IF(LEN(D4879)=0,"",[1]!i_pq_tradedays($B$3,A4880,A4879)-1)</f>
        <v/>
      </c>
      <c r="G4879" s="16" t="str">
        <f t="shared" si="168"/>
        <v/>
      </c>
      <c r="H4879" s="70" t="str">
        <f t="shared" si="169"/>
        <v/>
      </c>
    </row>
    <row r="4880" spans="1:8">
      <c r="A4880" s="2"/>
      <c r="B4880" s="12"/>
      <c r="C4880" s="12"/>
      <c r="E4880" t="str">
        <f>IF(LEN(D4880)=0,"",[1]!i_pq_tradedays($B$3,A4881,A4880)-1)</f>
        <v/>
      </c>
      <c r="G4880" s="16" t="str">
        <f t="shared" si="168"/>
        <v/>
      </c>
      <c r="H4880" s="70" t="str">
        <f t="shared" si="169"/>
        <v/>
      </c>
    </row>
    <row r="4881" spans="1:8">
      <c r="A4881" s="2"/>
      <c r="B4881" s="12"/>
      <c r="C4881" s="12"/>
      <c r="E4881" t="str">
        <f>IF(LEN(D4881)=0,"",[1]!i_pq_tradedays($B$3,A4882,A4881)-1)</f>
        <v/>
      </c>
      <c r="G4881" s="16" t="str">
        <f t="shared" si="168"/>
        <v/>
      </c>
      <c r="H4881" s="70" t="str">
        <f t="shared" si="169"/>
        <v/>
      </c>
    </row>
    <row r="4882" spans="1:8">
      <c r="A4882" s="2"/>
      <c r="B4882" s="12"/>
      <c r="C4882" s="12"/>
      <c r="E4882" t="str">
        <f>IF(LEN(D4882)=0,"",[1]!i_pq_tradedays($B$3,A4883,A4882)-1)</f>
        <v/>
      </c>
      <c r="G4882" s="16" t="str">
        <f t="shared" si="168"/>
        <v/>
      </c>
      <c r="H4882" s="70" t="str">
        <f t="shared" si="169"/>
        <v/>
      </c>
    </row>
    <row r="4883" spans="1:8">
      <c r="A4883" s="2"/>
      <c r="B4883" s="12"/>
      <c r="C4883" s="12"/>
      <c r="E4883" t="str">
        <f>IF(LEN(D4883)=0,"",[1]!i_pq_tradedays($B$3,A4884,A4883)-1)</f>
        <v/>
      </c>
      <c r="G4883" s="16" t="str">
        <f t="shared" si="168"/>
        <v/>
      </c>
      <c r="H4883" s="70" t="str">
        <f t="shared" si="169"/>
        <v/>
      </c>
    </row>
    <row r="4884" spans="1:8">
      <c r="A4884" s="2"/>
      <c r="B4884" s="12"/>
      <c r="C4884" s="12"/>
      <c r="E4884" t="str">
        <f>IF(LEN(D4884)=0,"",[1]!i_pq_tradedays($B$3,A4885,A4884)-1)</f>
        <v/>
      </c>
      <c r="G4884" s="16" t="str">
        <f t="shared" si="168"/>
        <v/>
      </c>
      <c r="H4884" s="70" t="str">
        <f t="shared" si="169"/>
        <v/>
      </c>
    </row>
    <row r="4885" spans="1:8">
      <c r="A4885" s="2"/>
      <c r="B4885" s="12"/>
      <c r="C4885" s="12"/>
      <c r="E4885" t="str">
        <f>IF(LEN(D4885)=0,"",[1]!i_pq_tradedays($B$3,A4886,A4885)-1)</f>
        <v/>
      </c>
      <c r="G4885" s="16" t="str">
        <f t="shared" si="168"/>
        <v/>
      </c>
      <c r="H4885" s="70" t="str">
        <f t="shared" si="169"/>
        <v/>
      </c>
    </row>
    <row r="4886" spans="1:8">
      <c r="A4886" s="2"/>
      <c r="B4886" s="12"/>
      <c r="C4886" s="12"/>
      <c r="E4886" t="str">
        <f>IF(LEN(D4886)=0,"",[1]!i_pq_tradedays($B$3,A4887,A4886)-1)</f>
        <v/>
      </c>
      <c r="G4886" s="16" t="str">
        <f t="shared" si="168"/>
        <v/>
      </c>
      <c r="H4886" s="70" t="str">
        <f t="shared" si="169"/>
        <v/>
      </c>
    </row>
    <row r="4887" spans="1:8">
      <c r="A4887" s="2"/>
      <c r="B4887" s="12"/>
      <c r="C4887" s="12"/>
      <c r="E4887" t="str">
        <f>IF(LEN(D4887)=0,"",[1]!i_pq_tradedays($B$3,A4888,A4887)-1)</f>
        <v/>
      </c>
      <c r="G4887" s="16" t="str">
        <f t="shared" si="168"/>
        <v/>
      </c>
      <c r="H4887" s="70" t="str">
        <f t="shared" si="169"/>
        <v/>
      </c>
    </row>
    <row r="4888" spans="1:8">
      <c r="A4888" s="2"/>
      <c r="B4888" s="12"/>
      <c r="C4888" s="12"/>
      <c r="E4888" t="str">
        <f>IF(LEN(D4888)=0,"",[1]!i_pq_tradedays($B$3,A4889,A4888)-1)</f>
        <v/>
      </c>
      <c r="G4888" s="16" t="str">
        <f t="shared" si="168"/>
        <v/>
      </c>
      <c r="H4888" s="70" t="str">
        <f t="shared" si="169"/>
        <v/>
      </c>
    </row>
    <row r="4889" spans="1:8">
      <c r="A4889" s="2"/>
      <c r="B4889" s="12"/>
      <c r="C4889" s="12"/>
      <c r="E4889" t="str">
        <f>IF(LEN(D4889)=0,"",[1]!i_pq_tradedays($B$3,A4890,A4889)-1)</f>
        <v/>
      </c>
      <c r="G4889" s="16" t="str">
        <f t="shared" si="168"/>
        <v/>
      </c>
      <c r="H4889" s="70" t="str">
        <f t="shared" si="169"/>
        <v/>
      </c>
    </row>
    <row r="4890" spans="1:8">
      <c r="A4890" s="2"/>
      <c r="B4890" s="12"/>
      <c r="C4890" s="12"/>
      <c r="E4890" t="str">
        <f>IF(LEN(D4890)=0,"",[1]!i_pq_tradedays($B$3,A4891,A4890)-1)</f>
        <v/>
      </c>
      <c r="G4890" s="16" t="str">
        <f t="shared" si="168"/>
        <v/>
      </c>
      <c r="H4890" s="70" t="str">
        <f t="shared" si="169"/>
        <v/>
      </c>
    </row>
    <row r="4891" spans="1:8">
      <c r="A4891" s="2"/>
      <c r="B4891" s="12"/>
      <c r="C4891" s="12"/>
      <c r="E4891" t="str">
        <f>IF(LEN(D4891)=0,"",[1]!i_pq_tradedays($B$3,A4892,A4891)-1)</f>
        <v/>
      </c>
      <c r="G4891" s="16" t="str">
        <f t="shared" si="168"/>
        <v/>
      </c>
      <c r="H4891" s="70" t="str">
        <f t="shared" si="169"/>
        <v/>
      </c>
    </row>
    <row r="4892" spans="1:8">
      <c r="A4892" s="2"/>
      <c r="B4892" s="12"/>
      <c r="C4892" s="12"/>
      <c r="E4892" t="str">
        <f>IF(LEN(D4892)=0,"",[1]!i_pq_tradedays($B$3,A4893,A4892)-1)</f>
        <v/>
      </c>
      <c r="G4892" s="16" t="str">
        <f t="shared" si="168"/>
        <v/>
      </c>
      <c r="H4892" s="70" t="str">
        <f t="shared" si="169"/>
        <v/>
      </c>
    </row>
    <row r="4893" spans="1:8">
      <c r="A4893" s="2"/>
      <c r="B4893" s="12"/>
      <c r="C4893" s="12"/>
      <c r="E4893" t="str">
        <f>IF(LEN(D4893)=0,"",[1]!i_pq_tradedays($B$3,A4894,A4893)-1)</f>
        <v/>
      </c>
      <c r="G4893" s="16" t="str">
        <f t="shared" si="168"/>
        <v/>
      </c>
      <c r="H4893" s="70" t="str">
        <f t="shared" si="169"/>
        <v/>
      </c>
    </row>
    <row r="4894" spans="1:8">
      <c r="A4894" s="2"/>
      <c r="B4894" s="12"/>
      <c r="C4894" s="12"/>
      <c r="E4894" t="str">
        <f>IF(LEN(D4894)=0,"",[1]!i_pq_tradedays($B$3,A4895,A4894)-1)</f>
        <v/>
      </c>
      <c r="G4894" s="16" t="str">
        <f t="shared" si="168"/>
        <v/>
      </c>
      <c r="H4894" s="70" t="str">
        <f t="shared" si="169"/>
        <v/>
      </c>
    </row>
    <row r="4895" spans="1:8">
      <c r="A4895" s="2"/>
      <c r="B4895" s="12"/>
      <c r="C4895" s="12"/>
      <c r="E4895" t="str">
        <f>IF(LEN(D4895)=0,"",[1]!i_pq_tradedays($B$3,A4896,A4895)-1)</f>
        <v/>
      </c>
      <c r="G4895" s="16" t="str">
        <f t="shared" si="168"/>
        <v/>
      </c>
      <c r="H4895" s="70" t="str">
        <f t="shared" si="169"/>
        <v/>
      </c>
    </row>
    <row r="4896" spans="1:8">
      <c r="A4896" s="2"/>
      <c r="B4896" s="12"/>
      <c r="C4896" s="12"/>
      <c r="E4896" t="str">
        <f>IF(LEN(D4896)=0,"",[1]!i_pq_tradedays($B$3,A4897,A4896)-1)</f>
        <v/>
      </c>
      <c r="G4896" s="16" t="str">
        <f t="shared" si="168"/>
        <v/>
      </c>
      <c r="H4896" s="70" t="str">
        <f t="shared" si="169"/>
        <v/>
      </c>
    </row>
    <row r="4897" spans="1:8">
      <c r="A4897" s="2"/>
      <c r="B4897" s="12"/>
      <c r="C4897" s="12"/>
      <c r="E4897" t="str">
        <f>IF(LEN(D4897)=0,"",[1]!i_pq_tradedays($B$3,A4898,A4897)-1)</f>
        <v/>
      </c>
      <c r="G4897" s="16" t="str">
        <f t="shared" si="168"/>
        <v/>
      </c>
      <c r="H4897" s="70" t="str">
        <f t="shared" si="169"/>
        <v/>
      </c>
    </row>
    <row r="4898" spans="1:8">
      <c r="A4898" s="2"/>
      <c r="B4898" s="12"/>
      <c r="C4898" s="12"/>
      <c r="E4898" t="str">
        <f>IF(LEN(D4898)=0,"",[1]!i_pq_tradedays($B$3,A4899,A4898)-1)</f>
        <v/>
      </c>
      <c r="G4898" s="16" t="str">
        <f t="shared" si="168"/>
        <v/>
      </c>
      <c r="H4898" s="70" t="str">
        <f t="shared" si="169"/>
        <v/>
      </c>
    </row>
    <row r="4899" spans="1:8">
      <c r="A4899" s="2"/>
      <c r="B4899" s="12"/>
      <c r="C4899" s="12"/>
      <c r="E4899" t="str">
        <f>IF(LEN(D4899)=0,"",[1]!i_pq_tradedays($B$3,A4900,A4899)-1)</f>
        <v/>
      </c>
      <c r="G4899" s="16" t="str">
        <f t="shared" si="168"/>
        <v/>
      </c>
      <c r="H4899" s="70" t="str">
        <f t="shared" si="169"/>
        <v/>
      </c>
    </row>
    <row r="4900" spans="1:8">
      <c r="A4900" s="2"/>
      <c r="B4900" s="12"/>
      <c r="C4900" s="12"/>
      <c r="E4900" t="str">
        <f>IF(LEN(D4900)=0,"",[1]!i_pq_tradedays($B$3,A4901,A4900)-1)</f>
        <v/>
      </c>
      <c r="G4900" s="16" t="str">
        <f t="shared" si="168"/>
        <v/>
      </c>
      <c r="H4900" s="70" t="str">
        <f t="shared" si="169"/>
        <v/>
      </c>
    </row>
    <row r="4901" spans="1:8">
      <c r="A4901" s="2"/>
      <c r="B4901" s="12"/>
      <c r="C4901" s="12"/>
      <c r="E4901" t="str">
        <f>IF(LEN(D4901)=0,"",[1]!i_pq_tradedays($B$3,A4902,A4901)-1)</f>
        <v/>
      </c>
      <c r="G4901" s="16" t="str">
        <f t="shared" si="168"/>
        <v/>
      </c>
      <c r="H4901" s="70" t="str">
        <f t="shared" si="169"/>
        <v/>
      </c>
    </row>
    <row r="4902" spans="1:8">
      <c r="A4902" s="2"/>
      <c r="B4902" s="12"/>
      <c r="C4902" s="12"/>
      <c r="E4902" t="str">
        <f>IF(LEN(D4902)=0,"",[1]!i_pq_tradedays($B$3,A4903,A4902)-1)</f>
        <v/>
      </c>
      <c r="G4902" s="16" t="str">
        <f t="shared" si="168"/>
        <v/>
      </c>
      <c r="H4902" s="70" t="str">
        <f t="shared" si="169"/>
        <v/>
      </c>
    </row>
    <row r="4903" spans="1:8">
      <c r="A4903" s="2"/>
      <c r="B4903" s="12"/>
      <c r="C4903" s="12"/>
      <c r="E4903" t="str">
        <f>IF(LEN(D4903)=0,"",[1]!i_pq_tradedays($B$3,A4904,A4903)-1)</f>
        <v/>
      </c>
      <c r="G4903" s="16" t="str">
        <f t="shared" si="168"/>
        <v/>
      </c>
      <c r="H4903" s="70" t="str">
        <f t="shared" si="169"/>
        <v/>
      </c>
    </row>
    <row r="4904" spans="1:8">
      <c r="A4904" s="2"/>
      <c r="B4904" s="12"/>
      <c r="C4904" s="12"/>
      <c r="E4904" t="str">
        <f>IF(LEN(D4904)=0,"",[1]!i_pq_tradedays($B$3,A4905,A4904)-1)</f>
        <v/>
      </c>
      <c r="G4904" s="16" t="str">
        <f t="shared" si="168"/>
        <v/>
      </c>
      <c r="H4904" s="70" t="str">
        <f t="shared" si="169"/>
        <v/>
      </c>
    </row>
    <row r="4905" spans="1:8">
      <c r="A4905" s="2"/>
      <c r="B4905" s="12"/>
      <c r="C4905" s="12"/>
      <c r="E4905" t="str">
        <f>IF(LEN(D4905)=0,"",[1]!i_pq_tradedays($B$3,A4906,A4905)-1)</f>
        <v/>
      </c>
      <c r="G4905" s="16" t="str">
        <f t="shared" si="168"/>
        <v/>
      </c>
      <c r="H4905" s="70" t="str">
        <f t="shared" si="169"/>
        <v/>
      </c>
    </row>
    <row r="4906" spans="1:8">
      <c r="A4906" s="2"/>
      <c r="B4906" s="12"/>
      <c r="C4906" s="12"/>
      <c r="E4906" t="str">
        <f>IF(LEN(D4906)=0,"",[1]!i_pq_tradedays($B$3,A4907,A4906)-1)</f>
        <v/>
      </c>
      <c r="G4906" s="16" t="str">
        <f t="shared" si="168"/>
        <v/>
      </c>
      <c r="H4906" s="70" t="str">
        <f t="shared" si="169"/>
        <v/>
      </c>
    </row>
    <row r="4907" spans="1:8">
      <c r="A4907" s="2"/>
      <c r="B4907" s="12"/>
      <c r="C4907" s="12"/>
      <c r="E4907" t="str">
        <f>IF(LEN(D4907)=0,"",[1]!i_pq_tradedays($B$3,A4908,A4907)-1)</f>
        <v/>
      </c>
      <c r="G4907" s="16" t="str">
        <f t="shared" si="168"/>
        <v/>
      </c>
      <c r="H4907" s="70" t="str">
        <f t="shared" si="169"/>
        <v/>
      </c>
    </row>
    <row r="4908" spans="1:8">
      <c r="A4908" s="2"/>
      <c r="B4908" s="12"/>
      <c r="C4908" s="12"/>
      <c r="E4908" t="str">
        <f>IF(LEN(D4908)=0,"",[1]!i_pq_tradedays($B$3,A4909,A4908)-1)</f>
        <v/>
      </c>
      <c r="G4908" s="16" t="str">
        <f t="shared" si="168"/>
        <v/>
      </c>
      <c r="H4908" s="70" t="str">
        <f t="shared" si="169"/>
        <v/>
      </c>
    </row>
    <row r="4909" spans="1:8">
      <c r="A4909" s="2"/>
      <c r="B4909" s="12"/>
      <c r="C4909" s="12"/>
      <c r="E4909" t="str">
        <f>IF(LEN(D4909)=0,"",[1]!i_pq_tradedays($B$3,A4910,A4909)-1)</f>
        <v/>
      </c>
      <c r="G4909" s="16" t="str">
        <f t="shared" si="168"/>
        <v/>
      </c>
      <c r="H4909" s="70" t="str">
        <f t="shared" si="169"/>
        <v/>
      </c>
    </row>
    <row r="4910" spans="1:8">
      <c r="A4910" s="2"/>
      <c r="B4910" s="12"/>
      <c r="C4910" s="12"/>
      <c r="E4910" t="str">
        <f>IF(LEN(D4910)=0,"",[1]!i_pq_tradedays($B$3,A4911,A4910)-1)</f>
        <v/>
      </c>
      <c r="G4910" s="16" t="str">
        <f t="shared" si="168"/>
        <v/>
      </c>
      <c r="H4910" s="70" t="str">
        <f t="shared" si="169"/>
        <v/>
      </c>
    </row>
    <row r="4911" spans="1:8">
      <c r="A4911" s="2"/>
      <c r="B4911" s="12"/>
      <c r="C4911" s="12"/>
      <c r="E4911" t="str">
        <f>IF(LEN(D4911)=0,"",[1]!i_pq_tradedays($B$3,A4912,A4911)-1)</f>
        <v/>
      </c>
      <c r="G4911" s="16" t="str">
        <f t="shared" si="168"/>
        <v/>
      </c>
      <c r="H4911" s="70" t="str">
        <f t="shared" si="169"/>
        <v/>
      </c>
    </row>
    <row r="4912" spans="1:8">
      <c r="A4912" s="2"/>
      <c r="B4912" s="12"/>
      <c r="C4912" s="12"/>
      <c r="E4912" t="str">
        <f>IF(LEN(D4912)=0,"",[1]!i_pq_tradedays($B$3,A4913,A4912)-1)</f>
        <v/>
      </c>
      <c r="G4912" s="16" t="str">
        <f t="shared" si="168"/>
        <v/>
      </c>
      <c r="H4912" s="70" t="str">
        <f t="shared" si="169"/>
        <v/>
      </c>
    </row>
    <row r="4913" spans="1:8">
      <c r="A4913" s="2"/>
      <c r="B4913" s="12"/>
      <c r="C4913" s="12"/>
      <c r="E4913" t="str">
        <f>IF(LEN(D4913)=0,"",[1]!i_pq_tradedays($B$3,A4914,A4913)-1)</f>
        <v/>
      </c>
      <c r="G4913" s="16" t="str">
        <f t="shared" si="168"/>
        <v/>
      </c>
      <c r="H4913" s="70" t="str">
        <f t="shared" si="169"/>
        <v/>
      </c>
    </row>
    <row r="4914" spans="1:8">
      <c r="A4914" s="2"/>
      <c r="B4914" s="12"/>
      <c r="C4914" s="12"/>
      <c r="E4914" t="str">
        <f>IF(LEN(D4914)=0,"",[1]!i_pq_tradedays($B$3,A4915,A4914)-1)</f>
        <v/>
      </c>
      <c r="G4914" s="16" t="str">
        <f t="shared" si="168"/>
        <v/>
      </c>
      <c r="H4914" s="70" t="str">
        <f t="shared" si="169"/>
        <v/>
      </c>
    </row>
    <row r="4915" spans="1:8">
      <c r="A4915" s="2"/>
      <c r="B4915" s="12"/>
      <c r="C4915" s="12"/>
      <c r="E4915" t="str">
        <f>IF(LEN(D4915)=0,"",[1]!i_pq_tradedays($B$3,A4916,A4915)-1)</f>
        <v/>
      </c>
      <c r="G4915" s="16" t="str">
        <f t="shared" si="168"/>
        <v/>
      </c>
      <c r="H4915" s="70" t="str">
        <f t="shared" si="169"/>
        <v/>
      </c>
    </row>
    <row r="4916" spans="1:8">
      <c r="A4916" s="2"/>
      <c r="B4916" s="12"/>
      <c r="C4916" s="12"/>
      <c r="E4916" t="str">
        <f>IF(LEN(D4916)=0,"",[1]!i_pq_tradedays($B$3,A4917,A4916)-1)</f>
        <v/>
      </c>
      <c r="G4916" s="16" t="str">
        <f t="shared" si="168"/>
        <v/>
      </c>
      <c r="H4916" s="70" t="str">
        <f t="shared" si="169"/>
        <v/>
      </c>
    </row>
    <row r="4917" spans="1:8">
      <c r="A4917" s="2"/>
      <c r="B4917" s="12"/>
      <c r="C4917" s="12"/>
      <c r="E4917" t="str">
        <f>IF(LEN(D4917)=0,"",[1]!i_pq_tradedays($B$3,A4918,A4917)-1)</f>
        <v/>
      </c>
      <c r="G4917" s="16" t="str">
        <f t="shared" ref="G4917:G4980" si="170">IF(LEN(D4917)=0,"",D4917/E4917)</f>
        <v/>
      </c>
      <c r="H4917" s="70" t="str">
        <f t="shared" ref="H4917:H4980" si="171">IF(LEN(D4917)=0,"",G4917/G4918-1)</f>
        <v/>
      </c>
    </row>
    <row r="4918" spans="1:8">
      <c r="A4918" s="2"/>
      <c r="B4918" s="12"/>
      <c r="C4918" s="12"/>
      <c r="E4918" t="str">
        <f>IF(LEN(D4918)=0,"",[1]!i_pq_tradedays($B$3,A4919,A4918)-1)</f>
        <v/>
      </c>
      <c r="G4918" s="16" t="str">
        <f t="shared" si="170"/>
        <v/>
      </c>
      <c r="H4918" s="70" t="str">
        <f t="shared" si="171"/>
        <v/>
      </c>
    </row>
    <row r="4919" spans="1:8">
      <c r="A4919" s="2"/>
      <c r="B4919" s="12"/>
      <c r="C4919" s="12"/>
      <c r="E4919" t="str">
        <f>IF(LEN(D4919)=0,"",[1]!i_pq_tradedays($B$3,A4920,A4919)-1)</f>
        <v/>
      </c>
      <c r="G4919" s="16" t="str">
        <f t="shared" si="170"/>
        <v/>
      </c>
      <c r="H4919" s="70" t="str">
        <f t="shared" si="171"/>
        <v/>
      </c>
    </row>
    <row r="4920" spans="1:8">
      <c r="A4920" s="2"/>
      <c r="B4920" s="12"/>
      <c r="C4920" s="12"/>
      <c r="E4920" t="str">
        <f>IF(LEN(D4920)=0,"",[1]!i_pq_tradedays($B$3,A4921,A4920)-1)</f>
        <v/>
      </c>
      <c r="G4920" s="16" t="str">
        <f t="shared" si="170"/>
        <v/>
      </c>
      <c r="H4920" s="70" t="str">
        <f t="shared" si="171"/>
        <v/>
      </c>
    </row>
    <row r="4921" spans="1:8">
      <c r="A4921" s="2"/>
      <c r="B4921" s="12"/>
      <c r="C4921" s="12"/>
      <c r="E4921" t="str">
        <f>IF(LEN(D4921)=0,"",[1]!i_pq_tradedays($B$3,A4922,A4921)-1)</f>
        <v/>
      </c>
      <c r="G4921" s="16" t="str">
        <f t="shared" si="170"/>
        <v/>
      </c>
      <c r="H4921" s="70" t="str">
        <f t="shared" si="171"/>
        <v/>
      </c>
    </row>
    <row r="4922" spans="1:8">
      <c r="A4922" s="2"/>
      <c r="B4922" s="12"/>
      <c r="C4922" s="12"/>
      <c r="E4922" t="str">
        <f>IF(LEN(D4922)=0,"",[1]!i_pq_tradedays($B$3,A4923,A4922)-1)</f>
        <v/>
      </c>
      <c r="G4922" s="16" t="str">
        <f t="shared" si="170"/>
        <v/>
      </c>
      <c r="H4922" s="70" t="str">
        <f t="shared" si="171"/>
        <v/>
      </c>
    </row>
    <row r="4923" spans="1:8">
      <c r="A4923" s="2"/>
      <c r="B4923" s="12"/>
      <c r="C4923" s="12"/>
      <c r="E4923" t="str">
        <f>IF(LEN(D4923)=0,"",[1]!i_pq_tradedays($B$3,A4924,A4923)-1)</f>
        <v/>
      </c>
      <c r="G4923" s="16" t="str">
        <f t="shared" si="170"/>
        <v/>
      </c>
      <c r="H4923" s="70" t="str">
        <f t="shared" si="171"/>
        <v/>
      </c>
    </row>
    <row r="4924" spans="1:8">
      <c r="A4924" s="2"/>
      <c r="B4924" s="12"/>
      <c r="C4924" s="12"/>
      <c r="E4924" t="str">
        <f>IF(LEN(D4924)=0,"",[1]!i_pq_tradedays($B$3,A4925,A4924)-1)</f>
        <v/>
      </c>
      <c r="G4924" s="16" t="str">
        <f t="shared" si="170"/>
        <v/>
      </c>
      <c r="H4924" s="70" t="str">
        <f t="shared" si="171"/>
        <v/>
      </c>
    </row>
    <row r="4925" spans="1:8">
      <c r="A4925" s="2"/>
      <c r="B4925" s="12"/>
      <c r="C4925" s="12"/>
      <c r="E4925" t="str">
        <f>IF(LEN(D4925)=0,"",[1]!i_pq_tradedays($B$3,A4926,A4925)-1)</f>
        <v/>
      </c>
      <c r="G4925" s="16" t="str">
        <f t="shared" si="170"/>
        <v/>
      </c>
      <c r="H4925" s="70" t="str">
        <f t="shared" si="171"/>
        <v/>
      </c>
    </row>
    <row r="4926" spans="1:8">
      <c r="A4926" s="2"/>
      <c r="B4926" s="12"/>
      <c r="C4926" s="12"/>
      <c r="E4926" t="str">
        <f>IF(LEN(D4926)=0,"",[1]!i_pq_tradedays($B$3,A4927,A4926)-1)</f>
        <v/>
      </c>
      <c r="G4926" s="16" t="str">
        <f t="shared" si="170"/>
        <v/>
      </c>
      <c r="H4926" s="70" t="str">
        <f t="shared" si="171"/>
        <v/>
      </c>
    </row>
    <row r="4927" spans="1:8">
      <c r="A4927" s="2"/>
      <c r="B4927" s="12"/>
      <c r="C4927" s="12"/>
      <c r="E4927" t="str">
        <f>IF(LEN(D4927)=0,"",[1]!i_pq_tradedays($B$3,A4928,A4927)-1)</f>
        <v/>
      </c>
      <c r="G4927" s="16" t="str">
        <f t="shared" si="170"/>
        <v/>
      </c>
      <c r="H4927" s="70" t="str">
        <f t="shared" si="171"/>
        <v/>
      </c>
    </row>
    <row r="4928" spans="1:8">
      <c r="A4928" s="2"/>
      <c r="B4928" s="12"/>
      <c r="C4928" s="12"/>
      <c r="E4928" t="str">
        <f>IF(LEN(D4928)=0,"",[1]!i_pq_tradedays($B$3,A4929,A4928)-1)</f>
        <v/>
      </c>
      <c r="G4928" s="16" t="str">
        <f t="shared" si="170"/>
        <v/>
      </c>
      <c r="H4928" s="70" t="str">
        <f t="shared" si="171"/>
        <v/>
      </c>
    </row>
    <row r="4929" spans="1:8">
      <c r="A4929" s="2"/>
      <c r="B4929" s="12"/>
      <c r="C4929" s="12"/>
      <c r="E4929" t="str">
        <f>IF(LEN(D4929)=0,"",[1]!i_pq_tradedays($B$3,A4930,A4929)-1)</f>
        <v/>
      </c>
      <c r="G4929" s="16" t="str">
        <f t="shared" si="170"/>
        <v/>
      </c>
      <c r="H4929" s="70" t="str">
        <f t="shared" si="171"/>
        <v/>
      </c>
    </row>
    <row r="4930" spans="1:8">
      <c r="A4930" s="2"/>
      <c r="B4930" s="12"/>
      <c r="C4930" s="12"/>
      <c r="E4930" t="str">
        <f>IF(LEN(D4930)=0,"",[1]!i_pq_tradedays($B$3,A4931,A4930)-1)</f>
        <v/>
      </c>
      <c r="G4930" s="16" t="str">
        <f t="shared" si="170"/>
        <v/>
      </c>
      <c r="H4930" s="70" t="str">
        <f t="shared" si="171"/>
        <v/>
      </c>
    </row>
    <row r="4931" spans="1:8">
      <c r="A4931" s="2"/>
      <c r="B4931" s="12"/>
      <c r="C4931" s="12"/>
      <c r="E4931" t="str">
        <f>IF(LEN(D4931)=0,"",[1]!i_pq_tradedays($B$3,A4932,A4931)-1)</f>
        <v/>
      </c>
      <c r="G4931" s="16" t="str">
        <f t="shared" si="170"/>
        <v/>
      </c>
      <c r="H4931" s="70" t="str">
        <f t="shared" si="171"/>
        <v/>
      </c>
    </row>
    <row r="4932" spans="1:8">
      <c r="A4932" s="2"/>
      <c r="B4932" s="12"/>
      <c r="C4932" s="12"/>
      <c r="E4932" t="str">
        <f>IF(LEN(D4932)=0,"",[1]!i_pq_tradedays($B$3,A4933,A4932)-1)</f>
        <v/>
      </c>
      <c r="G4932" s="16" t="str">
        <f t="shared" si="170"/>
        <v/>
      </c>
      <c r="H4932" s="70" t="str">
        <f t="shared" si="171"/>
        <v/>
      </c>
    </row>
    <row r="4933" spans="1:8">
      <c r="A4933" s="2"/>
      <c r="B4933" s="12"/>
      <c r="C4933" s="12"/>
      <c r="E4933" t="str">
        <f>IF(LEN(D4933)=0,"",[1]!i_pq_tradedays($B$3,A4934,A4933)-1)</f>
        <v/>
      </c>
      <c r="G4933" s="16" t="str">
        <f t="shared" si="170"/>
        <v/>
      </c>
      <c r="H4933" s="70" t="str">
        <f t="shared" si="171"/>
        <v/>
      </c>
    </row>
    <row r="4934" spans="1:8">
      <c r="A4934" s="2"/>
      <c r="B4934" s="12"/>
      <c r="C4934" s="12"/>
      <c r="E4934" t="str">
        <f>IF(LEN(D4934)=0,"",[1]!i_pq_tradedays($B$3,A4935,A4934)-1)</f>
        <v/>
      </c>
      <c r="G4934" s="16" t="str">
        <f t="shared" si="170"/>
        <v/>
      </c>
      <c r="H4934" s="70" t="str">
        <f t="shared" si="171"/>
        <v/>
      </c>
    </row>
    <row r="4935" spans="1:8">
      <c r="A4935" s="2"/>
      <c r="B4935" s="12"/>
      <c r="C4935" s="12"/>
      <c r="E4935" t="str">
        <f>IF(LEN(D4935)=0,"",[1]!i_pq_tradedays($B$3,A4936,A4935)-1)</f>
        <v/>
      </c>
      <c r="G4935" s="16" t="str">
        <f t="shared" si="170"/>
        <v/>
      </c>
      <c r="H4935" s="70" t="str">
        <f t="shared" si="171"/>
        <v/>
      </c>
    </row>
    <row r="4936" spans="1:8">
      <c r="A4936" s="2"/>
      <c r="B4936" s="12"/>
      <c r="C4936" s="12"/>
      <c r="E4936" t="str">
        <f>IF(LEN(D4936)=0,"",[1]!i_pq_tradedays($B$3,A4937,A4936)-1)</f>
        <v/>
      </c>
      <c r="G4936" s="16" t="str">
        <f t="shared" si="170"/>
        <v/>
      </c>
      <c r="H4936" s="70" t="str">
        <f t="shared" si="171"/>
        <v/>
      </c>
    </row>
    <row r="4937" spans="1:8">
      <c r="A4937" s="2"/>
      <c r="B4937" s="12"/>
      <c r="C4937" s="12"/>
      <c r="E4937" t="str">
        <f>IF(LEN(D4937)=0,"",[1]!i_pq_tradedays($B$3,A4938,A4937)-1)</f>
        <v/>
      </c>
      <c r="G4937" s="16" t="str">
        <f t="shared" si="170"/>
        <v/>
      </c>
      <c r="H4937" s="70" t="str">
        <f t="shared" si="171"/>
        <v/>
      </c>
    </row>
    <row r="4938" spans="1:8">
      <c r="A4938" s="2"/>
      <c r="B4938" s="12"/>
      <c r="C4938" s="12"/>
      <c r="E4938" t="str">
        <f>IF(LEN(D4938)=0,"",[1]!i_pq_tradedays($B$3,A4939,A4938)-1)</f>
        <v/>
      </c>
      <c r="G4938" s="16" t="str">
        <f t="shared" si="170"/>
        <v/>
      </c>
      <c r="H4938" s="70" t="str">
        <f t="shared" si="171"/>
        <v/>
      </c>
    </row>
    <row r="4939" spans="1:8">
      <c r="A4939" s="2"/>
      <c r="B4939" s="12"/>
      <c r="C4939" s="12"/>
      <c r="E4939" t="str">
        <f>IF(LEN(D4939)=0,"",[1]!i_pq_tradedays($B$3,A4940,A4939)-1)</f>
        <v/>
      </c>
      <c r="G4939" s="16" t="str">
        <f t="shared" si="170"/>
        <v/>
      </c>
      <c r="H4939" s="70" t="str">
        <f t="shared" si="171"/>
        <v/>
      </c>
    </row>
    <row r="4940" spans="1:8">
      <c r="A4940" s="2"/>
      <c r="B4940" s="12"/>
      <c r="C4940" s="12"/>
      <c r="E4940" t="str">
        <f>IF(LEN(D4940)=0,"",[1]!i_pq_tradedays($B$3,A4941,A4940)-1)</f>
        <v/>
      </c>
      <c r="G4940" s="16" t="str">
        <f t="shared" si="170"/>
        <v/>
      </c>
      <c r="H4940" s="70" t="str">
        <f t="shared" si="171"/>
        <v/>
      </c>
    </row>
    <row r="4941" spans="1:8">
      <c r="A4941" s="2"/>
      <c r="B4941" s="12"/>
      <c r="C4941" s="12"/>
      <c r="E4941" t="str">
        <f>IF(LEN(D4941)=0,"",[1]!i_pq_tradedays($B$3,A4942,A4941)-1)</f>
        <v/>
      </c>
      <c r="G4941" s="16" t="str">
        <f t="shared" si="170"/>
        <v/>
      </c>
      <c r="H4941" s="70" t="str">
        <f t="shared" si="171"/>
        <v/>
      </c>
    </row>
    <row r="4942" spans="1:8">
      <c r="A4942" s="2"/>
      <c r="B4942" s="12"/>
      <c r="C4942" s="12"/>
      <c r="E4942" t="str">
        <f>IF(LEN(D4942)=0,"",[1]!i_pq_tradedays($B$3,A4943,A4942)-1)</f>
        <v/>
      </c>
      <c r="G4942" s="16" t="str">
        <f t="shared" si="170"/>
        <v/>
      </c>
      <c r="H4942" s="70" t="str">
        <f t="shared" si="171"/>
        <v/>
      </c>
    </row>
    <row r="4943" spans="1:8">
      <c r="A4943" s="2"/>
      <c r="B4943" s="12"/>
      <c r="C4943" s="12"/>
      <c r="E4943" t="str">
        <f>IF(LEN(D4943)=0,"",[1]!i_pq_tradedays($B$3,A4944,A4943)-1)</f>
        <v/>
      </c>
      <c r="G4943" s="16" t="str">
        <f t="shared" si="170"/>
        <v/>
      </c>
      <c r="H4943" s="70" t="str">
        <f t="shared" si="171"/>
        <v/>
      </c>
    </row>
    <row r="4944" spans="1:8">
      <c r="A4944" s="2"/>
      <c r="B4944" s="12"/>
      <c r="C4944" s="12"/>
      <c r="E4944" t="str">
        <f>IF(LEN(D4944)=0,"",[1]!i_pq_tradedays($B$3,A4945,A4944)-1)</f>
        <v/>
      </c>
      <c r="G4944" s="16" t="str">
        <f t="shared" si="170"/>
        <v/>
      </c>
      <c r="H4944" s="70" t="str">
        <f t="shared" si="171"/>
        <v/>
      </c>
    </row>
    <row r="4945" spans="1:8">
      <c r="A4945" s="2"/>
      <c r="B4945" s="12"/>
      <c r="C4945" s="12"/>
      <c r="E4945" t="str">
        <f>IF(LEN(D4945)=0,"",[1]!i_pq_tradedays($B$3,A4946,A4945)-1)</f>
        <v/>
      </c>
      <c r="G4945" s="16" t="str">
        <f t="shared" si="170"/>
        <v/>
      </c>
      <c r="H4945" s="70" t="str">
        <f t="shared" si="171"/>
        <v/>
      </c>
    </row>
    <row r="4946" spans="1:8">
      <c r="A4946" s="2"/>
      <c r="B4946" s="12"/>
      <c r="C4946" s="12"/>
      <c r="E4946" t="str">
        <f>IF(LEN(D4946)=0,"",[1]!i_pq_tradedays($B$3,A4947,A4946)-1)</f>
        <v/>
      </c>
      <c r="G4946" s="16" t="str">
        <f t="shared" si="170"/>
        <v/>
      </c>
      <c r="H4946" s="70" t="str">
        <f t="shared" si="171"/>
        <v/>
      </c>
    </row>
    <row r="4947" spans="1:8">
      <c r="A4947" s="2"/>
      <c r="B4947" s="12"/>
      <c r="C4947" s="12"/>
      <c r="E4947" t="str">
        <f>IF(LEN(D4947)=0,"",[1]!i_pq_tradedays($B$3,A4948,A4947)-1)</f>
        <v/>
      </c>
      <c r="G4947" s="16" t="str">
        <f t="shared" si="170"/>
        <v/>
      </c>
      <c r="H4947" s="70" t="str">
        <f t="shared" si="171"/>
        <v/>
      </c>
    </row>
    <row r="4948" spans="1:8">
      <c r="A4948" s="2"/>
      <c r="B4948" s="12"/>
      <c r="C4948" s="12"/>
      <c r="E4948" t="str">
        <f>IF(LEN(D4948)=0,"",[1]!i_pq_tradedays($B$3,A4949,A4948)-1)</f>
        <v/>
      </c>
      <c r="G4948" s="16" t="str">
        <f t="shared" si="170"/>
        <v/>
      </c>
      <c r="H4948" s="70" t="str">
        <f t="shared" si="171"/>
        <v/>
      </c>
    </row>
    <row r="4949" spans="1:8">
      <c r="A4949" s="2"/>
      <c r="B4949" s="12"/>
      <c r="C4949" s="12"/>
      <c r="E4949" t="str">
        <f>IF(LEN(D4949)=0,"",[1]!i_pq_tradedays($B$3,A4950,A4949)-1)</f>
        <v/>
      </c>
      <c r="G4949" s="16" t="str">
        <f t="shared" si="170"/>
        <v/>
      </c>
      <c r="H4949" s="70" t="str">
        <f t="shared" si="171"/>
        <v/>
      </c>
    </row>
    <row r="4950" spans="1:8">
      <c r="A4950" s="2"/>
      <c r="B4950" s="12"/>
      <c r="C4950" s="12"/>
      <c r="E4950" t="str">
        <f>IF(LEN(D4950)=0,"",[1]!i_pq_tradedays($B$3,A4951,A4950)-1)</f>
        <v/>
      </c>
      <c r="G4950" s="16" t="str">
        <f t="shared" si="170"/>
        <v/>
      </c>
      <c r="H4950" s="70" t="str">
        <f t="shared" si="171"/>
        <v/>
      </c>
    </row>
    <row r="4951" spans="1:8">
      <c r="A4951" s="2"/>
      <c r="B4951" s="12"/>
      <c r="C4951" s="12"/>
      <c r="E4951" t="str">
        <f>IF(LEN(D4951)=0,"",[1]!i_pq_tradedays($B$3,A4952,A4951)-1)</f>
        <v/>
      </c>
      <c r="G4951" s="16" t="str">
        <f t="shared" si="170"/>
        <v/>
      </c>
      <c r="H4951" s="70" t="str">
        <f t="shared" si="171"/>
        <v/>
      </c>
    </row>
    <row r="4952" spans="1:8">
      <c r="A4952" s="2"/>
      <c r="B4952" s="12"/>
      <c r="C4952" s="12"/>
      <c r="E4952" t="str">
        <f>IF(LEN(D4952)=0,"",[1]!i_pq_tradedays($B$3,A4953,A4952)-1)</f>
        <v/>
      </c>
      <c r="G4952" s="16" t="str">
        <f t="shared" si="170"/>
        <v/>
      </c>
      <c r="H4952" s="70" t="str">
        <f t="shared" si="171"/>
        <v/>
      </c>
    </row>
    <row r="4953" spans="1:8">
      <c r="A4953" s="2"/>
      <c r="B4953" s="12"/>
      <c r="C4953" s="12"/>
      <c r="E4953" t="str">
        <f>IF(LEN(D4953)=0,"",[1]!i_pq_tradedays($B$3,A4954,A4953)-1)</f>
        <v/>
      </c>
      <c r="G4953" s="16" t="str">
        <f t="shared" si="170"/>
        <v/>
      </c>
      <c r="H4953" s="70" t="str">
        <f t="shared" si="171"/>
        <v/>
      </c>
    </row>
    <row r="4954" spans="1:8">
      <c r="A4954" s="2"/>
      <c r="B4954" s="12"/>
      <c r="C4954" s="12"/>
      <c r="E4954" t="str">
        <f>IF(LEN(D4954)=0,"",[1]!i_pq_tradedays($B$3,A4955,A4954)-1)</f>
        <v/>
      </c>
      <c r="G4954" s="16" t="str">
        <f t="shared" si="170"/>
        <v/>
      </c>
      <c r="H4954" s="70" t="str">
        <f t="shared" si="171"/>
        <v/>
      </c>
    </row>
    <row r="4955" spans="1:8">
      <c r="A4955" s="2"/>
      <c r="B4955" s="12"/>
      <c r="C4955" s="12"/>
      <c r="E4955" t="str">
        <f>IF(LEN(D4955)=0,"",[1]!i_pq_tradedays($B$3,A4956,A4955)-1)</f>
        <v/>
      </c>
      <c r="G4955" s="16" t="str">
        <f t="shared" si="170"/>
        <v/>
      </c>
      <c r="H4955" s="70" t="str">
        <f t="shared" si="171"/>
        <v/>
      </c>
    </row>
    <row r="4956" spans="1:8">
      <c r="A4956" s="2"/>
      <c r="B4956" s="12"/>
      <c r="C4956" s="12"/>
      <c r="E4956" t="str">
        <f>IF(LEN(D4956)=0,"",[1]!i_pq_tradedays($B$3,A4957,A4956)-1)</f>
        <v/>
      </c>
      <c r="G4956" s="16" t="str">
        <f t="shared" si="170"/>
        <v/>
      </c>
      <c r="H4956" s="70" t="str">
        <f t="shared" si="171"/>
        <v/>
      </c>
    </row>
    <row r="4957" spans="1:8">
      <c r="A4957" s="2"/>
      <c r="B4957" s="12"/>
      <c r="C4957" s="12"/>
      <c r="E4957" t="str">
        <f>IF(LEN(D4957)=0,"",[1]!i_pq_tradedays($B$3,A4958,A4957)-1)</f>
        <v/>
      </c>
      <c r="G4957" s="16" t="str">
        <f t="shared" si="170"/>
        <v/>
      </c>
      <c r="H4957" s="70" t="str">
        <f t="shared" si="171"/>
        <v/>
      </c>
    </row>
    <row r="4958" spans="1:8">
      <c r="A4958" s="2"/>
      <c r="B4958" s="12"/>
      <c r="C4958" s="12"/>
      <c r="E4958" t="str">
        <f>IF(LEN(D4958)=0,"",[1]!i_pq_tradedays($B$3,A4959,A4958)-1)</f>
        <v/>
      </c>
      <c r="G4958" s="16" t="str">
        <f t="shared" si="170"/>
        <v/>
      </c>
      <c r="H4958" s="70" t="str">
        <f t="shared" si="171"/>
        <v/>
      </c>
    </row>
    <row r="4959" spans="1:8">
      <c r="A4959" s="2"/>
      <c r="B4959" s="12"/>
      <c r="C4959" s="12"/>
      <c r="E4959" t="str">
        <f>IF(LEN(D4959)=0,"",[1]!i_pq_tradedays($B$3,A4960,A4959)-1)</f>
        <v/>
      </c>
      <c r="G4959" s="16" t="str">
        <f t="shared" si="170"/>
        <v/>
      </c>
      <c r="H4959" s="70" t="str">
        <f t="shared" si="171"/>
        <v/>
      </c>
    </row>
    <row r="4960" spans="1:8">
      <c r="A4960" s="2"/>
      <c r="B4960" s="12"/>
      <c r="C4960" s="12"/>
      <c r="E4960" t="str">
        <f>IF(LEN(D4960)=0,"",[1]!i_pq_tradedays($B$3,A4961,A4960)-1)</f>
        <v/>
      </c>
      <c r="G4960" s="16" t="str">
        <f t="shared" si="170"/>
        <v/>
      </c>
      <c r="H4960" s="70" t="str">
        <f t="shared" si="171"/>
        <v/>
      </c>
    </row>
    <row r="4961" spans="1:8">
      <c r="A4961" s="2"/>
      <c r="B4961" s="12"/>
      <c r="C4961" s="12"/>
      <c r="E4961" t="str">
        <f>IF(LEN(D4961)=0,"",[1]!i_pq_tradedays($B$3,A4962,A4961)-1)</f>
        <v/>
      </c>
      <c r="G4961" s="16" t="str">
        <f t="shared" si="170"/>
        <v/>
      </c>
      <c r="H4961" s="70" t="str">
        <f t="shared" si="171"/>
        <v/>
      </c>
    </row>
    <row r="4962" spans="1:8">
      <c r="A4962" s="2"/>
      <c r="B4962" s="12"/>
      <c r="C4962" s="12"/>
      <c r="E4962" t="str">
        <f>IF(LEN(D4962)=0,"",[1]!i_pq_tradedays($B$3,A4963,A4962)-1)</f>
        <v/>
      </c>
      <c r="G4962" s="16" t="str">
        <f t="shared" si="170"/>
        <v/>
      </c>
      <c r="H4962" s="70" t="str">
        <f t="shared" si="171"/>
        <v/>
      </c>
    </row>
    <row r="4963" spans="1:8">
      <c r="A4963" s="2"/>
      <c r="B4963" s="12"/>
      <c r="C4963" s="12"/>
      <c r="E4963" t="str">
        <f>IF(LEN(D4963)=0,"",[1]!i_pq_tradedays($B$3,A4964,A4963)-1)</f>
        <v/>
      </c>
      <c r="G4963" s="16" t="str">
        <f t="shared" si="170"/>
        <v/>
      </c>
      <c r="H4963" s="70" t="str">
        <f t="shared" si="171"/>
        <v/>
      </c>
    </row>
    <row r="4964" spans="1:8">
      <c r="A4964" s="2"/>
      <c r="B4964" s="12"/>
      <c r="C4964" s="12"/>
      <c r="E4964" t="str">
        <f>IF(LEN(D4964)=0,"",[1]!i_pq_tradedays($B$3,A4965,A4964)-1)</f>
        <v/>
      </c>
      <c r="G4964" s="16" t="str">
        <f t="shared" si="170"/>
        <v/>
      </c>
      <c r="H4964" s="70" t="str">
        <f t="shared" si="171"/>
        <v/>
      </c>
    </row>
    <row r="4965" spans="1:8">
      <c r="A4965" s="2"/>
      <c r="B4965" s="12"/>
      <c r="C4965" s="12"/>
      <c r="E4965" t="str">
        <f>IF(LEN(D4965)=0,"",[1]!i_pq_tradedays($B$3,A4966,A4965)-1)</f>
        <v/>
      </c>
      <c r="G4965" s="16" t="str">
        <f t="shared" si="170"/>
        <v/>
      </c>
      <c r="H4965" s="70" t="str">
        <f t="shared" si="171"/>
        <v/>
      </c>
    </row>
    <row r="4966" spans="1:8">
      <c r="A4966" s="2"/>
      <c r="B4966" s="12"/>
      <c r="C4966" s="12"/>
      <c r="E4966" t="str">
        <f>IF(LEN(D4966)=0,"",[1]!i_pq_tradedays($B$3,A4967,A4966)-1)</f>
        <v/>
      </c>
      <c r="G4966" s="16" t="str">
        <f t="shared" si="170"/>
        <v/>
      </c>
      <c r="H4966" s="70" t="str">
        <f t="shared" si="171"/>
        <v/>
      </c>
    </row>
    <row r="4967" spans="1:8">
      <c r="A4967" s="2"/>
      <c r="B4967" s="12"/>
      <c r="C4967" s="12"/>
      <c r="E4967" t="str">
        <f>IF(LEN(D4967)=0,"",[1]!i_pq_tradedays($B$3,A4968,A4967)-1)</f>
        <v/>
      </c>
      <c r="G4967" s="16" t="str">
        <f t="shared" si="170"/>
        <v/>
      </c>
      <c r="H4967" s="70" t="str">
        <f t="shared" si="171"/>
        <v/>
      </c>
    </row>
    <row r="4968" spans="1:8">
      <c r="A4968" s="2"/>
      <c r="B4968" s="12"/>
      <c r="C4968" s="12"/>
      <c r="E4968" t="str">
        <f>IF(LEN(D4968)=0,"",[1]!i_pq_tradedays($B$3,A4969,A4968)-1)</f>
        <v/>
      </c>
      <c r="G4968" s="16" t="str">
        <f t="shared" si="170"/>
        <v/>
      </c>
      <c r="H4968" s="70" t="str">
        <f t="shared" si="171"/>
        <v/>
      </c>
    </row>
    <row r="4969" spans="1:8">
      <c r="A4969" s="2"/>
      <c r="B4969" s="12"/>
      <c r="C4969" s="12"/>
      <c r="E4969" t="str">
        <f>IF(LEN(D4969)=0,"",[1]!i_pq_tradedays($B$3,A4970,A4969)-1)</f>
        <v/>
      </c>
      <c r="G4969" s="16" t="str">
        <f t="shared" si="170"/>
        <v/>
      </c>
      <c r="H4969" s="70" t="str">
        <f t="shared" si="171"/>
        <v/>
      </c>
    </row>
    <row r="4970" spans="1:8">
      <c r="A4970" s="2"/>
      <c r="B4970" s="12"/>
      <c r="C4970" s="12"/>
      <c r="E4970" t="str">
        <f>IF(LEN(D4970)=0,"",[1]!i_pq_tradedays($B$3,A4971,A4970)-1)</f>
        <v/>
      </c>
      <c r="G4970" s="16" t="str">
        <f t="shared" si="170"/>
        <v/>
      </c>
      <c r="H4970" s="70" t="str">
        <f t="shared" si="171"/>
        <v/>
      </c>
    </row>
    <row r="4971" spans="1:8">
      <c r="A4971" s="2"/>
      <c r="B4971" s="12"/>
      <c r="C4971" s="12"/>
      <c r="E4971" t="str">
        <f>IF(LEN(D4971)=0,"",[1]!i_pq_tradedays($B$3,A4972,A4971)-1)</f>
        <v/>
      </c>
      <c r="G4971" s="16" t="str">
        <f t="shared" si="170"/>
        <v/>
      </c>
      <c r="H4971" s="70" t="str">
        <f t="shared" si="171"/>
        <v/>
      </c>
    </row>
    <row r="4972" spans="1:8">
      <c r="A4972" s="2"/>
      <c r="B4972" s="12"/>
      <c r="C4972" s="12"/>
      <c r="E4972" t="str">
        <f>IF(LEN(D4972)=0,"",[1]!i_pq_tradedays($B$3,A4973,A4972)-1)</f>
        <v/>
      </c>
      <c r="G4972" s="16" t="str">
        <f t="shared" si="170"/>
        <v/>
      </c>
      <c r="H4972" s="70" t="str">
        <f t="shared" si="171"/>
        <v/>
      </c>
    </row>
    <row r="4973" spans="1:8">
      <c r="A4973" s="2"/>
      <c r="B4973" s="12"/>
      <c r="C4973" s="12"/>
      <c r="E4973" t="str">
        <f>IF(LEN(D4973)=0,"",[1]!i_pq_tradedays($B$3,A4974,A4973)-1)</f>
        <v/>
      </c>
      <c r="G4973" s="16" t="str">
        <f t="shared" si="170"/>
        <v/>
      </c>
      <c r="H4973" s="70" t="str">
        <f t="shared" si="171"/>
        <v/>
      </c>
    </row>
    <row r="4974" spans="1:8">
      <c r="A4974" s="2"/>
      <c r="B4974" s="12"/>
      <c r="C4974" s="12"/>
      <c r="E4974" t="str">
        <f>IF(LEN(D4974)=0,"",[1]!i_pq_tradedays($B$3,A4975,A4974)-1)</f>
        <v/>
      </c>
      <c r="G4974" s="16" t="str">
        <f t="shared" si="170"/>
        <v/>
      </c>
      <c r="H4974" s="70" t="str">
        <f t="shared" si="171"/>
        <v/>
      </c>
    </row>
    <row r="4975" spans="1:8">
      <c r="A4975" s="2"/>
      <c r="B4975" s="12"/>
      <c r="C4975" s="12"/>
      <c r="E4975" t="str">
        <f>IF(LEN(D4975)=0,"",[1]!i_pq_tradedays($B$3,A4976,A4975)-1)</f>
        <v/>
      </c>
      <c r="G4975" s="16" t="str">
        <f t="shared" si="170"/>
        <v/>
      </c>
      <c r="H4975" s="70" t="str">
        <f t="shared" si="171"/>
        <v/>
      </c>
    </row>
    <row r="4976" spans="1:8">
      <c r="A4976" s="2"/>
      <c r="B4976" s="12"/>
      <c r="C4976" s="12"/>
      <c r="E4976" t="str">
        <f>IF(LEN(D4976)=0,"",[1]!i_pq_tradedays($B$3,A4977,A4976)-1)</f>
        <v/>
      </c>
      <c r="G4976" s="16" t="str">
        <f t="shared" si="170"/>
        <v/>
      </c>
      <c r="H4976" s="70" t="str">
        <f t="shared" si="171"/>
        <v/>
      </c>
    </row>
    <row r="4977" spans="1:8">
      <c r="A4977" s="2"/>
      <c r="B4977" s="12"/>
      <c r="C4977" s="12"/>
      <c r="E4977" t="str">
        <f>IF(LEN(D4977)=0,"",[1]!i_pq_tradedays($B$3,A4978,A4977)-1)</f>
        <v/>
      </c>
      <c r="G4977" s="16" t="str">
        <f t="shared" si="170"/>
        <v/>
      </c>
      <c r="H4977" s="70" t="str">
        <f t="shared" si="171"/>
        <v/>
      </c>
    </row>
    <row r="4978" spans="1:8">
      <c r="A4978" s="2"/>
      <c r="B4978" s="12"/>
      <c r="C4978" s="12"/>
      <c r="E4978" t="str">
        <f>IF(LEN(D4978)=0,"",[1]!i_pq_tradedays($B$3,A4979,A4978)-1)</f>
        <v/>
      </c>
      <c r="G4978" s="16" t="str">
        <f t="shared" si="170"/>
        <v/>
      </c>
      <c r="H4978" s="70" t="str">
        <f t="shared" si="171"/>
        <v/>
      </c>
    </row>
    <row r="4979" spans="1:8">
      <c r="A4979" s="2"/>
      <c r="B4979" s="12"/>
      <c r="C4979" s="12"/>
      <c r="E4979" t="str">
        <f>IF(LEN(D4979)=0,"",[1]!i_pq_tradedays($B$3,A4980,A4979)-1)</f>
        <v/>
      </c>
      <c r="G4979" s="16" t="str">
        <f t="shared" si="170"/>
        <v/>
      </c>
      <c r="H4979" s="70" t="str">
        <f t="shared" si="171"/>
        <v/>
      </c>
    </row>
    <row r="4980" spans="1:8">
      <c r="A4980" s="2"/>
      <c r="B4980" s="12"/>
      <c r="C4980" s="12"/>
      <c r="E4980" t="str">
        <f>IF(LEN(D4980)=0,"",[1]!i_pq_tradedays($B$3,A4981,A4980)-1)</f>
        <v/>
      </c>
      <c r="G4980" s="16" t="str">
        <f t="shared" si="170"/>
        <v/>
      </c>
      <c r="H4980" s="70" t="str">
        <f t="shared" si="171"/>
        <v/>
      </c>
    </row>
    <row r="4981" spans="1:8">
      <c r="A4981" s="2"/>
      <c r="B4981" s="12"/>
      <c r="C4981" s="12"/>
      <c r="E4981" t="str">
        <f>IF(LEN(D4981)=0,"",[1]!i_pq_tradedays($B$3,A4982,A4981)-1)</f>
        <v/>
      </c>
      <c r="G4981" s="16" t="str">
        <f t="shared" ref="G4981:G5044" si="172">IF(LEN(D4981)=0,"",D4981/E4981)</f>
        <v/>
      </c>
      <c r="H4981" s="70" t="str">
        <f t="shared" ref="H4981:H5044" si="173">IF(LEN(D4981)=0,"",G4981/G4982-1)</f>
        <v/>
      </c>
    </row>
    <row r="4982" spans="1:8">
      <c r="A4982" s="2"/>
      <c r="B4982" s="12"/>
      <c r="C4982" s="12"/>
      <c r="E4982" t="str">
        <f>IF(LEN(D4982)=0,"",[1]!i_pq_tradedays($B$3,A4983,A4982)-1)</f>
        <v/>
      </c>
      <c r="G4982" s="16" t="str">
        <f t="shared" si="172"/>
        <v/>
      </c>
      <c r="H4982" s="70" t="str">
        <f t="shared" si="173"/>
        <v/>
      </c>
    </row>
    <row r="4983" spans="1:8">
      <c r="A4983" s="2"/>
      <c r="B4983" s="12"/>
      <c r="C4983" s="12"/>
      <c r="E4983" t="str">
        <f>IF(LEN(D4983)=0,"",[1]!i_pq_tradedays($B$3,A4984,A4983)-1)</f>
        <v/>
      </c>
      <c r="G4983" s="16" t="str">
        <f t="shared" si="172"/>
        <v/>
      </c>
      <c r="H4983" s="70" t="str">
        <f t="shared" si="173"/>
        <v/>
      </c>
    </row>
    <row r="4984" spans="1:8">
      <c r="A4984" s="2"/>
      <c r="B4984" s="12"/>
      <c r="C4984" s="12"/>
      <c r="E4984" t="str">
        <f>IF(LEN(D4984)=0,"",[1]!i_pq_tradedays($B$3,A4985,A4984)-1)</f>
        <v/>
      </c>
      <c r="G4984" s="16" t="str">
        <f t="shared" si="172"/>
        <v/>
      </c>
      <c r="H4984" s="70" t="str">
        <f t="shared" si="173"/>
        <v/>
      </c>
    </row>
    <row r="4985" spans="1:8">
      <c r="A4985" s="2"/>
      <c r="B4985" s="12"/>
      <c r="C4985" s="12"/>
      <c r="E4985" t="str">
        <f>IF(LEN(D4985)=0,"",[1]!i_pq_tradedays($B$3,A4986,A4985)-1)</f>
        <v/>
      </c>
      <c r="G4985" s="16" t="str">
        <f t="shared" si="172"/>
        <v/>
      </c>
      <c r="H4985" s="70" t="str">
        <f t="shared" si="173"/>
        <v/>
      </c>
    </row>
    <row r="4986" spans="1:8">
      <c r="A4986" s="2"/>
      <c r="B4986" s="12"/>
      <c r="C4986" s="12"/>
      <c r="E4986" t="str">
        <f>IF(LEN(D4986)=0,"",[1]!i_pq_tradedays($B$3,A4987,A4986)-1)</f>
        <v/>
      </c>
      <c r="G4986" s="16" t="str">
        <f t="shared" si="172"/>
        <v/>
      </c>
      <c r="H4986" s="70" t="str">
        <f t="shared" si="173"/>
        <v/>
      </c>
    </row>
    <row r="4987" spans="1:8">
      <c r="A4987" s="2"/>
      <c r="B4987" s="12"/>
      <c r="C4987" s="12"/>
      <c r="E4987" t="str">
        <f>IF(LEN(D4987)=0,"",[1]!i_pq_tradedays($B$3,A4988,A4987)-1)</f>
        <v/>
      </c>
      <c r="G4987" s="16" t="str">
        <f t="shared" si="172"/>
        <v/>
      </c>
      <c r="H4987" s="70" t="str">
        <f t="shared" si="173"/>
        <v/>
      </c>
    </row>
    <row r="4988" spans="1:8">
      <c r="A4988" s="2"/>
      <c r="B4988" s="12"/>
      <c r="C4988" s="12"/>
      <c r="E4988" t="str">
        <f>IF(LEN(D4988)=0,"",[1]!i_pq_tradedays($B$3,A4989,A4988)-1)</f>
        <v/>
      </c>
      <c r="G4988" s="16" t="str">
        <f t="shared" si="172"/>
        <v/>
      </c>
      <c r="H4988" s="70" t="str">
        <f t="shared" si="173"/>
        <v/>
      </c>
    </row>
    <row r="4989" spans="1:8">
      <c r="A4989" s="2"/>
      <c r="B4989" s="12"/>
      <c r="C4989" s="12"/>
      <c r="E4989" t="str">
        <f>IF(LEN(D4989)=0,"",[1]!i_pq_tradedays($B$3,A4990,A4989)-1)</f>
        <v/>
      </c>
      <c r="G4989" s="16" t="str">
        <f t="shared" si="172"/>
        <v/>
      </c>
      <c r="H4989" s="70" t="str">
        <f t="shared" si="173"/>
        <v/>
      </c>
    </row>
    <row r="4990" spans="1:8">
      <c r="A4990" s="2"/>
      <c r="B4990" s="12"/>
      <c r="C4990" s="12"/>
      <c r="E4990" t="str">
        <f>IF(LEN(D4990)=0,"",[1]!i_pq_tradedays($B$3,A4991,A4990)-1)</f>
        <v/>
      </c>
      <c r="G4990" s="16" t="str">
        <f t="shared" si="172"/>
        <v/>
      </c>
      <c r="H4990" s="70" t="str">
        <f t="shared" si="173"/>
        <v/>
      </c>
    </row>
    <row r="4991" spans="1:8">
      <c r="A4991" s="2"/>
      <c r="B4991" s="12"/>
      <c r="C4991" s="12"/>
      <c r="E4991" t="str">
        <f>IF(LEN(D4991)=0,"",[1]!i_pq_tradedays($B$3,A4992,A4991)-1)</f>
        <v/>
      </c>
      <c r="G4991" s="16" t="str">
        <f t="shared" si="172"/>
        <v/>
      </c>
      <c r="H4991" s="70" t="str">
        <f t="shared" si="173"/>
        <v/>
      </c>
    </row>
    <row r="4992" spans="1:8">
      <c r="A4992" s="2"/>
      <c r="B4992" s="12"/>
      <c r="C4992" s="12"/>
      <c r="E4992" t="str">
        <f>IF(LEN(D4992)=0,"",[1]!i_pq_tradedays($B$3,A4993,A4992)-1)</f>
        <v/>
      </c>
      <c r="G4992" s="16" t="str">
        <f t="shared" si="172"/>
        <v/>
      </c>
      <c r="H4992" s="70" t="str">
        <f t="shared" si="173"/>
        <v/>
      </c>
    </row>
    <row r="4993" spans="1:8">
      <c r="A4993" s="2"/>
      <c r="B4993" s="12"/>
      <c r="C4993" s="12"/>
      <c r="E4993" t="str">
        <f>IF(LEN(D4993)=0,"",[1]!i_pq_tradedays($B$3,A4994,A4993)-1)</f>
        <v/>
      </c>
      <c r="G4993" s="16" t="str">
        <f t="shared" si="172"/>
        <v/>
      </c>
      <c r="H4993" s="70" t="str">
        <f t="shared" si="173"/>
        <v/>
      </c>
    </row>
    <row r="4994" spans="1:8">
      <c r="A4994" s="2"/>
      <c r="B4994" s="12"/>
      <c r="C4994" s="12"/>
      <c r="E4994" t="str">
        <f>IF(LEN(D4994)=0,"",[1]!i_pq_tradedays($B$3,A4995,A4994)-1)</f>
        <v/>
      </c>
      <c r="G4994" s="16" t="str">
        <f t="shared" si="172"/>
        <v/>
      </c>
      <c r="H4994" s="70" t="str">
        <f t="shared" si="173"/>
        <v/>
      </c>
    </row>
    <row r="4995" spans="1:8">
      <c r="A4995" s="2"/>
      <c r="B4995" s="12"/>
      <c r="C4995" s="12"/>
      <c r="E4995" t="str">
        <f>IF(LEN(D4995)=0,"",[1]!i_pq_tradedays($B$3,A4996,A4995)-1)</f>
        <v/>
      </c>
      <c r="G4995" s="16" t="str">
        <f t="shared" si="172"/>
        <v/>
      </c>
      <c r="H4995" s="70" t="str">
        <f t="shared" si="173"/>
        <v/>
      </c>
    </row>
    <row r="4996" spans="1:8">
      <c r="A4996" s="2"/>
      <c r="B4996" s="12"/>
      <c r="C4996" s="12"/>
      <c r="E4996" t="str">
        <f>IF(LEN(D4996)=0,"",[1]!i_pq_tradedays($B$3,A4997,A4996)-1)</f>
        <v/>
      </c>
      <c r="G4996" s="16" t="str">
        <f t="shared" si="172"/>
        <v/>
      </c>
      <c r="H4996" s="70" t="str">
        <f t="shared" si="173"/>
        <v/>
      </c>
    </row>
    <row r="4997" spans="1:8">
      <c r="A4997" s="2"/>
      <c r="B4997" s="12"/>
      <c r="C4997" s="12"/>
      <c r="E4997" t="str">
        <f>IF(LEN(D4997)=0,"",[1]!i_pq_tradedays($B$3,A4998,A4997)-1)</f>
        <v/>
      </c>
      <c r="G4997" s="16" t="str">
        <f t="shared" si="172"/>
        <v/>
      </c>
      <c r="H4997" s="70" t="str">
        <f t="shared" si="173"/>
        <v/>
      </c>
    </row>
    <row r="4998" spans="1:8">
      <c r="A4998" s="2"/>
      <c r="B4998" s="12"/>
      <c r="C4998" s="12"/>
      <c r="E4998" t="str">
        <f>IF(LEN(D4998)=0,"",[1]!i_pq_tradedays($B$3,A4999,A4998)-1)</f>
        <v/>
      </c>
      <c r="G4998" s="16" t="str">
        <f t="shared" si="172"/>
        <v/>
      </c>
      <c r="H4998" s="70" t="str">
        <f t="shared" si="173"/>
        <v/>
      </c>
    </row>
    <row r="4999" spans="1:8">
      <c r="A4999" s="2"/>
      <c r="B4999" s="12"/>
      <c r="C4999" s="12"/>
      <c r="E4999" t="str">
        <f>IF(LEN(D4999)=0,"",[1]!i_pq_tradedays($B$3,A5000,A4999)-1)</f>
        <v/>
      </c>
      <c r="G4999" s="16" t="str">
        <f t="shared" si="172"/>
        <v/>
      </c>
      <c r="H4999" s="70" t="str">
        <f t="shared" si="173"/>
        <v/>
      </c>
    </row>
    <row r="5000" spans="1:8">
      <c r="A5000" s="2"/>
      <c r="B5000" s="12"/>
      <c r="C5000" s="12"/>
      <c r="E5000" t="str">
        <f>IF(LEN(D5000)=0,"",[1]!i_pq_tradedays($B$3,A5001,A5000)-1)</f>
        <v/>
      </c>
      <c r="G5000" s="16" t="str">
        <f t="shared" si="172"/>
        <v/>
      </c>
      <c r="H5000" s="70" t="str">
        <f t="shared" si="173"/>
        <v/>
      </c>
    </row>
    <row r="5001" spans="1:8">
      <c r="A5001" s="2"/>
      <c r="B5001" s="12"/>
      <c r="C5001" s="12"/>
      <c r="E5001" t="str">
        <f>IF(LEN(D5001)=0,"",[1]!i_pq_tradedays($B$3,A5002,A5001)-1)</f>
        <v/>
      </c>
      <c r="G5001" s="16" t="str">
        <f t="shared" si="172"/>
        <v/>
      </c>
      <c r="H5001" s="70" t="str">
        <f t="shared" si="173"/>
        <v/>
      </c>
    </row>
    <row r="5002" spans="1:8">
      <c r="A5002" s="2"/>
      <c r="B5002" s="12"/>
      <c r="C5002" s="12"/>
      <c r="E5002" t="str">
        <f>IF(LEN(D5002)=0,"",[1]!i_pq_tradedays($B$3,A5003,A5002)-1)</f>
        <v/>
      </c>
      <c r="G5002" s="16" t="str">
        <f t="shared" si="172"/>
        <v/>
      </c>
      <c r="H5002" s="70" t="str">
        <f t="shared" si="173"/>
        <v/>
      </c>
    </row>
    <row r="5003" spans="1:8">
      <c r="A5003" s="2"/>
      <c r="B5003" s="12"/>
      <c r="C5003" s="12"/>
      <c r="E5003" t="str">
        <f>IF(LEN(D5003)=0,"",[1]!i_pq_tradedays($B$3,A5004,A5003)-1)</f>
        <v/>
      </c>
      <c r="G5003" s="16" t="str">
        <f t="shared" si="172"/>
        <v/>
      </c>
      <c r="H5003" s="70" t="str">
        <f t="shared" si="173"/>
        <v/>
      </c>
    </row>
    <row r="5004" spans="1:8">
      <c r="A5004" s="2"/>
      <c r="B5004" s="12"/>
      <c r="C5004" s="12"/>
      <c r="E5004" t="str">
        <f>IF(LEN(D5004)=0,"",[1]!i_pq_tradedays($B$3,A5005,A5004)-1)</f>
        <v/>
      </c>
      <c r="G5004" s="16" t="str">
        <f t="shared" si="172"/>
        <v/>
      </c>
      <c r="H5004" s="70" t="str">
        <f t="shared" si="173"/>
        <v/>
      </c>
    </row>
    <row r="5005" spans="1:8">
      <c r="A5005" s="2"/>
      <c r="B5005" s="12"/>
      <c r="C5005" s="12"/>
      <c r="E5005" t="str">
        <f>IF(LEN(D5005)=0,"",[1]!i_pq_tradedays($B$3,A5006,A5005)-1)</f>
        <v/>
      </c>
      <c r="G5005" s="16" t="str">
        <f t="shared" si="172"/>
        <v/>
      </c>
      <c r="H5005" s="70" t="str">
        <f t="shared" si="173"/>
        <v/>
      </c>
    </row>
    <row r="5006" spans="1:8">
      <c r="A5006" s="2"/>
      <c r="B5006" s="12"/>
      <c r="C5006" s="12"/>
      <c r="E5006" t="str">
        <f>IF(LEN(D5006)=0,"",[1]!i_pq_tradedays($B$3,A5007,A5006)-1)</f>
        <v/>
      </c>
      <c r="G5006" s="16" t="str">
        <f t="shared" si="172"/>
        <v/>
      </c>
      <c r="H5006" s="70" t="str">
        <f t="shared" si="173"/>
        <v/>
      </c>
    </row>
    <row r="5007" spans="1:8">
      <c r="A5007" s="2"/>
      <c r="B5007" s="12"/>
      <c r="C5007" s="12"/>
      <c r="E5007" t="str">
        <f>IF(LEN(D5007)=0,"",[1]!i_pq_tradedays($B$3,A5008,A5007)-1)</f>
        <v/>
      </c>
      <c r="G5007" s="16" t="str">
        <f t="shared" si="172"/>
        <v/>
      </c>
      <c r="H5007" s="70" t="str">
        <f t="shared" si="173"/>
        <v/>
      </c>
    </row>
    <row r="5008" spans="1:8">
      <c r="A5008" s="2"/>
      <c r="B5008" s="12"/>
      <c r="C5008" s="12"/>
      <c r="E5008" t="str">
        <f>IF(LEN(D5008)=0,"",[1]!i_pq_tradedays($B$3,A5009,A5008)-1)</f>
        <v/>
      </c>
      <c r="G5008" s="16" t="str">
        <f t="shared" si="172"/>
        <v/>
      </c>
      <c r="H5008" s="70" t="str">
        <f t="shared" si="173"/>
        <v/>
      </c>
    </row>
    <row r="5009" spans="1:8">
      <c r="A5009" s="2"/>
      <c r="B5009" s="12"/>
      <c r="C5009" s="12"/>
      <c r="E5009" t="str">
        <f>IF(LEN(D5009)=0,"",[1]!i_pq_tradedays($B$3,A5010,A5009)-1)</f>
        <v/>
      </c>
      <c r="G5009" s="16" t="str">
        <f t="shared" si="172"/>
        <v/>
      </c>
      <c r="H5009" s="70" t="str">
        <f t="shared" si="173"/>
        <v/>
      </c>
    </row>
    <row r="5010" spans="1:8">
      <c r="A5010" s="2"/>
      <c r="B5010" s="12"/>
      <c r="C5010" s="12"/>
      <c r="E5010" t="str">
        <f>IF(LEN(D5010)=0,"",[1]!i_pq_tradedays($B$3,A5011,A5010)-1)</f>
        <v/>
      </c>
      <c r="G5010" s="16" t="str">
        <f t="shared" si="172"/>
        <v/>
      </c>
      <c r="H5010" s="70" t="str">
        <f t="shared" si="173"/>
        <v/>
      </c>
    </row>
    <row r="5011" spans="1:8">
      <c r="A5011" s="2"/>
      <c r="B5011" s="12"/>
      <c r="C5011" s="12"/>
      <c r="E5011" t="str">
        <f>IF(LEN(D5011)=0,"",[1]!i_pq_tradedays($B$3,A5012,A5011)-1)</f>
        <v/>
      </c>
      <c r="G5011" s="16" t="str">
        <f t="shared" si="172"/>
        <v/>
      </c>
      <c r="H5011" s="70" t="str">
        <f t="shared" si="173"/>
        <v/>
      </c>
    </row>
    <row r="5012" spans="1:8">
      <c r="A5012" s="2"/>
      <c r="B5012" s="12"/>
      <c r="C5012" s="12"/>
      <c r="E5012" t="str">
        <f>IF(LEN(D5012)=0,"",[1]!i_pq_tradedays($B$3,A5013,A5012)-1)</f>
        <v/>
      </c>
      <c r="G5012" s="16" t="str">
        <f t="shared" si="172"/>
        <v/>
      </c>
      <c r="H5012" s="70" t="str">
        <f t="shared" si="173"/>
        <v/>
      </c>
    </row>
    <row r="5013" spans="1:8">
      <c r="A5013" s="2"/>
      <c r="B5013" s="12"/>
      <c r="C5013" s="12"/>
      <c r="E5013" t="str">
        <f>IF(LEN(D5013)=0,"",[1]!i_pq_tradedays($B$3,A5014,A5013)-1)</f>
        <v/>
      </c>
      <c r="G5013" s="16" t="str">
        <f t="shared" si="172"/>
        <v/>
      </c>
      <c r="H5013" s="70" t="str">
        <f t="shared" si="173"/>
        <v/>
      </c>
    </row>
    <row r="5014" spans="1:8">
      <c r="A5014" s="2"/>
      <c r="B5014" s="12"/>
      <c r="C5014" s="12"/>
      <c r="E5014" t="str">
        <f>IF(LEN(D5014)=0,"",[1]!i_pq_tradedays($B$3,A5015,A5014)-1)</f>
        <v/>
      </c>
      <c r="G5014" s="16" t="str">
        <f t="shared" si="172"/>
        <v/>
      </c>
      <c r="H5014" s="70" t="str">
        <f t="shared" si="173"/>
        <v/>
      </c>
    </row>
    <row r="5015" spans="1:8">
      <c r="A5015" s="2"/>
      <c r="B5015" s="12"/>
      <c r="C5015" s="12"/>
      <c r="E5015" t="str">
        <f>IF(LEN(D5015)=0,"",[1]!i_pq_tradedays($B$3,A5016,A5015)-1)</f>
        <v/>
      </c>
      <c r="G5015" s="16" t="str">
        <f t="shared" si="172"/>
        <v/>
      </c>
      <c r="H5015" s="70" t="str">
        <f t="shared" si="173"/>
        <v/>
      </c>
    </row>
    <row r="5016" spans="1:8">
      <c r="A5016" s="2"/>
      <c r="B5016" s="12"/>
      <c r="C5016" s="12"/>
      <c r="E5016" t="str">
        <f>IF(LEN(D5016)=0,"",[1]!i_pq_tradedays($B$3,A5017,A5016)-1)</f>
        <v/>
      </c>
      <c r="G5016" s="16" t="str">
        <f t="shared" si="172"/>
        <v/>
      </c>
      <c r="H5016" s="70" t="str">
        <f t="shared" si="173"/>
        <v/>
      </c>
    </row>
    <row r="5017" spans="1:8">
      <c r="A5017" s="2"/>
      <c r="B5017" s="12"/>
      <c r="C5017" s="12"/>
      <c r="E5017" t="str">
        <f>IF(LEN(D5017)=0,"",[1]!i_pq_tradedays($B$3,A5018,A5017)-1)</f>
        <v/>
      </c>
      <c r="G5017" s="16" t="str">
        <f t="shared" si="172"/>
        <v/>
      </c>
      <c r="H5017" s="70" t="str">
        <f t="shared" si="173"/>
        <v/>
      </c>
    </row>
    <row r="5018" spans="1:8">
      <c r="A5018" s="2"/>
      <c r="B5018" s="12"/>
      <c r="C5018" s="12"/>
      <c r="E5018" t="str">
        <f>IF(LEN(D5018)=0,"",[1]!i_pq_tradedays($B$3,A5019,A5018)-1)</f>
        <v/>
      </c>
      <c r="G5018" s="16" t="str">
        <f t="shared" si="172"/>
        <v/>
      </c>
      <c r="H5018" s="70" t="str">
        <f t="shared" si="173"/>
        <v/>
      </c>
    </row>
    <row r="5019" spans="1:8">
      <c r="A5019" s="2"/>
      <c r="B5019" s="12"/>
      <c r="C5019" s="12"/>
      <c r="E5019" t="str">
        <f>IF(LEN(D5019)=0,"",[1]!i_pq_tradedays($B$3,A5020,A5019)-1)</f>
        <v/>
      </c>
      <c r="G5019" s="16" t="str">
        <f t="shared" si="172"/>
        <v/>
      </c>
      <c r="H5019" s="70" t="str">
        <f t="shared" si="173"/>
        <v/>
      </c>
    </row>
    <row r="5020" spans="1:8">
      <c r="A5020" s="2"/>
      <c r="B5020" s="12"/>
      <c r="C5020" s="12"/>
      <c r="E5020" t="str">
        <f>IF(LEN(D5020)=0,"",[1]!i_pq_tradedays($B$3,A5021,A5020)-1)</f>
        <v/>
      </c>
      <c r="G5020" s="16" t="str">
        <f t="shared" si="172"/>
        <v/>
      </c>
      <c r="H5020" s="70" t="str">
        <f t="shared" si="173"/>
        <v/>
      </c>
    </row>
    <row r="5021" spans="1:8">
      <c r="A5021" s="2"/>
      <c r="B5021" s="12"/>
      <c r="C5021" s="12"/>
      <c r="E5021" t="str">
        <f>IF(LEN(D5021)=0,"",[1]!i_pq_tradedays($B$3,A5022,A5021)-1)</f>
        <v/>
      </c>
      <c r="G5021" s="16" t="str">
        <f t="shared" si="172"/>
        <v/>
      </c>
      <c r="H5021" s="70" t="str">
        <f t="shared" si="173"/>
        <v/>
      </c>
    </row>
    <row r="5022" spans="1:8">
      <c r="A5022" s="2"/>
      <c r="B5022" s="12"/>
      <c r="C5022" s="12"/>
      <c r="E5022" t="str">
        <f>IF(LEN(D5022)=0,"",[1]!i_pq_tradedays($B$3,A5023,A5022)-1)</f>
        <v/>
      </c>
      <c r="G5022" s="16" t="str">
        <f t="shared" si="172"/>
        <v/>
      </c>
      <c r="H5022" s="70" t="str">
        <f t="shared" si="173"/>
        <v/>
      </c>
    </row>
    <row r="5023" spans="1:8">
      <c r="A5023" s="2"/>
      <c r="B5023" s="12"/>
      <c r="C5023" s="12"/>
      <c r="E5023" t="str">
        <f>IF(LEN(D5023)=0,"",[1]!i_pq_tradedays($B$3,A5024,A5023)-1)</f>
        <v/>
      </c>
      <c r="G5023" s="16" t="str">
        <f t="shared" si="172"/>
        <v/>
      </c>
      <c r="H5023" s="70" t="str">
        <f t="shared" si="173"/>
        <v/>
      </c>
    </row>
    <row r="5024" spans="1:8">
      <c r="A5024" s="2"/>
      <c r="B5024" s="12"/>
      <c r="C5024" s="12"/>
      <c r="E5024" t="str">
        <f>IF(LEN(D5024)=0,"",[1]!i_pq_tradedays($B$3,A5025,A5024)-1)</f>
        <v/>
      </c>
      <c r="G5024" s="16" t="str">
        <f t="shared" si="172"/>
        <v/>
      </c>
      <c r="H5024" s="70" t="str">
        <f t="shared" si="173"/>
        <v/>
      </c>
    </row>
    <row r="5025" spans="1:8">
      <c r="A5025" s="2"/>
      <c r="B5025" s="12"/>
      <c r="C5025" s="12"/>
      <c r="E5025" t="str">
        <f>IF(LEN(D5025)=0,"",[1]!i_pq_tradedays($B$3,A5026,A5025)-1)</f>
        <v/>
      </c>
      <c r="G5025" s="16" t="str">
        <f t="shared" si="172"/>
        <v/>
      </c>
      <c r="H5025" s="70" t="str">
        <f t="shared" si="173"/>
        <v/>
      </c>
    </row>
    <row r="5026" spans="1:8">
      <c r="A5026" s="2"/>
      <c r="B5026" s="12"/>
      <c r="C5026" s="12"/>
      <c r="E5026" t="str">
        <f>IF(LEN(D5026)=0,"",[1]!i_pq_tradedays($B$3,A5027,A5026)-1)</f>
        <v/>
      </c>
      <c r="G5026" s="16" t="str">
        <f t="shared" si="172"/>
        <v/>
      </c>
      <c r="H5026" s="70" t="str">
        <f t="shared" si="173"/>
        <v/>
      </c>
    </row>
    <row r="5027" spans="1:8">
      <c r="A5027" s="2"/>
      <c r="B5027" s="12"/>
      <c r="C5027" s="12"/>
      <c r="E5027" t="str">
        <f>IF(LEN(D5027)=0,"",[1]!i_pq_tradedays($B$3,A5028,A5027)-1)</f>
        <v/>
      </c>
      <c r="G5027" s="16" t="str">
        <f t="shared" si="172"/>
        <v/>
      </c>
      <c r="H5027" s="70" t="str">
        <f t="shared" si="173"/>
        <v/>
      </c>
    </row>
    <row r="5028" spans="1:8">
      <c r="A5028" s="2"/>
      <c r="B5028" s="12"/>
      <c r="C5028" s="12"/>
      <c r="E5028" t="str">
        <f>IF(LEN(D5028)=0,"",[1]!i_pq_tradedays($B$3,A5029,A5028)-1)</f>
        <v/>
      </c>
      <c r="G5028" s="16" t="str">
        <f t="shared" si="172"/>
        <v/>
      </c>
      <c r="H5028" s="70" t="str">
        <f t="shared" si="173"/>
        <v/>
      </c>
    </row>
    <row r="5029" spans="1:8">
      <c r="A5029" s="2"/>
      <c r="B5029" s="12"/>
      <c r="C5029" s="12"/>
      <c r="E5029" t="str">
        <f>IF(LEN(D5029)=0,"",[1]!i_pq_tradedays($B$3,A5030,A5029)-1)</f>
        <v/>
      </c>
      <c r="G5029" s="16" t="str">
        <f t="shared" si="172"/>
        <v/>
      </c>
      <c r="H5029" s="70" t="str">
        <f t="shared" si="173"/>
        <v/>
      </c>
    </row>
    <row r="5030" spans="1:8">
      <c r="A5030" s="2"/>
      <c r="B5030" s="12"/>
      <c r="C5030" s="12"/>
      <c r="E5030" t="str">
        <f>IF(LEN(D5030)=0,"",[1]!i_pq_tradedays($B$3,A5031,A5030)-1)</f>
        <v/>
      </c>
      <c r="G5030" s="16" t="str">
        <f t="shared" si="172"/>
        <v/>
      </c>
      <c r="H5030" s="70" t="str">
        <f t="shared" si="173"/>
        <v/>
      </c>
    </row>
    <row r="5031" spans="1:8">
      <c r="A5031" s="2"/>
      <c r="B5031" s="12"/>
      <c r="C5031" s="12"/>
      <c r="E5031" t="str">
        <f>IF(LEN(D5031)=0,"",[1]!i_pq_tradedays($B$3,A5032,A5031)-1)</f>
        <v/>
      </c>
      <c r="G5031" s="16" t="str">
        <f t="shared" si="172"/>
        <v/>
      </c>
      <c r="H5031" s="70" t="str">
        <f t="shared" si="173"/>
        <v/>
      </c>
    </row>
    <row r="5032" spans="1:8">
      <c r="A5032" s="2"/>
      <c r="B5032" s="12"/>
      <c r="C5032" s="12"/>
      <c r="E5032" t="str">
        <f>IF(LEN(D5032)=0,"",[1]!i_pq_tradedays($B$3,A5033,A5032)-1)</f>
        <v/>
      </c>
      <c r="G5032" s="16" t="str">
        <f t="shared" si="172"/>
        <v/>
      </c>
      <c r="H5032" s="70" t="str">
        <f t="shared" si="173"/>
        <v/>
      </c>
    </row>
    <row r="5033" spans="1:8">
      <c r="A5033" s="2"/>
      <c r="B5033" s="12"/>
      <c r="C5033" s="12"/>
      <c r="E5033" t="str">
        <f>IF(LEN(D5033)=0,"",[1]!i_pq_tradedays($B$3,A5034,A5033)-1)</f>
        <v/>
      </c>
      <c r="G5033" s="16" t="str">
        <f t="shared" si="172"/>
        <v/>
      </c>
      <c r="H5033" s="70" t="str">
        <f t="shared" si="173"/>
        <v/>
      </c>
    </row>
    <row r="5034" spans="1:8">
      <c r="A5034" s="2"/>
      <c r="B5034" s="12"/>
      <c r="C5034" s="12"/>
      <c r="E5034" t="str">
        <f>IF(LEN(D5034)=0,"",[1]!i_pq_tradedays($B$3,A5035,A5034)-1)</f>
        <v/>
      </c>
      <c r="G5034" s="16" t="str">
        <f t="shared" si="172"/>
        <v/>
      </c>
      <c r="H5034" s="70" t="str">
        <f t="shared" si="173"/>
        <v/>
      </c>
    </row>
    <row r="5035" spans="1:8">
      <c r="A5035" s="2"/>
      <c r="B5035" s="12"/>
      <c r="C5035" s="12"/>
      <c r="E5035" t="str">
        <f>IF(LEN(D5035)=0,"",[1]!i_pq_tradedays($B$3,A5036,A5035)-1)</f>
        <v/>
      </c>
      <c r="G5035" s="16" t="str">
        <f t="shared" si="172"/>
        <v/>
      </c>
      <c r="H5035" s="70" t="str">
        <f t="shared" si="173"/>
        <v/>
      </c>
    </row>
    <row r="5036" spans="1:8">
      <c r="A5036" s="2"/>
      <c r="B5036" s="12"/>
      <c r="C5036" s="12"/>
      <c r="E5036" t="str">
        <f>IF(LEN(D5036)=0,"",[1]!i_pq_tradedays($B$3,A5037,A5036)-1)</f>
        <v/>
      </c>
      <c r="G5036" s="16" t="str">
        <f t="shared" si="172"/>
        <v/>
      </c>
      <c r="H5036" s="70" t="str">
        <f t="shared" si="173"/>
        <v/>
      </c>
    </row>
    <row r="5037" spans="1:8">
      <c r="A5037" s="2"/>
      <c r="B5037" s="12"/>
      <c r="C5037" s="12"/>
      <c r="E5037" t="str">
        <f>IF(LEN(D5037)=0,"",[1]!i_pq_tradedays($B$3,A5038,A5037)-1)</f>
        <v/>
      </c>
      <c r="G5037" s="16" t="str">
        <f t="shared" si="172"/>
        <v/>
      </c>
      <c r="H5037" s="70" t="str">
        <f t="shared" si="173"/>
        <v/>
      </c>
    </row>
    <row r="5038" spans="1:8">
      <c r="A5038" s="2"/>
      <c r="B5038" s="12"/>
      <c r="C5038" s="12"/>
      <c r="E5038" t="str">
        <f>IF(LEN(D5038)=0,"",[1]!i_pq_tradedays($B$3,A5039,A5038)-1)</f>
        <v/>
      </c>
      <c r="G5038" s="16" t="str">
        <f t="shared" si="172"/>
        <v/>
      </c>
      <c r="H5038" s="70" t="str">
        <f t="shared" si="173"/>
        <v/>
      </c>
    </row>
    <row r="5039" spans="1:8">
      <c r="A5039" s="2"/>
      <c r="B5039" s="12"/>
      <c r="C5039" s="12"/>
      <c r="E5039" t="str">
        <f>IF(LEN(D5039)=0,"",[1]!i_pq_tradedays($B$3,A5040,A5039)-1)</f>
        <v/>
      </c>
      <c r="G5039" s="16" t="str">
        <f t="shared" si="172"/>
        <v/>
      </c>
      <c r="H5039" s="70" t="str">
        <f t="shared" si="173"/>
        <v/>
      </c>
    </row>
    <row r="5040" spans="1:8">
      <c r="A5040" s="2"/>
      <c r="B5040" s="12"/>
      <c r="C5040" s="12"/>
      <c r="E5040" t="str">
        <f>IF(LEN(D5040)=0,"",[1]!i_pq_tradedays($B$3,A5041,A5040)-1)</f>
        <v/>
      </c>
      <c r="G5040" s="16" t="str">
        <f t="shared" si="172"/>
        <v/>
      </c>
      <c r="H5040" s="70" t="str">
        <f t="shared" si="173"/>
        <v/>
      </c>
    </row>
    <row r="5041" spans="1:8">
      <c r="A5041" s="2"/>
      <c r="B5041" s="12"/>
      <c r="C5041" s="12"/>
      <c r="E5041" t="str">
        <f>IF(LEN(D5041)=0,"",[1]!i_pq_tradedays($B$3,A5042,A5041)-1)</f>
        <v/>
      </c>
      <c r="G5041" s="16" t="str">
        <f t="shared" si="172"/>
        <v/>
      </c>
      <c r="H5041" s="70" t="str">
        <f t="shared" si="173"/>
        <v/>
      </c>
    </row>
    <row r="5042" spans="1:8">
      <c r="A5042" s="2"/>
      <c r="B5042" s="12"/>
      <c r="C5042" s="12"/>
      <c r="E5042" t="str">
        <f>IF(LEN(D5042)=0,"",[1]!i_pq_tradedays($B$3,A5043,A5042)-1)</f>
        <v/>
      </c>
      <c r="G5042" s="16" t="str">
        <f t="shared" si="172"/>
        <v/>
      </c>
      <c r="H5042" s="70" t="str">
        <f t="shared" si="173"/>
        <v/>
      </c>
    </row>
    <row r="5043" spans="1:8">
      <c r="A5043" s="2"/>
      <c r="B5043" s="12"/>
      <c r="C5043" s="12"/>
      <c r="E5043" t="str">
        <f>IF(LEN(D5043)=0,"",[1]!i_pq_tradedays($B$3,A5044,A5043)-1)</f>
        <v/>
      </c>
      <c r="G5043" s="16" t="str">
        <f t="shared" si="172"/>
        <v/>
      </c>
      <c r="H5043" s="70" t="str">
        <f t="shared" si="173"/>
        <v/>
      </c>
    </row>
    <row r="5044" spans="1:8">
      <c r="A5044" s="2"/>
      <c r="B5044" s="12"/>
      <c r="C5044" s="12"/>
      <c r="E5044" t="str">
        <f>IF(LEN(D5044)=0,"",[1]!i_pq_tradedays($B$3,A5045,A5044)-1)</f>
        <v/>
      </c>
      <c r="G5044" s="16" t="str">
        <f t="shared" si="172"/>
        <v/>
      </c>
      <c r="H5044" s="70" t="str">
        <f t="shared" si="173"/>
        <v/>
      </c>
    </row>
    <row r="5045" spans="1:8">
      <c r="A5045" s="2"/>
      <c r="B5045" s="12"/>
      <c r="C5045" s="12"/>
      <c r="E5045" t="str">
        <f>IF(LEN(D5045)=0,"",[1]!i_pq_tradedays($B$3,A5046,A5045)-1)</f>
        <v/>
      </c>
      <c r="G5045" s="16" t="str">
        <f t="shared" ref="G5045:G5108" si="174">IF(LEN(D5045)=0,"",D5045/E5045)</f>
        <v/>
      </c>
      <c r="H5045" s="70" t="str">
        <f t="shared" ref="H5045:H5108" si="175">IF(LEN(D5045)=0,"",G5045/G5046-1)</f>
        <v/>
      </c>
    </row>
    <row r="5046" spans="1:8">
      <c r="A5046" s="2"/>
      <c r="B5046" s="12"/>
      <c r="C5046" s="12"/>
      <c r="E5046" t="str">
        <f>IF(LEN(D5046)=0,"",[1]!i_pq_tradedays($B$3,A5047,A5046)-1)</f>
        <v/>
      </c>
      <c r="G5046" s="16" t="str">
        <f t="shared" si="174"/>
        <v/>
      </c>
      <c r="H5046" s="70" t="str">
        <f t="shared" si="175"/>
        <v/>
      </c>
    </row>
    <row r="5047" spans="1:8">
      <c r="A5047" s="2"/>
      <c r="B5047" s="12"/>
      <c r="C5047" s="12"/>
      <c r="E5047" t="str">
        <f>IF(LEN(D5047)=0,"",[1]!i_pq_tradedays($B$3,A5048,A5047)-1)</f>
        <v/>
      </c>
      <c r="G5047" s="16" t="str">
        <f t="shared" si="174"/>
        <v/>
      </c>
      <c r="H5047" s="70" t="str">
        <f t="shared" si="175"/>
        <v/>
      </c>
    </row>
    <row r="5048" spans="1:8">
      <c r="A5048" s="2"/>
      <c r="B5048" s="12"/>
      <c r="C5048" s="12"/>
      <c r="E5048" t="str">
        <f>IF(LEN(D5048)=0,"",[1]!i_pq_tradedays($B$3,A5049,A5048)-1)</f>
        <v/>
      </c>
      <c r="G5048" s="16" t="str">
        <f t="shared" si="174"/>
        <v/>
      </c>
      <c r="H5048" s="70" t="str">
        <f t="shared" si="175"/>
        <v/>
      </c>
    </row>
    <row r="5049" spans="1:8">
      <c r="A5049" s="2"/>
      <c r="B5049" s="12"/>
      <c r="C5049" s="12"/>
      <c r="E5049" t="str">
        <f>IF(LEN(D5049)=0,"",[1]!i_pq_tradedays($B$3,A5050,A5049)-1)</f>
        <v/>
      </c>
      <c r="G5049" s="16" t="str">
        <f t="shared" si="174"/>
        <v/>
      </c>
      <c r="H5049" s="70" t="str">
        <f t="shared" si="175"/>
        <v/>
      </c>
    </row>
    <row r="5050" spans="1:8">
      <c r="A5050" s="2"/>
      <c r="B5050" s="12"/>
      <c r="C5050" s="12"/>
      <c r="E5050" t="str">
        <f>IF(LEN(D5050)=0,"",[1]!i_pq_tradedays($B$3,A5051,A5050)-1)</f>
        <v/>
      </c>
      <c r="G5050" s="16" t="str">
        <f t="shared" si="174"/>
        <v/>
      </c>
      <c r="H5050" s="70" t="str">
        <f t="shared" si="175"/>
        <v/>
      </c>
    </row>
    <row r="5051" spans="1:8">
      <c r="A5051" s="2"/>
      <c r="B5051" s="12"/>
      <c r="C5051" s="12"/>
      <c r="E5051" t="str">
        <f>IF(LEN(D5051)=0,"",[1]!i_pq_tradedays($B$3,A5052,A5051)-1)</f>
        <v/>
      </c>
      <c r="G5051" s="16" t="str">
        <f t="shared" si="174"/>
        <v/>
      </c>
      <c r="H5051" s="70" t="str">
        <f t="shared" si="175"/>
        <v/>
      </c>
    </row>
    <row r="5052" spans="1:8">
      <c r="A5052" s="2"/>
      <c r="B5052" s="12"/>
      <c r="C5052" s="12"/>
      <c r="E5052" t="str">
        <f>IF(LEN(D5052)=0,"",[1]!i_pq_tradedays($B$3,A5053,A5052)-1)</f>
        <v/>
      </c>
      <c r="G5052" s="16" t="str">
        <f t="shared" si="174"/>
        <v/>
      </c>
      <c r="H5052" s="70" t="str">
        <f t="shared" si="175"/>
        <v/>
      </c>
    </row>
    <row r="5053" spans="1:8">
      <c r="A5053" s="2"/>
      <c r="B5053" s="12"/>
      <c r="C5053" s="12"/>
      <c r="E5053" t="str">
        <f>IF(LEN(D5053)=0,"",[1]!i_pq_tradedays($B$3,A5054,A5053)-1)</f>
        <v/>
      </c>
      <c r="G5053" s="16" t="str">
        <f t="shared" si="174"/>
        <v/>
      </c>
      <c r="H5053" s="70" t="str">
        <f t="shared" si="175"/>
        <v/>
      </c>
    </row>
    <row r="5054" spans="1:8">
      <c r="A5054" s="2"/>
      <c r="B5054" s="12"/>
      <c r="C5054" s="12"/>
      <c r="E5054" t="str">
        <f>IF(LEN(D5054)=0,"",[1]!i_pq_tradedays($B$3,A5055,A5054)-1)</f>
        <v/>
      </c>
      <c r="G5054" s="16" t="str">
        <f t="shared" si="174"/>
        <v/>
      </c>
      <c r="H5054" s="70" t="str">
        <f t="shared" si="175"/>
        <v/>
      </c>
    </row>
    <row r="5055" spans="1:8">
      <c r="A5055" s="2"/>
      <c r="B5055" s="12"/>
      <c r="C5055" s="12"/>
      <c r="E5055" t="str">
        <f>IF(LEN(D5055)=0,"",[1]!i_pq_tradedays($B$3,A5056,A5055)-1)</f>
        <v/>
      </c>
      <c r="G5055" s="16" t="str">
        <f t="shared" si="174"/>
        <v/>
      </c>
      <c r="H5055" s="70" t="str">
        <f t="shared" si="175"/>
        <v/>
      </c>
    </row>
    <row r="5056" spans="1:8">
      <c r="A5056" s="2"/>
      <c r="B5056" s="12"/>
      <c r="C5056" s="12"/>
      <c r="E5056" t="str">
        <f>IF(LEN(D5056)=0,"",[1]!i_pq_tradedays($B$3,A5057,A5056)-1)</f>
        <v/>
      </c>
      <c r="G5056" s="16" t="str">
        <f t="shared" si="174"/>
        <v/>
      </c>
      <c r="H5056" s="70" t="str">
        <f t="shared" si="175"/>
        <v/>
      </c>
    </row>
    <row r="5057" spans="1:8">
      <c r="A5057" s="2"/>
      <c r="B5057" s="12"/>
      <c r="C5057" s="12"/>
      <c r="E5057" t="str">
        <f>IF(LEN(D5057)=0,"",[1]!i_pq_tradedays($B$3,A5058,A5057)-1)</f>
        <v/>
      </c>
      <c r="G5057" s="16" t="str">
        <f t="shared" si="174"/>
        <v/>
      </c>
      <c r="H5057" s="70" t="str">
        <f t="shared" si="175"/>
        <v/>
      </c>
    </row>
    <row r="5058" spans="1:8">
      <c r="A5058" s="2"/>
      <c r="B5058" s="12"/>
      <c r="C5058" s="12"/>
      <c r="E5058" t="str">
        <f>IF(LEN(D5058)=0,"",[1]!i_pq_tradedays($B$3,A5059,A5058)-1)</f>
        <v/>
      </c>
      <c r="G5058" s="16" t="str">
        <f t="shared" si="174"/>
        <v/>
      </c>
      <c r="H5058" s="70" t="str">
        <f t="shared" si="175"/>
        <v/>
      </c>
    </row>
    <row r="5059" spans="1:8">
      <c r="A5059" s="2"/>
      <c r="B5059" s="12"/>
      <c r="C5059" s="12"/>
      <c r="E5059" t="str">
        <f>IF(LEN(D5059)=0,"",[1]!i_pq_tradedays($B$3,A5060,A5059)-1)</f>
        <v/>
      </c>
      <c r="G5059" s="16" t="str">
        <f t="shared" si="174"/>
        <v/>
      </c>
      <c r="H5059" s="70" t="str">
        <f t="shared" si="175"/>
        <v/>
      </c>
    </row>
    <row r="5060" spans="1:8">
      <c r="A5060" s="2"/>
      <c r="B5060" s="12"/>
      <c r="C5060" s="12"/>
      <c r="E5060" t="str">
        <f>IF(LEN(D5060)=0,"",[1]!i_pq_tradedays($B$3,A5061,A5060)-1)</f>
        <v/>
      </c>
      <c r="G5060" s="16" t="str">
        <f t="shared" si="174"/>
        <v/>
      </c>
      <c r="H5060" s="70" t="str">
        <f t="shared" si="175"/>
        <v/>
      </c>
    </row>
    <row r="5061" spans="1:8">
      <c r="A5061" s="2"/>
      <c r="B5061" s="12"/>
      <c r="C5061" s="12"/>
      <c r="E5061" t="str">
        <f>IF(LEN(D5061)=0,"",[1]!i_pq_tradedays($B$3,A5062,A5061)-1)</f>
        <v/>
      </c>
      <c r="G5061" s="16" t="str">
        <f t="shared" si="174"/>
        <v/>
      </c>
      <c r="H5061" s="70" t="str">
        <f t="shared" si="175"/>
        <v/>
      </c>
    </row>
    <row r="5062" spans="1:8">
      <c r="A5062" s="2"/>
      <c r="B5062" s="12"/>
      <c r="C5062" s="12"/>
      <c r="E5062" t="str">
        <f>IF(LEN(D5062)=0,"",[1]!i_pq_tradedays($B$3,A5063,A5062)-1)</f>
        <v/>
      </c>
      <c r="G5062" s="16" t="str">
        <f t="shared" si="174"/>
        <v/>
      </c>
      <c r="H5062" s="70" t="str">
        <f t="shared" si="175"/>
        <v/>
      </c>
    </row>
    <row r="5063" spans="1:8">
      <c r="A5063" s="2"/>
      <c r="B5063" s="12"/>
      <c r="C5063" s="12"/>
      <c r="E5063" t="str">
        <f>IF(LEN(D5063)=0,"",[1]!i_pq_tradedays($B$3,A5064,A5063)-1)</f>
        <v/>
      </c>
      <c r="G5063" s="16" t="str">
        <f t="shared" si="174"/>
        <v/>
      </c>
      <c r="H5063" s="70" t="str">
        <f t="shared" si="175"/>
        <v/>
      </c>
    </row>
    <row r="5064" spans="1:8">
      <c r="A5064" s="2"/>
      <c r="B5064" s="12"/>
      <c r="C5064" s="12"/>
      <c r="E5064" t="str">
        <f>IF(LEN(D5064)=0,"",[1]!i_pq_tradedays($B$3,A5065,A5064)-1)</f>
        <v/>
      </c>
      <c r="G5064" s="16" t="str">
        <f t="shared" si="174"/>
        <v/>
      </c>
      <c r="H5064" s="70" t="str">
        <f t="shared" si="175"/>
        <v/>
      </c>
    </row>
    <row r="5065" spans="1:8">
      <c r="A5065" s="2"/>
      <c r="B5065" s="12"/>
      <c r="C5065" s="12"/>
      <c r="E5065" t="str">
        <f>IF(LEN(D5065)=0,"",[1]!i_pq_tradedays($B$3,A5066,A5065)-1)</f>
        <v/>
      </c>
      <c r="G5065" s="16" t="str">
        <f t="shared" si="174"/>
        <v/>
      </c>
      <c r="H5065" s="70" t="str">
        <f t="shared" si="175"/>
        <v/>
      </c>
    </row>
    <row r="5066" spans="1:8">
      <c r="A5066" s="2"/>
      <c r="B5066" s="12"/>
      <c r="C5066" s="12"/>
      <c r="E5066" t="str">
        <f>IF(LEN(D5066)=0,"",[1]!i_pq_tradedays($B$3,A5067,A5066)-1)</f>
        <v/>
      </c>
      <c r="G5066" s="16" t="str">
        <f t="shared" si="174"/>
        <v/>
      </c>
      <c r="H5066" s="70" t="str">
        <f t="shared" si="175"/>
        <v/>
      </c>
    </row>
    <row r="5067" spans="1:8">
      <c r="A5067" s="2"/>
      <c r="B5067" s="12"/>
      <c r="C5067" s="12"/>
      <c r="E5067" t="str">
        <f>IF(LEN(D5067)=0,"",[1]!i_pq_tradedays($B$3,A5068,A5067)-1)</f>
        <v/>
      </c>
      <c r="G5067" s="16" t="str">
        <f t="shared" si="174"/>
        <v/>
      </c>
      <c r="H5067" s="70" t="str">
        <f t="shared" si="175"/>
        <v/>
      </c>
    </row>
    <row r="5068" spans="1:8">
      <c r="A5068" s="2"/>
      <c r="B5068" s="12"/>
      <c r="C5068" s="12"/>
      <c r="E5068" t="str">
        <f>IF(LEN(D5068)=0,"",[1]!i_pq_tradedays($B$3,A5069,A5068)-1)</f>
        <v/>
      </c>
      <c r="G5068" s="16" t="str">
        <f t="shared" si="174"/>
        <v/>
      </c>
      <c r="H5068" s="70" t="str">
        <f t="shared" si="175"/>
        <v/>
      </c>
    </row>
    <row r="5069" spans="1:8">
      <c r="A5069" s="2"/>
      <c r="B5069" s="12"/>
      <c r="C5069" s="12"/>
      <c r="E5069" t="str">
        <f>IF(LEN(D5069)=0,"",[1]!i_pq_tradedays($B$3,A5070,A5069)-1)</f>
        <v/>
      </c>
      <c r="G5069" s="16" t="str">
        <f t="shared" si="174"/>
        <v/>
      </c>
      <c r="H5069" s="70" t="str">
        <f t="shared" si="175"/>
        <v/>
      </c>
    </row>
    <row r="5070" spans="1:8">
      <c r="A5070" s="2"/>
      <c r="B5070" s="12"/>
      <c r="C5070" s="12"/>
      <c r="E5070" t="str">
        <f>IF(LEN(D5070)=0,"",[1]!i_pq_tradedays($B$3,A5071,A5070)-1)</f>
        <v/>
      </c>
      <c r="G5070" s="16" t="str">
        <f t="shared" si="174"/>
        <v/>
      </c>
      <c r="H5070" s="70" t="str">
        <f t="shared" si="175"/>
        <v/>
      </c>
    </row>
    <row r="5071" spans="1:8">
      <c r="A5071" s="2"/>
      <c r="B5071" s="12"/>
      <c r="C5071" s="12"/>
      <c r="E5071" t="str">
        <f>IF(LEN(D5071)=0,"",[1]!i_pq_tradedays($B$3,A5072,A5071)-1)</f>
        <v/>
      </c>
      <c r="G5071" s="16" t="str">
        <f t="shared" si="174"/>
        <v/>
      </c>
      <c r="H5071" s="70" t="str">
        <f t="shared" si="175"/>
        <v/>
      </c>
    </row>
    <row r="5072" spans="1:8">
      <c r="A5072" s="2"/>
      <c r="B5072" s="12"/>
      <c r="C5072" s="12"/>
      <c r="E5072" t="str">
        <f>IF(LEN(D5072)=0,"",[1]!i_pq_tradedays($B$3,A5073,A5072)-1)</f>
        <v/>
      </c>
      <c r="G5072" s="16" t="str">
        <f t="shared" si="174"/>
        <v/>
      </c>
      <c r="H5072" s="70" t="str">
        <f t="shared" si="175"/>
        <v/>
      </c>
    </row>
    <row r="5073" spans="1:8">
      <c r="A5073" s="2"/>
      <c r="B5073" s="12"/>
      <c r="C5073" s="12"/>
      <c r="E5073" t="str">
        <f>IF(LEN(D5073)=0,"",[1]!i_pq_tradedays($B$3,A5074,A5073)-1)</f>
        <v/>
      </c>
      <c r="G5073" s="16" t="str">
        <f t="shared" si="174"/>
        <v/>
      </c>
      <c r="H5073" s="70" t="str">
        <f t="shared" si="175"/>
        <v/>
      </c>
    </row>
    <row r="5074" spans="1:8">
      <c r="A5074" s="2"/>
      <c r="B5074" s="12"/>
      <c r="C5074" s="12"/>
      <c r="E5074" t="str">
        <f>IF(LEN(D5074)=0,"",[1]!i_pq_tradedays($B$3,A5075,A5074)-1)</f>
        <v/>
      </c>
      <c r="G5074" s="16" t="str">
        <f t="shared" si="174"/>
        <v/>
      </c>
      <c r="H5074" s="70" t="str">
        <f t="shared" si="175"/>
        <v/>
      </c>
    </row>
    <row r="5075" spans="1:8">
      <c r="A5075" s="2"/>
      <c r="B5075" s="12"/>
      <c r="C5075" s="12"/>
      <c r="E5075" t="str">
        <f>IF(LEN(D5075)=0,"",[1]!i_pq_tradedays($B$3,A5076,A5075)-1)</f>
        <v/>
      </c>
      <c r="G5075" s="16" t="str">
        <f t="shared" si="174"/>
        <v/>
      </c>
      <c r="H5075" s="70" t="str">
        <f t="shared" si="175"/>
        <v/>
      </c>
    </row>
    <row r="5076" spans="1:8">
      <c r="A5076" s="2"/>
      <c r="B5076" s="12"/>
      <c r="C5076" s="12"/>
      <c r="E5076" t="str">
        <f>IF(LEN(D5076)=0,"",[1]!i_pq_tradedays($B$3,A5077,A5076)-1)</f>
        <v/>
      </c>
      <c r="G5076" s="16" t="str">
        <f t="shared" si="174"/>
        <v/>
      </c>
      <c r="H5076" s="70" t="str">
        <f t="shared" si="175"/>
        <v/>
      </c>
    </row>
    <row r="5077" spans="1:8">
      <c r="A5077" s="2"/>
      <c r="B5077" s="12"/>
      <c r="C5077" s="12"/>
      <c r="E5077" t="str">
        <f>IF(LEN(D5077)=0,"",[1]!i_pq_tradedays($B$3,A5078,A5077)-1)</f>
        <v/>
      </c>
      <c r="G5077" s="16" t="str">
        <f t="shared" si="174"/>
        <v/>
      </c>
      <c r="H5077" s="70" t="str">
        <f t="shared" si="175"/>
        <v/>
      </c>
    </row>
    <row r="5078" spans="1:8">
      <c r="A5078" s="2"/>
      <c r="B5078" s="12"/>
      <c r="C5078" s="12"/>
      <c r="E5078" t="str">
        <f>IF(LEN(D5078)=0,"",[1]!i_pq_tradedays($B$3,A5079,A5078)-1)</f>
        <v/>
      </c>
      <c r="G5078" s="16" t="str">
        <f t="shared" si="174"/>
        <v/>
      </c>
      <c r="H5078" s="70" t="str">
        <f t="shared" si="175"/>
        <v/>
      </c>
    </row>
    <row r="5079" spans="1:8">
      <c r="A5079" s="2"/>
      <c r="B5079" s="12"/>
      <c r="C5079" s="12"/>
      <c r="E5079" t="str">
        <f>IF(LEN(D5079)=0,"",[1]!i_pq_tradedays($B$3,A5080,A5079)-1)</f>
        <v/>
      </c>
      <c r="G5079" s="16" t="str">
        <f t="shared" si="174"/>
        <v/>
      </c>
      <c r="H5079" s="70" t="str">
        <f t="shared" si="175"/>
        <v/>
      </c>
    </row>
    <row r="5080" spans="1:8">
      <c r="A5080" s="2"/>
      <c r="B5080" s="12"/>
      <c r="C5080" s="12"/>
      <c r="E5080" t="str">
        <f>IF(LEN(D5080)=0,"",[1]!i_pq_tradedays($B$3,A5081,A5080)-1)</f>
        <v/>
      </c>
      <c r="G5080" s="16" t="str">
        <f t="shared" si="174"/>
        <v/>
      </c>
      <c r="H5080" s="70" t="str">
        <f t="shared" si="175"/>
        <v/>
      </c>
    </row>
    <row r="5081" spans="1:8">
      <c r="A5081" s="2"/>
      <c r="B5081" s="12"/>
      <c r="C5081" s="12"/>
      <c r="E5081" t="str">
        <f>IF(LEN(D5081)=0,"",[1]!i_pq_tradedays($B$3,A5082,A5081)-1)</f>
        <v/>
      </c>
      <c r="G5081" s="16" t="str">
        <f t="shared" si="174"/>
        <v/>
      </c>
      <c r="H5081" s="70" t="str">
        <f t="shared" si="175"/>
        <v/>
      </c>
    </row>
    <row r="5082" spans="1:8">
      <c r="A5082" s="2"/>
      <c r="B5082" s="12"/>
      <c r="C5082" s="12"/>
      <c r="E5082" t="str">
        <f>IF(LEN(D5082)=0,"",[1]!i_pq_tradedays($B$3,A5083,A5082)-1)</f>
        <v/>
      </c>
      <c r="G5082" s="16" t="str">
        <f t="shared" si="174"/>
        <v/>
      </c>
      <c r="H5082" s="70" t="str">
        <f t="shared" si="175"/>
        <v/>
      </c>
    </row>
    <row r="5083" spans="1:8">
      <c r="A5083" s="2"/>
      <c r="B5083" s="12"/>
      <c r="C5083" s="12"/>
      <c r="E5083" t="str">
        <f>IF(LEN(D5083)=0,"",[1]!i_pq_tradedays($B$3,A5084,A5083)-1)</f>
        <v/>
      </c>
      <c r="G5083" s="16" t="str">
        <f t="shared" si="174"/>
        <v/>
      </c>
      <c r="H5083" s="70" t="str">
        <f t="shared" si="175"/>
        <v/>
      </c>
    </row>
    <row r="5084" spans="1:8">
      <c r="A5084" s="2"/>
      <c r="B5084" s="12"/>
      <c r="C5084" s="12"/>
      <c r="E5084" t="str">
        <f>IF(LEN(D5084)=0,"",[1]!i_pq_tradedays($B$3,A5085,A5084)-1)</f>
        <v/>
      </c>
      <c r="G5084" s="16" t="str">
        <f t="shared" si="174"/>
        <v/>
      </c>
      <c r="H5084" s="70" t="str">
        <f t="shared" si="175"/>
        <v/>
      </c>
    </row>
    <row r="5085" spans="1:8">
      <c r="A5085" s="2"/>
      <c r="B5085" s="12"/>
      <c r="C5085" s="12"/>
      <c r="E5085" t="str">
        <f>IF(LEN(D5085)=0,"",[1]!i_pq_tradedays($B$3,A5086,A5085)-1)</f>
        <v/>
      </c>
      <c r="G5085" s="16" t="str">
        <f t="shared" si="174"/>
        <v/>
      </c>
      <c r="H5085" s="70" t="str">
        <f t="shared" si="175"/>
        <v/>
      </c>
    </row>
    <row r="5086" spans="1:8">
      <c r="A5086" s="2"/>
      <c r="B5086" s="12"/>
      <c r="C5086" s="12"/>
      <c r="E5086" t="str">
        <f>IF(LEN(D5086)=0,"",[1]!i_pq_tradedays($B$3,A5087,A5086)-1)</f>
        <v/>
      </c>
      <c r="G5086" s="16" t="str">
        <f t="shared" si="174"/>
        <v/>
      </c>
      <c r="H5086" s="70" t="str">
        <f t="shared" si="175"/>
        <v/>
      </c>
    </row>
    <row r="5087" spans="1:8">
      <c r="A5087" s="2"/>
      <c r="B5087" s="12"/>
      <c r="C5087" s="12"/>
      <c r="E5087" t="str">
        <f>IF(LEN(D5087)=0,"",[1]!i_pq_tradedays($B$3,A5088,A5087)-1)</f>
        <v/>
      </c>
      <c r="G5087" s="16" t="str">
        <f t="shared" si="174"/>
        <v/>
      </c>
      <c r="H5087" s="70" t="str">
        <f t="shared" si="175"/>
        <v/>
      </c>
    </row>
    <row r="5088" spans="1:8">
      <c r="A5088" s="2"/>
      <c r="B5088" s="12"/>
      <c r="C5088" s="12"/>
      <c r="E5088" t="str">
        <f>IF(LEN(D5088)=0,"",[1]!i_pq_tradedays($B$3,A5089,A5088)-1)</f>
        <v/>
      </c>
      <c r="G5088" s="16" t="str">
        <f t="shared" si="174"/>
        <v/>
      </c>
      <c r="H5088" s="70" t="str">
        <f t="shared" si="175"/>
        <v/>
      </c>
    </row>
    <row r="5089" spans="1:8">
      <c r="A5089" s="2"/>
      <c r="B5089" s="12"/>
      <c r="C5089" s="12"/>
      <c r="E5089" t="str">
        <f>IF(LEN(D5089)=0,"",[1]!i_pq_tradedays($B$3,A5090,A5089)-1)</f>
        <v/>
      </c>
      <c r="G5089" s="16" t="str">
        <f t="shared" si="174"/>
        <v/>
      </c>
      <c r="H5089" s="70" t="str">
        <f t="shared" si="175"/>
        <v/>
      </c>
    </row>
    <row r="5090" spans="1:8">
      <c r="A5090" s="2"/>
      <c r="B5090" s="12"/>
      <c r="C5090" s="12"/>
      <c r="E5090" t="str">
        <f>IF(LEN(D5090)=0,"",[1]!i_pq_tradedays($B$3,A5091,A5090)-1)</f>
        <v/>
      </c>
      <c r="G5090" s="16" t="str">
        <f t="shared" si="174"/>
        <v/>
      </c>
      <c r="H5090" s="70" t="str">
        <f t="shared" si="175"/>
        <v/>
      </c>
    </row>
    <row r="5091" spans="1:8">
      <c r="A5091" s="2"/>
      <c r="B5091" s="12"/>
      <c r="C5091" s="12"/>
      <c r="E5091" t="str">
        <f>IF(LEN(D5091)=0,"",[1]!i_pq_tradedays($B$3,A5092,A5091)-1)</f>
        <v/>
      </c>
      <c r="G5091" s="16" t="str">
        <f t="shared" si="174"/>
        <v/>
      </c>
      <c r="H5091" s="70" t="str">
        <f t="shared" si="175"/>
        <v/>
      </c>
    </row>
    <row r="5092" spans="1:8">
      <c r="A5092" s="2"/>
      <c r="B5092" s="12"/>
      <c r="C5092" s="12"/>
      <c r="E5092" t="str">
        <f>IF(LEN(D5092)=0,"",[1]!i_pq_tradedays($B$3,A5093,A5092)-1)</f>
        <v/>
      </c>
      <c r="G5092" s="16" t="str">
        <f t="shared" si="174"/>
        <v/>
      </c>
      <c r="H5092" s="70" t="str">
        <f t="shared" si="175"/>
        <v/>
      </c>
    </row>
    <row r="5093" spans="1:8">
      <c r="A5093" s="2"/>
      <c r="B5093" s="12"/>
      <c r="C5093" s="12"/>
      <c r="E5093" t="str">
        <f>IF(LEN(D5093)=0,"",[1]!i_pq_tradedays($B$3,A5094,A5093)-1)</f>
        <v/>
      </c>
      <c r="G5093" s="16" t="str">
        <f t="shared" si="174"/>
        <v/>
      </c>
      <c r="H5093" s="70" t="str">
        <f t="shared" si="175"/>
        <v/>
      </c>
    </row>
    <row r="5094" spans="1:8">
      <c r="A5094" s="2"/>
      <c r="B5094" s="12"/>
      <c r="C5094" s="12"/>
      <c r="E5094" t="str">
        <f>IF(LEN(D5094)=0,"",[1]!i_pq_tradedays($B$3,A5095,A5094)-1)</f>
        <v/>
      </c>
      <c r="G5094" s="16" t="str">
        <f t="shared" si="174"/>
        <v/>
      </c>
      <c r="H5094" s="70" t="str">
        <f t="shared" si="175"/>
        <v/>
      </c>
    </row>
    <row r="5095" spans="1:8">
      <c r="A5095" s="2"/>
      <c r="B5095" s="12"/>
      <c r="C5095" s="12"/>
      <c r="E5095" t="str">
        <f>IF(LEN(D5095)=0,"",[1]!i_pq_tradedays($B$3,A5096,A5095)-1)</f>
        <v/>
      </c>
      <c r="G5095" s="16" t="str">
        <f t="shared" si="174"/>
        <v/>
      </c>
      <c r="H5095" s="70" t="str">
        <f t="shared" si="175"/>
        <v/>
      </c>
    </row>
    <row r="5096" spans="1:8">
      <c r="A5096" s="2"/>
      <c r="B5096" s="12"/>
      <c r="C5096" s="12"/>
      <c r="E5096" t="str">
        <f>IF(LEN(D5096)=0,"",[1]!i_pq_tradedays($B$3,A5097,A5096)-1)</f>
        <v/>
      </c>
      <c r="G5096" s="16" t="str">
        <f t="shared" si="174"/>
        <v/>
      </c>
      <c r="H5096" s="70" t="str">
        <f t="shared" si="175"/>
        <v/>
      </c>
    </row>
    <row r="5097" spans="1:8">
      <c r="A5097" s="2"/>
      <c r="B5097" s="12"/>
      <c r="C5097" s="12"/>
      <c r="E5097" t="str">
        <f>IF(LEN(D5097)=0,"",[1]!i_pq_tradedays($B$3,A5098,A5097)-1)</f>
        <v/>
      </c>
      <c r="G5097" s="16" t="str">
        <f t="shared" si="174"/>
        <v/>
      </c>
      <c r="H5097" s="70" t="str">
        <f t="shared" si="175"/>
        <v/>
      </c>
    </row>
    <row r="5098" spans="1:8">
      <c r="A5098" s="2"/>
      <c r="B5098" s="12"/>
      <c r="C5098" s="12"/>
      <c r="E5098" t="str">
        <f>IF(LEN(D5098)=0,"",[1]!i_pq_tradedays($B$3,A5099,A5098)-1)</f>
        <v/>
      </c>
      <c r="G5098" s="16" t="str">
        <f t="shared" si="174"/>
        <v/>
      </c>
      <c r="H5098" s="70" t="str">
        <f t="shared" si="175"/>
        <v/>
      </c>
    </row>
    <row r="5099" spans="1:8">
      <c r="A5099" s="2"/>
      <c r="B5099" s="12"/>
      <c r="C5099" s="12"/>
      <c r="E5099" t="str">
        <f>IF(LEN(D5099)=0,"",[1]!i_pq_tradedays($B$3,A5100,A5099)-1)</f>
        <v/>
      </c>
      <c r="G5099" s="16" t="str">
        <f t="shared" si="174"/>
        <v/>
      </c>
      <c r="H5099" s="70" t="str">
        <f t="shared" si="175"/>
        <v/>
      </c>
    </row>
    <row r="5100" spans="1:8">
      <c r="A5100" s="2"/>
      <c r="B5100" s="12"/>
      <c r="C5100" s="12"/>
      <c r="E5100" t="str">
        <f>IF(LEN(D5100)=0,"",[1]!i_pq_tradedays($B$3,A5101,A5100)-1)</f>
        <v/>
      </c>
      <c r="G5100" s="16" t="str">
        <f t="shared" si="174"/>
        <v/>
      </c>
      <c r="H5100" s="70" t="str">
        <f t="shared" si="175"/>
        <v/>
      </c>
    </row>
    <row r="5101" spans="1:8">
      <c r="A5101" s="2"/>
      <c r="B5101" s="12"/>
      <c r="C5101" s="12"/>
      <c r="E5101" t="str">
        <f>IF(LEN(D5101)=0,"",[1]!i_pq_tradedays($B$3,A5102,A5101)-1)</f>
        <v/>
      </c>
      <c r="G5101" s="16" t="str">
        <f t="shared" si="174"/>
        <v/>
      </c>
      <c r="H5101" s="70" t="str">
        <f t="shared" si="175"/>
        <v/>
      </c>
    </row>
    <row r="5102" spans="1:8">
      <c r="A5102" s="2"/>
      <c r="B5102" s="12"/>
      <c r="C5102" s="12"/>
      <c r="E5102" t="str">
        <f>IF(LEN(D5102)=0,"",[1]!i_pq_tradedays($B$3,A5103,A5102)-1)</f>
        <v/>
      </c>
      <c r="G5102" s="16" t="str">
        <f t="shared" si="174"/>
        <v/>
      </c>
      <c r="H5102" s="70" t="str">
        <f t="shared" si="175"/>
        <v/>
      </c>
    </row>
    <row r="5103" spans="1:8">
      <c r="A5103" s="2"/>
      <c r="B5103" s="12"/>
      <c r="C5103" s="12"/>
      <c r="E5103" t="str">
        <f>IF(LEN(D5103)=0,"",[1]!i_pq_tradedays($B$3,A5104,A5103)-1)</f>
        <v/>
      </c>
      <c r="G5103" s="16" t="str">
        <f t="shared" si="174"/>
        <v/>
      </c>
      <c r="H5103" s="70" t="str">
        <f t="shared" si="175"/>
        <v/>
      </c>
    </row>
    <row r="5104" spans="1:8">
      <c r="A5104" s="2"/>
      <c r="B5104" s="12"/>
      <c r="C5104" s="12"/>
      <c r="E5104" t="str">
        <f>IF(LEN(D5104)=0,"",[1]!i_pq_tradedays($B$3,A5105,A5104)-1)</f>
        <v/>
      </c>
      <c r="G5104" s="16" t="str">
        <f t="shared" si="174"/>
        <v/>
      </c>
      <c r="H5104" s="70" t="str">
        <f t="shared" si="175"/>
        <v/>
      </c>
    </row>
    <row r="5105" spans="1:8">
      <c r="A5105" s="2"/>
      <c r="B5105" s="12"/>
      <c r="C5105" s="12"/>
      <c r="E5105" t="str">
        <f>IF(LEN(D5105)=0,"",[1]!i_pq_tradedays($B$3,A5106,A5105)-1)</f>
        <v/>
      </c>
      <c r="G5105" s="16" t="str">
        <f t="shared" si="174"/>
        <v/>
      </c>
      <c r="H5105" s="70" t="str">
        <f t="shared" si="175"/>
        <v/>
      </c>
    </row>
    <row r="5106" spans="1:8">
      <c r="A5106" s="2"/>
      <c r="B5106" s="12"/>
      <c r="C5106" s="12"/>
      <c r="E5106" t="str">
        <f>IF(LEN(D5106)=0,"",[1]!i_pq_tradedays($B$3,A5107,A5106)-1)</f>
        <v/>
      </c>
      <c r="G5106" s="16" t="str">
        <f t="shared" si="174"/>
        <v/>
      </c>
      <c r="H5106" s="70" t="str">
        <f t="shared" si="175"/>
        <v/>
      </c>
    </row>
    <row r="5107" spans="1:8">
      <c r="A5107" s="2"/>
      <c r="B5107" s="12"/>
      <c r="C5107" s="12"/>
      <c r="E5107" t="str">
        <f>IF(LEN(D5107)=0,"",[1]!i_pq_tradedays($B$3,A5108,A5107)-1)</f>
        <v/>
      </c>
      <c r="G5107" s="16" t="str">
        <f t="shared" si="174"/>
        <v/>
      </c>
      <c r="H5107" s="70" t="str">
        <f t="shared" si="175"/>
        <v/>
      </c>
    </row>
    <row r="5108" spans="1:8">
      <c r="A5108" s="2"/>
      <c r="B5108" s="12"/>
      <c r="C5108" s="12"/>
      <c r="E5108" t="str">
        <f>IF(LEN(D5108)=0,"",[1]!i_pq_tradedays($B$3,A5109,A5108)-1)</f>
        <v/>
      </c>
      <c r="G5108" s="16" t="str">
        <f t="shared" si="174"/>
        <v/>
      </c>
      <c r="H5108" s="70" t="str">
        <f t="shared" si="175"/>
        <v/>
      </c>
    </row>
    <row r="5109" spans="1:8">
      <c r="A5109" s="2"/>
      <c r="B5109" s="12"/>
      <c r="C5109" s="12"/>
      <c r="E5109" t="str">
        <f>IF(LEN(D5109)=0,"",[1]!i_pq_tradedays($B$3,A5110,A5109)-1)</f>
        <v/>
      </c>
      <c r="G5109" s="16" t="str">
        <f t="shared" ref="G5109:G5172" si="176">IF(LEN(D5109)=0,"",D5109/E5109)</f>
        <v/>
      </c>
      <c r="H5109" s="70" t="str">
        <f t="shared" ref="H5109:H5172" si="177">IF(LEN(D5109)=0,"",G5109/G5110-1)</f>
        <v/>
      </c>
    </row>
    <row r="5110" spans="1:8">
      <c r="A5110" s="2"/>
      <c r="B5110" s="12"/>
      <c r="C5110" s="12"/>
      <c r="E5110" t="str">
        <f>IF(LEN(D5110)=0,"",[1]!i_pq_tradedays($B$3,A5111,A5110)-1)</f>
        <v/>
      </c>
      <c r="G5110" s="16" t="str">
        <f t="shared" si="176"/>
        <v/>
      </c>
      <c r="H5110" s="70" t="str">
        <f t="shared" si="177"/>
        <v/>
      </c>
    </row>
    <row r="5111" spans="1:8">
      <c r="A5111" s="2"/>
      <c r="B5111" s="12"/>
      <c r="C5111" s="12"/>
      <c r="E5111" t="str">
        <f>IF(LEN(D5111)=0,"",[1]!i_pq_tradedays($B$3,A5112,A5111)-1)</f>
        <v/>
      </c>
      <c r="G5111" s="16" t="str">
        <f t="shared" si="176"/>
        <v/>
      </c>
      <c r="H5111" s="70" t="str">
        <f t="shared" si="177"/>
        <v/>
      </c>
    </row>
    <row r="5112" spans="1:8">
      <c r="A5112" s="2"/>
      <c r="B5112" s="12"/>
      <c r="C5112" s="12"/>
      <c r="E5112" t="str">
        <f>IF(LEN(D5112)=0,"",[1]!i_pq_tradedays($B$3,A5113,A5112)-1)</f>
        <v/>
      </c>
      <c r="G5112" s="16" t="str">
        <f t="shared" si="176"/>
        <v/>
      </c>
      <c r="H5112" s="70" t="str">
        <f t="shared" si="177"/>
        <v/>
      </c>
    </row>
    <row r="5113" spans="1:8">
      <c r="A5113" s="2"/>
      <c r="B5113" s="12"/>
      <c r="C5113" s="12"/>
      <c r="E5113" t="str">
        <f>IF(LEN(D5113)=0,"",[1]!i_pq_tradedays($B$3,A5114,A5113)-1)</f>
        <v/>
      </c>
      <c r="G5113" s="16" t="str">
        <f t="shared" si="176"/>
        <v/>
      </c>
      <c r="H5113" s="70" t="str">
        <f t="shared" si="177"/>
        <v/>
      </c>
    </row>
    <row r="5114" spans="1:8">
      <c r="A5114" s="2"/>
      <c r="B5114" s="12"/>
      <c r="C5114" s="12"/>
      <c r="E5114" t="str">
        <f>IF(LEN(D5114)=0,"",[1]!i_pq_tradedays($B$3,A5115,A5114)-1)</f>
        <v/>
      </c>
      <c r="G5114" s="16" t="str">
        <f t="shared" si="176"/>
        <v/>
      </c>
      <c r="H5114" s="70" t="str">
        <f t="shared" si="177"/>
        <v/>
      </c>
    </row>
    <row r="5115" spans="1:8">
      <c r="A5115" s="2"/>
      <c r="B5115" s="12"/>
      <c r="C5115" s="12"/>
      <c r="E5115" t="str">
        <f>IF(LEN(D5115)=0,"",[1]!i_pq_tradedays($B$3,A5116,A5115)-1)</f>
        <v/>
      </c>
      <c r="G5115" s="16" t="str">
        <f t="shared" si="176"/>
        <v/>
      </c>
      <c r="H5115" s="70" t="str">
        <f t="shared" si="177"/>
        <v/>
      </c>
    </row>
    <row r="5116" spans="1:8">
      <c r="A5116" s="2"/>
      <c r="B5116" s="12"/>
      <c r="C5116" s="12"/>
      <c r="E5116" t="str">
        <f>IF(LEN(D5116)=0,"",[1]!i_pq_tradedays($B$3,A5117,A5116)-1)</f>
        <v/>
      </c>
      <c r="G5116" s="16" t="str">
        <f t="shared" si="176"/>
        <v/>
      </c>
      <c r="H5116" s="70" t="str">
        <f t="shared" si="177"/>
        <v/>
      </c>
    </row>
    <row r="5117" spans="1:8">
      <c r="A5117" s="2"/>
      <c r="B5117" s="12"/>
      <c r="C5117" s="12"/>
      <c r="E5117" t="str">
        <f>IF(LEN(D5117)=0,"",[1]!i_pq_tradedays($B$3,A5118,A5117)-1)</f>
        <v/>
      </c>
      <c r="G5117" s="16" t="str">
        <f t="shared" si="176"/>
        <v/>
      </c>
      <c r="H5117" s="70" t="str">
        <f t="shared" si="177"/>
        <v/>
      </c>
    </row>
    <row r="5118" spans="1:8">
      <c r="A5118" s="2"/>
      <c r="B5118" s="12"/>
      <c r="C5118" s="12"/>
      <c r="E5118" t="str">
        <f>IF(LEN(D5118)=0,"",[1]!i_pq_tradedays($B$3,A5119,A5118)-1)</f>
        <v/>
      </c>
      <c r="G5118" s="16" t="str">
        <f t="shared" si="176"/>
        <v/>
      </c>
      <c r="H5118" s="70" t="str">
        <f t="shared" si="177"/>
        <v/>
      </c>
    </row>
    <row r="5119" spans="1:8">
      <c r="A5119" s="2"/>
      <c r="B5119" s="12"/>
      <c r="C5119" s="12"/>
      <c r="E5119" t="str">
        <f>IF(LEN(D5119)=0,"",[1]!i_pq_tradedays($B$3,A5120,A5119)-1)</f>
        <v/>
      </c>
      <c r="G5119" s="16" t="str">
        <f t="shared" si="176"/>
        <v/>
      </c>
      <c r="H5119" s="70" t="str">
        <f t="shared" si="177"/>
        <v/>
      </c>
    </row>
    <row r="5120" spans="1:8">
      <c r="A5120" s="2"/>
      <c r="B5120" s="12"/>
      <c r="C5120" s="12"/>
      <c r="E5120" t="str">
        <f>IF(LEN(D5120)=0,"",[1]!i_pq_tradedays($B$3,A5121,A5120)-1)</f>
        <v/>
      </c>
      <c r="G5120" s="16" t="str">
        <f t="shared" si="176"/>
        <v/>
      </c>
      <c r="H5120" s="70" t="str">
        <f t="shared" si="177"/>
        <v/>
      </c>
    </row>
    <row r="5121" spans="1:8">
      <c r="A5121" s="2"/>
      <c r="B5121" s="12"/>
      <c r="C5121" s="12"/>
      <c r="E5121" t="str">
        <f>IF(LEN(D5121)=0,"",[1]!i_pq_tradedays($B$3,A5122,A5121)-1)</f>
        <v/>
      </c>
      <c r="G5121" s="16" t="str">
        <f t="shared" si="176"/>
        <v/>
      </c>
      <c r="H5121" s="70" t="str">
        <f t="shared" si="177"/>
        <v/>
      </c>
    </row>
    <row r="5122" spans="1:8">
      <c r="A5122" s="2"/>
      <c r="B5122" s="12"/>
      <c r="C5122" s="12"/>
      <c r="E5122" t="str">
        <f>IF(LEN(D5122)=0,"",[1]!i_pq_tradedays($B$3,A5123,A5122)-1)</f>
        <v/>
      </c>
      <c r="G5122" s="16" t="str">
        <f t="shared" si="176"/>
        <v/>
      </c>
      <c r="H5122" s="70" t="str">
        <f t="shared" si="177"/>
        <v/>
      </c>
    </row>
    <row r="5123" spans="1:8">
      <c r="A5123" s="2"/>
      <c r="B5123" s="12"/>
      <c r="C5123" s="12"/>
      <c r="E5123" t="str">
        <f>IF(LEN(D5123)=0,"",[1]!i_pq_tradedays($B$3,A5124,A5123)-1)</f>
        <v/>
      </c>
      <c r="G5123" s="16" t="str">
        <f t="shared" si="176"/>
        <v/>
      </c>
      <c r="H5123" s="70" t="str">
        <f t="shared" si="177"/>
        <v/>
      </c>
    </row>
    <row r="5124" spans="1:8">
      <c r="A5124" s="2"/>
      <c r="B5124" s="12"/>
      <c r="C5124" s="12"/>
      <c r="E5124" t="str">
        <f>IF(LEN(D5124)=0,"",[1]!i_pq_tradedays($B$3,A5125,A5124)-1)</f>
        <v/>
      </c>
      <c r="G5124" s="16" t="str">
        <f t="shared" si="176"/>
        <v/>
      </c>
      <c r="H5124" s="70" t="str">
        <f t="shared" si="177"/>
        <v/>
      </c>
    </row>
    <row r="5125" spans="1:8">
      <c r="A5125" s="2"/>
      <c r="B5125" s="12"/>
      <c r="C5125" s="12"/>
      <c r="E5125" t="str">
        <f>IF(LEN(D5125)=0,"",[1]!i_pq_tradedays($B$3,A5126,A5125)-1)</f>
        <v/>
      </c>
      <c r="G5125" s="16" t="str">
        <f t="shared" si="176"/>
        <v/>
      </c>
      <c r="H5125" s="70" t="str">
        <f t="shared" si="177"/>
        <v/>
      </c>
    </row>
    <row r="5126" spans="1:8">
      <c r="A5126" s="2"/>
      <c r="B5126" s="12"/>
      <c r="C5126" s="12"/>
      <c r="E5126" t="str">
        <f>IF(LEN(D5126)=0,"",[1]!i_pq_tradedays($B$3,A5127,A5126)-1)</f>
        <v/>
      </c>
      <c r="G5126" s="16" t="str">
        <f t="shared" si="176"/>
        <v/>
      </c>
      <c r="H5126" s="70" t="str">
        <f t="shared" si="177"/>
        <v/>
      </c>
    </row>
    <row r="5127" spans="1:8">
      <c r="A5127" s="2"/>
      <c r="B5127" s="12"/>
      <c r="C5127" s="12"/>
      <c r="E5127" t="str">
        <f>IF(LEN(D5127)=0,"",[1]!i_pq_tradedays($B$3,A5128,A5127)-1)</f>
        <v/>
      </c>
      <c r="G5127" s="16" t="str">
        <f t="shared" si="176"/>
        <v/>
      </c>
      <c r="H5127" s="70" t="str">
        <f t="shared" si="177"/>
        <v/>
      </c>
    </row>
    <row r="5128" spans="1:8">
      <c r="A5128" s="2"/>
      <c r="B5128" s="12"/>
      <c r="C5128" s="12"/>
      <c r="E5128" t="str">
        <f>IF(LEN(D5128)=0,"",[1]!i_pq_tradedays($B$3,A5129,A5128)-1)</f>
        <v/>
      </c>
      <c r="G5128" s="16" t="str">
        <f t="shared" si="176"/>
        <v/>
      </c>
      <c r="H5128" s="70" t="str">
        <f t="shared" si="177"/>
        <v/>
      </c>
    </row>
    <row r="5129" spans="1:8">
      <c r="A5129" s="2"/>
      <c r="B5129" s="12"/>
      <c r="C5129" s="12"/>
      <c r="E5129" t="str">
        <f>IF(LEN(D5129)=0,"",[1]!i_pq_tradedays($B$3,A5130,A5129)-1)</f>
        <v/>
      </c>
      <c r="G5129" s="16" t="str">
        <f t="shared" si="176"/>
        <v/>
      </c>
      <c r="H5129" s="70" t="str">
        <f t="shared" si="177"/>
        <v/>
      </c>
    </row>
    <row r="5130" spans="1:8">
      <c r="A5130" s="2"/>
      <c r="B5130" s="12"/>
      <c r="C5130" s="12"/>
      <c r="E5130" t="str">
        <f>IF(LEN(D5130)=0,"",[1]!i_pq_tradedays($B$3,A5131,A5130)-1)</f>
        <v/>
      </c>
      <c r="G5130" s="16" t="str">
        <f t="shared" si="176"/>
        <v/>
      </c>
      <c r="H5130" s="70" t="str">
        <f t="shared" si="177"/>
        <v/>
      </c>
    </row>
    <row r="5131" spans="1:8">
      <c r="A5131" s="2"/>
      <c r="B5131" s="12"/>
      <c r="C5131" s="12"/>
      <c r="E5131" t="str">
        <f>IF(LEN(D5131)=0,"",[1]!i_pq_tradedays($B$3,A5132,A5131)-1)</f>
        <v/>
      </c>
      <c r="G5131" s="16" t="str">
        <f t="shared" si="176"/>
        <v/>
      </c>
      <c r="H5131" s="70" t="str">
        <f t="shared" si="177"/>
        <v/>
      </c>
    </row>
    <row r="5132" spans="1:8">
      <c r="A5132" s="2"/>
      <c r="B5132" s="12"/>
      <c r="C5132" s="12"/>
      <c r="E5132" t="str">
        <f>IF(LEN(D5132)=0,"",[1]!i_pq_tradedays($B$3,A5133,A5132)-1)</f>
        <v/>
      </c>
      <c r="G5132" s="16" t="str">
        <f t="shared" si="176"/>
        <v/>
      </c>
      <c r="H5132" s="70" t="str">
        <f t="shared" si="177"/>
        <v/>
      </c>
    </row>
    <row r="5133" spans="1:8">
      <c r="A5133" s="2"/>
      <c r="B5133" s="12"/>
      <c r="C5133" s="12"/>
      <c r="E5133" t="str">
        <f>IF(LEN(D5133)=0,"",[1]!i_pq_tradedays($B$3,A5134,A5133)-1)</f>
        <v/>
      </c>
      <c r="G5133" s="16" t="str">
        <f t="shared" si="176"/>
        <v/>
      </c>
      <c r="H5133" s="70" t="str">
        <f t="shared" si="177"/>
        <v/>
      </c>
    </row>
    <row r="5134" spans="1:8">
      <c r="A5134" s="2"/>
      <c r="B5134" s="12"/>
      <c r="C5134" s="12"/>
      <c r="E5134" t="str">
        <f>IF(LEN(D5134)=0,"",[1]!i_pq_tradedays($B$3,A5135,A5134)-1)</f>
        <v/>
      </c>
      <c r="G5134" s="16" t="str">
        <f t="shared" si="176"/>
        <v/>
      </c>
      <c r="H5134" s="70" t="str">
        <f t="shared" si="177"/>
        <v/>
      </c>
    </row>
    <row r="5135" spans="1:8">
      <c r="A5135" s="2"/>
      <c r="B5135" s="12"/>
      <c r="C5135" s="12"/>
      <c r="E5135" t="str">
        <f>IF(LEN(D5135)=0,"",[1]!i_pq_tradedays($B$3,A5136,A5135)-1)</f>
        <v/>
      </c>
      <c r="G5135" s="16" t="str">
        <f t="shared" si="176"/>
        <v/>
      </c>
      <c r="H5135" s="70" t="str">
        <f t="shared" si="177"/>
        <v/>
      </c>
    </row>
    <row r="5136" spans="1:8">
      <c r="A5136" s="2"/>
      <c r="B5136" s="12"/>
      <c r="C5136" s="12"/>
      <c r="E5136" t="str">
        <f>IF(LEN(D5136)=0,"",[1]!i_pq_tradedays($B$3,A5137,A5136)-1)</f>
        <v/>
      </c>
      <c r="G5136" s="16" t="str">
        <f t="shared" si="176"/>
        <v/>
      </c>
      <c r="H5136" s="70" t="str">
        <f t="shared" si="177"/>
        <v/>
      </c>
    </row>
    <row r="5137" spans="1:8">
      <c r="A5137" s="2"/>
      <c r="B5137" s="12"/>
      <c r="C5137" s="12"/>
      <c r="E5137" t="str">
        <f>IF(LEN(D5137)=0,"",[1]!i_pq_tradedays($B$3,A5138,A5137)-1)</f>
        <v/>
      </c>
      <c r="G5137" s="16" t="str">
        <f t="shared" si="176"/>
        <v/>
      </c>
      <c r="H5137" s="70" t="str">
        <f t="shared" si="177"/>
        <v/>
      </c>
    </row>
    <row r="5138" spans="1:8">
      <c r="A5138" s="2"/>
      <c r="B5138" s="12"/>
      <c r="C5138" s="12"/>
      <c r="E5138" t="str">
        <f>IF(LEN(D5138)=0,"",[1]!i_pq_tradedays($B$3,A5139,A5138)-1)</f>
        <v/>
      </c>
      <c r="G5138" s="16" t="str">
        <f t="shared" si="176"/>
        <v/>
      </c>
      <c r="H5138" s="70" t="str">
        <f t="shared" si="177"/>
        <v/>
      </c>
    </row>
    <row r="5139" spans="1:8">
      <c r="A5139" s="2"/>
      <c r="B5139" s="12"/>
      <c r="C5139" s="12"/>
      <c r="E5139" t="str">
        <f>IF(LEN(D5139)=0,"",[1]!i_pq_tradedays($B$3,A5140,A5139)-1)</f>
        <v/>
      </c>
      <c r="G5139" s="16" t="str">
        <f t="shared" si="176"/>
        <v/>
      </c>
      <c r="H5139" s="70" t="str">
        <f t="shared" si="177"/>
        <v/>
      </c>
    </row>
    <row r="5140" spans="1:8">
      <c r="A5140" s="2"/>
      <c r="B5140" s="12"/>
      <c r="C5140" s="12"/>
      <c r="E5140" t="str">
        <f>IF(LEN(D5140)=0,"",[1]!i_pq_tradedays($B$3,A5141,A5140)-1)</f>
        <v/>
      </c>
      <c r="G5140" s="16" t="str">
        <f t="shared" si="176"/>
        <v/>
      </c>
      <c r="H5140" s="70" t="str">
        <f t="shared" si="177"/>
        <v/>
      </c>
    </row>
    <row r="5141" spans="1:8">
      <c r="A5141" s="2"/>
      <c r="B5141" s="12"/>
      <c r="C5141" s="12"/>
      <c r="E5141" t="str">
        <f>IF(LEN(D5141)=0,"",[1]!i_pq_tradedays($B$3,A5142,A5141)-1)</f>
        <v/>
      </c>
      <c r="G5141" s="16" t="str">
        <f t="shared" si="176"/>
        <v/>
      </c>
      <c r="H5141" s="70" t="str">
        <f t="shared" si="177"/>
        <v/>
      </c>
    </row>
    <row r="5142" spans="1:8">
      <c r="A5142" s="2"/>
      <c r="B5142" s="12"/>
      <c r="C5142" s="12"/>
      <c r="E5142" t="str">
        <f>IF(LEN(D5142)=0,"",[1]!i_pq_tradedays($B$3,A5143,A5142)-1)</f>
        <v/>
      </c>
      <c r="G5142" s="16" t="str">
        <f t="shared" si="176"/>
        <v/>
      </c>
      <c r="H5142" s="70" t="str">
        <f t="shared" si="177"/>
        <v/>
      </c>
    </row>
    <row r="5143" spans="1:8">
      <c r="A5143" s="2"/>
      <c r="B5143" s="12"/>
      <c r="C5143" s="12"/>
      <c r="E5143" t="str">
        <f>IF(LEN(D5143)=0,"",[1]!i_pq_tradedays($B$3,A5144,A5143)-1)</f>
        <v/>
      </c>
      <c r="G5143" s="16" t="str">
        <f t="shared" si="176"/>
        <v/>
      </c>
      <c r="H5143" s="70" t="str">
        <f t="shared" si="177"/>
        <v/>
      </c>
    </row>
    <row r="5144" spans="1:8">
      <c r="A5144" s="2"/>
      <c r="B5144" s="12"/>
      <c r="C5144" s="12"/>
      <c r="E5144" t="str">
        <f>IF(LEN(D5144)=0,"",[1]!i_pq_tradedays($B$3,A5145,A5144)-1)</f>
        <v/>
      </c>
      <c r="G5144" s="16" t="str">
        <f t="shared" si="176"/>
        <v/>
      </c>
      <c r="H5144" s="70" t="str">
        <f t="shared" si="177"/>
        <v/>
      </c>
    </row>
    <row r="5145" spans="1:8">
      <c r="A5145" s="2"/>
      <c r="B5145" s="12"/>
      <c r="C5145" s="12"/>
      <c r="E5145" t="str">
        <f>IF(LEN(D5145)=0,"",[1]!i_pq_tradedays($B$3,A5146,A5145)-1)</f>
        <v/>
      </c>
      <c r="G5145" s="16" t="str">
        <f t="shared" si="176"/>
        <v/>
      </c>
      <c r="H5145" s="70" t="str">
        <f t="shared" si="177"/>
        <v/>
      </c>
    </row>
    <row r="5146" spans="1:8">
      <c r="A5146" s="2"/>
      <c r="B5146" s="12"/>
      <c r="C5146" s="12"/>
      <c r="E5146" t="str">
        <f>IF(LEN(D5146)=0,"",[1]!i_pq_tradedays($B$3,A5147,A5146)-1)</f>
        <v/>
      </c>
      <c r="G5146" s="16" t="str">
        <f t="shared" si="176"/>
        <v/>
      </c>
      <c r="H5146" s="70" t="str">
        <f t="shared" si="177"/>
        <v/>
      </c>
    </row>
    <row r="5147" spans="1:8">
      <c r="A5147" s="2"/>
      <c r="B5147" s="12"/>
      <c r="C5147" s="12"/>
      <c r="E5147" t="str">
        <f>IF(LEN(D5147)=0,"",[1]!i_pq_tradedays($B$3,A5148,A5147)-1)</f>
        <v/>
      </c>
      <c r="G5147" s="16" t="str">
        <f t="shared" si="176"/>
        <v/>
      </c>
      <c r="H5147" s="70" t="str">
        <f t="shared" si="177"/>
        <v/>
      </c>
    </row>
    <row r="5148" spans="1:8">
      <c r="A5148" s="2"/>
      <c r="B5148" s="12"/>
      <c r="C5148" s="12"/>
      <c r="E5148" t="str">
        <f>IF(LEN(D5148)=0,"",[1]!i_pq_tradedays($B$3,A5149,A5148)-1)</f>
        <v/>
      </c>
      <c r="G5148" s="16" t="str">
        <f t="shared" si="176"/>
        <v/>
      </c>
      <c r="H5148" s="70" t="str">
        <f t="shared" si="177"/>
        <v/>
      </c>
    </row>
    <row r="5149" spans="1:8">
      <c r="A5149" s="2"/>
      <c r="B5149" s="12"/>
      <c r="C5149" s="12"/>
      <c r="E5149" t="str">
        <f>IF(LEN(D5149)=0,"",[1]!i_pq_tradedays($B$3,A5150,A5149)-1)</f>
        <v/>
      </c>
      <c r="G5149" s="16" t="str">
        <f t="shared" si="176"/>
        <v/>
      </c>
      <c r="H5149" s="70" t="str">
        <f t="shared" si="177"/>
        <v/>
      </c>
    </row>
    <row r="5150" spans="1:8">
      <c r="A5150" s="2"/>
      <c r="B5150" s="12"/>
      <c r="C5150" s="12"/>
      <c r="E5150" t="str">
        <f>IF(LEN(D5150)=0,"",[1]!i_pq_tradedays($B$3,A5151,A5150)-1)</f>
        <v/>
      </c>
      <c r="G5150" s="16" t="str">
        <f t="shared" si="176"/>
        <v/>
      </c>
      <c r="H5150" s="70" t="str">
        <f t="shared" si="177"/>
        <v/>
      </c>
    </row>
    <row r="5151" spans="1:8">
      <c r="A5151" s="2"/>
      <c r="B5151" s="12"/>
      <c r="C5151" s="12"/>
      <c r="E5151" t="str">
        <f>IF(LEN(D5151)=0,"",[1]!i_pq_tradedays($B$3,A5152,A5151)-1)</f>
        <v/>
      </c>
      <c r="G5151" s="16" t="str">
        <f t="shared" si="176"/>
        <v/>
      </c>
      <c r="H5151" s="70" t="str">
        <f t="shared" si="177"/>
        <v/>
      </c>
    </row>
    <row r="5152" spans="1:8">
      <c r="A5152" s="2"/>
      <c r="B5152" s="12"/>
      <c r="C5152" s="12"/>
      <c r="E5152" t="str">
        <f>IF(LEN(D5152)=0,"",[1]!i_pq_tradedays($B$3,A5153,A5152)-1)</f>
        <v/>
      </c>
      <c r="G5152" s="16" t="str">
        <f t="shared" si="176"/>
        <v/>
      </c>
      <c r="H5152" s="70" t="str">
        <f t="shared" si="177"/>
        <v/>
      </c>
    </row>
    <row r="5153" spans="1:8">
      <c r="A5153" s="2"/>
      <c r="B5153" s="12"/>
      <c r="C5153" s="12"/>
      <c r="E5153" t="str">
        <f>IF(LEN(D5153)=0,"",[1]!i_pq_tradedays($B$3,A5154,A5153)-1)</f>
        <v/>
      </c>
      <c r="G5153" s="16" t="str">
        <f t="shared" si="176"/>
        <v/>
      </c>
      <c r="H5153" s="70" t="str">
        <f t="shared" si="177"/>
        <v/>
      </c>
    </row>
    <row r="5154" spans="1:8">
      <c r="A5154" s="2"/>
      <c r="B5154" s="12"/>
      <c r="C5154" s="12"/>
      <c r="E5154" t="str">
        <f>IF(LEN(D5154)=0,"",[1]!i_pq_tradedays($B$3,A5155,A5154)-1)</f>
        <v/>
      </c>
      <c r="G5154" s="16" t="str">
        <f t="shared" si="176"/>
        <v/>
      </c>
      <c r="H5154" s="70" t="str">
        <f t="shared" si="177"/>
        <v/>
      </c>
    </row>
    <row r="5155" spans="1:8">
      <c r="A5155" s="2"/>
      <c r="B5155" s="12"/>
      <c r="C5155" s="12"/>
      <c r="E5155" t="str">
        <f>IF(LEN(D5155)=0,"",[1]!i_pq_tradedays($B$3,A5156,A5155)-1)</f>
        <v/>
      </c>
      <c r="G5155" s="16" t="str">
        <f t="shared" si="176"/>
        <v/>
      </c>
      <c r="H5155" s="70" t="str">
        <f t="shared" si="177"/>
        <v/>
      </c>
    </row>
    <row r="5156" spans="1:8">
      <c r="A5156" s="2"/>
      <c r="B5156" s="12"/>
      <c r="C5156" s="12"/>
      <c r="E5156" t="str">
        <f>IF(LEN(D5156)=0,"",[1]!i_pq_tradedays($B$3,A5157,A5156)-1)</f>
        <v/>
      </c>
      <c r="G5156" s="16" t="str">
        <f t="shared" si="176"/>
        <v/>
      </c>
      <c r="H5156" s="70" t="str">
        <f t="shared" si="177"/>
        <v/>
      </c>
    </row>
    <row r="5157" spans="1:8">
      <c r="A5157" s="2"/>
      <c r="B5157" s="12"/>
      <c r="C5157" s="12"/>
      <c r="E5157" t="str">
        <f>IF(LEN(D5157)=0,"",[1]!i_pq_tradedays($B$3,A5158,A5157)-1)</f>
        <v/>
      </c>
      <c r="G5157" s="16" t="str">
        <f t="shared" si="176"/>
        <v/>
      </c>
      <c r="H5157" s="70" t="str">
        <f t="shared" si="177"/>
        <v/>
      </c>
    </row>
    <row r="5158" spans="1:8">
      <c r="A5158" s="2"/>
      <c r="B5158" s="12"/>
      <c r="C5158" s="12"/>
      <c r="E5158" t="str">
        <f>IF(LEN(D5158)=0,"",[1]!i_pq_tradedays($B$3,A5159,A5158)-1)</f>
        <v/>
      </c>
      <c r="G5158" s="16" t="str">
        <f t="shared" si="176"/>
        <v/>
      </c>
      <c r="H5158" s="70" t="str">
        <f t="shared" si="177"/>
        <v/>
      </c>
    </row>
    <row r="5159" spans="1:8">
      <c r="A5159" s="2"/>
      <c r="B5159" s="12"/>
      <c r="C5159" s="12"/>
      <c r="E5159" t="str">
        <f>IF(LEN(D5159)=0,"",[1]!i_pq_tradedays($B$3,A5160,A5159)-1)</f>
        <v/>
      </c>
      <c r="G5159" s="16" t="str">
        <f t="shared" si="176"/>
        <v/>
      </c>
      <c r="H5159" s="70" t="str">
        <f t="shared" si="177"/>
        <v/>
      </c>
    </row>
    <row r="5160" spans="1:8">
      <c r="A5160" s="2"/>
      <c r="B5160" s="12"/>
      <c r="C5160" s="12"/>
      <c r="E5160" t="str">
        <f>IF(LEN(D5160)=0,"",[1]!i_pq_tradedays($B$3,A5161,A5160)-1)</f>
        <v/>
      </c>
      <c r="G5160" s="16" t="str">
        <f t="shared" si="176"/>
        <v/>
      </c>
      <c r="H5160" s="70" t="str">
        <f t="shared" si="177"/>
        <v/>
      </c>
    </row>
    <row r="5161" spans="1:8">
      <c r="A5161" s="2"/>
      <c r="B5161" s="12"/>
      <c r="C5161" s="12"/>
      <c r="E5161" t="str">
        <f>IF(LEN(D5161)=0,"",[1]!i_pq_tradedays($B$3,A5162,A5161)-1)</f>
        <v/>
      </c>
      <c r="G5161" s="16" t="str">
        <f t="shared" si="176"/>
        <v/>
      </c>
      <c r="H5161" s="70" t="str">
        <f t="shared" si="177"/>
        <v/>
      </c>
    </row>
    <row r="5162" spans="1:8">
      <c r="A5162" s="2"/>
      <c r="B5162" s="12"/>
      <c r="C5162" s="12"/>
      <c r="E5162" t="str">
        <f>IF(LEN(D5162)=0,"",[1]!i_pq_tradedays($B$3,A5163,A5162)-1)</f>
        <v/>
      </c>
      <c r="G5162" s="16" t="str">
        <f t="shared" si="176"/>
        <v/>
      </c>
      <c r="H5162" s="70" t="str">
        <f t="shared" si="177"/>
        <v/>
      </c>
    </row>
    <row r="5163" spans="1:8">
      <c r="A5163" s="2"/>
      <c r="B5163" s="12"/>
      <c r="C5163" s="12"/>
      <c r="E5163" t="str">
        <f>IF(LEN(D5163)=0,"",[1]!i_pq_tradedays($B$3,A5164,A5163)-1)</f>
        <v/>
      </c>
      <c r="G5163" s="16" t="str">
        <f t="shared" si="176"/>
        <v/>
      </c>
      <c r="H5163" s="70" t="str">
        <f t="shared" si="177"/>
        <v/>
      </c>
    </row>
    <row r="5164" spans="1:8">
      <c r="A5164" s="2"/>
      <c r="B5164" s="12"/>
      <c r="C5164" s="12"/>
      <c r="E5164" t="str">
        <f>IF(LEN(D5164)=0,"",[1]!i_pq_tradedays($B$3,A5165,A5164)-1)</f>
        <v/>
      </c>
      <c r="G5164" s="16" t="str">
        <f t="shared" si="176"/>
        <v/>
      </c>
      <c r="H5164" s="70" t="str">
        <f t="shared" si="177"/>
        <v/>
      </c>
    </row>
    <row r="5165" spans="1:8">
      <c r="A5165" s="2"/>
      <c r="B5165" s="12"/>
      <c r="C5165" s="12"/>
      <c r="E5165" t="str">
        <f>IF(LEN(D5165)=0,"",[1]!i_pq_tradedays($B$3,A5166,A5165)-1)</f>
        <v/>
      </c>
      <c r="G5165" s="16" t="str">
        <f t="shared" si="176"/>
        <v/>
      </c>
      <c r="H5165" s="70" t="str">
        <f t="shared" si="177"/>
        <v/>
      </c>
    </row>
    <row r="5166" spans="1:8">
      <c r="A5166" s="2"/>
      <c r="B5166" s="12"/>
      <c r="C5166" s="12"/>
      <c r="E5166" t="str">
        <f>IF(LEN(D5166)=0,"",[1]!i_pq_tradedays($B$3,A5167,A5166)-1)</f>
        <v/>
      </c>
      <c r="G5166" s="16" t="str">
        <f t="shared" si="176"/>
        <v/>
      </c>
      <c r="H5166" s="70" t="str">
        <f t="shared" si="177"/>
        <v/>
      </c>
    </row>
    <row r="5167" spans="1:8">
      <c r="A5167" s="2"/>
      <c r="B5167" s="12"/>
      <c r="C5167" s="12"/>
      <c r="E5167" t="str">
        <f>IF(LEN(D5167)=0,"",[1]!i_pq_tradedays($B$3,A5168,A5167)-1)</f>
        <v/>
      </c>
      <c r="G5167" s="16" t="str">
        <f t="shared" si="176"/>
        <v/>
      </c>
      <c r="H5167" s="70" t="str">
        <f t="shared" si="177"/>
        <v/>
      </c>
    </row>
    <row r="5168" spans="1:8">
      <c r="A5168" s="2"/>
      <c r="B5168" s="12"/>
      <c r="C5168" s="12"/>
      <c r="E5168" t="str">
        <f>IF(LEN(D5168)=0,"",[1]!i_pq_tradedays($B$3,A5169,A5168)-1)</f>
        <v/>
      </c>
      <c r="G5168" s="16" t="str">
        <f t="shared" si="176"/>
        <v/>
      </c>
      <c r="H5168" s="70" t="str">
        <f t="shared" si="177"/>
        <v/>
      </c>
    </row>
    <row r="5169" spans="1:8">
      <c r="A5169" s="2"/>
      <c r="B5169" s="12"/>
      <c r="C5169" s="12"/>
      <c r="E5169" t="str">
        <f>IF(LEN(D5169)=0,"",[1]!i_pq_tradedays($B$3,A5170,A5169)-1)</f>
        <v/>
      </c>
      <c r="G5169" s="16" t="str">
        <f t="shared" si="176"/>
        <v/>
      </c>
      <c r="H5169" s="70" t="str">
        <f t="shared" si="177"/>
        <v/>
      </c>
    </row>
    <row r="5170" spans="1:8">
      <c r="A5170" s="2"/>
      <c r="B5170" s="12"/>
      <c r="C5170" s="12"/>
      <c r="E5170" t="str">
        <f>IF(LEN(D5170)=0,"",[1]!i_pq_tradedays($B$3,A5171,A5170)-1)</f>
        <v/>
      </c>
      <c r="G5170" s="16" t="str">
        <f t="shared" si="176"/>
        <v/>
      </c>
      <c r="H5170" s="70" t="str">
        <f t="shared" si="177"/>
        <v/>
      </c>
    </row>
    <row r="5171" spans="1:8">
      <c r="A5171" s="2"/>
      <c r="B5171" s="12"/>
      <c r="C5171" s="12"/>
      <c r="E5171" t="str">
        <f>IF(LEN(D5171)=0,"",[1]!i_pq_tradedays($B$3,A5172,A5171)-1)</f>
        <v/>
      </c>
      <c r="G5171" s="16" t="str">
        <f t="shared" si="176"/>
        <v/>
      </c>
      <c r="H5171" s="70" t="str">
        <f t="shared" si="177"/>
        <v/>
      </c>
    </row>
    <row r="5172" spans="1:8">
      <c r="A5172" s="2"/>
      <c r="B5172" s="12"/>
      <c r="C5172" s="12"/>
      <c r="E5172" t="str">
        <f>IF(LEN(D5172)=0,"",[1]!i_pq_tradedays($B$3,A5173,A5172)-1)</f>
        <v/>
      </c>
      <c r="G5172" s="16" t="str">
        <f t="shared" si="176"/>
        <v/>
      </c>
      <c r="H5172" s="70" t="str">
        <f t="shared" si="177"/>
        <v/>
      </c>
    </row>
    <row r="5173" spans="1:8">
      <c r="A5173" s="2"/>
      <c r="B5173" s="12"/>
      <c r="C5173" s="12"/>
      <c r="E5173" t="str">
        <f>IF(LEN(D5173)=0,"",[1]!i_pq_tradedays($B$3,A5174,A5173)-1)</f>
        <v/>
      </c>
      <c r="G5173" s="16" t="str">
        <f t="shared" ref="G5173:G5236" si="178">IF(LEN(D5173)=0,"",D5173/E5173)</f>
        <v/>
      </c>
      <c r="H5173" s="70" t="str">
        <f t="shared" ref="H5173:H5236" si="179">IF(LEN(D5173)=0,"",G5173/G5174-1)</f>
        <v/>
      </c>
    </row>
    <row r="5174" spans="1:8">
      <c r="A5174" s="2"/>
      <c r="B5174" s="12"/>
      <c r="C5174" s="12"/>
      <c r="E5174" t="str">
        <f>IF(LEN(D5174)=0,"",[1]!i_pq_tradedays($B$3,A5175,A5174)-1)</f>
        <v/>
      </c>
      <c r="G5174" s="16" t="str">
        <f t="shared" si="178"/>
        <v/>
      </c>
      <c r="H5174" s="70" t="str">
        <f t="shared" si="179"/>
        <v/>
      </c>
    </row>
    <row r="5175" spans="1:8">
      <c r="A5175" s="2"/>
      <c r="B5175" s="12"/>
      <c r="C5175" s="12"/>
      <c r="E5175" t="str">
        <f>IF(LEN(D5175)=0,"",[1]!i_pq_tradedays($B$3,A5176,A5175)-1)</f>
        <v/>
      </c>
      <c r="G5175" s="16" t="str">
        <f t="shared" si="178"/>
        <v/>
      </c>
      <c r="H5175" s="70" t="str">
        <f t="shared" si="179"/>
        <v/>
      </c>
    </row>
    <row r="5176" spans="1:8">
      <c r="A5176" s="2"/>
      <c r="B5176" s="12"/>
      <c r="C5176" s="12"/>
      <c r="E5176" t="str">
        <f>IF(LEN(D5176)=0,"",[1]!i_pq_tradedays($B$3,A5177,A5176)-1)</f>
        <v/>
      </c>
      <c r="G5176" s="16" t="str">
        <f t="shared" si="178"/>
        <v/>
      </c>
      <c r="H5176" s="70" t="str">
        <f t="shared" si="179"/>
        <v/>
      </c>
    </row>
    <row r="5177" spans="1:8">
      <c r="A5177" s="2"/>
      <c r="B5177" s="12"/>
      <c r="C5177" s="12"/>
      <c r="E5177" t="str">
        <f>IF(LEN(D5177)=0,"",[1]!i_pq_tradedays($B$3,A5178,A5177)-1)</f>
        <v/>
      </c>
      <c r="G5177" s="16" t="str">
        <f t="shared" si="178"/>
        <v/>
      </c>
      <c r="H5177" s="70" t="str">
        <f t="shared" si="179"/>
        <v/>
      </c>
    </row>
    <row r="5178" spans="1:8">
      <c r="A5178" s="2"/>
      <c r="B5178" s="12"/>
      <c r="C5178" s="12"/>
      <c r="E5178" t="str">
        <f>IF(LEN(D5178)=0,"",[1]!i_pq_tradedays($B$3,A5179,A5178)-1)</f>
        <v/>
      </c>
      <c r="G5178" s="16" t="str">
        <f t="shared" si="178"/>
        <v/>
      </c>
      <c r="H5178" s="70" t="str">
        <f t="shared" si="179"/>
        <v/>
      </c>
    </row>
    <row r="5179" spans="1:8">
      <c r="A5179" s="2"/>
      <c r="B5179" s="12"/>
      <c r="C5179" s="12"/>
      <c r="E5179" t="str">
        <f>IF(LEN(D5179)=0,"",[1]!i_pq_tradedays($B$3,A5180,A5179)-1)</f>
        <v/>
      </c>
      <c r="G5179" s="16" t="str">
        <f t="shared" si="178"/>
        <v/>
      </c>
      <c r="H5179" s="70" t="str">
        <f t="shared" si="179"/>
        <v/>
      </c>
    </row>
    <row r="5180" spans="1:8">
      <c r="A5180" s="2"/>
      <c r="B5180" s="12"/>
      <c r="C5180" s="12"/>
      <c r="E5180" t="str">
        <f>IF(LEN(D5180)=0,"",[1]!i_pq_tradedays($B$3,A5181,A5180)-1)</f>
        <v/>
      </c>
      <c r="G5180" s="16" t="str">
        <f t="shared" si="178"/>
        <v/>
      </c>
      <c r="H5180" s="70" t="str">
        <f t="shared" si="179"/>
        <v/>
      </c>
    </row>
    <row r="5181" spans="1:8">
      <c r="A5181" s="2"/>
      <c r="B5181" s="12"/>
      <c r="C5181" s="12"/>
      <c r="E5181" t="str">
        <f>IF(LEN(D5181)=0,"",[1]!i_pq_tradedays($B$3,A5182,A5181)-1)</f>
        <v/>
      </c>
      <c r="G5181" s="16" t="str">
        <f t="shared" si="178"/>
        <v/>
      </c>
      <c r="H5181" s="70" t="str">
        <f t="shared" si="179"/>
        <v/>
      </c>
    </row>
    <row r="5182" spans="1:8">
      <c r="A5182" s="2"/>
      <c r="B5182" s="12"/>
      <c r="C5182" s="12"/>
      <c r="E5182" t="str">
        <f>IF(LEN(D5182)=0,"",[1]!i_pq_tradedays($B$3,A5183,A5182)-1)</f>
        <v/>
      </c>
      <c r="G5182" s="16" t="str">
        <f t="shared" si="178"/>
        <v/>
      </c>
      <c r="H5182" s="70" t="str">
        <f t="shared" si="179"/>
        <v/>
      </c>
    </row>
    <row r="5183" spans="1:8">
      <c r="A5183" s="2"/>
      <c r="B5183" s="12"/>
      <c r="C5183" s="12"/>
      <c r="E5183" t="str">
        <f>IF(LEN(D5183)=0,"",[1]!i_pq_tradedays($B$3,A5184,A5183)-1)</f>
        <v/>
      </c>
      <c r="G5183" s="16" t="str">
        <f t="shared" si="178"/>
        <v/>
      </c>
      <c r="H5183" s="70" t="str">
        <f t="shared" si="179"/>
        <v/>
      </c>
    </row>
    <row r="5184" spans="1:8">
      <c r="A5184" s="2"/>
      <c r="B5184" s="12"/>
      <c r="C5184" s="12"/>
      <c r="E5184" t="str">
        <f>IF(LEN(D5184)=0,"",[1]!i_pq_tradedays($B$3,A5185,A5184)-1)</f>
        <v/>
      </c>
      <c r="G5184" s="16" t="str">
        <f t="shared" si="178"/>
        <v/>
      </c>
      <c r="H5184" s="70" t="str">
        <f t="shared" si="179"/>
        <v/>
      </c>
    </row>
    <row r="5185" spans="1:8">
      <c r="A5185" s="2"/>
      <c r="B5185" s="12"/>
      <c r="C5185" s="12"/>
      <c r="E5185" t="str">
        <f>IF(LEN(D5185)=0,"",[1]!i_pq_tradedays($B$3,A5186,A5185)-1)</f>
        <v/>
      </c>
      <c r="G5185" s="16" t="str">
        <f t="shared" si="178"/>
        <v/>
      </c>
      <c r="H5185" s="70" t="str">
        <f t="shared" si="179"/>
        <v/>
      </c>
    </row>
    <row r="5186" spans="1:8">
      <c r="A5186" s="2"/>
      <c r="B5186" s="12"/>
      <c r="C5186" s="12"/>
      <c r="E5186" t="str">
        <f>IF(LEN(D5186)=0,"",[1]!i_pq_tradedays($B$3,A5187,A5186)-1)</f>
        <v/>
      </c>
      <c r="G5186" s="16" t="str">
        <f t="shared" si="178"/>
        <v/>
      </c>
      <c r="H5186" s="70" t="str">
        <f t="shared" si="179"/>
        <v/>
      </c>
    </row>
    <row r="5187" spans="1:8">
      <c r="A5187" s="2"/>
      <c r="B5187" s="12"/>
      <c r="C5187" s="12"/>
      <c r="E5187" t="str">
        <f>IF(LEN(D5187)=0,"",[1]!i_pq_tradedays($B$3,A5188,A5187)-1)</f>
        <v/>
      </c>
      <c r="G5187" s="16" t="str">
        <f t="shared" si="178"/>
        <v/>
      </c>
      <c r="H5187" s="70" t="str">
        <f t="shared" si="179"/>
        <v/>
      </c>
    </row>
    <row r="5188" spans="1:8">
      <c r="A5188" s="2"/>
      <c r="B5188" s="12"/>
      <c r="C5188" s="12"/>
      <c r="E5188" t="str">
        <f>IF(LEN(D5188)=0,"",[1]!i_pq_tradedays($B$3,A5189,A5188)-1)</f>
        <v/>
      </c>
      <c r="G5188" s="16" t="str">
        <f t="shared" si="178"/>
        <v/>
      </c>
      <c r="H5188" s="70" t="str">
        <f t="shared" si="179"/>
        <v/>
      </c>
    </row>
    <row r="5189" spans="1:8">
      <c r="A5189" s="2"/>
      <c r="B5189" s="12"/>
      <c r="C5189" s="12"/>
      <c r="E5189" t="str">
        <f>IF(LEN(D5189)=0,"",[1]!i_pq_tradedays($B$3,A5190,A5189)-1)</f>
        <v/>
      </c>
      <c r="G5189" s="16" t="str">
        <f t="shared" si="178"/>
        <v/>
      </c>
      <c r="H5189" s="70" t="str">
        <f t="shared" si="179"/>
        <v/>
      </c>
    </row>
    <row r="5190" spans="1:8">
      <c r="A5190" s="2"/>
      <c r="B5190" s="12"/>
      <c r="C5190" s="12"/>
      <c r="E5190" t="str">
        <f>IF(LEN(D5190)=0,"",[1]!i_pq_tradedays($B$3,A5191,A5190)-1)</f>
        <v/>
      </c>
      <c r="G5190" s="16" t="str">
        <f t="shared" si="178"/>
        <v/>
      </c>
      <c r="H5190" s="70" t="str">
        <f t="shared" si="179"/>
        <v/>
      </c>
    </row>
    <row r="5191" spans="1:8">
      <c r="A5191" s="2"/>
      <c r="B5191" s="12"/>
      <c r="C5191" s="12"/>
      <c r="E5191" t="str">
        <f>IF(LEN(D5191)=0,"",[1]!i_pq_tradedays($B$3,A5192,A5191)-1)</f>
        <v/>
      </c>
      <c r="G5191" s="16" t="str">
        <f t="shared" si="178"/>
        <v/>
      </c>
      <c r="H5191" s="70" t="str">
        <f t="shared" si="179"/>
        <v/>
      </c>
    </row>
    <row r="5192" spans="1:8">
      <c r="A5192" s="2"/>
      <c r="B5192" s="12"/>
      <c r="C5192" s="12"/>
      <c r="E5192" t="str">
        <f>IF(LEN(D5192)=0,"",[1]!i_pq_tradedays($B$3,A5193,A5192)-1)</f>
        <v/>
      </c>
      <c r="G5192" s="16" t="str">
        <f t="shared" si="178"/>
        <v/>
      </c>
      <c r="H5192" s="70" t="str">
        <f t="shared" si="179"/>
        <v/>
      </c>
    </row>
    <row r="5193" spans="1:8">
      <c r="A5193" s="2"/>
      <c r="B5193" s="12"/>
      <c r="C5193" s="12"/>
      <c r="E5193" t="str">
        <f>IF(LEN(D5193)=0,"",[1]!i_pq_tradedays($B$3,A5194,A5193)-1)</f>
        <v/>
      </c>
      <c r="G5193" s="16" t="str">
        <f t="shared" si="178"/>
        <v/>
      </c>
      <c r="H5193" s="70" t="str">
        <f t="shared" si="179"/>
        <v/>
      </c>
    </row>
    <row r="5194" spans="1:8">
      <c r="A5194" s="2"/>
      <c r="B5194" s="12"/>
      <c r="C5194" s="12"/>
      <c r="E5194" t="str">
        <f>IF(LEN(D5194)=0,"",[1]!i_pq_tradedays($B$3,A5195,A5194)-1)</f>
        <v/>
      </c>
      <c r="G5194" s="16" t="str">
        <f t="shared" si="178"/>
        <v/>
      </c>
      <c r="H5194" s="70" t="str">
        <f t="shared" si="179"/>
        <v/>
      </c>
    </row>
    <row r="5195" spans="1:8">
      <c r="A5195" s="2"/>
      <c r="B5195" s="12"/>
      <c r="C5195" s="12"/>
      <c r="E5195" t="str">
        <f>IF(LEN(D5195)=0,"",[1]!i_pq_tradedays($B$3,A5196,A5195)-1)</f>
        <v/>
      </c>
      <c r="G5195" s="16" t="str">
        <f t="shared" si="178"/>
        <v/>
      </c>
      <c r="H5195" s="70" t="str">
        <f t="shared" si="179"/>
        <v/>
      </c>
    </row>
    <row r="5196" spans="1:8">
      <c r="A5196" s="2"/>
      <c r="B5196" s="12"/>
      <c r="C5196" s="12"/>
      <c r="E5196" t="str">
        <f>IF(LEN(D5196)=0,"",[1]!i_pq_tradedays($B$3,A5197,A5196)-1)</f>
        <v/>
      </c>
      <c r="G5196" s="16" t="str">
        <f t="shared" si="178"/>
        <v/>
      </c>
      <c r="H5196" s="70" t="str">
        <f t="shared" si="179"/>
        <v/>
      </c>
    </row>
    <row r="5197" spans="1:8">
      <c r="A5197" s="2"/>
      <c r="B5197" s="12"/>
      <c r="C5197" s="12"/>
      <c r="E5197" t="str">
        <f>IF(LEN(D5197)=0,"",[1]!i_pq_tradedays($B$3,A5198,A5197)-1)</f>
        <v/>
      </c>
      <c r="G5197" s="16" t="str">
        <f t="shared" si="178"/>
        <v/>
      </c>
      <c r="H5197" s="70" t="str">
        <f t="shared" si="179"/>
        <v/>
      </c>
    </row>
    <row r="5198" spans="1:8">
      <c r="A5198" s="2"/>
      <c r="B5198" s="12"/>
      <c r="C5198" s="12"/>
      <c r="E5198" t="str">
        <f>IF(LEN(D5198)=0,"",[1]!i_pq_tradedays($B$3,A5199,A5198)-1)</f>
        <v/>
      </c>
      <c r="G5198" s="16" t="str">
        <f t="shared" si="178"/>
        <v/>
      </c>
      <c r="H5198" s="70" t="str">
        <f t="shared" si="179"/>
        <v/>
      </c>
    </row>
    <row r="5199" spans="1:8">
      <c r="A5199" s="2"/>
      <c r="B5199" s="12"/>
      <c r="C5199" s="12"/>
      <c r="E5199" t="str">
        <f>IF(LEN(D5199)=0,"",[1]!i_pq_tradedays($B$3,A5200,A5199)-1)</f>
        <v/>
      </c>
      <c r="G5199" s="16" t="str">
        <f t="shared" si="178"/>
        <v/>
      </c>
      <c r="H5199" s="70" t="str">
        <f t="shared" si="179"/>
        <v/>
      </c>
    </row>
    <row r="5200" spans="1:8">
      <c r="A5200" s="2"/>
      <c r="B5200" s="12"/>
      <c r="C5200" s="12"/>
      <c r="E5200" t="str">
        <f>IF(LEN(D5200)=0,"",[1]!i_pq_tradedays($B$3,A5201,A5200)-1)</f>
        <v/>
      </c>
      <c r="G5200" s="16" t="str">
        <f t="shared" si="178"/>
        <v/>
      </c>
      <c r="H5200" s="70" t="str">
        <f t="shared" si="179"/>
        <v/>
      </c>
    </row>
    <row r="5201" spans="1:8">
      <c r="A5201" s="2"/>
      <c r="B5201" s="12"/>
      <c r="C5201" s="12"/>
      <c r="E5201" t="str">
        <f>IF(LEN(D5201)=0,"",[1]!i_pq_tradedays($B$3,A5202,A5201)-1)</f>
        <v/>
      </c>
      <c r="G5201" s="16" t="str">
        <f t="shared" si="178"/>
        <v/>
      </c>
      <c r="H5201" s="70" t="str">
        <f t="shared" si="179"/>
        <v/>
      </c>
    </row>
    <row r="5202" spans="1:8">
      <c r="A5202" s="2"/>
      <c r="B5202" s="12"/>
      <c r="C5202" s="12"/>
      <c r="E5202" t="str">
        <f>IF(LEN(D5202)=0,"",[1]!i_pq_tradedays($B$3,A5203,A5202)-1)</f>
        <v/>
      </c>
      <c r="G5202" s="16" t="str">
        <f t="shared" si="178"/>
        <v/>
      </c>
      <c r="H5202" s="70" t="str">
        <f t="shared" si="179"/>
        <v/>
      </c>
    </row>
    <row r="5203" spans="1:8">
      <c r="A5203" s="2"/>
      <c r="B5203" s="12"/>
      <c r="C5203" s="12"/>
      <c r="E5203" t="str">
        <f>IF(LEN(D5203)=0,"",[1]!i_pq_tradedays($B$3,A5204,A5203)-1)</f>
        <v/>
      </c>
      <c r="G5203" s="16" t="str">
        <f t="shared" si="178"/>
        <v/>
      </c>
      <c r="H5203" s="70" t="str">
        <f t="shared" si="179"/>
        <v/>
      </c>
    </row>
    <row r="5204" spans="1:8">
      <c r="A5204" s="2"/>
      <c r="B5204" s="12"/>
      <c r="C5204" s="12"/>
      <c r="E5204" t="str">
        <f>IF(LEN(D5204)=0,"",[1]!i_pq_tradedays($B$3,A5205,A5204)-1)</f>
        <v/>
      </c>
      <c r="G5204" s="16" t="str">
        <f t="shared" si="178"/>
        <v/>
      </c>
      <c r="H5204" s="70" t="str">
        <f t="shared" si="179"/>
        <v/>
      </c>
    </row>
    <row r="5205" spans="1:8">
      <c r="A5205" s="2"/>
      <c r="B5205" s="12"/>
      <c r="C5205" s="12"/>
      <c r="E5205" t="str">
        <f>IF(LEN(D5205)=0,"",[1]!i_pq_tradedays($B$3,A5206,A5205)-1)</f>
        <v/>
      </c>
      <c r="G5205" s="16" t="str">
        <f t="shared" si="178"/>
        <v/>
      </c>
      <c r="H5205" s="70" t="str">
        <f t="shared" si="179"/>
        <v/>
      </c>
    </row>
    <row r="5206" spans="1:8">
      <c r="A5206" s="2"/>
      <c r="B5206" s="12"/>
      <c r="C5206" s="12"/>
      <c r="E5206" t="str">
        <f>IF(LEN(D5206)=0,"",[1]!i_pq_tradedays($B$3,A5207,A5206)-1)</f>
        <v/>
      </c>
      <c r="G5206" s="16" t="str">
        <f t="shared" si="178"/>
        <v/>
      </c>
      <c r="H5206" s="70" t="str">
        <f t="shared" si="179"/>
        <v/>
      </c>
    </row>
    <row r="5207" spans="1:8">
      <c r="A5207" s="2"/>
      <c r="B5207" s="12"/>
      <c r="C5207" s="12"/>
      <c r="E5207" t="str">
        <f>IF(LEN(D5207)=0,"",[1]!i_pq_tradedays($B$3,A5208,A5207)-1)</f>
        <v/>
      </c>
      <c r="G5207" s="16" t="str">
        <f t="shared" si="178"/>
        <v/>
      </c>
      <c r="H5207" s="70" t="str">
        <f t="shared" si="179"/>
        <v/>
      </c>
    </row>
    <row r="5208" spans="1:8">
      <c r="A5208" s="2"/>
      <c r="B5208" s="12"/>
      <c r="C5208" s="12"/>
      <c r="E5208" t="str">
        <f>IF(LEN(D5208)=0,"",[1]!i_pq_tradedays($B$3,A5209,A5208)-1)</f>
        <v/>
      </c>
      <c r="G5208" s="16" t="str">
        <f t="shared" si="178"/>
        <v/>
      </c>
      <c r="H5208" s="70" t="str">
        <f t="shared" si="179"/>
        <v/>
      </c>
    </row>
    <row r="5209" spans="1:8">
      <c r="A5209" s="2"/>
      <c r="B5209" s="12"/>
      <c r="C5209" s="12"/>
      <c r="E5209" t="str">
        <f>IF(LEN(D5209)=0,"",[1]!i_pq_tradedays($B$3,A5210,A5209)-1)</f>
        <v/>
      </c>
      <c r="G5209" s="16" t="str">
        <f t="shared" si="178"/>
        <v/>
      </c>
      <c r="H5209" s="70" t="str">
        <f t="shared" si="179"/>
        <v/>
      </c>
    </row>
    <row r="5210" spans="1:8">
      <c r="A5210" s="2"/>
      <c r="B5210" s="12"/>
      <c r="C5210" s="12"/>
      <c r="E5210" t="str">
        <f>IF(LEN(D5210)=0,"",[1]!i_pq_tradedays($B$3,A5211,A5210)-1)</f>
        <v/>
      </c>
      <c r="G5210" s="16" t="str">
        <f t="shared" si="178"/>
        <v/>
      </c>
      <c r="H5210" s="70" t="str">
        <f t="shared" si="179"/>
        <v/>
      </c>
    </row>
    <row r="5211" spans="1:8">
      <c r="A5211" s="2"/>
      <c r="B5211" s="12"/>
      <c r="C5211" s="12"/>
      <c r="E5211" t="str">
        <f>IF(LEN(D5211)=0,"",[1]!i_pq_tradedays($B$3,A5212,A5211)-1)</f>
        <v/>
      </c>
      <c r="G5211" s="16" t="str">
        <f t="shared" si="178"/>
        <v/>
      </c>
      <c r="H5211" s="70" t="str">
        <f t="shared" si="179"/>
        <v/>
      </c>
    </row>
    <row r="5212" spans="1:8">
      <c r="A5212" s="2"/>
      <c r="B5212" s="12"/>
      <c r="C5212" s="12"/>
      <c r="E5212" t="str">
        <f>IF(LEN(D5212)=0,"",[1]!i_pq_tradedays($B$3,A5213,A5212)-1)</f>
        <v/>
      </c>
      <c r="G5212" s="16" t="str">
        <f t="shared" si="178"/>
        <v/>
      </c>
      <c r="H5212" s="70" t="str">
        <f t="shared" si="179"/>
        <v/>
      </c>
    </row>
    <row r="5213" spans="1:8">
      <c r="A5213" s="2"/>
      <c r="B5213" s="12"/>
      <c r="C5213" s="12"/>
      <c r="E5213" t="str">
        <f>IF(LEN(D5213)=0,"",[1]!i_pq_tradedays($B$3,A5214,A5213)-1)</f>
        <v/>
      </c>
      <c r="G5213" s="16" t="str">
        <f t="shared" si="178"/>
        <v/>
      </c>
      <c r="H5213" s="70" t="str">
        <f t="shared" si="179"/>
        <v/>
      </c>
    </row>
    <row r="5214" spans="1:8">
      <c r="A5214" s="2"/>
      <c r="B5214" s="12"/>
      <c r="C5214" s="12"/>
      <c r="E5214" t="str">
        <f>IF(LEN(D5214)=0,"",[1]!i_pq_tradedays($B$3,A5215,A5214)-1)</f>
        <v/>
      </c>
      <c r="G5214" s="16" t="str">
        <f t="shared" si="178"/>
        <v/>
      </c>
      <c r="H5214" s="70" t="str">
        <f t="shared" si="179"/>
        <v/>
      </c>
    </row>
    <row r="5215" spans="1:8">
      <c r="A5215" s="2"/>
      <c r="B5215" s="12"/>
      <c r="C5215" s="12"/>
      <c r="E5215" t="str">
        <f>IF(LEN(D5215)=0,"",[1]!i_pq_tradedays($B$3,A5216,A5215)-1)</f>
        <v/>
      </c>
      <c r="G5215" s="16" t="str">
        <f t="shared" si="178"/>
        <v/>
      </c>
      <c r="H5215" s="70" t="str">
        <f t="shared" si="179"/>
        <v/>
      </c>
    </row>
    <row r="5216" spans="1:8">
      <c r="A5216" s="2"/>
      <c r="B5216" s="12"/>
      <c r="C5216" s="12"/>
      <c r="E5216" t="str">
        <f>IF(LEN(D5216)=0,"",[1]!i_pq_tradedays($B$3,A5217,A5216)-1)</f>
        <v/>
      </c>
      <c r="G5216" s="16" t="str">
        <f t="shared" si="178"/>
        <v/>
      </c>
      <c r="H5216" s="70" t="str">
        <f t="shared" si="179"/>
        <v/>
      </c>
    </row>
    <row r="5217" spans="1:8">
      <c r="A5217" s="2"/>
      <c r="B5217" s="12"/>
      <c r="C5217" s="12"/>
      <c r="E5217" t="str">
        <f>IF(LEN(D5217)=0,"",[1]!i_pq_tradedays($B$3,A5218,A5217)-1)</f>
        <v/>
      </c>
      <c r="G5217" s="16" t="str">
        <f t="shared" si="178"/>
        <v/>
      </c>
      <c r="H5217" s="70" t="str">
        <f t="shared" si="179"/>
        <v/>
      </c>
    </row>
    <row r="5218" spans="1:8">
      <c r="A5218" s="2"/>
      <c r="B5218" s="12"/>
      <c r="C5218" s="12"/>
      <c r="E5218" t="str">
        <f>IF(LEN(D5218)=0,"",[1]!i_pq_tradedays($B$3,A5219,A5218)-1)</f>
        <v/>
      </c>
      <c r="G5218" s="16" t="str">
        <f t="shared" si="178"/>
        <v/>
      </c>
      <c r="H5218" s="70" t="str">
        <f t="shared" si="179"/>
        <v/>
      </c>
    </row>
    <row r="5219" spans="1:8">
      <c r="A5219" s="2"/>
      <c r="B5219" s="12"/>
      <c r="C5219" s="12"/>
      <c r="E5219" t="str">
        <f>IF(LEN(D5219)=0,"",[1]!i_pq_tradedays($B$3,A5220,A5219)-1)</f>
        <v/>
      </c>
      <c r="G5219" s="16" t="str">
        <f t="shared" si="178"/>
        <v/>
      </c>
      <c r="H5219" s="70" t="str">
        <f t="shared" si="179"/>
        <v/>
      </c>
    </row>
    <row r="5220" spans="1:8">
      <c r="A5220" s="2"/>
      <c r="B5220" s="12"/>
      <c r="C5220" s="12"/>
      <c r="E5220" t="str">
        <f>IF(LEN(D5220)=0,"",[1]!i_pq_tradedays($B$3,A5221,A5220)-1)</f>
        <v/>
      </c>
      <c r="G5220" s="16" t="str">
        <f t="shared" si="178"/>
        <v/>
      </c>
      <c r="H5220" s="70" t="str">
        <f t="shared" si="179"/>
        <v/>
      </c>
    </row>
    <row r="5221" spans="1:8">
      <c r="A5221" s="2"/>
      <c r="B5221" s="12"/>
      <c r="C5221" s="12"/>
      <c r="E5221" t="str">
        <f>IF(LEN(D5221)=0,"",[1]!i_pq_tradedays($B$3,A5222,A5221)-1)</f>
        <v/>
      </c>
      <c r="G5221" s="16" t="str">
        <f t="shared" si="178"/>
        <v/>
      </c>
      <c r="H5221" s="70" t="str">
        <f t="shared" si="179"/>
        <v/>
      </c>
    </row>
    <row r="5222" spans="1:8">
      <c r="A5222" s="2"/>
      <c r="B5222" s="12"/>
      <c r="C5222" s="12"/>
      <c r="E5222" t="str">
        <f>IF(LEN(D5222)=0,"",[1]!i_pq_tradedays($B$3,A5223,A5222)-1)</f>
        <v/>
      </c>
      <c r="G5222" s="16" t="str">
        <f t="shared" si="178"/>
        <v/>
      </c>
      <c r="H5222" s="70" t="str">
        <f t="shared" si="179"/>
        <v/>
      </c>
    </row>
    <row r="5223" spans="1:8">
      <c r="A5223" s="2"/>
      <c r="B5223" s="12"/>
      <c r="C5223" s="12"/>
      <c r="E5223" t="str">
        <f>IF(LEN(D5223)=0,"",[1]!i_pq_tradedays($B$3,A5224,A5223)-1)</f>
        <v/>
      </c>
      <c r="G5223" s="16" t="str">
        <f t="shared" si="178"/>
        <v/>
      </c>
      <c r="H5223" s="70" t="str">
        <f t="shared" si="179"/>
        <v/>
      </c>
    </row>
    <row r="5224" spans="1:8">
      <c r="A5224" s="2"/>
      <c r="B5224" s="12"/>
      <c r="C5224" s="12"/>
      <c r="E5224" t="str">
        <f>IF(LEN(D5224)=0,"",[1]!i_pq_tradedays($B$3,A5225,A5224)-1)</f>
        <v/>
      </c>
      <c r="G5224" s="16" t="str">
        <f t="shared" si="178"/>
        <v/>
      </c>
      <c r="H5224" s="70" t="str">
        <f t="shared" si="179"/>
        <v/>
      </c>
    </row>
    <row r="5225" spans="1:8">
      <c r="A5225" s="2"/>
      <c r="B5225" s="12"/>
      <c r="C5225" s="12"/>
      <c r="E5225" t="str">
        <f>IF(LEN(D5225)=0,"",[1]!i_pq_tradedays($B$3,A5226,A5225)-1)</f>
        <v/>
      </c>
      <c r="G5225" s="16" t="str">
        <f t="shared" si="178"/>
        <v/>
      </c>
      <c r="H5225" s="70" t="str">
        <f t="shared" si="179"/>
        <v/>
      </c>
    </row>
    <row r="5226" spans="1:8">
      <c r="A5226" s="2"/>
      <c r="B5226" s="12"/>
      <c r="C5226" s="12"/>
      <c r="E5226" t="str">
        <f>IF(LEN(D5226)=0,"",[1]!i_pq_tradedays($B$3,A5227,A5226)-1)</f>
        <v/>
      </c>
      <c r="G5226" s="16" t="str">
        <f t="shared" si="178"/>
        <v/>
      </c>
      <c r="H5226" s="70" t="str">
        <f t="shared" si="179"/>
        <v/>
      </c>
    </row>
    <row r="5227" spans="1:8">
      <c r="A5227" s="2"/>
      <c r="B5227" s="12"/>
      <c r="C5227" s="12"/>
      <c r="E5227" t="str">
        <f>IF(LEN(D5227)=0,"",[1]!i_pq_tradedays($B$3,A5228,A5227)-1)</f>
        <v/>
      </c>
      <c r="G5227" s="16" t="str">
        <f t="shared" si="178"/>
        <v/>
      </c>
      <c r="H5227" s="70" t="str">
        <f t="shared" si="179"/>
        <v/>
      </c>
    </row>
    <row r="5228" spans="1:8">
      <c r="A5228" s="2"/>
      <c r="B5228" s="12"/>
      <c r="C5228" s="12"/>
      <c r="E5228" t="str">
        <f>IF(LEN(D5228)=0,"",[1]!i_pq_tradedays($B$3,A5229,A5228)-1)</f>
        <v/>
      </c>
      <c r="G5228" s="16" t="str">
        <f t="shared" si="178"/>
        <v/>
      </c>
      <c r="H5228" s="70" t="str">
        <f t="shared" si="179"/>
        <v/>
      </c>
    </row>
    <row r="5229" spans="1:8">
      <c r="A5229" s="2"/>
      <c r="B5229" s="12"/>
      <c r="C5229" s="12"/>
      <c r="E5229" t="str">
        <f>IF(LEN(D5229)=0,"",[1]!i_pq_tradedays($B$3,A5230,A5229)-1)</f>
        <v/>
      </c>
      <c r="G5229" s="16" t="str">
        <f t="shared" si="178"/>
        <v/>
      </c>
      <c r="H5229" s="70" t="str">
        <f t="shared" si="179"/>
        <v/>
      </c>
    </row>
    <row r="5230" spans="1:8">
      <c r="A5230" s="2"/>
      <c r="B5230" s="12"/>
      <c r="C5230" s="12"/>
      <c r="E5230" t="str">
        <f>IF(LEN(D5230)=0,"",[1]!i_pq_tradedays($B$3,A5231,A5230)-1)</f>
        <v/>
      </c>
      <c r="G5230" s="16" t="str">
        <f t="shared" si="178"/>
        <v/>
      </c>
      <c r="H5230" s="70" t="str">
        <f t="shared" si="179"/>
        <v/>
      </c>
    </row>
    <row r="5231" spans="1:8">
      <c r="A5231" s="2"/>
      <c r="B5231" s="12"/>
      <c r="C5231" s="12"/>
      <c r="E5231" t="str">
        <f>IF(LEN(D5231)=0,"",[1]!i_pq_tradedays($B$3,A5232,A5231)-1)</f>
        <v/>
      </c>
      <c r="G5231" s="16" t="str">
        <f t="shared" si="178"/>
        <v/>
      </c>
      <c r="H5231" s="70" t="str">
        <f t="shared" si="179"/>
        <v/>
      </c>
    </row>
    <row r="5232" spans="1:8">
      <c r="A5232" s="2"/>
      <c r="B5232" s="12"/>
      <c r="C5232" s="12"/>
      <c r="E5232" t="str">
        <f>IF(LEN(D5232)=0,"",[1]!i_pq_tradedays($B$3,A5233,A5232)-1)</f>
        <v/>
      </c>
      <c r="G5232" s="16" t="str">
        <f t="shared" si="178"/>
        <v/>
      </c>
      <c r="H5232" s="70" t="str">
        <f t="shared" si="179"/>
        <v/>
      </c>
    </row>
    <row r="5233" spans="1:8">
      <c r="A5233" s="2"/>
      <c r="B5233" s="12"/>
      <c r="C5233" s="12"/>
      <c r="E5233" t="str">
        <f>IF(LEN(D5233)=0,"",[1]!i_pq_tradedays($B$3,A5234,A5233)-1)</f>
        <v/>
      </c>
      <c r="G5233" s="16" t="str">
        <f t="shared" si="178"/>
        <v/>
      </c>
      <c r="H5233" s="70" t="str">
        <f t="shared" si="179"/>
        <v/>
      </c>
    </row>
    <row r="5234" spans="1:8">
      <c r="A5234" s="2"/>
      <c r="B5234" s="12"/>
      <c r="C5234" s="12"/>
      <c r="E5234" t="str">
        <f>IF(LEN(D5234)=0,"",[1]!i_pq_tradedays($B$3,A5235,A5234)-1)</f>
        <v/>
      </c>
      <c r="G5234" s="16" t="str">
        <f t="shared" si="178"/>
        <v/>
      </c>
      <c r="H5234" s="70" t="str">
        <f t="shared" si="179"/>
        <v/>
      </c>
    </row>
    <row r="5235" spans="1:8">
      <c r="A5235" s="2"/>
      <c r="B5235" s="12"/>
      <c r="C5235" s="12"/>
      <c r="E5235" t="str">
        <f>IF(LEN(D5235)=0,"",[1]!i_pq_tradedays($B$3,A5236,A5235)-1)</f>
        <v/>
      </c>
      <c r="G5235" s="16" t="str">
        <f t="shared" si="178"/>
        <v/>
      </c>
      <c r="H5235" s="70" t="str">
        <f t="shared" si="179"/>
        <v/>
      </c>
    </row>
    <row r="5236" spans="1:8">
      <c r="A5236" s="2"/>
      <c r="B5236" s="12"/>
      <c r="C5236" s="12"/>
      <c r="E5236" t="str">
        <f>IF(LEN(D5236)=0,"",[1]!i_pq_tradedays($B$3,A5237,A5236)-1)</f>
        <v/>
      </c>
      <c r="G5236" s="16" t="str">
        <f t="shared" si="178"/>
        <v/>
      </c>
      <c r="H5236" s="70" t="str">
        <f t="shared" si="179"/>
        <v/>
      </c>
    </row>
    <row r="5237" spans="1:8">
      <c r="A5237" s="2"/>
      <c r="B5237" s="12"/>
      <c r="C5237" s="12"/>
      <c r="E5237" t="str">
        <f>IF(LEN(D5237)=0,"",[1]!i_pq_tradedays($B$3,A5238,A5237)-1)</f>
        <v/>
      </c>
      <c r="G5237" s="16" t="str">
        <f t="shared" ref="G5237:G5300" si="180">IF(LEN(D5237)=0,"",D5237/E5237)</f>
        <v/>
      </c>
      <c r="H5237" s="70" t="str">
        <f t="shared" ref="H5237:H5300" si="181">IF(LEN(D5237)=0,"",G5237/G5238-1)</f>
        <v/>
      </c>
    </row>
    <row r="5238" spans="1:8">
      <c r="A5238" s="2"/>
      <c r="B5238" s="12"/>
      <c r="C5238" s="12"/>
      <c r="E5238" t="str">
        <f>IF(LEN(D5238)=0,"",[1]!i_pq_tradedays($B$3,A5239,A5238)-1)</f>
        <v/>
      </c>
      <c r="G5238" s="16" t="str">
        <f t="shared" si="180"/>
        <v/>
      </c>
      <c r="H5238" s="70" t="str">
        <f t="shared" si="181"/>
        <v/>
      </c>
    </row>
    <row r="5239" spans="1:8">
      <c r="A5239" s="2"/>
      <c r="B5239" s="12"/>
      <c r="C5239" s="12"/>
      <c r="E5239" t="str">
        <f>IF(LEN(D5239)=0,"",[1]!i_pq_tradedays($B$3,A5240,A5239)-1)</f>
        <v/>
      </c>
      <c r="G5239" s="16" t="str">
        <f t="shared" si="180"/>
        <v/>
      </c>
      <c r="H5239" s="70" t="str">
        <f t="shared" si="181"/>
        <v/>
      </c>
    </row>
    <row r="5240" spans="1:8">
      <c r="A5240" s="2"/>
      <c r="B5240" s="12"/>
      <c r="C5240" s="12"/>
      <c r="E5240" t="str">
        <f>IF(LEN(D5240)=0,"",[1]!i_pq_tradedays($B$3,A5241,A5240)-1)</f>
        <v/>
      </c>
      <c r="G5240" s="16" t="str">
        <f t="shared" si="180"/>
        <v/>
      </c>
      <c r="H5240" s="70" t="str">
        <f t="shared" si="181"/>
        <v/>
      </c>
    </row>
    <row r="5241" spans="1:8">
      <c r="A5241" s="2"/>
      <c r="B5241" s="12"/>
      <c r="C5241" s="12"/>
      <c r="E5241" t="str">
        <f>IF(LEN(D5241)=0,"",[1]!i_pq_tradedays($B$3,A5242,A5241)-1)</f>
        <v/>
      </c>
      <c r="G5241" s="16" t="str">
        <f t="shared" si="180"/>
        <v/>
      </c>
      <c r="H5241" s="70" t="str">
        <f t="shared" si="181"/>
        <v/>
      </c>
    </row>
    <row r="5242" spans="1:8">
      <c r="A5242" s="2"/>
      <c r="B5242" s="12"/>
      <c r="C5242" s="12"/>
      <c r="E5242" t="str">
        <f>IF(LEN(D5242)=0,"",[1]!i_pq_tradedays($B$3,A5243,A5242)-1)</f>
        <v/>
      </c>
      <c r="G5242" s="16" t="str">
        <f t="shared" si="180"/>
        <v/>
      </c>
      <c r="H5242" s="70" t="str">
        <f t="shared" si="181"/>
        <v/>
      </c>
    </row>
    <row r="5243" spans="1:8">
      <c r="A5243" s="2"/>
      <c r="B5243" s="12"/>
      <c r="C5243" s="12"/>
      <c r="E5243" t="str">
        <f>IF(LEN(D5243)=0,"",[1]!i_pq_tradedays($B$3,A5244,A5243)-1)</f>
        <v/>
      </c>
      <c r="G5243" s="16" t="str">
        <f t="shared" si="180"/>
        <v/>
      </c>
      <c r="H5243" s="70" t="str">
        <f t="shared" si="181"/>
        <v/>
      </c>
    </row>
    <row r="5244" spans="1:8">
      <c r="A5244" s="2"/>
      <c r="B5244" s="12"/>
      <c r="C5244" s="12"/>
      <c r="E5244" t="str">
        <f>IF(LEN(D5244)=0,"",[1]!i_pq_tradedays($B$3,A5245,A5244)-1)</f>
        <v/>
      </c>
      <c r="G5244" s="16" t="str">
        <f t="shared" si="180"/>
        <v/>
      </c>
      <c r="H5244" s="70" t="str">
        <f t="shared" si="181"/>
        <v/>
      </c>
    </row>
    <row r="5245" spans="1:8">
      <c r="A5245" s="2"/>
      <c r="B5245" s="12"/>
      <c r="C5245" s="12"/>
      <c r="E5245" t="str">
        <f>IF(LEN(D5245)=0,"",[1]!i_pq_tradedays($B$3,A5246,A5245)-1)</f>
        <v/>
      </c>
      <c r="G5245" s="16" t="str">
        <f t="shared" si="180"/>
        <v/>
      </c>
      <c r="H5245" s="70" t="str">
        <f t="shared" si="181"/>
        <v/>
      </c>
    </row>
    <row r="5246" spans="1:8">
      <c r="A5246" s="2"/>
      <c r="B5246" s="12"/>
      <c r="C5246" s="12"/>
      <c r="E5246" t="str">
        <f>IF(LEN(D5246)=0,"",[1]!i_pq_tradedays($B$3,A5247,A5246)-1)</f>
        <v/>
      </c>
      <c r="G5246" s="16" t="str">
        <f t="shared" si="180"/>
        <v/>
      </c>
      <c r="H5246" s="70" t="str">
        <f t="shared" si="181"/>
        <v/>
      </c>
    </row>
    <row r="5247" spans="1:8">
      <c r="A5247" s="2"/>
      <c r="B5247" s="12"/>
      <c r="C5247" s="12"/>
      <c r="E5247" t="str">
        <f>IF(LEN(D5247)=0,"",[1]!i_pq_tradedays($B$3,A5248,A5247)-1)</f>
        <v/>
      </c>
      <c r="G5247" s="16" t="str">
        <f t="shared" si="180"/>
        <v/>
      </c>
      <c r="H5247" s="70" t="str">
        <f t="shared" si="181"/>
        <v/>
      </c>
    </row>
    <row r="5248" spans="1:8">
      <c r="A5248" s="2"/>
      <c r="B5248" s="12"/>
      <c r="C5248" s="12"/>
      <c r="E5248" t="str">
        <f>IF(LEN(D5248)=0,"",[1]!i_pq_tradedays($B$3,A5249,A5248)-1)</f>
        <v/>
      </c>
      <c r="G5248" s="16" t="str">
        <f t="shared" si="180"/>
        <v/>
      </c>
      <c r="H5248" s="70" t="str">
        <f t="shared" si="181"/>
        <v/>
      </c>
    </row>
    <row r="5249" spans="1:8">
      <c r="A5249" s="2"/>
      <c r="B5249" s="12"/>
      <c r="C5249" s="12"/>
      <c r="E5249" t="str">
        <f>IF(LEN(D5249)=0,"",[1]!i_pq_tradedays($B$3,A5250,A5249)-1)</f>
        <v/>
      </c>
      <c r="G5249" s="16" t="str">
        <f t="shared" si="180"/>
        <v/>
      </c>
      <c r="H5249" s="70" t="str">
        <f t="shared" si="181"/>
        <v/>
      </c>
    </row>
    <row r="5250" spans="1:8">
      <c r="A5250" s="2"/>
      <c r="B5250" s="12"/>
      <c r="C5250" s="12"/>
      <c r="E5250" t="str">
        <f>IF(LEN(D5250)=0,"",[1]!i_pq_tradedays($B$3,A5251,A5250)-1)</f>
        <v/>
      </c>
      <c r="G5250" s="16" t="str">
        <f t="shared" si="180"/>
        <v/>
      </c>
      <c r="H5250" s="70" t="str">
        <f t="shared" si="181"/>
        <v/>
      </c>
    </row>
    <row r="5251" spans="1:8">
      <c r="A5251" s="2"/>
      <c r="B5251" s="12"/>
      <c r="C5251" s="12"/>
      <c r="E5251" t="str">
        <f>IF(LEN(D5251)=0,"",[1]!i_pq_tradedays($B$3,A5252,A5251)-1)</f>
        <v/>
      </c>
      <c r="G5251" s="16" t="str">
        <f t="shared" si="180"/>
        <v/>
      </c>
      <c r="H5251" s="70" t="str">
        <f t="shared" si="181"/>
        <v/>
      </c>
    </row>
    <row r="5252" spans="1:8">
      <c r="A5252" s="2"/>
      <c r="B5252" s="12"/>
      <c r="C5252" s="12"/>
      <c r="E5252" t="str">
        <f>IF(LEN(D5252)=0,"",[1]!i_pq_tradedays($B$3,A5253,A5252)-1)</f>
        <v/>
      </c>
      <c r="G5252" s="16" t="str">
        <f t="shared" si="180"/>
        <v/>
      </c>
      <c r="H5252" s="70" t="str">
        <f t="shared" si="181"/>
        <v/>
      </c>
    </row>
    <row r="5253" spans="1:8">
      <c r="A5253" s="2"/>
      <c r="B5253" s="12"/>
      <c r="C5253" s="12"/>
      <c r="E5253" t="str">
        <f>IF(LEN(D5253)=0,"",[1]!i_pq_tradedays($B$3,A5254,A5253)-1)</f>
        <v/>
      </c>
      <c r="G5253" s="16" t="str">
        <f t="shared" si="180"/>
        <v/>
      </c>
      <c r="H5253" s="70" t="str">
        <f t="shared" si="181"/>
        <v/>
      </c>
    </row>
    <row r="5254" spans="1:8">
      <c r="A5254" s="2"/>
      <c r="B5254" s="12"/>
      <c r="C5254" s="12"/>
      <c r="E5254" t="str">
        <f>IF(LEN(D5254)=0,"",[1]!i_pq_tradedays($B$3,A5255,A5254)-1)</f>
        <v/>
      </c>
      <c r="G5254" s="16" t="str">
        <f t="shared" si="180"/>
        <v/>
      </c>
      <c r="H5254" s="70" t="str">
        <f t="shared" si="181"/>
        <v/>
      </c>
    </row>
    <row r="5255" spans="1:8">
      <c r="A5255" s="2"/>
      <c r="B5255" s="12"/>
      <c r="C5255" s="12"/>
      <c r="E5255" t="str">
        <f>IF(LEN(D5255)=0,"",[1]!i_pq_tradedays($B$3,A5256,A5255)-1)</f>
        <v/>
      </c>
      <c r="G5255" s="16" t="str">
        <f t="shared" si="180"/>
        <v/>
      </c>
      <c r="H5255" s="70" t="str">
        <f t="shared" si="181"/>
        <v/>
      </c>
    </row>
    <row r="5256" spans="1:8">
      <c r="A5256" s="2"/>
      <c r="B5256" s="12"/>
      <c r="C5256" s="12"/>
      <c r="E5256" t="str">
        <f>IF(LEN(D5256)=0,"",[1]!i_pq_tradedays($B$3,A5257,A5256)-1)</f>
        <v/>
      </c>
      <c r="G5256" s="16" t="str">
        <f t="shared" si="180"/>
        <v/>
      </c>
      <c r="H5256" s="70" t="str">
        <f t="shared" si="181"/>
        <v/>
      </c>
    </row>
    <row r="5257" spans="1:8">
      <c r="A5257" s="2"/>
      <c r="B5257" s="12"/>
      <c r="C5257" s="12"/>
      <c r="E5257" t="str">
        <f>IF(LEN(D5257)=0,"",[1]!i_pq_tradedays($B$3,A5258,A5257)-1)</f>
        <v/>
      </c>
      <c r="G5257" s="16" t="str">
        <f t="shared" si="180"/>
        <v/>
      </c>
      <c r="H5257" s="70" t="str">
        <f t="shared" si="181"/>
        <v/>
      </c>
    </row>
    <row r="5258" spans="1:8">
      <c r="A5258" s="2"/>
      <c r="B5258" s="12"/>
      <c r="C5258" s="12"/>
      <c r="E5258" t="str">
        <f>IF(LEN(D5258)=0,"",[1]!i_pq_tradedays($B$3,A5259,A5258)-1)</f>
        <v/>
      </c>
      <c r="G5258" s="16" t="str">
        <f t="shared" si="180"/>
        <v/>
      </c>
      <c r="H5258" s="70" t="str">
        <f t="shared" si="181"/>
        <v/>
      </c>
    </row>
    <row r="5259" spans="1:8">
      <c r="A5259" s="2"/>
      <c r="B5259" s="12"/>
      <c r="C5259" s="12"/>
      <c r="E5259" t="str">
        <f>IF(LEN(D5259)=0,"",[1]!i_pq_tradedays($B$3,A5260,A5259)-1)</f>
        <v/>
      </c>
      <c r="G5259" s="16" t="str">
        <f t="shared" si="180"/>
        <v/>
      </c>
      <c r="H5259" s="70" t="str">
        <f t="shared" si="181"/>
        <v/>
      </c>
    </row>
    <row r="5260" spans="1:8">
      <c r="A5260" s="2"/>
      <c r="B5260" s="12"/>
      <c r="C5260" s="12"/>
      <c r="E5260" t="str">
        <f>IF(LEN(D5260)=0,"",[1]!i_pq_tradedays($B$3,A5261,A5260)-1)</f>
        <v/>
      </c>
      <c r="G5260" s="16" t="str">
        <f t="shared" si="180"/>
        <v/>
      </c>
      <c r="H5260" s="70" t="str">
        <f t="shared" si="181"/>
        <v/>
      </c>
    </row>
    <row r="5261" spans="1:8">
      <c r="A5261" s="2"/>
      <c r="B5261" s="12"/>
      <c r="C5261" s="12"/>
      <c r="E5261" t="str">
        <f>IF(LEN(D5261)=0,"",[1]!i_pq_tradedays($B$3,A5262,A5261)-1)</f>
        <v/>
      </c>
      <c r="G5261" s="16" t="str">
        <f t="shared" si="180"/>
        <v/>
      </c>
      <c r="H5261" s="70" t="str">
        <f t="shared" si="181"/>
        <v/>
      </c>
    </row>
    <row r="5262" spans="1:8">
      <c r="A5262" s="2"/>
      <c r="B5262" s="12"/>
      <c r="C5262" s="12"/>
      <c r="E5262" t="str">
        <f>IF(LEN(D5262)=0,"",[1]!i_pq_tradedays($B$3,A5263,A5262)-1)</f>
        <v/>
      </c>
      <c r="G5262" s="16" t="str">
        <f t="shared" si="180"/>
        <v/>
      </c>
      <c r="H5262" s="70" t="str">
        <f t="shared" si="181"/>
        <v/>
      </c>
    </row>
    <row r="5263" spans="1:8">
      <c r="A5263" s="2"/>
      <c r="B5263" s="12"/>
      <c r="C5263" s="12"/>
      <c r="E5263" t="str">
        <f>IF(LEN(D5263)=0,"",[1]!i_pq_tradedays($B$3,A5264,A5263)-1)</f>
        <v/>
      </c>
      <c r="G5263" s="16" t="str">
        <f t="shared" si="180"/>
        <v/>
      </c>
      <c r="H5263" s="70" t="str">
        <f t="shared" si="181"/>
        <v/>
      </c>
    </row>
    <row r="5264" spans="1:8">
      <c r="A5264" s="2"/>
      <c r="B5264" s="12"/>
      <c r="C5264" s="12"/>
      <c r="E5264" t="str">
        <f>IF(LEN(D5264)=0,"",[1]!i_pq_tradedays($B$3,A5265,A5264)-1)</f>
        <v/>
      </c>
      <c r="G5264" s="16" t="str">
        <f t="shared" si="180"/>
        <v/>
      </c>
      <c r="H5264" s="70" t="str">
        <f t="shared" si="181"/>
        <v/>
      </c>
    </row>
    <row r="5265" spans="1:8">
      <c r="A5265" s="2"/>
      <c r="B5265" s="12"/>
      <c r="C5265" s="12"/>
      <c r="E5265" t="str">
        <f>IF(LEN(D5265)=0,"",[1]!i_pq_tradedays($B$3,A5266,A5265)-1)</f>
        <v/>
      </c>
      <c r="G5265" s="16" t="str">
        <f t="shared" si="180"/>
        <v/>
      </c>
      <c r="H5265" s="70" t="str">
        <f t="shared" si="181"/>
        <v/>
      </c>
    </row>
    <row r="5266" spans="1:8">
      <c r="A5266" s="2"/>
      <c r="B5266" s="12"/>
      <c r="C5266" s="12"/>
      <c r="E5266" t="str">
        <f>IF(LEN(D5266)=0,"",[1]!i_pq_tradedays($B$3,A5267,A5266)-1)</f>
        <v/>
      </c>
      <c r="G5266" s="16" t="str">
        <f t="shared" si="180"/>
        <v/>
      </c>
      <c r="H5266" s="70" t="str">
        <f t="shared" si="181"/>
        <v/>
      </c>
    </row>
    <row r="5267" spans="1:8">
      <c r="A5267" s="2"/>
      <c r="B5267" s="12"/>
      <c r="C5267" s="12"/>
      <c r="E5267" t="str">
        <f>IF(LEN(D5267)=0,"",[1]!i_pq_tradedays($B$3,A5268,A5267)-1)</f>
        <v/>
      </c>
      <c r="G5267" s="16" t="str">
        <f t="shared" si="180"/>
        <v/>
      </c>
      <c r="H5267" s="70" t="str">
        <f t="shared" si="181"/>
        <v/>
      </c>
    </row>
    <row r="5268" spans="1:8">
      <c r="A5268" s="2"/>
      <c r="B5268" s="12"/>
      <c r="C5268" s="12"/>
      <c r="E5268" t="str">
        <f>IF(LEN(D5268)=0,"",[1]!i_pq_tradedays($B$3,A5269,A5268)-1)</f>
        <v/>
      </c>
      <c r="G5268" s="16" t="str">
        <f t="shared" si="180"/>
        <v/>
      </c>
      <c r="H5268" s="70" t="str">
        <f t="shared" si="181"/>
        <v/>
      </c>
    </row>
    <row r="5269" spans="1:8">
      <c r="A5269" s="2"/>
      <c r="B5269" s="12"/>
      <c r="C5269" s="12"/>
      <c r="E5269" t="str">
        <f>IF(LEN(D5269)=0,"",[1]!i_pq_tradedays($B$3,A5270,A5269)-1)</f>
        <v/>
      </c>
      <c r="G5269" s="16" t="str">
        <f t="shared" si="180"/>
        <v/>
      </c>
      <c r="H5269" s="70" t="str">
        <f t="shared" si="181"/>
        <v/>
      </c>
    </row>
    <row r="5270" spans="1:8">
      <c r="A5270" s="2"/>
      <c r="B5270" s="12"/>
      <c r="C5270" s="12"/>
      <c r="E5270" t="str">
        <f>IF(LEN(D5270)=0,"",[1]!i_pq_tradedays($B$3,A5271,A5270)-1)</f>
        <v/>
      </c>
      <c r="G5270" s="16" t="str">
        <f t="shared" si="180"/>
        <v/>
      </c>
      <c r="H5270" s="70" t="str">
        <f t="shared" si="181"/>
        <v/>
      </c>
    </row>
    <row r="5271" spans="1:8">
      <c r="A5271" s="2"/>
      <c r="B5271" s="12"/>
      <c r="C5271" s="12"/>
      <c r="E5271" t="str">
        <f>IF(LEN(D5271)=0,"",[1]!i_pq_tradedays($B$3,A5272,A5271)-1)</f>
        <v/>
      </c>
      <c r="G5271" s="16" t="str">
        <f t="shared" si="180"/>
        <v/>
      </c>
      <c r="H5271" s="70" t="str">
        <f t="shared" si="181"/>
        <v/>
      </c>
    </row>
    <row r="5272" spans="1:8">
      <c r="A5272" s="2"/>
      <c r="B5272" s="12"/>
      <c r="C5272" s="12"/>
      <c r="E5272" t="str">
        <f>IF(LEN(D5272)=0,"",[1]!i_pq_tradedays($B$3,A5273,A5272)-1)</f>
        <v/>
      </c>
      <c r="G5272" s="16" t="str">
        <f t="shared" si="180"/>
        <v/>
      </c>
      <c r="H5272" s="70" t="str">
        <f t="shared" si="181"/>
        <v/>
      </c>
    </row>
    <row r="5273" spans="1:8">
      <c r="A5273" s="2"/>
      <c r="B5273" s="12"/>
      <c r="C5273" s="12"/>
      <c r="E5273" t="str">
        <f>IF(LEN(D5273)=0,"",[1]!i_pq_tradedays($B$3,A5274,A5273)-1)</f>
        <v/>
      </c>
      <c r="G5273" s="16" t="str">
        <f t="shared" si="180"/>
        <v/>
      </c>
      <c r="H5273" s="70" t="str">
        <f t="shared" si="181"/>
        <v/>
      </c>
    </row>
    <row r="5274" spans="1:8">
      <c r="A5274" s="2"/>
      <c r="B5274" s="12"/>
      <c r="C5274" s="12"/>
      <c r="E5274" t="str">
        <f>IF(LEN(D5274)=0,"",[1]!i_pq_tradedays($B$3,A5275,A5274)-1)</f>
        <v/>
      </c>
      <c r="G5274" s="16" t="str">
        <f t="shared" si="180"/>
        <v/>
      </c>
      <c r="H5274" s="70" t="str">
        <f t="shared" si="181"/>
        <v/>
      </c>
    </row>
    <row r="5275" spans="1:8">
      <c r="A5275" s="2"/>
      <c r="B5275" s="12"/>
      <c r="C5275" s="12"/>
      <c r="E5275" t="str">
        <f>IF(LEN(D5275)=0,"",[1]!i_pq_tradedays($B$3,A5276,A5275)-1)</f>
        <v/>
      </c>
      <c r="G5275" s="16" t="str">
        <f t="shared" si="180"/>
        <v/>
      </c>
      <c r="H5275" s="70" t="str">
        <f t="shared" si="181"/>
        <v/>
      </c>
    </row>
    <row r="5276" spans="1:8">
      <c r="A5276" s="2"/>
      <c r="B5276" s="12"/>
      <c r="C5276" s="12"/>
      <c r="E5276" t="str">
        <f>IF(LEN(D5276)=0,"",[1]!i_pq_tradedays($B$3,A5277,A5276)-1)</f>
        <v/>
      </c>
      <c r="G5276" s="16" t="str">
        <f t="shared" si="180"/>
        <v/>
      </c>
      <c r="H5276" s="70" t="str">
        <f t="shared" si="181"/>
        <v/>
      </c>
    </row>
    <row r="5277" spans="1:8">
      <c r="A5277" s="2"/>
      <c r="B5277" s="12"/>
      <c r="C5277" s="12"/>
      <c r="E5277" t="str">
        <f>IF(LEN(D5277)=0,"",[1]!i_pq_tradedays($B$3,A5278,A5277)-1)</f>
        <v/>
      </c>
      <c r="G5277" s="16" t="str">
        <f t="shared" si="180"/>
        <v/>
      </c>
      <c r="H5277" s="70" t="str">
        <f t="shared" si="181"/>
        <v/>
      </c>
    </row>
    <row r="5278" spans="1:8">
      <c r="A5278" s="2"/>
      <c r="B5278" s="12"/>
      <c r="C5278" s="12"/>
      <c r="E5278" t="str">
        <f>IF(LEN(D5278)=0,"",[1]!i_pq_tradedays($B$3,A5279,A5278)-1)</f>
        <v/>
      </c>
      <c r="G5278" s="16" t="str">
        <f t="shared" si="180"/>
        <v/>
      </c>
      <c r="H5278" s="70" t="str">
        <f t="shared" si="181"/>
        <v/>
      </c>
    </row>
    <row r="5279" spans="1:8">
      <c r="A5279" s="2"/>
      <c r="B5279" s="12"/>
      <c r="C5279" s="12"/>
      <c r="E5279" t="str">
        <f>IF(LEN(D5279)=0,"",[1]!i_pq_tradedays($B$3,A5280,A5279)-1)</f>
        <v/>
      </c>
      <c r="G5279" s="16" t="str">
        <f t="shared" si="180"/>
        <v/>
      </c>
      <c r="H5279" s="70" t="str">
        <f t="shared" si="181"/>
        <v/>
      </c>
    </row>
    <row r="5280" spans="1:8">
      <c r="A5280" s="2"/>
      <c r="B5280" s="12"/>
      <c r="C5280" s="12"/>
      <c r="E5280" t="str">
        <f>IF(LEN(D5280)=0,"",[1]!i_pq_tradedays($B$3,A5281,A5280)-1)</f>
        <v/>
      </c>
      <c r="G5280" s="16" t="str">
        <f t="shared" si="180"/>
        <v/>
      </c>
      <c r="H5280" s="70" t="str">
        <f t="shared" si="181"/>
        <v/>
      </c>
    </row>
    <row r="5281" spans="1:8">
      <c r="A5281" s="2"/>
      <c r="B5281" s="12"/>
      <c r="C5281" s="12"/>
      <c r="E5281" t="str">
        <f>IF(LEN(D5281)=0,"",[1]!i_pq_tradedays($B$3,A5282,A5281)-1)</f>
        <v/>
      </c>
      <c r="G5281" s="16" t="str">
        <f t="shared" si="180"/>
        <v/>
      </c>
      <c r="H5281" s="70" t="str">
        <f t="shared" si="181"/>
        <v/>
      </c>
    </row>
    <row r="5282" spans="1:8">
      <c r="A5282" s="2"/>
      <c r="B5282" s="12"/>
      <c r="C5282" s="12"/>
      <c r="E5282" t="str">
        <f>IF(LEN(D5282)=0,"",[1]!i_pq_tradedays($B$3,A5283,A5282)-1)</f>
        <v/>
      </c>
      <c r="G5282" s="16" t="str">
        <f t="shared" si="180"/>
        <v/>
      </c>
      <c r="H5282" s="70" t="str">
        <f t="shared" si="181"/>
        <v/>
      </c>
    </row>
    <row r="5283" spans="1:8">
      <c r="A5283" s="2"/>
      <c r="B5283" s="12"/>
      <c r="C5283" s="12"/>
      <c r="E5283" t="str">
        <f>IF(LEN(D5283)=0,"",[1]!i_pq_tradedays($B$3,A5284,A5283)-1)</f>
        <v/>
      </c>
      <c r="G5283" s="16" t="str">
        <f t="shared" si="180"/>
        <v/>
      </c>
      <c r="H5283" s="70" t="str">
        <f t="shared" si="181"/>
        <v/>
      </c>
    </row>
    <row r="5284" spans="1:8">
      <c r="A5284" s="2"/>
      <c r="B5284" s="12"/>
      <c r="C5284" s="12"/>
      <c r="E5284" t="str">
        <f>IF(LEN(D5284)=0,"",[1]!i_pq_tradedays($B$3,A5285,A5284)-1)</f>
        <v/>
      </c>
      <c r="G5284" s="16" t="str">
        <f t="shared" si="180"/>
        <v/>
      </c>
      <c r="H5284" s="70" t="str">
        <f t="shared" si="181"/>
        <v/>
      </c>
    </row>
    <row r="5285" spans="1:8">
      <c r="A5285" s="2"/>
      <c r="B5285" s="12"/>
      <c r="C5285" s="12"/>
      <c r="E5285" t="str">
        <f>IF(LEN(D5285)=0,"",[1]!i_pq_tradedays($B$3,A5286,A5285)-1)</f>
        <v/>
      </c>
      <c r="G5285" s="16" t="str">
        <f t="shared" si="180"/>
        <v/>
      </c>
      <c r="H5285" s="70" t="str">
        <f t="shared" si="181"/>
        <v/>
      </c>
    </row>
    <row r="5286" spans="1:8">
      <c r="A5286" s="2"/>
      <c r="B5286" s="12"/>
      <c r="C5286" s="12"/>
      <c r="E5286" t="str">
        <f>IF(LEN(D5286)=0,"",[1]!i_pq_tradedays($B$3,A5287,A5286)-1)</f>
        <v/>
      </c>
      <c r="G5286" s="16" t="str">
        <f t="shared" si="180"/>
        <v/>
      </c>
      <c r="H5286" s="70" t="str">
        <f t="shared" si="181"/>
        <v/>
      </c>
    </row>
    <row r="5287" spans="1:8">
      <c r="A5287" s="2"/>
      <c r="B5287" s="12"/>
      <c r="C5287" s="12"/>
      <c r="E5287" t="str">
        <f>IF(LEN(D5287)=0,"",[1]!i_pq_tradedays($B$3,A5288,A5287)-1)</f>
        <v/>
      </c>
      <c r="G5287" s="16" t="str">
        <f t="shared" si="180"/>
        <v/>
      </c>
      <c r="H5287" s="70" t="str">
        <f t="shared" si="181"/>
        <v/>
      </c>
    </row>
    <row r="5288" spans="1:8">
      <c r="A5288" s="2"/>
      <c r="B5288" s="12"/>
      <c r="C5288" s="12"/>
      <c r="E5288" t="str">
        <f>IF(LEN(D5288)=0,"",[1]!i_pq_tradedays($B$3,A5289,A5288)-1)</f>
        <v/>
      </c>
      <c r="G5288" s="16" t="str">
        <f t="shared" si="180"/>
        <v/>
      </c>
      <c r="H5288" s="70" t="str">
        <f t="shared" si="181"/>
        <v/>
      </c>
    </row>
    <row r="5289" spans="1:8">
      <c r="A5289" s="2"/>
      <c r="B5289" s="12"/>
      <c r="C5289" s="12"/>
      <c r="E5289" t="str">
        <f>IF(LEN(D5289)=0,"",[1]!i_pq_tradedays($B$3,A5290,A5289)-1)</f>
        <v/>
      </c>
      <c r="G5289" s="16" t="str">
        <f t="shared" si="180"/>
        <v/>
      </c>
      <c r="H5289" s="70" t="str">
        <f t="shared" si="181"/>
        <v/>
      </c>
    </row>
    <row r="5290" spans="1:8">
      <c r="A5290" s="2"/>
      <c r="B5290" s="12"/>
      <c r="C5290" s="12"/>
      <c r="E5290" t="str">
        <f>IF(LEN(D5290)=0,"",[1]!i_pq_tradedays($B$3,A5291,A5290)-1)</f>
        <v/>
      </c>
      <c r="G5290" s="16" t="str">
        <f t="shared" si="180"/>
        <v/>
      </c>
      <c r="H5290" s="70" t="str">
        <f t="shared" si="181"/>
        <v/>
      </c>
    </row>
    <row r="5291" spans="1:8">
      <c r="A5291" s="2"/>
      <c r="B5291" s="12"/>
      <c r="C5291" s="12"/>
      <c r="E5291" t="str">
        <f>IF(LEN(D5291)=0,"",[1]!i_pq_tradedays($B$3,A5292,A5291)-1)</f>
        <v/>
      </c>
      <c r="G5291" s="16" t="str">
        <f t="shared" si="180"/>
        <v/>
      </c>
      <c r="H5291" s="70" t="str">
        <f t="shared" si="181"/>
        <v/>
      </c>
    </row>
    <row r="5292" spans="1:8">
      <c r="A5292" s="2"/>
      <c r="B5292" s="12"/>
      <c r="C5292" s="12"/>
      <c r="E5292" t="str">
        <f>IF(LEN(D5292)=0,"",[1]!i_pq_tradedays($B$3,A5293,A5292)-1)</f>
        <v/>
      </c>
      <c r="G5292" s="16" t="str">
        <f t="shared" si="180"/>
        <v/>
      </c>
      <c r="H5292" s="70" t="str">
        <f t="shared" si="181"/>
        <v/>
      </c>
    </row>
    <row r="5293" spans="1:8">
      <c r="A5293" s="2"/>
      <c r="B5293" s="12"/>
      <c r="C5293" s="12"/>
      <c r="E5293" t="str">
        <f>IF(LEN(D5293)=0,"",[1]!i_pq_tradedays($B$3,A5294,A5293)-1)</f>
        <v/>
      </c>
      <c r="G5293" s="16" t="str">
        <f t="shared" si="180"/>
        <v/>
      </c>
      <c r="H5293" s="70" t="str">
        <f t="shared" si="181"/>
        <v/>
      </c>
    </row>
    <row r="5294" spans="1:8">
      <c r="A5294" s="2"/>
      <c r="B5294" s="12"/>
      <c r="C5294" s="12"/>
      <c r="E5294" t="str">
        <f>IF(LEN(D5294)=0,"",[1]!i_pq_tradedays($B$3,A5295,A5294)-1)</f>
        <v/>
      </c>
      <c r="G5294" s="16" t="str">
        <f t="shared" si="180"/>
        <v/>
      </c>
      <c r="H5294" s="70" t="str">
        <f t="shared" si="181"/>
        <v/>
      </c>
    </row>
    <row r="5295" spans="1:8">
      <c r="A5295" s="2"/>
      <c r="B5295" s="12"/>
      <c r="C5295" s="12"/>
      <c r="E5295" t="str">
        <f>IF(LEN(D5295)=0,"",[1]!i_pq_tradedays($B$3,A5296,A5295)-1)</f>
        <v/>
      </c>
      <c r="G5295" s="16" t="str">
        <f t="shared" si="180"/>
        <v/>
      </c>
      <c r="H5295" s="70" t="str">
        <f t="shared" si="181"/>
        <v/>
      </c>
    </row>
    <row r="5296" spans="1:8">
      <c r="A5296" s="2"/>
      <c r="B5296" s="12"/>
      <c r="C5296" s="12"/>
      <c r="E5296" t="str">
        <f>IF(LEN(D5296)=0,"",[1]!i_pq_tradedays($B$3,A5297,A5296)-1)</f>
        <v/>
      </c>
      <c r="G5296" s="16" t="str">
        <f t="shared" si="180"/>
        <v/>
      </c>
      <c r="H5296" s="70" t="str">
        <f t="shared" si="181"/>
        <v/>
      </c>
    </row>
    <row r="5297" spans="1:8">
      <c r="A5297" s="2"/>
      <c r="B5297" s="12"/>
      <c r="C5297" s="12"/>
      <c r="E5297" t="str">
        <f>IF(LEN(D5297)=0,"",[1]!i_pq_tradedays($B$3,A5298,A5297)-1)</f>
        <v/>
      </c>
      <c r="G5297" s="16" t="str">
        <f t="shared" si="180"/>
        <v/>
      </c>
      <c r="H5297" s="70" t="str">
        <f t="shared" si="181"/>
        <v/>
      </c>
    </row>
    <row r="5298" spans="1:8">
      <c r="A5298" s="2"/>
      <c r="B5298" s="12"/>
      <c r="C5298" s="12"/>
      <c r="E5298" t="str">
        <f>IF(LEN(D5298)=0,"",[1]!i_pq_tradedays($B$3,A5299,A5298)-1)</f>
        <v/>
      </c>
      <c r="G5298" s="16" t="str">
        <f t="shared" si="180"/>
        <v/>
      </c>
      <c r="H5298" s="70" t="str">
        <f t="shared" si="181"/>
        <v/>
      </c>
    </row>
    <row r="5299" spans="1:8">
      <c r="A5299" s="2"/>
      <c r="B5299" s="12"/>
      <c r="C5299" s="12"/>
      <c r="E5299" t="str">
        <f>IF(LEN(D5299)=0,"",[1]!i_pq_tradedays($B$3,A5300,A5299)-1)</f>
        <v/>
      </c>
      <c r="G5299" s="16" t="str">
        <f t="shared" si="180"/>
        <v/>
      </c>
      <c r="H5299" s="70" t="str">
        <f t="shared" si="181"/>
        <v/>
      </c>
    </row>
    <row r="5300" spans="1:8">
      <c r="A5300" s="2"/>
      <c r="B5300" s="12"/>
      <c r="C5300" s="12"/>
      <c r="E5300" t="str">
        <f>IF(LEN(D5300)=0,"",[1]!i_pq_tradedays($B$3,A5301,A5300)-1)</f>
        <v/>
      </c>
      <c r="G5300" s="16" t="str">
        <f t="shared" si="180"/>
        <v/>
      </c>
      <c r="H5300" s="70" t="str">
        <f t="shared" si="181"/>
        <v/>
      </c>
    </row>
    <row r="5301" spans="1:8">
      <c r="A5301" s="2"/>
      <c r="B5301" s="12"/>
      <c r="C5301" s="12"/>
      <c r="E5301" t="str">
        <f>IF(LEN(D5301)=0,"",[1]!i_pq_tradedays($B$3,A5302,A5301)-1)</f>
        <v/>
      </c>
      <c r="G5301" s="16" t="str">
        <f t="shared" ref="G5301:G5364" si="182">IF(LEN(D5301)=0,"",D5301/E5301)</f>
        <v/>
      </c>
      <c r="H5301" s="70" t="str">
        <f t="shared" ref="H5301:H5364" si="183">IF(LEN(D5301)=0,"",G5301/G5302-1)</f>
        <v/>
      </c>
    </row>
    <row r="5302" spans="1:8">
      <c r="A5302" s="2"/>
      <c r="B5302" s="12"/>
      <c r="C5302" s="12"/>
      <c r="E5302" t="str">
        <f>IF(LEN(D5302)=0,"",[1]!i_pq_tradedays($B$3,A5303,A5302)-1)</f>
        <v/>
      </c>
      <c r="G5302" s="16" t="str">
        <f t="shared" si="182"/>
        <v/>
      </c>
      <c r="H5302" s="70" t="str">
        <f t="shared" si="183"/>
        <v/>
      </c>
    </row>
    <row r="5303" spans="1:8">
      <c r="A5303" s="2"/>
      <c r="B5303" s="12"/>
      <c r="C5303" s="12"/>
      <c r="E5303" t="str">
        <f>IF(LEN(D5303)=0,"",[1]!i_pq_tradedays($B$3,A5304,A5303)-1)</f>
        <v/>
      </c>
      <c r="G5303" s="16" t="str">
        <f t="shared" si="182"/>
        <v/>
      </c>
      <c r="H5303" s="70" t="str">
        <f t="shared" si="183"/>
        <v/>
      </c>
    </row>
    <row r="5304" spans="1:8">
      <c r="A5304" s="2"/>
      <c r="B5304" s="12"/>
      <c r="C5304" s="12"/>
      <c r="E5304" t="str">
        <f>IF(LEN(D5304)=0,"",[1]!i_pq_tradedays($B$3,A5305,A5304)-1)</f>
        <v/>
      </c>
      <c r="G5304" s="16" t="str">
        <f t="shared" si="182"/>
        <v/>
      </c>
      <c r="H5304" s="70" t="str">
        <f t="shared" si="183"/>
        <v/>
      </c>
    </row>
    <row r="5305" spans="1:8">
      <c r="A5305" s="2"/>
      <c r="B5305" s="12"/>
      <c r="C5305" s="12"/>
      <c r="E5305" t="str">
        <f>IF(LEN(D5305)=0,"",[1]!i_pq_tradedays($B$3,A5306,A5305)-1)</f>
        <v/>
      </c>
      <c r="G5305" s="16" t="str">
        <f t="shared" si="182"/>
        <v/>
      </c>
      <c r="H5305" s="70" t="str">
        <f t="shared" si="183"/>
        <v/>
      </c>
    </row>
    <row r="5306" spans="1:8">
      <c r="A5306" s="2"/>
      <c r="B5306" s="12"/>
      <c r="C5306" s="12"/>
      <c r="E5306" t="str">
        <f>IF(LEN(D5306)=0,"",[1]!i_pq_tradedays($B$3,A5307,A5306)-1)</f>
        <v/>
      </c>
      <c r="G5306" s="16" t="str">
        <f t="shared" si="182"/>
        <v/>
      </c>
      <c r="H5306" s="70" t="str">
        <f t="shared" si="183"/>
        <v/>
      </c>
    </row>
    <row r="5307" spans="1:8">
      <c r="A5307" s="2"/>
      <c r="B5307" s="12"/>
      <c r="C5307" s="12"/>
      <c r="E5307" t="str">
        <f>IF(LEN(D5307)=0,"",[1]!i_pq_tradedays($B$3,A5308,A5307)-1)</f>
        <v/>
      </c>
      <c r="G5307" s="16" t="str">
        <f t="shared" si="182"/>
        <v/>
      </c>
      <c r="H5307" s="70" t="str">
        <f t="shared" si="183"/>
        <v/>
      </c>
    </row>
    <row r="5308" spans="1:8">
      <c r="A5308" s="2"/>
      <c r="B5308" s="12"/>
      <c r="C5308" s="12"/>
      <c r="E5308" t="str">
        <f>IF(LEN(D5308)=0,"",[1]!i_pq_tradedays($B$3,A5309,A5308)-1)</f>
        <v/>
      </c>
      <c r="G5308" s="16" t="str">
        <f t="shared" si="182"/>
        <v/>
      </c>
      <c r="H5308" s="70" t="str">
        <f t="shared" si="183"/>
        <v/>
      </c>
    </row>
    <row r="5309" spans="1:8">
      <c r="A5309" s="2"/>
      <c r="B5309" s="12"/>
      <c r="C5309" s="12"/>
      <c r="E5309" t="str">
        <f>IF(LEN(D5309)=0,"",[1]!i_pq_tradedays($B$3,A5310,A5309)-1)</f>
        <v/>
      </c>
      <c r="G5309" s="16" t="str">
        <f t="shared" si="182"/>
        <v/>
      </c>
      <c r="H5309" s="70" t="str">
        <f t="shared" si="183"/>
        <v/>
      </c>
    </row>
    <row r="5310" spans="1:8">
      <c r="A5310" s="2"/>
      <c r="B5310" s="12"/>
      <c r="C5310" s="12"/>
      <c r="E5310" t="str">
        <f>IF(LEN(D5310)=0,"",[1]!i_pq_tradedays($B$3,A5311,A5310)-1)</f>
        <v/>
      </c>
      <c r="G5310" s="16" t="str">
        <f t="shared" si="182"/>
        <v/>
      </c>
      <c r="H5310" s="70" t="str">
        <f t="shared" si="183"/>
        <v/>
      </c>
    </row>
    <row r="5311" spans="1:8">
      <c r="A5311" s="2"/>
      <c r="B5311" s="12"/>
      <c r="C5311" s="12"/>
      <c r="E5311" t="str">
        <f>IF(LEN(D5311)=0,"",[1]!i_pq_tradedays($B$3,A5312,A5311)-1)</f>
        <v/>
      </c>
      <c r="G5311" s="16" t="str">
        <f t="shared" si="182"/>
        <v/>
      </c>
      <c r="H5311" s="70" t="str">
        <f t="shared" si="183"/>
        <v/>
      </c>
    </row>
    <row r="5312" spans="1:8">
      <c r="A5312" s="2"/>
      <c r="B5312" s="12"/>
      <c r="C5312" s="12"/>
      <c r="E5312" t="str">
        <f>IF(LEN(D5312)=0,"",[1]!i_pq_tradedays($B$3,A5313,A5312)-1)</f>
        <v/>
      </c>
      <c r="G5312" s="16" t="str">
        <f t="shared" si="182"/>
        <v/>
      </c>
      <c r="H5312" s="70" t="str">
        <f t="shared" si="183"/>
        <v/>
      </c>
    </row>
    <row r="5313" spans="1:8">
      <c r="A5313" s="2"/>
      <c r="B5313" s="12"/>
      <c r="C5313" s="12"/>
      <c r="E5313" t="str">
        <f>IF(LEN(D5313)=0,"",[1]!i_pq_tradedays($B$3,A5314,A5313)-1)</f>
        <v/>
      </c>
      <c r="G5313" s="16" t="str">
        <f t="shared" si="182"/>
        <v/>
      </c>
      <c r="H5313" s="70" t="str">
        <f t="shared" si="183"/>
        <v/>
      </c>
    </row>
    <row r="5314" spans="1:8">
      <c r="A5314" s="2"/>
      <c r="B5314" s="12"/>
      <c r="C5314" s="12"/>
      <c r="E5314" t="str">
        <f>IF(LEN(D5314)=0,"",[1]!i_pq_tradedays($B$3,A5315,A5314)-1)</f>
        <v/>
      </c>
      <c r="G5314" s="16" t="str">
        <f t="shared" si="182"/>
        <v/>
      </c>
      <c r="H5314" s="70" t="str">
        <f t="shared" si="183"/>
        <v/>
      </c>
    </row>
    <row r="5315" spans="1:8">
      <c r="A5315" s="2"/>
      <c r="B5315" s="12"/>
      <c r="C5315" s="12"/>
      <c r="E5315" t="str">
        <f>IF(LEN(D5315)=0,"",[1]!i_pq_tradedays($B$3,A5316,A5315)-1)</f>
        <v/>
      </c>
      <c r="G5315" s="16" t="str">
        <f t="shared" si="182"/>
        <v/>
      </c>
      <c r="H5315" s="70" t="str">
        <f t="shared" si="183"/>
        <v/>
      </c>
    </row>
    <row r="5316" spans="1:8">
      <c r="A5316" s="2"/>
      <c r="B5316" s="12"/>
      <c r="C5316" s="12"/>
      <c r="E5316" t="str">
        <f>IF(LEN(D5316)=0,"",[1]!i_pq_tradedays($B$3,A5317,A5316)-1)</f>
        <v/>
      </c>
      <c r="G5316" s="16" t="str">
        <f t="shared" si="182"/>
        <v/>
      </c>
      <c r="H5316" s="70" t="str">
        <f t="shared" si="183"/>
        <v/>
      </c>
    </row>
    <row r="5317" spans="1:8">
      <c r="A5317" s="2"/>
      <c r="B5317" s="12"/>
      <c r="C5317" s="12"/>
      <c r="E5317" t="str">
        <f>IF(LEN(D5317)=0,"",[1]!i_pq_tradedays($B$3,A5318,A5317)-1)</f>
        <v/>
      </c>
      <c r="G5317" s="16" t="str">
        <f t="shared" si="182"/>
        <v/>
      </c>
      <c r="H5317" s="70" t="str">
        <f t="shared" si="183"/>
        <v/>
      </c>
    </row>
    <row r="5318" spans="1:8">
      <c r="A5318" s="2"/>
      <c r="B5318" s="12"/>
      <c r="C5318" s="12"/>
      <c r="E5318" t="str">
        <f>IF(LEN(D5318)=0,"",[1]!i_pq_tradedays($B$3,A5319,A5318)-1)</f>
        <v/>
      </c>
      <c r="G5318" s="16" t="str">
        <f t="shared" si="182"/>
        <v/>
      </c>
      <c r="H5318" s="70" t="str">
        <f t="shared" si="183"/>
        <v/>
      </c>
    </row>
    <row r="5319" spans="1:8">
      <c r="A5319" s="2"/>
      <c r="B5319" s="12"/>
      <c r="C5319" s="12"/>
      <c r="E5319" t="str">
        <f>IF(LEN(D5319)=0,"",[1]!i_pq_tradedays($B$3,A5320,A5319)-1)</f>
        <v/>
      </c>
      <c r="G5319" s="16" t="str">
        <f t="shared" si="182"/>
        <v/>
      </c>
      <c r="H5319" s="70" t="str">
        <f t="shared" si="183"/>
        <v/>
      </c>
    </row>
    <row r="5320" spans="1:8">
      <c r="A5320" s="2"/>
      <c r="B5320" s="12"/>
      <c r="C5320" s="12"/>
      <c r="E5320" t="str">
        <f>IF(LEN(D5320)=0,"",[1]!i_pq_tradedays($B$3,A5321,A5320)-1)</f>
        <v/>
      </c>
      <c r="G5320" s="16" t="str">
        <f t="shared" si="182"/>
        <v/>
      </c>
      <c r="H5320" s="70" t="str">
        <f t="shared" si="183"/>
        <v/>
      </c>
    </row>
    <row r="5321" spans="1:8">
      <c r="A5321" s="2"/>
      <c r="B5321" s="12"/>
      <c r="C5321" s="12"/>
      <c r="E5321" t="str">
        <f>IF(LEN(D5321)=0,"",[1]!i_pq_tradedays($B$3,A5322,A5321)-1)</f>
        <v/>
      </c>
      <c r="G5321" s="16" t="str">
        <f t="shared" si="182"/>
        <v/>
      </c>
      <c r="H5321" s="70" t="str">
        <f t="shared" si="183"/>
        <v/>
      </c>
    </row>
    <row r="5322" spans="1:8">
      <c r="A5322" s="2"/>
      <c r="B5322" s="12"/>
      <c r="C5322" s="12"/>
      <c r="E5322" t="str">
        <f>IF(LEN(D5322)=0,"",[1]!i_pq_tradedays($B$3,A5323,A5322)-1)</f>
        <v/>
      </c>
      <c r="G5322" s="16" t="str">
        <f t="shared" si="182"/>
        <v/>
      </c>
      <c r="H5322" s="70" t="str">
        <f t="shared" si="183"/>
        <v/>
      </c>
    </row>
    <row r="5323" spans="1:8">
      <c r="A5323" s="2"/>
      <c r="B5323" s="12"/>
      <c r="C5323" s="12"/>
      <c r="E5323" t="str">
        <f>IF(LEN(D5323)=0,"",[1]!i_pq_tradedays($B$3,A5324,A5323)-1)</f>
        <v/>
      </c>
      <c r="G5323" s="16" t="str">
        <f t="shared" si="182"/>
        <v/>
      </c>
      <c r="H5323" s="70" t="str">
        <f t="shared" si="183"/>
        <v/>
      </c>
    </row>
    <row r="5324" spans="1:8">
      <c r="A5324" s="2"/>
      <c r="B5324" s="12"/>
      <c r="C5324" s="12"/>
      <c r="E5324" t="str">
        <f>IF(LEN(D5324)=0,"",[1]!i_pq_tradedays($B$3,A5325,A5324)-1)</f>
        <v/>
      </c>
      <c r="G5324" s="16" t="str">
        <f t="shared" si="182"/>
        <v/>
      </c>
      <c r="H5324" s="70" t="str">
        <f t="shared" si="183"/>
        <v/>
      </c>
    </row>
    <row r="5325" spans="1:8">
      <c r="A5325" s="2"/>
      <c r="B5325" s="12"/>
      <c r="C5325" s="12"/>
      <c r="E5325" t="str">
        <f>IF(LEN(D5325)=0,"",[1]!i_pq_tradedays($B$3,A5326,A5325)-1)</f>
        <v/>
      </c>
      <c r="G5325" s="16" t="str">
        <f t="shared" si="182"/>
        <v/>
      </c>
      <c r="H5325" s="70" t="str">
        <f t="shared" si="183"/>
        <v/>
      </c>
    </row>
    <row r="5326" spans="1:8">
      <c r="A5326" s="2"/>
      <c r="B5326" s="12"/>
      <c r="C5326" s="12"/>
      <c r="E5326" t="str">
        <f>IF(LEN(D5326)=0,"",[1]!i_pq_tradedays($B$3,A5327,A5326)-1)</f>
        <v/>
      </c>
      <c r="G5326" s="16" t="str">
        <f t="shared" si="182"/>
        <v/>
      </c>
      <c r="H5326" s="70" t="str">
        <f t="shared" si="183"/>
        <v/>
      </c>
    </row>
    <row r="5327" spans="1:8">
      <c r="A5327" s="2"/>
      <c r="B5327" s="12"/>
      <c r="C5327" s="12"/>
      <c r="E5327" t="str">
        <f>IF(LEN(D5327)=0,"",[1]!i_pq_tradedays($B$3,A5328,A5327)-1)</f>
        <v/>
      </c>
      <c r="G5327" s="16" t="str">
        <f t="shared" si="182"/>
        <v/>
      </c>
      <c r="H5327" s="70" t="str">
        <f t="shared" si="183"/>
        <v/>
      </c>
    </row>
    <row r="5328" spans="1:8">
      <c r="A5328" s="2"/>
      <c r="B5328" s="12"/>
      <c r="C5328" s="12"/>
      <c r="E5328" t="str">
        <f>IF(LEN(D5328)=0,"",[1]!i_pq_tradedays($B$3,A5329,A5328)-1)</f>
        <v/>
      </c>
      <c r="G5328" s="16" t="str">
        <f t="shared" si="182"/>
        <v/>
      </c>
      <c r="H5328" s="70" t="str">
        <f t="shared" si="183"/>
        <v/>
      </c>
    </row>
    <row r="5329" spans="1:8">
      <c r="A5329" s="2"/>
      <c r="B5329" s="12"/>
      <c r="C5329" s="12"/>
      <c r="E5329" t="str">
        <f>IF(LEN(D5329)=0,"",[1]!i_pq_tradedays($B$3,A5330,A5329)-1)</f>
        <v/>
      </c>
      <c r="G5329" s="16" t="str">
        <f t="shared" si="182"/>
        <v/>
      </c>
      <c r="H5329" s="70" t="str">
        <f t="shared" si="183"/>
        <v/>
      </c>
    </row>
    <row r="5330" spans="1:8">
      <c r="A5330" s="2"/>
      <c r="B5330" s="12"/>
      <c r="C5330" s="12"/>
      <c r="E5330" t="str">
        <f>IF(LEN(D5330)=0,"",[1]!i_pq_tradedays($B$3,A5331,A5330)-1)</f>
        <v/>
      </c>
      <c r="G5330" s="16" t="str">
        <f t="shared" si="182"/>
        <v/>
      </c>
      <c r="H5330" s="70" t="str">
        <f t="shared" si="183"/>
        <v/>
      </c>
    </row>
    <row r="5331" spans="1:8">
      <c r="A5331" s="2"/>
      <c r="B5331" s="12"/>
      <c r="C5331" s="12"/>
      <c r="E5331" t="str">
        <f>IF(LEN(D5331)=0,"",[1]!i_pq_tradedays($B$3,A5332,A5331)-1)</f>
        <v/>
      </c>
      <c r="G5331" s="16" t="str">
        <f t="shared" si="182"/>
        <v/>
      </c>
      <c r="H5331" s="70" t="str">
        <f t="shared" si="183"/>
        <v/>
      </c>
    </row>
    <row r="5332" spans="1:8">
      <c r="A5332" s="2"/>
      <c r="B5332" s="12"/>
      <c r="C5332" s="12"/>
      <c r="E5332" t="str">
        <f>IF(LEN(D5332)=0,"",[1]!i_pq_tradedays($B$3,A5333,A5332)-1)</f>
        <v/>
      </c>
      <c r="G5332" s="16" t="str">
        <f t="shared" si="182"/>
        <v/>
      </c>
      <c r="H5332" s="70" t="str">
        <f t="shared" si="183"/>
        <v/>
      </c>
    </row>
    <row r="5333" spans="1:8">
      <c r="A5333" s="2"/>
      <c r="B5333" s="12"/>
      <c r="C5333" s="12"/>
      <c r="E5333" t="str">
        <f>IF(LEN(D5333)=0,"",[1]!i_pq_tradedays($B$3,A5334,A5333)-1)</f>
        <v/>
      </c>
      <c r="G5333" s="16" t="str">
        <f t="shared" si="182"/>
        <v/>
      </c>
      <c r="H5333" s="70" t="str">
        <f t="shared" si="183"/>
        <v/>
      </c>
    </row>
    <row r="5334" spans="1:8">
      <c r="A5334" s="2"/>
      <c r="B5334" s="12"/>
      <c r="C5334" s="12"/>
      <c r="E5334" t="str">
        <f>IF(LEN(D5334)=0,"",[1]!i_pq_tradedays($B$3,A5335,A5334)-1)</f>
        <v/>
      </c>
      <c r="G5334" s="16" t="str">
        <f t="shared" si="182"/>
        <v/>
      </c>
      <c r="H5334" s="70" t="str">
        <f t="shared" si="183"/>
        <v/>
      </c>
    </row>
    <row r="5335" spans="1:8">
      <c r="A5335" s="2"/>
      <c r="B5335" s="12"/>
      <c r="C5335" s="12"/>
      <c r="E5335" t="str">
        <f>IF(LEN(D5335)=0,"",[1]!i_pq_tradedays($B$3,A5336,A5335)-1)</f>
        <v/>
      </c>
      <c r="G5335" s="16" t="str">
        <f t="shared" si="182"/>
        <v/>
      </c>
      <c r="H5335" s="70" t="str">
        <f t="shared" si="183"/>
        <v/>
      </c>
    </row>
    <row r="5336" spans="1:8">
      <c r="A5336" s="2"/>
      <c r="B5336" s="12"/>
      <c r="C5336" s="12"/>
      <c r="E5336" t="str">
        <f>IF(LEN(D5336)=0,"",[1]!i_pq_tradedays($B$3,A5337,A5336)-1)</f>
        <v/>
      </c>
      <c r="G5336" s="16" t="str">
        <f t="shared" si="182"/>
        <v/>
      </c>
      <c r="H5336" s="70" t="str">
        <f t="shared" si="183"/>
        <v/>
      </c>
    </row>
    <row r="5337" spans="1:8">
      <c r="A5337" s="2"/>
      <c r="B5337" s="12"/>
      <c r="C5337" s="12"/>
      <c r="E5337" t="str">
        <f>IF(LEN(D5337)=0,"",[1]!i_pq_tradedays($B$3,A5338,A5337)-1)</f>
        <v/>
      </c>
      <c r="G5337" s="16" t="str">
        <f t="shared" si="182"/>
        <v/>
      </c>
      <c r="H5337" s="70" t="str">
        <f t="shared" si="183"/>
        <v/>
      </c>
    </row>
    <row r="5338" spans="1:8">
      <c r="A5338" s="2"/>
      <c r="B5338" s="12"/>
      <c r="C5338" s="12"/>
      <c r="E5338" t="str">
        <f>IF(LEN(D5338)=0,"",[1]!i_pq_tradedays($B$3,A5339,A5338)-1)</f>
        <v/>
      </c>
      <c r="G5338" s="16" t="str">
        <f t="shared" si="182"/>
        <v/>
      </c>
      <c r="H5338" s="70" t="str">
        <f t="shared" si="183"/>
        <v/>
      </c>
    </row>
    <row r="5339" spans="1:8">
      <c r="A5339" s="2"/>
      <c r="B5339" s="12"/>
      <c r="C5339" s="12"/>
      <c r="E5339" t="str">
        <f>IF(LEN(D5339)=0,"",[1]!i_pq_tradedays($B$3,A5340,A5339)-1)</f>
        <v/>
      </c>
      <c r="G5339" s="16" t="str">
        <f t="shared" si="182"/>
        <v/>
      </c>
      <c r="H5339" s="70" t="str">
        <f t="shared" si="183"/>
        <v/>
      </c>
    </row>
    <row r="5340" spans="1:8">
      <c r="A5340" s="2"/>
      <c r="B5340" s="12"/>
      <c r="C5340" s="12"/>
      <c r="E5340" t="str">
        <f>IF(LEN(D5340)=0,"",[1]!i_pq_tradedays($B$3,A5341,A5340)-1)</f>
        <v/>
      </c>
      <c r="G5340" s="16" t="str">
        <f t="shared" si="182"/>
        <v/>
      </c>
      <c r="H5340" s="70" t="str">
        <f t="shared" si="183"/>
        <v/>
      </c>
    </row>
    <row r="5341" spans="1:8">
      <c r="A5341" s="2"/>
      <c r="B5341" s="12"/>
      <c r="C5341" s="12"/>
      <c r="E5341" t="str">
        <f>IF(LEN(D5341)=0,"",[1]!i_pq_tradedays($B$3,A5342,A5341)-1)</f>
        <v/>
      </c>
      <c r="G5341" s="16" t="str">
        <f t="shared" si="182"/>
        <v/>
      </c>
      <c r="H5341" s="70" t="str">
        <f t="shared" si="183"/>
        <v/>
      </c>
    </row>
    <row r="5342" spans="1:8">
      <c r="A5342" s="2"/>
      <c r="B5342" s="12"/>
      <c r="C5342" s="12"/>
      <c r="E5342" t="str">
        <f>IF(LEN(D5342)=0,"",[1]!i_pq_tradedays($B$3,A5343,A5342)-1)</f>
        <v/>
      </c>
      <c r="G5342" s="16" t="str">
        <f t="shared" si="182"/>
        <v/>
      </c>
      <c r="H5342" s="70" t="str">
        <f t="shared" si="183"/>
        <v/>
      </c>
    </row>
    <row r="5343" spans="1:8">
      <c r="A5343" s="2"/>
      <c r="B5343" s="12"/>
      <c r="C5343" s="12"/>
      <c r="E5343" t="str">
        <f>IF(LEN(D5343)=0,"",[1]!i_pq_tradedays($B$3,A5344,A5343)-1)</f>
        <v/>
      </c>
      <c r="G5343" s="16" t="str">
        <f t="shared" si="182"/>
        <v/>
      </c>
      <c r="H5343" s="70" t="str">
        <f t="shared" si="183"/>
        <v/>
      </c>
    </row>
    <row r="5344" spans="1:8">
      <c r="A5344" s="2"/>
      <c r="B5344" s="12"/>
      <c r="C5344" s="12"/>
      <c r="E5344" t="str">
        <f>IF(LEN(D5344)=0,"",[1]!i_pq_tradedays($B$3,A5345,A5344)-1)</f>
        <v/>
      </c>
      <c r="G5344" s="16" t="str">
        <f t="shared" si="182"/>
        <v/>
      </c>
      <c r="H5344" s="70" t="str">
        <f t="shared" si="183"/>
        <v/>
      </c>
    </row>
    <row r="5345" spans="1:8">
      <c r="A5345" s="2"/>
      <c r="B5345" s="12"/>
      <c r="C5345" s="12"/>
      <c r="E5345" t="str">
        <f>IF(LEN(D5345)=0,"",[1]!i_pq_tradedays($B$3,A5346,A5345)-1)</f>
        <v/>
      </c>
      <c r="G5345" s="16" t="str">
        <f t="shared" si="182"/>
        <v/>
      </c>
      <c r="H5345" s="70" t="str">
        <f t="shared" si="183"/>
        <v/>
      </c>
    </row>
    <row r="5346" spans="1:8">
      <c r="A5346" s="2"/>
      <c r="B5346" s="12"/>
      <c r="C5346" s="12"/>
      <c r="E5346" t="str">
        <f>IF(LEN(D5346)=0,"",[1]!i_pq_tradedays($B$3,A5347,A5346)-1)</f>
        <v/>
      </c>
      <c r="G5346" s="16" t="str">
        <f t="shared" si="182"/>
        <v/>
      </c>
      <c r="H5346" s="70" t="str">
        <f t="shared" si="183"/>
        <v/>
      </c>
    </row>
    <row r="5347" spans="1:8">
      <c r="A5347" s="2"/>
      <c r="B5347" s="12"/>
      <c r="C5347" s="12"/>
      <c r="E5347" t="str">
        <f>IF(LEN(D5347)=0,"",[1]!i_pq_tradedays($B$3,A5348,A5347)-1)</f>
        <v/>
      </c>
      <c r="G5347" s="16" t="str">
        <f t="shared" si="182"/>
        <v/>
      </c>
      <c r="H5347" s="70" t="str">
        <f t="shared" si="183"/>
        <v/>
      </c>
    </row>
    <row r="5348" spans="1:8">
      <c r="A5348" s="2"/>
      <c r="B5348" s="12"/>
      <c r="C5348" s="12"/>
      <c r="E5348" t="str">
        <f>IF(LEN(D5348)=0,"",[1]!i_pq_tradedays($B$3,A5349,A5348)-1)</f>
        <v/>
      </c>
      <c r="G5348" s="16" t="str">
        <f t="shared" si="182"/>
        <v/>
      </c>
      <c r="H5348" s="70" t="str">
        <f t="shared" si="183"/>
        <v/>
      </c>
    </row>
    <row r="5349" spans="1:8">
      <c r="A5349" s="2"/>
      <c r="B5349" s="12"/>
      <c r="C5349" s="12"/>
      <c r="E5349" t="str">
        <f>IF(LEN(D5349)=0,"",[1]!i_pq_tradedays($B$3,A5350,A5349)-1)</f>
        <v/>
      </c>
      <c r="G5349" s="16" t="str">
        <f t="shared" si="182"/>
        <v/>
      </c>
      <c r="H5349" s="70" t="str">
        <f t="shared" si="183"/>
        <v/>
      </c>
    </row>
    <row r="5350" spans="1:8">
      <c r="A5350" s="2"/>
      <c r="B5350" s="12"/>
      <c r="C5350" s="12"/>
      <c r="E5350" t="str">
        <f>IF(LEN(D5350)=0,"",[1]!i_pq_tradedays($B$3,A5351,A5350)-1)</f>
        <v/>
      </c>
      <c r="G5350" s="16" t="str">
        <f t="shared" si="182"/>
        <v/>
      </c>
      <c r="H5350" s="70" t="str">
        <f t="shared" si="183"/>
        <v/>
      </c>
    </row>
    <row r="5351" spans="1:8">
      <c r="A5351" s="2"/>
      <c r="B5351" s="12"/>
      <c r="C5351" s="12"/>
      <c r="E5351" t="str">
        <f>IF(LEN(D5351)=0,"",[1]!i_pq_tradedays($B$3,A5352,A5351)-1)</f>
        <v/>
      </c>
      <c r="G5351" s="16" t="str">
        <f t="shared" si="182"/>
        <v/>
      </c>
      <c r="H5351" s="70" t="str">
        <f t="shared" si="183"/>
        <v/>
      </c>
    </row>
    <row r="5352" spans="1:8">
      <c r="A5352" s="2"/>
      <c r="B5352" s="12"/>
      <c r="C5352" s="12"/>
      <c r="E5352" t="str">
        <f>IF(LEN(D5352)=0,"",[1]!i_pq_tradedays($B$3,A5353,A5352)-1)</f>
        <v/>
      </c>
      <c r="G5352" s="16" t="str">
        <f t="shared" si="182"/>
        <v/>
      </c>
      <c r="H5352" s="70" t="str">
        <f t="shared" si="183"/>
        <v/>
      </c>
    </row>
    <row r="5353" spans="1:8">
      <c r="A5353" s="2"/>
      <c r="B5353" s="12"/>
      <c r="C5353" s="12"/>
      <c r="E5353" t="str">
        <f>IF(LEN(D5353)=0,"",[1]!i_pq_tradedays($B$3,A5354,A5353)-1)</f>
        <v/>
      </c>
      <c r="G5353" s="16" t="str">
        <f t="shared" si="182"/>
        <v/>
      </c>
      <c r="H5353" s="70" t="str">
        <f t="shared" si="183"/>
        <v/>
      </c>
    </row>
    <row r="5354" spans="1:8">
      <c r="A5354" s="2"/>
      <c r="B5354" s="12"/>
      <c r="C5354" s="12"/>
      <c r="E5354" t="str">
        <f>IF(LEN(D5354)=0,"",[1]!i_pq_tradedays($B$3,A5355,A5354)-1)</f>
        <v/>
      </c>
      <c r="G5354" s="16" t="str">
        <f t="shared" si="182"/>
        <v/>
      </c>
      <c r="H5354" s="70" t="str">
        <f t="shared" si="183"/>
        <v/>
      </c>
    </row>
    <row r="5355" spans="1:8">
      <c r="A5355" s="2"/>
      <c r="B5355" s="12"/>
      <c r="C5355" s="12"/>
      <c r="E5355" t="str">
        <f>IF(LEN(D5355)=0,"",[1]!i_pq_tradedays($B$3,A5356,A5355)-1)</f>
        <v/>
      </c>
      <c r="G5355" s="16" t="str">
        <f t="shared" si="182"/>
        <v/>
      </c>
      <c r="H5355" s="70" t="str">
        <f t="shared" si="183"/>
        <v/>
      </c>
    </row>
    <row r="5356" spans="1:8">
      <c r="A5356" s="2"/>
      <c r="B5356" s="12"/>
      <c r="C5356" s="12"/>
      <c r="E5356" t="str">
        <f>IF(LEN(D5356)=0,"",[1]!i_pq_tradedays($B$3,A5357,A5356)-1)</f>
        <v/>
      </c>
      <c r="G5356" s="16" t="str">
        <f t="shared" si="182"/>
        <v/>
      </c>
      <c r="H5356" s="70" t="str">
        <f t="shared" si="183"/>
        <v/>
      </c>
    </row>
    <row r="5357" spans="1:8">
      <c r="A5357" s="2"/>
      <c r="B5357" s="12"/>
      <c r="C5357" s="12"/>
      <c r="E5357" t="str">
        <f>IF(LEN(D5357)=0,"",[1]!i_pq_tradedays($B$3,A5358,A5357)-1)</f>
        <v/>
      </c>
      <c r="G5357" s="16" t="str">
        <f t="shared" si="182"/>
        <v/>
      </c>
      <c r="H5357" s="70" t="str">
        <f t="shared" si="183"/>
        <v/>
      </c>
    </row>
    <row r="5358" spans="1:8">
      <c r="A5358" s="2"/>
      <c r="B5358" s="12"/>
      <c r="C5358" s="12"/>
      <c r="E5358" t="str">
        <f>IF(LEN(D5358)=0,"",[1]!i_pq_tradedays($B$3,A5359,A5358)-1)</f>
        <v/>
      </c>
      <c r="G5358" s="16" t="str">
        <f t="shared" si="182"/>
        <v/>
      </c>
      <c r="H5358" s="70" t="str">
        <f t="shared" si="183"/>
        <v/>
      </c>
    </row>
    <row r="5359" spans="1:8">
      <c r="A5359" s="2"/>
      <c r="B5359" s="12"/>
      <c r="C5359" s="12"/>
      <c r="E5359" t="str">
        <f>IF(LEN(D5359)=0,"",[1]!i_pq_tradedays($B$3,A5360,A5359)-1)</f>
        <v/>
      </c>
      <c r="G5359" s="16" t="str">
        <f t="shared" si="182"/>
        <v/>
      </c>
      <c r="H5359" s="70" t="str">
        <f t="shared" si="183"/>
        <v/>
      </c>
    </row>
    <row r="5360" spans="1:8">
      <c r="A5360" s="2"/>
      <c r="B5360" s="12"/>
      <c r="C5360" s="12"/>
      <c r="E5360" t="str">
        <f>IF(LEN(D5360)=0,"",[1]!i_pq_tradedays($B$3,A5361,A5360)-1)</f>
        <v/>
      </c>
      <c r="G5360" s="16" t="str">
        <f t="shared" si="182"/>
        <v/>
      </c>
      <c r="H5360" s="70" t="str">
        <f t="shared" si="183"/>
        <v/>
      </c>
    </row>
    <row r="5361" spans="1:8">
      <c r="A5361" s="2"/>
      <c r="B5361" s="12"/>
      <c r="C5361" s="12"/>
      <c r="E5361" t="str">
        <f>IF(LEN(D5361)=0,"",[1]!i_pq_tradedays($B$3,A5362,A5361)-1)</f>
        <v/>
      </c>
      <c r="G5361" s="16" t="str">
        <f t="shared" si="182"/>
        <v/>
      </c>
      <c r="H5361" s="70" t="str">
        <f t="shared" si="183"/>
        <v/>
      </c>
    </row>
    <row r="5362" spans="1:8">
      <c r="A5362" s="2"/>
      <c r="B5362" s="12"/>
      <c r="C5362" s="12"/>
      <c r="E5362" t="str">
        <f>IF(LEN(D5362)=0,"",[1]!i_pq_tradedays($B$3,A5363,A5362)-1)</f>
        <v/>
      </c>
      <c r="G5362" s="16" t="str">
        <f t="shared" si="182"/>
        <v/>
      </c>
      <c r="H5362" s="70" t="str">
        <f t="shared" si="183"/>
        <v/>
      </c>
    </row>
    <row r="5363" spans="1:8">
      <c r="A5363" s="2"/>
      <c r="B5363" s="12"/>
      <c r="C5363" s="12"/>
      <c r="E5363" t="str">
        <f>IF(LEN(D5363)=0,"",[1]!i_pq_tradedays($B$3,A5364,A5363)-1)</f>
        <v/>
      </c>
      <c r="G5363" s="16" t="str">
        <f t="shared" si="182"/>
        <v/>
      </c>
      <c r="H5363" s="70" t="str">
        <f t="shared" si="183"/>
        <v/>
      </c>
    </row>
    <row r="5364" spans="1:8">
      <c r="A5364" s="2"/>
      <c r="B5364" s="12"/>
      <c r="C5364" s="12"/>
      <c r="E5364" t="str">
        <f>IF(LEN(D5364)=0,"",[1]!i_pq_tradedays($B$3,A5365,A5364)-1)</f>
        <v/>
      </c>
      <c r="G5364" s="16" t="str">
        <f t="shared" si="182"/>
        <v/>
      </c>
      <c r="H5364" s="70" t="str">
        <f t="shared" si="183"/>
        <v/>
      </c>
    </row>
    <row r="5365" spans="1:8">
      <c r="A5365" s="2"/>
      <c r="B5365" s="12"/>
      <c r="C5365" s="12"/>
      <c r="E5365" t="str">
        <f>IF(LEN(D5365)=0,"",[1]!i_pq_tradedays($B$3,A5366,A5365)-1)</f>
        <v/>
      </c>
      <c r="G5365" s="16" t="str">
        <f t="shared" ref="G5365:G5428" si="184">IF(LEN(D5365)=0,"",D5365/E5365)</f>
        <v/>
      </c>
      <c r="H5365" s="70" t="str">
        <f t="shared" ref="H5365:H5428" si="185">IF(LEN(D5365)=0,"",G5365/G5366-1)</f>
        <v/>
      </c>
    </row>
    <row r="5366" spans="1:8">
      <c r="A5366" s="2"/>
      <c r="B5366" s="12"/>
      <c r="C5366" s="12"/>
      <c r="E5366" t="str">
        <f>IF(LEN(D5366)=0,"",[1]!i_pq_tradedays($B$3,A5367,A5366)-1)</f>
        <v/>
      </c>
      <c r="G5366" s="16" t="str">
        <f t="shared" si="184"/>
        <v/>
      </c>
      <c r="H5366" s="70" t="str">
        <f t="shared" si="185"/>
        <v/>
      </c>
    </row>
    <row r="5367" spans="1:8">
      <c r="A5367" s="2"/>
      <c r="B5367" s="12"/>
      <c r="C5367" s="12"/>
      <c r="E5367" t="str">
        <f>IF(LEN(D5367)=0,"",[1]!i_pq_tradedays($B$3,A5368,A5367)-1)</f>
        <v/>
      </c>
      <c r="G5367" s="16" t="str">
        <f t="shared" si="184"/>
        <v/>
      </c>
      <c r="H5367" s="70" t="str">
        <f t="shared" si="185"/>
        <v/>
      </c>
    </row>
    <row r="5368" spans="1:8">
      <c r="A5368" s="2"/>
      <c r="B5368" s="12"/>
      <c r="C5368" s="12"/>
      <c r="E5368" t="str">
        <f>IF(LEN(D5368)=0,"",[1]!i_pq_tradedays($B$3,A5369,A5368)-1)</f>
        <v/>
      </c>
      <c r="G5368" s="16" t="str">
        <f t="shared" si="184"/>
        <v/>
      </c>
      <c r="H5368" s="70" t="str">
        <f t="shared" si="185"/>
        <v/>
      </c>
    </row>
    <row r="5369" spans="1:8">
      <c r="A5369" s="2"/>
      <c r="B5369" s="12"/>
      <c r="C5369" s="12"/>
      <c r="E5369" t="str">
        <f>IF(LEN(D5369)=0,"",[1]!i_pq_tradedays($B$3,A5370,A5369)-1)</f>
        <v/>
      </c>
      <c r="G5369" s="16" t="str">
        <f t="shared" si="184"/>
        <v/>
      </c>
      <c r="H5369" s="70" t="str">
        <f t="shared" si="185"/>
        <v/>
      </c>
    </row>
    <row r="5370" spans="1:8">
      <c r="A5370" s="2"/>
      <c r="B5370" s="12"/>
      <c r="C5370" s="12"/>
      <c r="E5370" t="str">
        <f>IF(LEN(D5370)=0,"",[1]!i_pq_tradedays($B$3,A5371,A5370)-1)</f>
        <v/>
      </c>
      <c r="G5370" s="16" t="str">
        <f t="shared" si="184"/>
        <v/>
      </c>
      <c r="H5370" s="70" t="str">
        <f t="shared" si="185"/>
        <v/>
      </c>
    </row>
    <row r="5371" spans="1:8">
      <c r="A5371" s="2"/>
      <c r="B5371" s="12"/>
      <c r="C5371" s="12"/>
      <c r="E5371" t="str">
        <f>IF(LEN(D5371)=0,"",[1]!i_pq_tradedays($B$3,A5372,A5371)-1)</f>
        <v/>
      </c>
      <c r="G5371" s="16" t="str">
        <f t="shared" si="184"/>
        <v/>
      </c>
      <c r="H5371" s="70" t="str">
        <f t="shared" si="185"/>
        <v/>
      </c>
    </row>
    <row r="5372" spans="1:8">
      <c r="A5372" s="2"/>
      <c r="B5372" s="12"/>
      <c r="C5372" s="12"/>
      <c r="E5372" t="str">
        <f>IF(LEN(D5372)=0,"",[1]!i_pq_tradedays($B$3,A5373,A5372)-1)</f>
        <v/>
      </c>
      <c r="G5372" s="16" t="str">
        <f t="shared" si="184"/>
        <v/>
      </c>
      <c r="H5372" s="70" t="str">
        <f t="shared" si="185"/>
        <v/>
      </c>
    </row>
    <row r="5373" spans="1:8">
      <c r="A5373" s="2"/>
      <c r="B5373" s="12"/>
      <c r="C5373" s="12"/>
      <c r="E5373" t="str">
        <f>IF(LEN(D5373)=0,"",[1]!i_pq_tradedays($B$3,A5374,A5373)-1)</f>
        <v/>
      </c>
      <c r="G5373" s="16" t="str">
        <f t="shared" si="184"/>
        <v/>
      </c>
      <c r="H5373" s="70" t="str">
        <f t="shared" si="185"/>
        <v/>
      </c>
    </row>
    <row r="5374" spans="1:8">
      <c r="A5374" s="2"/>
      <c r="B5374" s="12"/>
      <c r="C5374" s="12"/>
      <c r="E5374" t="str">
        <f>IF(LEN(D5374)=0,"",[1]!i_pq_tradedays($B$3,A5375,A5374)-1)</f>
        <v/>
      </c>
      <c r="G5374" s="16" t="str">
        <f t="shared" si="184"/>
        <v/>
      </c>
      <c r="H5374" s="70" t="str">
        <f t="shared" si="185"/>
        <v/>
      </c>
    </row>
    <row r="5375" spans="1:8">
      <c r="A5375" s="2"/>
      <c r="B5375" s="12"/>
      <c r="C5375" s="12"/>
      <c r="E5375" t="str">
        <f>IF(LEN(D5375)=0,"",[1]!i_pq_tradedays($B$3,A5376,A5375)-1)</f>
        <v/>
      </c>
      <c r="G5375" s="16" t="str">
        <f t="shared" si="184"/>
        <v/>
      </c>
      <c r="H5375" s="70" t="str">
        <f t="shared" si="185"/>
        <v/>
      </c>
    </row>
    <row r="5376" spans="1:8">
      <c r="A5376" s="2"/>
      <c r="B5376" s="12"/>
      <c r="C5376" s="12"/>
      <c r="E5376" t="str">
        <f>IF(LEN(D5376)=0,"",[1]!i_pq_tradedays($B$3,A5377,A5376)-1)</f>
        <v/>
      </c>
      <c r="G5376" s="16" t="str">
        <f t="shared" si="184"/>
        <v/>
      </c>
      <c r="H5376" s="70" t="str">
        <f t="shared" si="185"/>
        <v/>
      </c>
    </row>
    <row r="5377" spans="1:8">
      <c r="A5377" s="2"/>
      <c r="B5377" s="12"/>
      <c r="C5377" s="12"/>
      <c r="E5377" t="str">
        <f>IF(LEN(D5377)=0,"",[1]!i_pq_tradedays($B$3,A5378,A5377)-1)</f>
        <v/>
      </c>
      <c r="G5377" s="16" t="str">
        <f t="shared" si="184"/>
        <v/>
      </c>
      <c r="H5377" s="70" t="str">
        <f t="shared" si="185"/>
        <v/>
      </c>
    </row>
    <row r="5378" spans="1:8">
      <c r="A5378" s="2"/>
      <c r="B5378" s="12"/>
      <c r="C5378" s="12"/>
      <c r="E5378" t="str">
        <f>IF(LEN(D5378)=0,"",[1]!i_pq_tradedays($B$3,A5379,A5378)-1)</f>
        <v/>
      </c>
      <c r="G5378" s="16" t="str">
        <f t="shared" si="184"/>
        <v/>
      </c>
      <c r="H5378" s="70" t="str">
        <f t="shared" si="185"/>
        <v/>
      </c>
    </row>
    <row r="5379" spans="1:8">
      <c r="A5379" s="2"/>
      <c r="B5379" s="12"/>
      <c r="C5379" s="12"/>
      <c r="E5379" t="str">
        <f>IF(LEN(D5379)=0,"",[1]!i_pq_tradedays($B$3,A5380,A5379)-1)</f>
        <v/>
      </c>
      <c r="G5379" s="16" t="str">
        <f t="shared" si="184"/>
        <v/>
      </c>
      <c r="H5379" s="70" t="str">
        <f t="shared" si="185"/>
        <v/>
      </c>
    </row>
    <row r="5380" spans="1:8">
      <c r="A5380" s="2"/>
      <c r="B5380" s="12"/>
      <c r="C5380" s="12"/>
      <c r="E5380" t="str">
        <f>IF(LEN(D5380)=0,"",[1]!i_pq_tradedays($B$3,A5381,A5380)-1)</f>
        <v/>
      </c>
      <c r="G5380" s="16" t="str">
        <f t="shared" si="184"/>
        <v/>
      </c>
      <c r="H5380" s="70" t="str">
        <f t="shared" si="185"/>
        <v/>
      </c>
    </row>
    <row r="5381" spans="1:8">
      <c r="A5381" s="2"/>
      <c r="B5381" s="12"/>
      <c r="C5381" s="12"/>
      <c r="E5381" t="str">
        <f>IF(LEN(D5381)=0,"",[1]!i_pq_tradedays($B$3,A5382,A5381)-1)</f>
        <v/>
      </c>
      <c r="G5381" s="16" t="str">
        <f t="shared" si="184"/>
        <v/>
      </c>
      <c r="H5381" s="70" t="str">
        <f t="shared" si="185"/>
        <v/>
      </c>
    </row>
    <row r="5382" spans="1:8">
      <c r="A5382" s="2"/>
      <c r="B5382" s="12"/>
      <c r="C5382" s="12"/>
      <c r="E5382" t="str">
        <f>IF(LEN(D5382)=0,"",[1]!i_pq_tradedays($B$3,A5383,A5382)-1)</f>
        <v/>
      </c>
      <c r="G5382" s="16" t="str">
        <f t="shared" si="184"/>
        <v/>
      </c>
      <c r="H5382" s="70" t="str">
        <f t="shared" si="185"/>
        <v/>
      </c>
    </row>
    <row r="5383" spans="1:8">
      <c r="A5383" s="2"/>
      <c r="B5383" s="12"/>
      <c r="C5383" s="12"/>
      <c r="E5383" t="str">
        <f>IF(LEN(D5383)=0,"",[1]!i_pq_tradedays($B$3,A5384,A5383)-1)</f>
        <v/>
      </c>
      <c r="G5383" s="16" t="str">
        <f t="shared" si="184"/>
        <v/>
      </c>
      <c r="H5383" s="70" t="str">
        <f t="shared" si="185"/>
        <v/>
      </c>
    </row>
    <row r="5384" spans="1:8">
      <c r="A5384" s="2"/>
      <c r="B5384" s="12"/>
      <c r="C5384" s="12"/>
      <c r="E5384" t="str">
        <f>IF(LEN(D5384)=0,"",[1]!i_pq_tradedays($B$3,A5385,A5384)-1)</f>
        <v/>
      </c>
      <c r="G5384" s="16" t="str">
        <f t="shared" si="184"/>
        <v/>
      </c>
      <c r="H5384" s="70" t="str">
        <f t="shared" si="185"/>
        <v/>
      </c>
    </row>
    <row r="5385" spans="1:8">
      <c r="A5385" s="2"/>
      <c r="B5385" s="12"/>
      <c r="C5385" s="12"/>
      <c r="E5385" t="str">
        <f>IF(LEN(D5385)=0,"",[1]!i_pq_tradedays($B$3,A5386,A5385)-1)</f>
        <v/>
      </c>
      <c r="G5385" s="16" t="str">
        <f t="shared" si="184"/>
        <v/>
      </c>
      <c r="H5385" s="70" t="str">
        <f t="shared" si="185"/>
        <v/>
      </c>
    </row>
    <row r="5386" spans="1:8">
      <c r="A5386" s="2"/>
      <c r="B5386" s="12"/>
      <c r="C5386" s="12"/>
      <c r="E5386" t="str">
        <f>IF(LEN(D5386)=0,"",[1]!i_pq_tradedays($B$3,A5387,A5386)-1)</f>
        <v/>
      </c>
      <c r="G5386" s="16" t="str">
        <f t="shared" si="184"/>
        <v/>
      </c>
      <c r="H5386" s="70" t="str">
        <f t="shared" si="185"/>
        <v/>
      </c>
    </row>
    <row r="5387" spans="1:8">
      <c r="A5387" s="2"/>
      <c r="B5387" s="12"/>
      <c r="C5387" s="12"/>
      <c r="E5387" t="str">
        <f>IF(LEN(D5387)=0,"",[1]!i_pq_tradedays($B$3,A5388,A5387)-1)</f>
        <v/>
      </c>
      <c r="G5387" s="16" t="str">
        <f t="shared" si="184"/>
        <v/>
      </c>
      <c r="H5387" s="70" t="str">
        <f t="shared" si="185"/>
        <v/>
      </c>
    </row>
    <row r="5388" spans="1:8">
      <c r="A5388" s="2"/>
      <c r="B5388" s="12"/>
      <c r="C5388" s="12"/>
      <c r="E5388" t="str">
        <f>IF(LEN(D5388)=0,"",[1]!i_pq_tradedays($B$3,A5389,A5388)-1)</f>
        <v/>
      </c>
      <c r="G5388" s="16" t="str">
        <f t="shared" si="184"/>
        <v/>
      </c>
      <c r="H5388" s="70" t="str">
        <f t="shared" si="185"/>
        <v/>
      </c>
    </row>
    <row r="5389" spans="1:8">
      <c r="A5389" s="2"/>
      <c r="B5389" s="12"/>
      <c r="C5389" s="12"/>
      <c r="E5389" t="str">
        <f>IF(LEN(D5389)=0,"",[1]!i_pq_tradedays($B$3,A5390,A5389)-1)</f>
        <v/>
      </c>
      <c r="G5389" s="16" t="str">
        <f t="shared" si="184"/>
        <v/>
      </c>
      <c r="H5389" s="70" t="str">
        <f t="shared" si="185"/>
        <v/>
      </c>
    </row>
    <row r="5390" spans="1:8">
      <c r="A5390" s="2"/>
      <c r="B5390" s="12"/>
      <c r="C5390" s="12"/>
      <c r="E5390" t="str">
        <f>IF(LEN(D5390)=0,"",[1]!i_pq_tradedays($B$3,A5391,A5390)-1)</f>
        <v/>
      </c>
      <c r="G5390" s="16" t="str">
        <f t="shared" si="184"/>
        <v/>
      </c>
      <c r="H5390" s="70" t="str">
        <f t="shared" si="185"/>
        <v/>
      </c>
    </row>
    <row r="5391" spans="1:8">
      <c r="A5391" s="2"/>
      <c r="B5391" s="12"/>
      <c r="C5391" s="12"/>
      <c r="E5391" t="str">
        <f>IF(LEN(D5391)=0,"",[1]!i_pq_tradedays($B$3,A5392,A5391)-1)</f>
        <v/>
      </c>
      <c r="G5391" s="16" t="str">
        <f t="shared" si="184"/>
        <v/>
      </c>
      <c r="H5391" s="70" t="str">
        <f t="shared" si="185"/>
        <v/>
      </c>
    </row>
    <row r="5392" spans="1:8">
      <c r="A5392" s="2"/>
      <c r="B5392" s="12"/>
      <c r="C5392" s="12"/>
      <c r="E5392" t="str">
        <f>IF(LEN(D5392)=0,"",[1]!i_pq_tradedays($B$3,A5393,A5392)-1)</f>
        <v/>
      </c>
      <c r="G5392" s="16" t="str">
        <f t="shared" si="184"/>
        <v/>
      </c>
      <c r="H5392" s="70" t="str">
        <f t="shared" si="185"/>
        <v/>
      </c>
    </row>
    <row r="5393" spans="1:8">
      <c r="A5393" s="2"/>
      <c r="B5393" s="12"/>
      <c r="C5393" s="12"/>
      <c r="E5393" t="str">
        <f>IF(LEN(D5393)=0,"",[1]!i_pq_tradedays($B$3,A5394,A5393)-1)</f>
        <v/>
      </c>
      <c r="G5393" s="16" t="str">
        <f t="shared" si="184"/>
        <v/>
      </c>
      <c r="H5393" s="70" t="str">
        <f t="shared" si="185"/>
        <v/>
      </c>
    </row>
    <row r="5394" spans="1:8">
      <c r="A5394" s="2"/>
      <c r="B5394" s="12"/>
      <c r="C5394" s="12"/>
      <c r="E5394" t="str">
        <f>IF(LEN(D5394)=0,"",[1]!i_pq_tradedays($B$3,A5395,A5394)-1)</f>
        <v/>
      </c>
      <c r="G5394" s="16" t="str">
        <f t="shared" si="184"/>
        <v/>
      </c>
      <c r="H5394" s="70" t="str">
        <f t="shared" si="185"/>
        <v/>
      </c>
    </row>
    <row r="5395" spans="1:8">
      <c r="A5395" s="2"/>
      <c r="B5395" s="12"/>
      <c r="C5395" s="12"/>
      <c r="E5395" t="str">
        <f>IF(LEN(D5395)=0,"",[1]!i_pq_tradedays($B$3,A5396,A5395)-1)</f>
        <v/>
      </c>
      <c r="G5395" s="16" t="str">
        <f t="shared" si="184"/>
        <v/>
      </c>
      <c r="H5395" s="70" t="str">
        <f t="shared" si="185"/>
        <v/>
      </c>
    </row>
    <row r="5396" spans="1:8">
      <c r="A5396" s="2"/>
      <c r="B5396" s="12"/>
      <c r="C5396" s="12"/>
      <c r="E5396" t="str">
        <f>IF(LEN(D5396)=0,"",[1]!i_pq_tradedays($B$3,A5397,A5396)-1)</f>
        <v/>
      </c>
      <c r="G5396" s="16" t="str">
        <f t="shared" si="184"/>
        <v/>
      </c>
      <c r="H5396" s="70" t="str">
        <f t="shared" si="185"/>
        <v/>
      </c>
    </row>
    <row r="5397" spans="1:8">
      <c r="A5397" s="2"/>
      <c r="B5397" s="12"/>
      <c r="C5397" s="12"/>
      <c r="E5397" t="str">
        <f>IF(LEN(D5397)=0,"",[1]!i_pq_tradedays($B$3,A5398,A5397)-1)</f>
        <v/>
      </c>
      <c r="G5397" s="16" t="str">
        <f t="shared" si="184"/>
        <v/>
      </c>
      <c r="H5397" s="70" t="str">
        <f t="shared" si="185"/>
        <v/>
      </c>
    </row>
    <row r="5398" spans="1:8">
      <c r="A5398" s="2"/>
      <c r="B5398" s="12"/>
      <c r="C5398" s="12"/>
      <c r="E5398" t="str">
        <f>IF(LEN(D5398)=0,"",[1]!i_pq_tradedays($B$3,A5399,A5398)-1)</f>
        <v/>
      </c>
      <c r="G5398" s="16" t="str">
        <f t="shared" si="184"/>
        <v/>
      </c>
      <c r="H5398" s="70" t="str">
        <f t="shared" si="185"/>
        <v/>
      </c>
    </row>
    <row r="5399" spans="1:8">
      <c r="A5399" s="2"/>
      <c r="B5399" s="12"/>
      <c r="C5399" s="12"/>
      <c r="E5399" t="str">
        <f>IF(LEN(D5399)=0,"",[1]!i_pq_tradedays($B$3,A5400,A5399)-1)</f>
        <v/>
      </c>
      <c r="G5399" s="16" t="str">
        <f t="shared" si="184"/>
        <v/>
      </c>
      <c r="H5399" s="70" t="str">
        <f t="shared" si="185"/>
        <v/>
      </c>
    </row>
    <row r="5400" spans="1:8">
      <c r="A5400" s="2"/>
      <c r="B5400" s="12"/>
      <c r="C5400" s="12"/>
      <c r="E5400" t="str">
        <f>IF(LEN(D5400)=0,"",[1]!i_pq_tradedays($B$3,A5401,A5400)-1)</f>
        <v/>
      </c>
      <c r="G5400" s="16" t="str">
        <f t="shared" si="184"/>
        <v/>
      </c>
      <c r="H5400" s="70" t="str">
        <f t="shared" si="185"/>
        <v/>
      </c>
    </row>
    <row r="5401" spans="1:8">
      <c r="A5401" s="2"/>
      <c r="B5401" s="12"/>
      <c r="C5401" s="12"/>
      <c r="E5401" t="str">
        <f>IF(LEN(D5401)=0,"",[1]!i_pq_tradedays($B$3,A5402,A5401)-1)</f>
        <v/>
      </c>
      <c r="G5401" s="16" t="str">
        <f t="shared" si="184"/>
        <v/>
      </c>
      <c r="H5401" s="70" t="str">
        <f t="shared" si="185"/>
        <v/>
      </c>
    </row>
    <row r="5402" spans="1:8">
      <c r="A5402" s="2"/>
      <c r="B5402" s="12"/>
      <c r="C5402" s="12"/>
      <c r="E5402" t="str">
        <f>IF(LEN(D5402)=0,"",[1]!i_pq_tradedays($B$3,A5403,A5402)-1)</f>
        <v/>
      </c>
      <c r="G5402" s="16" t="str">
        <f t="shared" si="184"/>
        <v/>
      </c>
      <c r="H5402" s="70" t="str">
        <f t="shared" si="185"/>
        <v/>
      </c>
    </row>
    <row r="5403" spans="1:8">
      <c r="A5403" s="2"/>
      <c r="B5403" s="12"/>
      <c r="C5403" s="12"/>
      <c r="E5403" t="str">
        <f>IF(LEN(D5403)=0,"",[1]!i_pq_tradedays($B$3,A5404,A5403)-1)</f>
        <v/>
      </c>
      <c r="G5403" s="16" t="str">
        <f t="shared" si="184"/>
        <v/>
      </c>
      <c r="H5403" s="70" t="str">
        <f t="shared" si="185"/>
        <v/>
      </c>
    </row>
    <row r="5404" spans="1:8">
      <c r="A5404" s="2"/>
      <c r="B5404" s="12"/>
      <c r="C5404" s="12"/>
      <c r="E5404" t="str">
        <f>IF(LEN(D5404)=0,"",[1]!i_pq_tradedays($B$3,A5405,A5404)-1)</f>
        <v/>
      </c>
      <c r="G5404" s="16" t="str">
        <f t="shared" si="184"/>
        <v/>
      </c>
      <c r="H5404" s="70" t="str">
        <f t="shared" si="185"/>
        <v/>
      </c>
    </row>
    <row r="5405" spans="1:8">
      <c r="A5405" s="2"/>
      <c r="B5405" s="12"/>
      <c r="C5405" s="12"/>
      <c r="E5405" t="str">
        <f>IF(LEN(D5405)=0,"",[1]!i_pq_tradedays($B$3,A5406,A5405)-1)</f>
        <v/>
      </c>
      <c r="G5405" s="16" t="str">
        <f t="shared" si="184"/>
        <v/>
      </c>
      <c r="H5405" s="70" t="str">
        <f t="shared" si="185"/>
        <v/>
      </c>
    </row>
    <row r="5406" spans="1:8">
      <c r="A5406" s="2"/>
      <c r="B5406" s="12"/>
      <c r="C5406" s="12"/>
      <c r="E5406" t="str">
        <f>IF(LEN(D5406)=0,"",[1]!i_pq_tradedays($B$3,A5407,A5406)-1)</f>
        <v/>
      </c>
      <c r="G5406" s="16" t="str">
        <f t="shared" si="184"/>
        <v/>
      </c>
      <c r="H5406" s="70" t="str">
        <f t="shared" si="185"/>
        <v/>
      </c>
    </row>
    <row r="5407" spans="1:8">
      <c r="A5407" s="2"/>
      <c r="B5407" s="12"/>
      <c r="C5407" s="12"/>
      <c r="E5407" t="str">
        <f>IF(LEN(D5407)=0,"",[1]!i_pq_tradedays($B$3,A5408,A5407)-1)</f>
        <v/>
      </c>
      <c r="G5407" s="16" t="str">
        <f t="shared" si="184"/>
        <v/>
      </c>
      <c r="H5407" s="70" t="str">
        <f t="shared" si="185"/>
        <v/>
      </c>
    </row>
    <row r="5408" spans="1:8">
      <c r="A5408" s="2"/>
      <c r="B5408" s="12"/>
      <c r="C5408" s="12"/>
      <c r="E5408" t="str">
        <f>IF(LEN(D5408)=0,"",[1]!i_pq_tradedays($B$3,A5409,A5408)-1)</f>
        <v/>
      </c>
      <c r="G5408" s="16" t="str">
        <f t="shared" si="184"/>
        <v/>
      </c>
      <c r="H5408" s="70" t="str">
        <f t="shared" si="185"/>
        <v/>
      </c>
    </row>
    <row r="5409" spans="1:8">
      <c r="A5409" s="2"/>
      <c r="B5409" s="12"/>
      <c r="C5409" s="12"/>
      <c r="E5409" t="str">
        <f>IF(LEN(D5409)=0,"",[1]!i_pq_tradedays($B$3,A5410,A5409)-1)</f>
        <v/>
      </c>
      <c r="G5409" s="16" t="str">
        <f t="shared" si="184"/>
        <v/>
      </c>
      <c r="H5409" s="70" t="str">
        <f t="shared" si="185"/>
        <v/>
      </c>
    </row>
    <row r="5410" spans="1:8">
      <c r="A5410" s="2"/>
      <c r="B5410" s="12"/>
      <c r="C5410" s="12"/>
      <c r="E5410" t="str">
        <f>IF(LEN(D5410)=0,"",[1]!i_pq_tradedays($B$3,A5411,A5410)-1)</f>
        <v/>
      </c>
      <c r="G5410" s="16" t="str">
        <f t="shared" si="184"/>
        <v/>
      </c>
      <c r="H5410" s="70" t="str">
        <f t="shared" si="185"/>
        <v/>
      </c>
    </row>
    <row r="5411" spans="1:8">
      <c r="A5411" s="2"/>
      <c r="B5411" s="12"/>
      <c r="C5411" s="12"/>
      <c r="E5411" t="str">
        <f>IF(LEN(D5411)=0,"",[1]!i_pq_tradedays($B$3,A5412,A5411)-1)</f>
        <v/>
      </c>
      <c r="G5411" s="16" t="str">
        <f t="shared" si="184"/>
        <v/>
      </c>
      <c r="H5411" s="70" t="str">
        <f t="shared" si="185"/>
        <v/>
      </c>
    </row>
    <row r="5412" spans="1:8">
      <c r="A5412" s="2"/>
      <c r="B5412" s="12"/>
      <c r="C5412" s="12"/>
      <c r="E5412" t="str">
        <f>IF(LEN(D5412)=0,"",[1]!i_pq_tradedays($B$3,A5413,A5412)-1)</f>
        <v/>
      </c>
      <c r="G5412" s="16" t="str">
        <f t="shared" si="184"/>
        <v/>
      </c>
      <c r="H5412" s="70" t="str">
        <f t="shared" si="185"/>
        <v/>
      </c>
    </row>
    <row r="5413" spans="1:8">
      <c r="A5413" s="2"/>
      <c r="B5413" s="12"/>
      <c r="C5413" s="12"/>
      <c r="E5413" t="str">
        <f>IF(LEN(D5413)=0,"",[1]!i_pq_tradedays($B$3,A5414,A5413)-1)</f>
        <v/>
      </c>
      <c r="G5413" s="16" t="str">
        <f t="shared" si="184"/>
        <v/>
      </c>
      <c r="H5413" s="70" t="str">
        <f t="shared" si="185"/>
        <v/>
      </c>
    </row>
    <row r="5414" spans="1:8">
      <c r="A5414" s="2"/>
      <c r="B5414" s="12"/>
      <c r="C5414" s="12"/>
      <c r="E5414" t="str">
        <f>IF(LEN(D5414)=0,"",[1]!i_pq_tradedays($B$3,A5415,A5414)-1)</f>
        <v/>
      </c>
      <c r="G5414" s="16" t="str">
        <f t="shared" si="184"/>
        <v/>
      </c>
      <c r="H5414" s="70" t="str">
        <f t="shared" si="185"/>
        <v/>
      </c>
    </row>
    <row r="5415" spans="1:8">
      <c r="A5415" s="2"/>
      <c r="B5415" s="12"/>
      <c r="C5415" s="12"/>
      <c r="E5415" t="str">
        <f>IF(LEN(D5415)=0,"",[1]!i_pq_tradedays($B$3,A5416,A5415)-1)</f>
        <v/>
      </c>
      <c r="G5415" s="16" t="str">
        <f t="shared" si="184"/>
        <v/>
      </c>
      <c r="H5415" s="70" t="str">
        <f t="shared" si="185"/>
        <v/>
      </c>
    </row>
    <row r="5416" spans="1:8">
      <c r="A5416" s="2"/>
      <c r="B5416" s="12"/>
      <c r="C5416" s="12"/>
      <c r="E5416" t="str">
        <f>IF(LEN(D5416)=0,"",[1]!i_pq_tradedays($B$3,A5417,A5416)-1)</f>
        <v/>
      </c>
      <c r="G5416" s="16" t="str">
        <f t="shared" si="184"/>
        <v/>
      </c>
      <c r="H5416" s="70" t="str">
        <f t="shared" si="185"/>
        <v/>
      </c>
    </row>
    <row r="5417" spans="1:8">
      <c r="A5417" s="2"/>
      <c r="B5417" s="12"/>
      <c r="C5417" s="12"/>
      <c r="E5417" t="str">
        <f>IF(LEN(D5417)=0,"",[1]!i_pq_tradedays($B$3,A5418,A5417)-1)</f>
        <v/>
      </c>
      <c r="G5417" s="16" t="str">
        <f t="shared" si="184"/>
        <v/>
      </c>
      <c r="H5417" s="70" t="str">
        <f t="shared" si="185"/>
        <v/>
      </c>
    </row>
    <row r="5418" spans="1:8">
      <c r="A5418" s="2"/>
      <c r="B5418" s="12"/>
      <c r="C5418" s="12"/>
      <c r="E5418" t="str">
        <f>IF(LEN(D5418)=0,"",[1]!i_pq_tradedays($B$3,A5419,A5418)-1)</f>
        <v/>
      </c>
      <c r="G5418" s="16" t="str">
        <f t="shared" si="184"/>
        <v/>
      </c>
      <c r="H5418" s="70" t="str">
        <f t="shared" si="185"/>
        <v/>
      </c>
    </row>
    <row r="5419" spans="1:8">
      <c r="A5419" s="2"/>
      <c r="B5419" s="12"/>
      <c r="C5419" s="12"/>
      <c r="E5419" t="str">
        <f>IF(LEN(D5419)=0,"",[1]!i_pq_tradedays($B$3,A5420,A5419)-1)</f>
        <v/>
      </c>
      <c r="G5419" s="16" t="str">
        <f t="shared" si="184"/>
        <v/>
      </c>
      <c r="H5419" s="70" t="str">
        <f t="shared" si="185"/>
        <v/>
      </c>
    </row>
    <row r="5420" spans="1:8">
      <c r="A5420" s="2"/>
      <c r="B5420" s="12"/>
      <c r="C5420" s="12"/>
      <c r="E5420" t="str">
        <f>IF(LEN(D5420)=0,"",[1]!i_pq_tradedays($B$3,A5421,A5420)-1)</f>
        <v/>
      </c>
      <c r="G5420" s="16" t="str">
        <f t="shared" si="184"/>
        <v/>
      </c>
      <c r="H5420" s="70" t="str">
        <f t="shared" si="185"/>
        <v/>
      </c>
    </row>
    <row r="5421" spans="1:8">
      <c r="A5421" s="2"/>
      <c r="B5421" s="12"/>
      <c r="C5421" s="12"/>
      <c r="E5421" t="str">
        <f>IF(LEN(D5421)=0,"",[1]!i_pq_tradedays($B$3,A5422,A5421)-1)</f>
        <v/>
      </c>
      <c r="G5421" s="16" t="str">
        <f t="shared" si="184"/>
        <v/>
      </c>
      <c r="H5421" s="70" t="str">
        <f t="shared" si="185"/>
        <v/>
      </c>
    </row>
    <row r="5422" spans="1:8">
      <c r="A5422" s="2"/>
      <c r="B5422" s="12"/>
      <c r="C5422" s="12"/>
      <c r="E5422" t="str">
        <f>IF(LEN(D5422)=0,"",[1]!i_pq_tradedays($B$3,A5423,A5422)-1)</f>
        <v/>
      </c>
      <c r="G5422" s="16" t="str">
        <f t="shared" si="184"/>
        <v/>
      </c>
      <c r="H5422" s="70" t="str">
        <f t="shared" si="185"/>
        <v/>
      </c>
    </row>
    <row r="5423" spans="1:8">
      <c r="A5423" s="2"/>
      <c r="B5423" s="12"/>
      <c r="C5423" s="12"/>
      <c r="E5423" t="str">
        <f>IF(LEN(D5423)=0,"",[1]!i_pq_tradedays($B$3,A5424,A5423)-1)</f>
        <v/>
      </c>
      <c r="G5423" s="16" t="str">
        <f t="shared" si="184"/>
        <v/>
      </c>
      <c r="H5423" s="70" t="str">
        <f t="shared" si="185"/>
        <v/>
      </c>
    </row>
    <row r="5424" spans="1:8">
      <c r="A5424" s="2"/>
      <c r="B5424" s="12"/>
      <c r="C5424" s="12"/>
      <c r="E5424" t="str">
        <f>IF(LEN(D5424)=0,"",[1]!i_pq_tradedays($B$3,A5425,A5424)-1)</f>
        <v/>
      </c>
      <c r="G5424" s="16" t="str">
        <f t="shared" si="184"/>
        <v/>
      </c>
      <c r="H5424" s="70" t="str">
        <f t="shared" si="185"/>
        <v/>
      </c>
    </row>
    <row r="5425" spans="1:8">
      <c r="A5425" s="2"/>
      <c r="B5425" s="12"/>
      <c r="C5425" s="12"/>
      <c r="E5425" t="str">
        <f>IF(LEN(D5425)=0,"",[1]!i_pq_tradedays($B$3,A5426,A5425)-1)</f>
        <v/>
      </c>
      <c r="G5425" s="16" t="str">
        <f t="shared" si="184"/>
        <v/>
      </c>
      <c r="H5425" s="70" t="str">
        <f t="shared" si="185"/>
        <v/>
      </c>
    </row>
    <row r="5426" spans="1:8">
      <c r="A5426" s="2"/>
      <c r="B5426" s="12"/>
      <c r="C5426" s="12"/>
      <c r="E5426" t="str">
        <f>IF(LEN(D5426)=0,"",[1]!i_pq_tradedays($B$3,A5427,A5426)-1)</f>
        <v/>
      </c>
      <c r="G5426" s="16" t="str">
        <f t="shared" si="184"/>
        <v/>
      </c>
      <c r="H5426" s="70" t="str">
        <f t="shared" si="185"/>
        <v/>
      </c>
    </row>
    <row r="5427" spans="1:8">
      <c r="A5427" s="2"/>
      <c r="B5427" s="12"/>
      <c r="C5427" s="12"/>
      <c r="E5427" t="str">
        <f>IF(LEN(D5427)=0,"",[1]!i_pq_tradedays($B$3,A5428,A5427)-1)</f>
        <v/>
      </c>
      <c r="G5427" s="16" t="str">
        <f t="shared" si="184"/>
        <v/>
      </c>
      <c r="H5427" s="70" t="str">
        <f t="shared" si="185"/>
        <v/>
      </c>
    </row>
    <row r="5428" spans="1:8">
      <c r="A5428" s="2"/>
      <c r="B5428" s="12"/>
      <c r="C5428" s="12"/>
      <c r="E5428" t="str">
        <f>IF(LEN(D5428)=0,"",[1]!i_pq_tradedays($B$3,A5429,A5428)-1)</f>
        <v/>
      </c>
      <c r="G5428" s="16" t="str">
        <f t="shared" si="184"/>
        <v/>
      </c>
      <c r="H5428" s="70" t="str">
        <f t="shared" si="185"/>
        <v/>
      </c>
    </row>
    <row r="5429" spans="1:8">
      <c r="A5429" s="2"/>
      <c r="B5429" s="12"/>
      <c r="C5429" s="12"/>
      <c r="E5429" t="str">
        <f>IF(LEN(D5429)=0,"",[1]!i_pq_tradedays($B$3,A5430,A5429)-1)</f>
        <v/>
      </c>
      <c r="G5429" s="16" t="str">
        <f t="shared" ref="G5429:G5492" si="186">IF(LEN(D5429)=0,"",D5429/E5429)</f>
        <v/>
      </c>
      <c r="H5429" s="70" t="str">
        <f t="shared" ref="H5429:H5492" si="187">IF(LEN(D5429)=0,"",G5429/G5430-1)</f>
        <v/>
      </c>
    </row>
    <row r="5430" spans="1:8">
      <c r="A5430" s="2"/>
      <c r="B5430" s="12"/>
      <c r="C5430" s="12"/>
      <c r="E5430" t="str">
        <f>IF(LEN(D5430)=0,"",[1]!i_pq_tradedays($B$3,A5431,A5430)-1)</f>
        <v/>
      </c>
      <c r="G5430" s="16" t="str">
        <f t="shared" si="186"/>
        <v/>
      </c>
      <c r="H5430" s="70" t="str">
        <f t="shared" si="187"/>
        <v/>
      </c>
    </row>
    <row r="5431" spans="1:8">
      <c r="A5431" s="2"/>
      <c r="B5431" s="12"/>
      <c r="C5431" s="12"/>
      <c r="E5431" t="str">
        <f>IF(LEN(D5431)=0,"",[1]!i_pq_tradedays($B$3,A5432,A5431)-1)</f>
        <v/>
      </c>
      <c r="G5431" s="16" t="str">
        <f t="shared" si="186"/>
        <v/>
      </c>
      <c r="H5431" s="70" t="str">
        <f t="shared" si="187"/>
        <v/>
      </c>
    </row>
    <row r="5432" spans="1:8">
      <c r="A5432" s="2"/>
      <c r="B5432" s="12"/>
      <c r="C5432" s="12"/>
      <c r="E5432" t="str">
        <f>IF(LEN(D5432)=0,"",[1]!i_pq_tradedays($B$3,A5433,A5432)-1)</f>
        <v/>
      </c>
      <c r="G5432" s="16" t="str">
        <f t="shared" si="186"/>
        <v/>
      </c>
      <c r="H5432" s="70" t="str">
        <f t="shared" si="187"/>
        <v/>
      </c>
    </row>
    <row r="5433" spans="1:8">
      <c r="A5433" s="2"/>
      <c r="B5433" s="12"/>
      <c r="C5433" s="12"/>
      <c r="E5433" t="str">
        <f>IF(LEN(D5433)=0,"",[1]!i_pq_tradedays($B$3,A5434,A5433)-1)</f>
        <v/>
      </c>
      <c r="G5433" s="16" t="str">
        <f t="shared" si="186"/>
        <v/>
      </c>
      <c r="H5433" s="70" t="str">
        <f t="shared" si="187"/>
        <v/>
      </c>
    </row>
    <row r="5434" spans="1:8">
      <c r="A5434" s="2"/>
      <c r="B5434" s="12"/>
      <c r="C5434" s="12"/>
      <c r="E5434" t="str">
        <f>IF(LEN(D5434)=0,"",[1]!i_pq_tradedays($B$3,A5435,A5434)-1)</f>
        <v/>
      </c>
      <c r="G5434" s="16" t="str">
        <f t="shared" si="186"/>
        <v/>
      </c>
      <c r="H5434" s="70" t="str">
        <f t="shared" si="187"/>
        <v/>
      </c>
    </row>
    <row r="5435" spans="1:8">
      <c r="A5435" s="2"/>
      <c r="B5435" s="12"/>
      <c r="C5435" s="12"/>
      <c r="E5435" t="str">
        <f>IF(LEN(D5435)=0,"",[1]!i_pq_tradedays($B$3,A5436,A5435)-1)</f>
        <v/>
      </c>
      <c r="G5435" s="16" t="str">
        <f t="shared" si="186"/>
        <v/>
      </c>
      <c r="H5435" s="70" t="str">
        <f t="shared" si="187"/>
        <v/>
      </c>
    </row>
    <row r="5436" spans="1:8">
      <c r="A5436" s="2"/>
      <c r="B5436" s="12"/>
      <c r="C5436" s="12"/>
      <c r="E5436" t="str">
        <f>IF(LEN(D5436)=0,"",[1]!i_pq_tradedays($B$3,A5437,A5436)-1)</f>
        <v/>
      </c>
      <c r="G5436" s="16" t="str">
        <f t="shared" si="186"/>
        <v/>
      </c>
      <c r="H5436" s="70" t="str">
        <f t="shared" si="187"/>
        <v/>
      </c>
    </row>
    <row r="5437" spans="1:8">
      <c r="A5437" s="2"/>
      <c r="B5437" s="12"/>
      <c r="C5437" s="12"/>
      <c r="E5437" t="str">
        <f>IF(LEN(D5437)=0,"",[1]!i_pq_tradedays($B$3,A5438,A5437)-1)</f>
        <v/>
      </c>
      <c r="G5437" s="16" t="str">
        <f t="shared" si="186"/>
        <v/>
      </c>
      <c r="H5437" s="70" t="str">
        <f t="shared" si="187"/>
        <v/>
      </c>
    </row>
    <row r="5438" spans="1:8">
      <c r="A5438" s="2"/>
      <c r="B5438" s="12"/>
      <c r="C5438" s="12"/>
      <c r="E5438" t="str">
        <f>IF(LEN(D5438)=0,"",[1]!i_pq_tradedays($B$3,A5439,A5438)-1)</f>
        <v/>
      </c>
      <c r="G5438" s="16" t="str">
        <f t="shared" si="186"/>
        <v/>
      </c>
      <c r="H5438" s="70" t="str">
        <f t="shared" si="187"/>
        <v/>
      </c>
    </row>
    <row r="5439" spans="1:8">
      <c r="A5439" s="2"/>
      <c r="B5439" s="12"/>
      <c r="C5439" s="12"/>
      <c r="E5439" t="str">
        <f>IF(LEN(D5439)=0,"",[1]!i_pq_tradedays($B$3,A5440,A5439)-1)</f>
        <v/>
      </c>
      <c r="G5439" s="16" t="str">
        <f t="shared" si="186"/>
        <v/>
      </c>
      <c r="H5439" s="70" t="str">
        <f t="shared" si="187"/>
        <v/>
      </c>
    </row>
    <row r="5440" spans="1:8">
      <c r="A5440" s="2"/>
      <c r="B5440" s="12"/>
      <c r="C5440" s="12"/>
      <c r="E5440" t="str">
        <f>IF(LEN(D5440)=0,"",[1]!i_pq_tradedays($B$3,A5441,A5440)-1)</f>
        <v/>
      </c>
      <c r="G5440" s="16" t="str">
        <f t="shared" si="186"/>
        <v/>
      </c>
      <c r="H5440" s="70" t="str">
        <f t="shared" si="187"/>
        <v/>
      </c>
    </row>
    <row r="5441" spans="1:8">
      <c r="A5441" s="2"/>
      <c r="B5441" s="12"/>
      <c r="C5441" s="12"/>
      <c r="E5441" t="str">
        <f>IF(LEN(D5441)=0,"",[1]!i_pq_tradedays($B$3,A5442,A5441)-1)</f>
        <v/>
      </c>
      <c r="G5441" s="16" t="str">
        <f t="shared" si="186"/>
        <v/>
      </c>
      <c r="H5441" s="70" t="str">
        <f t="shared" si="187"/>
        <v/>
      </c>
    </row>
    <row r="5442" spans="1:8">
      <c r="A5442" s="2"/>
      <c r="B5442" s="12"/>
      <c r="C5442" s="12"/>
      <c r="E5442" t="str">
        <f>IF(LEN(D5442)=0,"",[1]!i_pq_tradedays($B$3,A5443,A5442)-1)</f>
        <v/>
      </c>
      <c r="G5442" s="16" t="str">
        <f t="shared" si="186"/>
        <v/>
      </c>
      <c r="H5442" s="70" t="str">
        <f t="shared" si="187"/>
        <v/>
      </c>
    </row>
    <row r="5443" spans="1:8">
      <c r="A5443" s="2"/>
      <c r="B5443" s="12"/>
      <c r="C5443" s="12"/>
      <c r="E5443" t="str">
        <f>IF(LEN(D5443)=0,"",[1]!i_pq_tradedays($B$3,A5444,A5443)-1)</f>
        <v/>
      </c>
      <c r="G5443" s="16" t="str">
        <f t="shared" si="186"/>
        <v/>
      </c>
      <c r="H5443" s="70" t="str">
        <f t="shared" si="187"/>
        <v/>
      </c>
    </row>
    <row r="5444" spans="1:8">
      <c r="A5444" s="2"/>
      <c r="B5444" s="12"/>
      <c r="C5444" s="12"/>
      <c r="E5444" t="str">
        <f>IF(LEN(D5444)=0,"",[1]!i_pq_tradedays($B$3,A5445,A5444)-1)</f>
        <v/>
      </c>
      <c r="G5444" s="16" t="str">
        <f t="shared" si="186"/>
        <v/>
      </c>
      <c r="H5444" s="70" t="str">
        <f t="shared" si="187"/>
        <v/>
      </c>
    </row>
    <row r="5445" spans="1:8">
      <c r="A5445" s="2"/>
      <c r="B5445" s="12"/>
      <c r="C5445" s="12"/>
      <c r="E5445" t="str">
        <f>IF(LEN(D5445)=0,"",[1]!i_pq_tradedays($B$3,A5446,A5445)-1)</f>
        <v/>
      </c>
      <c r="G5445" s="16" t="str">
        <f t="shared" si="186"/>
        <v/>
      </c>
      <c r="H5445" s="70" t="str">
        <f t="shared" si="187"/>
        <v/>
      </c>
    </row>
    <row r="5446" spans="1:8">
      <c r="A5446" s="2"/>
      <c r="B5446" s="12"/>
      <c r="C5446" s="12"/>
      <c r="E5446" t="str">
        <f>IF(LEN(D5446)=0,"",[1]!i_pq_tradedays($B$3,A5447,A5446)-1)</f>
        <v/>
      </c>
      <c r="G5446" s="16" t="str">
        <f t="shared" si="186"/>
        <v/>
      </c>
      <c r="H5446" s="70" t="str">
        <f t="shared" si="187"/>
        <v/>
      </c>
    </row>
    <row r="5447" spans="1:8">
      <c r="A5447" s="2"/>
      <c r="B5447" s="12"/>
      <c r="C5447" s="12"/>
      <c r="E5447" t="str">
        <f>IF(LEN(D5447)=0,"",[1]!i_pq_tradedays($B$3,A5448,A5447)-1)</f>
        <v/>
      </c>
      <c r="G5447" s="16" t="str">
        <f t="shared" si="186"/>
        <v/>
      </c>
      <c r="H5447" s="70" t="str">
        <f t="shared" si="187"/>
        <v/>
      </c>
    </row>
    <row r="5448" spans="1:8">
      <c r="A5448" s="2"/>
      <c r="B5448" s="12"/>
      <c r="C5448" s="12"/>
      <c r="E5448" t="str">
        <f>IF(LEN(D5448)=0,"",[1]!i_pq_tradedays($B$3,A5449,A5448)-1)</f>
        <v/>
      </c>
      <c r="G5448" s="16" t="str">
        <f t="shared" si="186"/>
        <v/>
      </c>
      <c r="H5448" s="70" t="str">
        <f t="shared" si="187"/>
        <v/>
      </c>
    </row>
    <row r="5449" spans="1:8">
      <c r="A5449" s="2"/>
      <c r="B5449" s="12"/>
      <c r="C5449" s="12"/>
      <c r="E5449" t="str">
        <f>IF(LEN(D5449)=0,"",[1]!i_pq_tradedays($B$3,A5450,A5449)-1)</f>
        <v/>
      </c>
      <c r="G5449" s="16" t="str">
        <f t="shared" si="186"/>
        <v/>
      </c>
      <c r="H5449" s="70" t="str">
        <f t="shared" si="187"/>
        <v/>
      </c>
    </row>
    <row r="5450" spans="1:8">
      <c r="A5450" s="2"/>
      <c r="B5450" s="12"/>
      <c r="C5450" s="12"/>
      <c r="E5450" t="str">
        <f>IF(LEN(D5450)=0,"",[1]!i_pq_tradedays($B$3,A5451,A5450)-1)</f>
        <v/>
      </c>
      <c r="G5450" s="16" t="str">
        <f t="shared" si="186"/>
        <v/>
      </c>
      <c r="H5450" s="70" t="str">
        <f t="shared" si="187"/>
        <v/>
      </c>
    </row>
    <row r="5451" spans="1:8">
      <c r="A5451" s="2"/>
      <c r="B5451" s="12"/>
      <c r="C5451" s="12"/>
      <c r="E5451" t="str">
        <f>IF(LEN(D5451)=0,"",[1]!i_pq_tradedays($B$3,A5452,A5451)-1)</f>
        <v/>
      </c>
      <c r="G5451" s="16" t="str">
        <f t="shared" si="186"/>
        <v/>
      </c>
      <c r="H5451" s="70" t="str">
        <f t="shared" si="187"/>
        <v/>
      </c>
    </row>
    <row r="5452" spans="1:8">
      <c r="A5452" s="2"/>
      <c r="B5452" s="12"/>
      <c r="C5452" s="12"/>
      <c r="E5452" t="str">
        <f>IF(LEN(D5452)=0,"",[1]!i_pq_tradedays($B$3,A5453,A5452)-1)</f>
        <v/>
      </c>
      <c r="G5452" s="16" t="str">
        <f t="shared" si="186"/>
        <v/>
      </c>
      <c r="H5452" s="70" t="str">
        <f t="shared" si="187"/>
        <v/>
      </c>
    </row>
    <row r="5453" spans="1:8">
      <c r="A5453" s="2"/>
      <c r="B5453" s="12"/>
      <c r="C5453" s="12"/>
      <c r="E5453" t="str">
        <f>IF(LEN(D5453)=0,"",[1]!i_pq_tradedays($B$3,A5454,A5453)-1)</f>
        <v/>
      </c>
      <c r="G5453" s="16" t="str">
        <f t="shared" si="186"/>
        <v/>
      </c>
      <c r="H5453" s="70" t="str">
        <f t="shared" si="187"/>
        <v/>
      </c>
    </row>
    <row r="5454" spans="1:8">
      <c r="A5454" s="2"/>
      <c r="B5454" s="12"/>
      <c r="C5454" s="12"/>
      <c r="E5454" t="str">
        <f>IF(LEN(D5454)=0,"",[1]!i_pq_tradedays($B$3,A5455,A5454)-1)</f>
        <v/>
      </c>
      <c r="G5454" s="16" t="str">
        <f t="shared" si="186"/>
        <v/>
      </c>
      <c r="H5454" s="70" t="str">
        <f t="shared" si="187"/>
        <v/>
      </c>
    </row>
    <row r="5455" spans="1:8">
      <c r="A5455" s="2"/>
      <c r="B5455" s="12"/>
      <c r="C5455" s="12"/>
      <c r="E5455" t="str">
        <f>IF(LEN(D5455)=0,"",[1]!i_pq_tradedays($B$3,A5456,A5455)-1)</f>
        <v/>
      </c>
      <c r="G5455" s="16" t="str">
        <f t="shared" si="186"/>
        <v/>
      </c>
      <c r="H5455" s="70" t="str">
        <f t="shared" si="187"/>
        <v/>
      </c>
    </row>
    <row r="5456" spans="1:8">
      <c r="A5456" s="2"/>
      <c r="B5456" s="12"/>
      <c r="C5456" s="12"/>
      <c r="E5456" t="str">
        <f>IF(LEN(D5456)=0,"",[1]!i_pq_tradedays($B$3,A5457,A5456)-1)</f>
        <v/>
      </c>
      <c r="G5456" s="16" t="str">
        <f t="shared" si="186"/>
        <v/>
      </c>
      <c r="H5456" s="70" t="str">
        <f t="shared" si="187"/>
        <v/>
      </c>
    </row>
    <row r="5457" spans="1:8">
      <c r="A5457" s="2"/>
      <c r="B5457" s="12"/>
      <c r="C5457" s="12"/>
      <c r="E5457" t="str">
        <f>IF(LEN(D5457)=0,"",[1]!i_pq_tradedays($B$3,A5458,A5457)-1)</f>
        <v/>
      </c>
      <c r="G5457" s="16" t="str">
        <f t="shared" si="186"/>
        <v/>
      </c>
      <c r="H5457" s="70" t="str">
        <f t="shared" si="187"/>
        <v/>
      </c>
    </row>
    <row r="5458" spans="1:8">
      <c r="A5458" s="2"/>
      <c r="B5458" s="12"/>
      <c r="C5458" s="12"/>
      <c r="E5458" t="str">
        <f>IF(LEN(D5458)=0,"",[1]!i_pq_tradedays($B$3,A5459,A5458)-1)</f>
        <v/>
      </c>
      <c r="G5458" s="16" t="str">
        <f t="shared" si="186"/>
        <v/>
      </c>
      <c r="H5458" s="70" t="str">
        <f t="shared" si="187"/>
        <v/>
      </c>
    </row>
    <row r="5459" spans="1:8">
      <c r="A5459" s="2"/>
      <c r="B5459" s="12"/>
      <c r="C5459" s="12"/>
      <c r="E5459" t="str">
        <f>IF(LEN(D5459)=0,"",[1]!i_pq_tradedays($B$3,A5460,A5459)-1)</f>
        <v/>
      </c>
      <c r="G5459" s="16" t="str">
        <f t="shared" si="186"/>
        <v/>
      </c>
      <c r="H5459" s="70" t="str">
        <f t="shared" si="187"/>
        <v/>
      </c>
    </row>
    <row r="5460" spans="1:8">
      <c r="A5460" s="2"/>
      <c r="B5460" s="12"/>
      <c r="C5460" s="12"/>
      <c r="E5460" t="str">
        <f>IF(LEN(D5460)=0,"",[1]!i_pq_tradedays($B$3,A5461,A5460)-1)</f>
        <v/>
      </c>
      <c r="G5460" s="16" t="str">
        <f t="shared" si="186"/>
        <v/>
      </c>
      <c r="H5460" s="70" t="str">
        <f t="shared" si="187"/>
        <v/>
      </c>
    </row>
    <row r="5461" spans="1:8">
      <c r="A5461" s="2"/>
      <c r="B5461" s="12"/>
      <c r="C5461" s="12"/>
      <c r="E5461" t="str">
        <f>IF(LEN(D5461)=0,"",[1]!i_pq_tradedays($B$3,A5462,A5461)-1)</f>
        <v/>
      </c>
      <c r="G5461" s="16" t="str">
        <f t="shared" si="186"/>
        <v/>
      </c>
      <c r="H5461" s="70" t="str">
        <f t="shared" si="187"/>
        <v/>
      </c>
    </row>
    <row r="5462" spans="1:8">
      <c r="A5462" s="2"/>
      <c r="B5462" s="12"/>
      <c r="C5462" s="12"/>
      <c r="E5462" t="str">
        <f>IF(LEN(D5462)=0,"",[1]!i_pq_tradedays($B$3,A5463,A5462)-1)</f>
        <v/>
      </c>
      <c r="G5462" s="16" t="str">
        <f t="shared" si="186"/>
        <v/>
      </c>
      <c r="H5462" s="70" t="str">
        <f t="shared" si="187"/>
        <v/>
      </c>
    </row>
    <row r="5463" spans="1:8">
      <c r="A5463" s="2"/>
      <c r="B5463" s="12"/>
      <c r="C5463" s="12"/>
      <c r="E5463" t="str">
        <f>IF(LEN(D5463)=0,"",[1]!i_pq_tradedays($B$3,A5464,A5463)-1)</f>
        <v/>
      </c>
      <c r="G5463" s="16" t="str">
        <f t="shared" si="186"/>
        <v/>
      </c>
      <c r="H5463" s="70" t="str">
        <f t="shared" si="187"/>
        <v/>
      </c>
    </row>
    <row r="5464" spans="1:8">
      <c r="A5464" s="2"/>
      <c r="B5464" s="12"/>
      <c r="C5464" s="12"/>
      <c r="E5464" t="str">
        <f>IF(LEN(D5464)=0,"",[1]!i_pq_tradedays($B$3,A5465,A5464)-1)</f>
        <v/>
      </c>
      <c r="G5464" s="16" t="str">
        <f t="shared" si="186"/>
        <v/>
      </c>
      <c r="H5464" s="70" t="str">
        <f t="shared" si="187"/>
        <v/>
      </c>
    </row>
    <row r="5465" spans="1:8">
      <c r="A5465" s="2"/>
      <c r="B5465" s="12"/>
      <c r="C5465" s="12"/>
      <c r="E5465" t="str">
        <f>IF(LEN(D5465)=0,"",[1]!i_pq_tradedays($B$3,A5466,A5465)-1)</f>
        <v/>
      </c>
      <c r="G5465" s="16" t="str">
        <f t="shared" si="186"/>
        <v/>
      </c>
      <c r="H5465" s="70" t="str">
        <f t="shared" si="187"/>
        <v/>
      </c>
    </row>
    <row r="5466" spans="1:8">
      <c r="A5466" s="2"/>
      <c r="B5466" s="12"/>
      <c r="C5466" s="12"/>
      <c r="E5466" t="str">
        <f>IF(LEN(D5466)=0,"",[1]!i_pq_tradedays($B$3,A5467,A5466)-1)</f>
        <v/>
      </c>
      <c r="G5466" s="16" t="str">
        <f t="shared" si="186"/>
        <v/>
      </c>
      <c r="H5466" s="70" t="str">
        <f t="shared" si="187"/>
        <v/>
      </c>
    </row>
    <row r="5467" spans="1:8">
      <c r="A5467" s="2"/>
      <c r="B5467" s="12"/>
      <c r="C5467" s="12"/>
      <c r="E5467" t="str">
        <f>IF(LEN(D5467)=0,"",[1]!i_pq_tradedays($B$3,A5468,A5467)-1)</f>
        <v/>
      </c>
      <c r="G5467" s="16" t="str">
        <f t="shared" si="186"/>
        <v/>
      </c>
      <c r="H5467" s="70" t="str">
        <f t="shared" si="187"/>
        <v/>
      </c>
    </row>
    <row r="5468" spans="1:8">
      <c r="A5468" s="2"/>
      <c r="B5468" s="12"/>
      <c r="C5468" s="12"/>
      <c r="E5468" t="str">
        <f>IF(LEN(D5468)=0,"",[1]!i_pq_tradedays($B$3,A5469,A5468)-1)</f>
        <v/>
      </c>
      <c r="G5468" s="16" t="str">
        <f t="shared" si="186"/>
        <v/>
      </c>
      <c r="H5468" s="70" t="str">
        <f t="shared" si="187"/>
        <v/>
      </c>
    </row>
    <row r="5469" spans="1:8">
      <c r="A5469" s="2"/>
      <c r="B5469" s="12"/>
      <c r="C5469" s="12"/>
      <c r="E5469" t="str">
        <f>IF(LEN(D5469)=0,"",[1]!i_pq_tradedays($B$3,A5470,A5469)-1)</f>
        <v/>
      </c>
      <c r="G5469" s="16" t="str">
        <f t="shared" si="186"/>
        <v/>
      </c>
      <c r="H5469" s="70" t="str">
        <f t="shared" si="187"/>
        <v/>
      </c>
    </row>
    <row r="5470" spans="1:8">
      <c r="A5470" s="2"/>
      <c r="B5470" s="12"/>
      <c r="C5470" s="12"/>
      <c r="E5470" t="str">
        <f>IF(LEN(D5470)=0,"",[1]!i_pq_tradedays($B$3,A5471,A5470)-1)</f>
        <v/>
      </c>
      <c r="G5470" s="16" t="str">
        <f t="shared" si="186"/>
        <v/>
      </c>
      <c r="H5470" s="70" t="str">
        <f t="shared" si="187"/>
        <v/>
      </c>
    </row>
    <row r="5471" spans="1:8">
      <c r="A5471" s="2"/>
      <c r="B5471" s="12"/>
      <c r="C5471" s="12"/>
      <c r="E5471" t="str">
        <f>IF(LEN(D5471)=0,"",[1]!i_pq_tradedays($B$3,A5472,A5471)-1)</f>
        <v/>
      </c>
      <c r="G5471" s="16" t="str">
        <f t="shared" si="186"/>
        <v/>
      </c>
      <c r="H5471" s="70" t="str">
        <f t="shared" si="187"/>
        <v/>
      </c>
    </row>
    <row r="5472" spans="1:8">
      <c r="A5472" s="2"/>
      <c r="B5472" s="12"/>
      <c r="C5472" s="12"/>
      <c r="E5472" t="str">
        <f>IF(LEN(D5472)=0,"",[1]!i_pq_tradedays($B$3,A5473,A5472)-1)</f>
        <v/>
      </c>
      <c r="G5472" s="16" t="str">
        <f t="shared" si="186"/>
        <v/>
      </c>
      <c r="H5472" s="70" t="str">
        <f t="shared" si="187"/>
        <v/>
      </c>
    </row>
    <row r="5473" spans="1:8">
      <c r="A5473" s="2"/>
      <c r="B5473" s="12"/>
      <c r="C5473" s="12"/>
      <c r="E5473" t="str">
        <f>IF(LEN(D5473)=0,"",[1]!i_pq_tradedays($B$3,A5474,A5473)-1)</f>
        <v/>
      </c>
      <c r="G5473" s="16" t="str">
        <f t="shared" si="186"/>
        <v/>
      </c>
      <c r="H5473" s="70" t="str">
        <f t="shared" si="187"/>
        <v/>
      </c>
    </row>
    <row r="5474" spans="1:8">
      <c r="A5474" s="2"/>
      <c r="B5474" s="12"/>
      <c r="C5474" s="12"/>
      <c r="E5474" t="str">
        <f>IF(LEN(D5474)=0,"",[1]!i_pq_tradedays($B$3,A5475,A5474)-1)</f>
        <v/>
      </c>
      <c r="G5474" s="16" t="str">
        <f t="shared" si="186"/>
        <v/>
      </c>
      <c r="H5474" s="70" t="str">
        <f t="shared" si="187"/>
        <v/>
      </c>
    </row>
    <row r="5475" spans="1:8">
      <c r="A5475" s="2"/>
      <c r="B5475" s="12"/>
      <c r="C5475" s="12"/>
      <c r="E5475" t="str">
        <f>IF(LEN(D5475)=0,"",[1]!i_pq_tradedays($B$3,A5476,A5475)-1)</f>
        <v/>
      </c>
      <c r="G5475" s="16" t="str">
        <f t="shared" si="186"/>
        <v/>
      </c>
      <c r="H5475" s="70" t="str">
        <f t="shared" si="187"/>
        <v/>
      </c>
    </row>
    <row r="5476" spans="1:8">
      <c r="A5476" s="2"/>
      <c r="B5476" s="12"/>
      <c r="C5476" s="12"/>
      <c r="E5476" t="str">
        <f>IF(LEN(D5476)=0,"",[1]!i_pq_tradedays($B$3,A5477,A5476)-1)</f>
        <v/>
      </c>
      <c r="G5476" s="16" t="str">
        <f t="shared" si="186"/>
        <v/>
      </c>
      <c r="H5476" s="70" t="str">
        <f t="shared" si="187"/>
        <v/>
      </c>
    </row>
    <row r="5477" spans="1:8">
      <c r="A5477" s="2"/>
      <c r="B5477" s="12"/>
      <c r="C5477" s="12"/>
      <c r="E5477" t="str">
        <f>IF(LEN(D5477)=0,"",[1]!i_pq_tradedays($B$3,A5478,A5477)-1)</f>
        <v/>
      </c>
      <c r="G5477" s="16" t="str">
        <f t="shared" si="186"/>
        <v/>
      </c>
      <c r="H5477" s="70" t="str">
        <f t="shared" si="187"/>
        <v/>
      </c>
    </row>
    <row r="5478" spans="1:8">
      <c r="A5478" s="2"/>
      <c r="B5478" s="12"/>
      <c r="C5478" s="12"/>
      <c r="E5478" t="str">
        <f>IF(LEN(D5478)=0,"",[1]!i_pq_tradedays($B$3,A5479,A5478)-1)</f>
        <v/>
      </c>
      <c r="G5478" s="16" t="str">
        <f t="shared" si="186"/>
        <v/>
      </c>
      <c r="H5478" s="70" t="str">
        <f t="shared" si="187"/>
        <v/>
      </c>
    </row>
    <row r="5479" spans="1:8">
      <c r="A5479" s="2"/>
      <c r="B5479" s="12"/>
      <c r="C5479" s="12"/>
      <c r="E5479" t="str">
        <f>IF(LEN(D5479)=0,"",[1]!i_pq_tradedays($B$3,A5480,A5479)-1)</f>
        <v/>
      </c>
      <c r="G5479" s="16" t="str">
        <f t="shared" si="186"/>
        <v/>
      </c>
      <c r="H5479" s="70" t="str">
        <f t="shared" si="187"/>
        <v/>
      </c>
    </row>
    <row r="5480" spans="1:8">
      <c r="A5480" s="2"/>
      <c r="B5480" s="12"/>
      <c r="C5480" s="12"/>
      <c r="E5480" t="str">
        <f>IF(LEN(D5480)=0,"",[1]!i_pq_tradedays($B$3,A5481,A5480)-1)</f>
        <v/>
      </c>
      <c r="G5480" s="16" t="str">
        <f t="shared" si="186"/>
        <v/>
      </c>
      <c r="H5480" s="70" t="str">
        <f t="shared" si="187"/>
        <v/>
      </c>
    </row>
    <row r="5481" spans="1:8">
      <c r="A5481" s="2"/>
      <c r="B5481" s="12"/>
      <c r="C5481" s="12"/>
      <c r="E5481" t="str">
        <f>IF(LEN(D5481)=0,"",[1]!i_pq_tradedays($B$3,A5482,A5481)-1)</f>
        <v/>
      </c>
      <c r="G5481" s="16" t="str">
        <f t="shared" si="186"/>
        <v/>
      </c>
      <c r="H5481" s="70" t="str">
        <f t="shared" si="187"/>
        <v/>
      </c>
    </row>
    <row r="5482" spans="1:8">
      <c r="A5482" s="2"/>
      <c r="B5482" s="12"/>
      <c r="C5482" s="12"/>
      <c r="E5482" t="str">
        <f>IF(LEN(D5482)=0,"",[1]!i_pq_tradedays($B$3,A5483,A5482)-1)</f>
        <v/>
      </c>
      <c r="G5482" s="16" t="str">
        <f t="shared" si="186"/>
        <v/>
      </c>
      <c r="H5482" s="70" t="str">
        <f t="shared" si="187"/>
        <v/>
      </c>
    </row>
    <row r="5483" spans="1:8">
      <c r="A5483" s="2"/>
      <c r="B5483" s="12"/>
      <c r="C5483" s="12"/>
      <c r="E5483" t="str">
        <f>IF(LEN(D5483)=0,"",[1]!i_pq_tradedays($B$3,A5484,A5483)-1)</f>
        <v/>
      </c>
      <c r="G5483" s="16" t="str">
        <f t="shared" si="186"/>
        <v/>
      </c>
      <c r="H5483" s="70" t="str">
        <f t="shared" si="187"/>
        <v/>
      </c>
    </row>
    <row r="5484" spans="1:8">
      <c r="A5484" s="2"/>
      <c r="B5484" s="12"/>
      <c r="C5484" s="12"/>
      <c r="E5484" t="str">
        <f>IF(LEN(D5484)=0,"",[1]!i_pq_tradedays($B$3,A5485,A5484)-1)</f>
        <v/>
      </c>
      <c r="G5484" s="16" t="str">
        <f t="shared" si="186"/>
        <v/>
      </c>
      <c r="H5484" s="70" t="str">
        <f t="shared" si="187"/>
        <v/>
      </c>
    </row>
    <row r="5485" spans="1:8">
      <c r="A5485" s="2"/>
      <c r="B5485" s="12"/>
      <c r="C5485" s="12"/>
      <c r="E5485" t="str">
        <f>IF(LEN(D5485)=0,"",[1]!i_pq_tradedays($B$3,A5486,A5485)-1)</f>
        <v/>
      </c>
      <c r="G5485" s="16" t="str">
        <f t="shared" si="186"/>
        <v/>
      </c>
      <c r="H5485" s="70" t="str">
        <f t="shared" si="187"/>
        <v/>
      </c>
    </row>
    <row r="5486" spans="1:8">
      <c r="A5486" s="2"/>
      <c r="B5486" s="12"/>
      <c r="C5486" s="12"/>
      <c r="E5486" t="str">
        <f>IF(LEN(D5486)=0,"",[1]!i_pq_tradedays($B$3,A5487,A5486)-1)</f>
        <v/>
      </c>
      <c r="G5486" s="16" t="str">
        <f t="shared" si="186"/>
        <v/>
      </c>
      <c r="H5486" s="70" t="str">
        <f t="shared" si="187"/>
        <v/>
      </c>
    </row>
    <row r="5487" spans="1:8">
      <c r="A5487" s="2"/>
      <c r="B5487" s="12"/>
      <c r="C5487" s="12"/>
      <c r="E5487" t="str">
        <f>IF(LEN(D5487)=0,"",[1]!i_pq_tradedays($B$3,A5488,A5487)-1)</f>
        <v/>
      </c>
      <c r="G5487" s="16" t="str">
        <f t="shared" si="186"/>
        <v/>
      </c>
      <c r="H5487" s="70" t="str">
        <f t="shared" si="187"/>
        <v/>
      </c>
    </row>
    <row r="5488" spans="1:8">
      <c r="A5488" s="2"/>
      <c r="B5488" s="12"/>
      <c r="C5488" s="12"/>
      <c r="E5488" t="str">
        <f>IF(LEN(D5488)=0,"",[1]!i_pq_tradedays($B$3,A5489,A5488)-1)</f>
        <v/>
      </c>
      <c r="G5488" s="16" t="str">
        <f t="shared" si="186"/>
        <v/>
      </c>
      <c r="H5488" s="70" t="str">
        <f t="shared" si="187"/>
        <v/>
      </c>
    </row>
    <row r="5489" spans="1:8">
      <c r="A5489" s="2"/>
      <c r="B5489" s="12"/>
      <c r="C5489" s="12"/>
      <c r="E5489" t="str">
        <f>IF(LEN(D5489)=0,"",[1]!i_pq_tradedays($B$3,A5490,A5489)-1)</f>
        <v/>
      </c>
      <c r="G5489" s="16" t="str">
        <f t="shared" si="186"/>
        <v/>
      </c>
      <c r="H5489" s="70" t="str">
        <f t="shared" si="187"/>
        <v/>
      </c>
    </row>
    <row r="5490" spans="1:8">
      <c r="A5490" s="2"/>
      <c r="B5490" s="12"/>
      <c r="C5490" s="12"/>
      <c r="E5490" t="str">
        <f>IF(LEN(D5490)=0,"",[1]!i_pq_tradedays($B$3,A5491,A5490)-1)</f>
        <v/>
      </c>
      <c r="G5490" s="16" t="str">
        <f t="shared" si="186"/>
        <v/>
      </c>
      <c r="H5490" s="70" t="str">
        <f t="shared" si="187"/>
        <v/>
      </c>
    </row>
    <row r="5491" spans="1:8">
      <c r="A5491" s="2"/>
      <c r="B5491" s="12"/>
      <c r="C5491" s="12"/>
      <c r="E5491" t="str">
        <f>IF(LEN(D5491)=0,"",[1]!i_pq_tradedays($B$3,A5492,A5491)-1)</f>
        <v/>
      </c>
      <c r="G5491" s="16" t="str">
        <f t="shared" si="186"/>
        <v/>
      </c>
      <c r="H5491" s="70" t="str">
        <f t="shared" si="187"/>
        <v/>
      </c>
    </row>
    <row r="5492" spans="1:8">
      <c r="A5492" s="2"/>
      <c r="B5492" s="12"/>
      <c r="C5492" s="12"/>
      <c r="E5492" t="str">
        <f>IF(LEN(D5492)=0,"",[1]!i_pq_tradedays($B$3,A5493,A5492)-1)</f>
        <v/>
      </c>
      <c r="G5492" s="16" t="str">
        <f t="shared" si="186"/>
        <v/>
      </c>
      <c r="H5492" s="70" t="str">
        <f t="shared" si="187"/>
        <v/>
      </c>
    </row>
    <row r="5493" spans="1:8">
      <c r="A5493" s="2"/>
      <c r="B5493" s="12"/>
      <c r="C5493" s="12"/>
      <c r="E5493" t="str">
        <f>IF(LEN(D5493)=0,"",[1]!i_pq_tradedays($B$3,A5494,A5493)-1)</f>
        <v/>
      </c>
      <c r="G5493" s="16" t="str">
        <f t="shared" ref="G5493:G5556" si="188">IF(LEN(D5493)=0,"",D5493/E5493)</f>
        <v/>
      </c>
      <c r="H5493" s="70" t="str">
        <f t="shared" ref="H5493:H5556" si="189">IF(LEN(D5493)=0,"",G5493/G5494-1)</f>
        <v/>
      </c>
    </row>
    <row r="5494" spans="1:8">
      <c r="A5494" s="2"/>
      <c r="B5494" s="12"/>
      <c r="C5494" s="12"/>
      <c r="E5494" t="str">
        <f>IF(LEN(D5494)=0,"",[1]!i_pq_tradedays($B$3,A5495,A5494)-1)</f>
        <v/>
      </c>
      <c r="G5494" s="16" t="str">
        <f t="shared" si="188"/>
        <v/>
      </c>
      <c r="H5494" s="70" t="str">
        <f t="shared" si="189"/>
        <v/>
      </c>
    </row>
    <row r="5495" spans="1:8">
      <c r="A5495" s="2"/>
      <c r="B5495" s="12"/>
      <c r="C5495" s="12"/>
      <c r="E5495" t="str">
        <f>IF(LEN(D5495)=0,"",[1]!i_pq_tradedays($B$3,A5496,A5495)-1)</f>
        <v/>
      </c>
      <c r="G5495" s="16" t="str">
        <f t="shared" si="188"/>
        <v/>
      </c>
      <c r="H5495" s="70" t="str">
        <f t="shared" si="189"/>
        <v/>
      </c>
    </row>
    <row r="5496" spans="1:8">
      <c r="A5496" s="2"/>
      <c r="B5496" s="12"/>
      <c r="C5496" s="12"/>
      <c r="E5496" t="str">
        <f>IF(LEN(D5496)=0,"",[1]!i_pq_tradedays($B$3,A5497,A5496)-1)</f>
        <v/>
      </c>
      <c r="G5496" s="16" t="str">
        <f t="shared" si="188"/>
        <v/>
      </c>
      <c r="H5496" s="70" t="str">
        <f t="shared" si="189"/>
        <v/>
      </c>
    </row>
    <row r="5497" spans="1:8">
      <c r="A5497" s="2"/>
      <c r="B5497" s="12"/>
      <c r="C5497" s="12"/>
      <c r="E5497" t="str">
        <f>IF(LEN(D5497)=0,"",[1]!i_pq_tradedays($B$3,A5498,A5497)-1)</f>
        <v/>
      </c>
      <c r="G5497" s="16" t="str">
        <f t="shared" si="188"/>
        <v/>
      </c>
      <c r="H5497" s="70" t="str">
        <f t="shared" si="189"/>
        <v/>
      </c>
    </row>
    <row r="5498" spans="1:8">
      <c r="A5498" s="2"/>
      <c r="B5498" s="12"/>
      <c r="C5498" s="12"/>
      <c r="E5498" t="str">
        <f>IF(LEN(D5498)=0,"",[1]!i_pq_tradedays($B$3,A5499,A5498)-1)</f>
        <v/>
      </c>
      <c r="G5498" s="16" t="str">
        <f t="shared" si="188"/>
        <v/>
      </c>
      <c r="H5498" s="70" t="str">
        <f t="shared" si="189"/>
        <v/>
      </c>
    </row>
    <row r="5499" spans="1:8">
      <c r="A5499" s="2"/>
      <c r="B5499" s="12"/>
      <c r="C5499" s="12"/>
      <c r="E5499" t="str">
        <f>IF(LEN(D5499)=0,"",[1]!i_pq_tradedays($B$3,A5500,A5499)-1)</f>
        <v/>
      </c>
      <c r="G5499" s="16" t="str">
        <f t="shared" si="188"/>
        <v/>
      </c>
      <c r="H5499" s="70" t="str">
        <f t="shared" si="189"/>
        <v/>
      </c>
    </row>
    <row r="5500" spans="1:8">
      <c r="A5500" s="2"/>
      <c r="B5500" s="12"/>
      <c r="C5500" s="12"/>
      <c r="E5500" t="str">
        <f>IF(LEN(D5500)=0,"",[1]!i_pq_tradedays($B$3,A5501,A5500)-1)</f>
        <v/>
      </c>
      <c r="G5500" s="16" t="str">
        <f t="shared" si="188"/>
        <v/>
      </c>
      <c r="H5500" s="70" t="str">
        <f t="shared" si="189"/>
        <v/>
      </c>
    </row>
    <row r="5501" spans="1:8">
      <c r="A5501" s="2"/>
      <c r="B5501" s="12"/>
      <c r="C5501" s="12"/>
      <c r="E5501" t="str">
        <f>IF(LEN(D5501)=0,"",[1]!i_pq_tradedays($B$3,A5502,A5501)-1)</f>
        <v/>
      </c>
      <c r="G5501" s="16" t="str">
        <f t="shared" si="188"/>
        <v/>
      </c>
      <c r="H5501" s="70" t="str">
        <f t="shared" si="189"/>
        <v/>
      </c>
    </row>
    <row r="5502" spans="1:8">
      <c r="A5502" s="2"/>
      <c r="B5502" s="12"/>
      <c r="C5502" s="12"/>
      <c r="E5502" t="str">
        <f>IF(LEN(D5502)=0,"",[1]!i_pq_tradedays($B$3,A5503,A5502)-1)</f>
        <v/>
      </c>
      <c r="G5502" s="16" t="str">
        <f t="shared" si="188"/>
        <v/>
      </c>
      <c r="H5502" s="70" t="str">
        <f t="shared" si="189"/>
        <v/>
      </c>
    </row>
    <row r="5503" spans="1:8">
      <c r="A5503" s="2"/>
      <c r="B5503" s="12"/>
      <c r="C5503" s="12"/>
      <c r="E5503" t="str">
        <f>IF(LEN(D5503)=0,"",[1]!i_pq_tradedays($B$3,A5504,A5503)-1)</f>
        <v/>
      </c>
      <c r="G5503" s="16" t="str">
        <f t="shared" si="188"/>
        <v/>
      </c>
      <c r="H5503" s="70" t="str">
        <f t="shared" si="189"/>
        <v/>
      </c>
    </row>
    <row r="5504" spans="1:8">
      <c r="A5504" s="2"/>
      <c r="B5504" s="12"/>
      <c r="C5504" s="12"/>
      <c r="E5504" t="str">
        <f>IF(LEN(D5504)=0,"",[1]!i_pq_tradedays($B$3,A5505,A5504)-1)</f>
        <v/>
      </c>
      <c r="G5504" s="16" t="str">
        <f t="shared" si="188"/>
        <v/>
      </c>
      <c r="H5504" s="70" t="str">
        <f t="shared" si="189"/>
        <v/>
      </c>
    </row>
    <row r="5505" spans="1:8">
      <c r="A5505" s="2"/>
      <c r="B5505" s="12"/>
      <c r="C5505" s="12"/>
      <c r="E5505" t="str">
        <f>IF(LEN(D5505)=0,"",[1]!i_pq_tradedays($B$3,A5506,A5505)-1)</f>
        <v/>
      </c>
      <c r="G5505" s="16" t="str">
        <f t="shared" si="188"/>
        <v/>
      </c>
      <c r="H5505" s="70" t="str">
        <f t="shared" si="189"/>
        <v/>
      </c>
    </row>
    <row r="5506" spans="1:8">
      <c r="A5506" s="2"/>
      <c r="B5506" s="12"/>
      <c r="C5506" s="12"/>
      <c r="E5506" t="str">
        <f>IF(LEN(D5506)=0,"",[1]!i_pq_tradedays($B$3,A5507,A5506)-1)</f>
        <v/>
      </c>
      <c r="G5506" s="16" t="str">
        <f t="shared" si="188"/>
        <v/>
      </c>
      <c r="H5506" s="70" t="str">
        <f t="shared" si="189"/>
        <v/>
      </c>
    </row>
    <row r="5507" spans="1:8">
      <c r="A5507" s="2"/>
      <c r="B5507" s="12"/>
      <c r="C5507" s="12"/>
      <c r="E5507" t="str">
        <f>IF(LEN(D5507)=0,"",[1]!i_pq_tradedays($B$3,A5508,A5507)-1)</f>
        <v/>
      </c>
      <c r="G5507" s="16" t="str">
        <f t="shared" si="188"/>
        <v/>
      </c>
      <c r="H5507" s="70" t="str">
        <f t="shared" si="189"/>
        <v/>
      </c>
    </row>
    <row r="5508" spans="1:8">
      <c r="A5508" s="2"/>
      <c r="B5508" s="12"/>
      <c r="C5508" s="12"/>
      <c r="E5508" t="str">
        <f>IF(LEN(D5508)=0,"",[1]!i_pq_tradedays($B$3,A5509,A5508)-1)</f>
        <v/>
      </c>
      <c r="G5508" s="16" t="str">
        <f t="shared" si="188"/>
        <v/>
      </c>
      <c r="H5508" s="70" t="str">
        <f t="shared" si="189"/>
        <v/>
      </c>
    </row>
    <row r="5509" spans="1:8">
      <c r="A5509" s="2"/>
      <c r="B5509" s="12"/>
      <c r="C5509" s="12"/>
      <c r="E5509" t="str">
        <f>IF(LEN(D5509)=0,"",[1]!i_pq_tradedays($B$3,A5510,A5509)-1)</f>
        <v/>
      </c>
      <c r="G5509" s="16" t="str">
        <f t="shared" si="188"/>
        <v/>
      </c>
      <c r="H5509" s="70" t="str">
        <f t="shared" si="189"/>
        <v/>
      </c>
    </row>
    <row r="5510" spans="1:8">
      <c r="A5510" s="2"/>
      <c r="B5510" s="12"/>
      <c r="C5510" s="12"/>
      <c r="E5510" t="str">
        <f>IF(LEN(D5510)=0,"",[1]!i_pq_tradedays($B$3,A5511,A5510)-1)</f>
        <v/>
      </c>
      <c r="G5510" s="16" t="str">
        <f t="shared" si="188"/>
        <v/>
      </c>
      <c r="H5510" s="70" t="str">
        <f t="shared" si="189"/>
        <v/>
      </c>
    </row>
    <row r="5511" spans="1:8">
      <c r="A5511" s="2"/>
      <c r="B5511" s="12"/>
      <c r="C5511" s="12"/>
      <c r="E5511" t="str">
        <f>IF(LEN(D5511)=0,"",[1]!i_pq_tradedays($B$3,A5512,A5511)-1)</f>
        <v/>
      </c>
      <c r="G5511" s="16" t="str">
        <f t="shared" si="188"/>
        <v/>
      </c>
      <c r="H5511" s="70" t="str">
        <f t="shared" si="189"/>
        <v/>
      </c>
    </row>
    <row r="5512" spans="1:8">
      <c r="A5512" s="2"/>
      <c r="B5512" s="12"/>
      <c r="C5512" s="12"/>
      <c r="E5512" t="str">
        <f>IF(LEN(D5512)=0,"",[1]!i_pq_tradedays($B$3,A5513,A5512)-1)</f>
        <v/>
      </c>
      <c r="G5512" s="16" t="str">
        <f t="shared" si="188"/>
        <v/>
      </c>
      <c r="H5512" s="70" t="str">
        <f t="shared" si="189"/>
        <v/>
      </c>
    </row>
    <row r="5513" spans="1:8">
      <c r="A5513" s="2"/>
      <c r="B5513" s="12"/>
      <c r="C5513" s="12"/>
      <c r="E5513" t="str">
        <f>IF(LEN(D5513)=0,"",[1]!i_pq_tradedays($B$3,A5514,A5513)-1)</f>
        <v/>
      </c>
      <c r="G5513" s="16" t="str">
        <f t="shared" si="188"/>
        <v/>
      </c>
      <c r="H5513" s="70" t="str">
        <f t="shared" si="189"/>
        <v/>
      </c>
    </row>
    <row r="5514" spans="1:8">
      <c r="A5514" s="2"/>
      <c r="B5514" s="12"/>
      <c r="C5514" s="12"/>
      <c r="E5514" t="str">
        <f>IF(LEN(D5514)=0,"",[1]!i_pq_tradedays($B$3,A5515,A5514)-1)</f>
        <v/>
      </c>
      <c r="G5514" s="16" t="str">
        <f t="shared" si="188"/>
        <v/>
      </c>
      <c r="H5514" s="70" t="str">
        <f t="shared" si="189"/>
        <v/>
      </c>
    </row>
    <row r="5515" spans="1:8">
      <c r="A5515" s="2"/>
      <c r="B5515" s="12"/>
      <c r="C5515" s="12"/>
      <c r="E5515" t="str">
        <f>IF(LEN(D5515)=0,"",[1]!i_pq_tradedays($B$3,A5516,A5515)-1)</f>
        <v/>
      </c>
      <c r="G5515" s="16" t="str">
        <f t="shared" si="188"/>
        <v/>
      </c>
      <c r="H5515" s="70" t="str">
        <f t="shared" si="189"/>
        <v/>
      </c>
    </row>
    <row r="5516" spans="1:8">
      <c r="A5516" s="2"/>
      <c r="B5516" s="12"/>
      <c r="C5516" s="12"/>
      <c r="E5516" t="str">
        <f>IF(LEN(D5516)=0,"",[1]!i_pq_tradedays($B$3,A5517,A5516)-1)</f>
        <v/>
      </c>
      <c r="G5516" s="16" t="str">
        <f t="shared" si="188"/>
        <v/>
      </c>
      <c r="H5516" s="70" t="str">
        <f t="shared" si="189"/>
        <v/>
      </c>
    </row>
    <row r="5517" spans="1:8">
      <c r="A5517" s="2"/>
      <c r="B5517" s="12"/>
      <c r="C5517" s="12"/>
      <c r="E5517" t="str">
        <f>IF(LEN(D5517)=0,"",[1]!i_pq_tradedays($B$3,A5518,A5517)-1)</f>
        <v/>
      </c>
      <c r="G5517" s="16" t="str">
        <f t="shared" si="188"/>
        <v/>
      </c>
      <c r="H5517" s="70" t="str">
        <f t="shared" si="189"/>
        <v/>
      </c>
    </row>
    <row r="5518" spans="1:8">
      <c r="A5518" s="2"/>
      <c r="B5518" s="12"/>
      <c r="C5518" s="12"/>
      <c r="E5518" t="str">
        <f>IF(LEN(D5518)=0,"",[1]!i_pq_tradedays($B$3,A5519,A5518)-1)</f>
        <v/>
      </c>
      <c r="G5518" s="16" t="str">
        <f t="shared" si="188"/>
        <v/>
      </c>
      <c r="H5518" s="70" t="str">
        <f t="shared" si="189"/>
        <v/>
      </c>
    </row>
    <row r="5519" spans="1:8">
      <c r="A5519" s="2"/>
      <c r="B5519" s="12"/>
      <c r="C5519" s="12"/>
      <c r="E5519" t="str">
        <f>IF(LEN(D5519)=0,"",[1]!i_pq_tradedays($B$3,A5520,A5519)-1)</f>
        <v/>
      </c>
      <c r="G5519" s="16" t="str">
        <f t="shared" si="188"/>
        <v/>
      </c>
      <c r="H5519" s="70" t="str">
        <f t="shared" si="189"/>
        <v/>
      </c>
    </row>
    <row r="5520" spans="1:8">
      <c r="A5520" s="2"/>
      <c r="B5520" s="12"/>
      <c r="C5520" s="12"/>
      <c r="E5520" t="str">
        <f>IF(LEN(D5520)=0,"",[1]!i_pq_tradedays($B$3,A5521,A5520)-1)</f>
        <v/>
      </c>
      <c r="G5520" s="16" t="str">
        <f t="shared" si="188"/>
        <v/>
      </c>
      <c r="H5520" s="70" t="str">
        <f t="shared" si="189"/>
        <v/>
      </c>
    </row>
    <row r="5521" spans="1:8">
      <c r="A5521" s="2"/>
      <c r="B5521" s="12"/>
      <c r="C5521" s="12"/>
      <c r="E5521" t="str">
        <f>IF(LEN(D5521)=0,"",[1]!i_pq_tradedays($B$3,A5522,A5521)-1)</f>
        <v/>
      </c>
      <c r="G5521" s="16" t="str">
        <f t="shared" si="188"/>
        <v/>
      </c>
      <c r="H5521" s="70" t="str">
        <f t="shared" si="189"/>
        <v/>
      </c>
    </row>
    <row r="5522" spans="1:8">
      <c r="A5522" s="2"/>
      <c r="B5522" s="12"/>
      <c r="C5522" s="12"/>
      <c r="E5522" t="str">
        <f>IF(LEN(D5522)=0,"",[1]!i_pq_tradedays($B$3,A5523,A5522)-1)</f>
        <v/>
      </c>
      <c r="G5522" s="16" t="str">
        <f t="shared" si="188"/>
        <v/>
      </c>
      <c r="H5522" s="70" t="str">
        <f t="shared" si="189"/>
        <v/>
      </c>
    </row>
    <row r="5523" spans="1:8">
      <c r="A5523" s="2"/>
      <c r="B5523" s="12"/>
      <c r="C5523" s="12"/>
      <c r="E5523" t="str">
        <f>IF(LEN(D5523)=0,"",[1]!i_pq_tradedays($B$3,A5524,A5523)-1)</f>
        <v/>
      </c>
      <c r="G5523" s="16" t="str">
        <f t="shared" si="188"/>
        <v/>
      </c>
      <c r="H5523" s="70" t="str">
        <f t="shared" si="189"/>
        <v/>
      </c>
    </row>
    <row r="5524" spans="1:8">
      <c r="A5524" s="2"/>
      <c r="B5524" s="12"/>
      <c r="C5524" s="12"/>
      <c r="E5524" t="str">
        <f>IF(LEN(D5524)=0,"",[1]!i_pq_tradedays($B$3,A5525,A5524)-1)</f>
        <v/>
      </c>
      <c r="G5524" s="16" t="str">
        <f t="shared" si="188"/>
        <v/>
      </c>
      <c r="H5524" s="70" t="str">
        <f t="shared" si="189"/>
        <v/>
      </c>
    </row>
    <row r="5525" spans="1:8">
      <c r="A5525" s="2"/>
      <c r="B5525" s="12"/>
      <c r="C5525" s="12"/>
      <c r="E5525" t="str">
        <f>IF(LEN(D5525)=0,"",[1]!i_pq_tradedays($B$3,A5526,A5525)-1)</f>
        <v/>
      </c>
      <c r="G5525" s="16" t="str">
        <f t="shared" si="188"/>
        <v/>
      </c>
      <c r="H5525" s="70" t="str">
        <f t="shared" si="189"/>
        <v/>
      </c>
    </row>
    <row r="5526" spans="1:8">
      <c r="A5526" s="2"/>
      <c r="B5526" s="12"/>
      <c r="C5526" s="12"/>
      <c r="E5526" t="str">
        <f>IF(LEN(D5526)=0,"",[1]!i_pq_tradedays($B$3,A5527,A5526)-1)</f>
        <v/>
      </c>
      <c r="G5526" s="16" t="str">
        <f t="shared" si="188"/>
        <v/>
      </c>
      <c r="H5526" s="70" t="str">
        <f t="shared" si="189"/>
        <v/>
      </c>
    </row>
    <row r="5527" spans="1:8">
      <c r="A5527" s="2"/>
      <c r="B5527" s="12"/>
      <c r="C5527" s="12"/>
      <c r="E5527" t="str">
        <f>IF(LEN(D5527)=0,"",[1]!i_pq_tradedays($B$3,A5528,A5527)-1)</f>
        <v/>
      </c>
      <c r="G5527" s="16" t="str">
        <f t="shared" si="188"/>
        <v/>
      </c>
      <c r="H5527" s="70" t="str">
        <f t="shared" si="189"/>
        <v/>
      </c>
    </row>
    <row r="5528" spans="1:8">
      <c r="A5528" s="2"/>
      <c r="B5528" s="12"/>
      <c r="C5528" s="12"/>
      <c r="E5528" t="str">
        <f>IF(LEN(D5528)=0,"",[1]!i_pq_tradedays($B$3,A5529,A5528)-1)</f>
        <v/>
      </c>
      <c r="G5528" s="16" t="str">
        <f t="shared" si="188"/>
        <v/>
      </c>
      <c r="H5528" s="70" t="str">
        <f t="shared" si="189"/>
        <v/>
      </c>
    </row>
    <row r="5529" spans="1:8">
      <c r="A5529" s="2"/>
      <c r="B5529" s="12"/>
      <c r="C5529" s="12"/>
      <c r="E5529" t="str">
        <f>IF(LEN(D5529)=0,"",[1]!i_pq_tradedays($B$3,A5530,A5529)-1)</f>
        <v/>
      </c>
      <c r="G5529" s="16" t="str">
        <f t="shared" si="188"/>
        <v/>
      </c>
      <c r="H5529" s="70" t="str">
        <f t="shared" si="189"/>
        <v/>
      </c>
    </row>
    <row r="5530" spans="1:8">
      <c r="A5530" s="2"/>
      <c r="B5530" s="12"/>
      <c r="C5530" s="12"/>
      <c r="E5530" t="str">
        <f>IF(LEN(D5530)=0,"",[1]!i_pq_tradedays($B$3,A5531,A5530)-1)</f>
        <v/>
      </c>
      <c r="G5530" s="16" t="str">
        <f t="shared" si="188"/>
        <v/>
      </c>
      <c r="H5530" s="70" t="str">
        <f t="shared" si="189"/>
        <v/>
      </c>
    </row>
    <row r="5531" spans="1:8">
      <c r="A5531" s="2"/>
      <c r="B5531" s="12"/>
      <c r="C5531" s="12"/>
      <c r="E5531" t="str">
        <f>IF(LEN(D5531)=0,"",[1]!i_pq_tradedays($B$3,A5532,A5531)-1)</f>
        <v/>
      </c>
      <c r="G5531" s="16" t="str">
        <f t="shared" si="188"/>
        <v/>
      </c>
      <c r="H5531" s="70" t="str">
        <f t="shared" si="189"/>
        <v/>
      </c>
    </row>
    <row r="5532" spans="1:8">
      <c r="A5532" s="2"/>
      <c r="B5532" s="12"/>
      <c r="C5532" s="12"/>
      <c r="E5532" t="str">
        <f>IF(LEN(D5532)=0,"",[1]!i_pq_tradedays($B$3,A5533,A5532)-1)</f>
        <v/>
      </c>
      <c r="G5532" s="16" t="str">
        <f t="shared" si="188"/>
        <v/>
      </c>
      <c r="H5532" s="70" t="str">
        <f t="shared" si="189"/>
        <v/>
      </c>
    </row>
    <row r="5533" spans="1:8">
      <c r="A5533" s="2"/>
      <c r="B5533" s="12"/>
      <c r="C5533" s="12"/>
      <c r="E5533" t="str">
        <f>IF(LEN(D5533)=0,"",[1]!i_pq_tradedays($B$3,A5534,A5533)-1)</f>
        <v/>
      </c>
      <c r="G5533" s="16" t="str">
        <f t="shared" si="188"/>
        <v/>
      </c>
      <c r="H5533" s="70" t="str">
        <f t="shared" si="189"/>
        <v/>
      </c>
    </row>
    <row r="5534" spans="1:8">
      <c r="A5534" s="2"/>
      <c r="B5534" s="12"/>
      <c r="C5534" s="12"/>
      <c r="E5534" t="str">
        <f>IF(LEN(D5534)=0,"",[1]!i_pq_tradedays($B$3,A5535,A5534)-1)</f>
        <v/>
      </c>
      <c r="G5534" s="16" t="str">
        <f t="shared" si="188"/>
        <v/>
      </c>
      <c r="H5534" s="70" t="str">
        <f t="shared" si="189"/>
        <v/>
      </c>
    </row>
    <row r="5535" spans="1:8">
      <c r="A5535" s="2"/>
      <c r="B5535" s="12"/>
      <c r="C5535" s="12"/>
      <c r="E5535" t="str">
        <f>IF(LEN(D5535)=0,"",[1]!i_pq_tradedays($B$3,A5536,A5535)-1)</f>
        <v/>
      </c>
      <c r="G5535" s="16" t="str">
        <f t="shared" si="188"/>
        <v/>
      </c>
      <c r="H5535" s="70" t="str">
        <f t="shared" si="189"/>
        <v/>
      </c>
    </row>
    <row r="5536" spans="1:8">
      <c r="A5536" s="2"/>
      <c r="B5536" s="12"/>
      <c r="C5536" s="12"/>
      <c r="E5536" t="str">
        <f>IF(LEN(D5536)=0,"",[1]!i_pq_tradedays($B$3,A5537,A5536)-1)</f>
        <v/>
      </c>
      <c r="G5536" s="16" t="str">
        <f t="shared" si="188"/>
        <v/>
      </c>
      <c r="H5536" s="70" t="str">
        <f t="shared" si="189"/>
        <v/>
      </c>
    </row>
    <row r="5537" spans="1:8">
      <c r="A5537" s="2"/>
      <c r="B5537" s="12"/>
      <c r="C5537" s="12"/>
      <c r="E5537" t="str">
        <f>IF(LEN(D5537)=0,"",[1]!i_pq_tradedays($B$3,A5538,A5537)-1)</f>
        <v/>
      </c>
      <c r="G5537" s="16" t="str">
        <f t="shared" si="188"/>
        <v/>
      </c>
      <c r="H5537" s="70" t="str">
        <f t="shared" si="189"/>
        <v/>
      </c>
    </row>
    <row r="5538" spans="1:8">
      <c r="A5538" s="2"/>
      <c r="B5538" s="12"/>
      <c r="C5538" s="12"/>
      <c r="E5538" t="str">
        <f>IF(LEN(D5538)=0,"",[1]!i_pq_tradedays($B$3,A5539,A5538)-1)</f>
        <v/>
      </c>
      <c r="G5538" s="16" t="str">
        <f t="shared" si="188"/>
        <v/>
      </c>
      <c r="H5538" s="70" t="str">
        <f t="shared" si="189"/>
        <v/>
      </c>
    </row>
    <row r="5539" spans="1:8">
      <c r="A5539" s="2"/>
      <c r="B5539" s="12"/>
      <c r="C5539" s="12"/>
      <c r="E5539" t="str">
        <f>IF(LEN(D5539)=0,"",[1]!i_pq_tradedays($B$3,A5540,A5539)-1)</f>
        <v/>
      </c>
      <c r="G5539" s="16" t="str">
        <f t="shared" si="188"/>
        <v/>
      </c>
      <c r="H5539" s="70" t="str">
        <f t="shared" si="189"/>
        <v/>
      </c>
    </row>
    <row r="5540" spans="1:8">
      <c r="A5540" s="2"/>
      <c r="B5540" s="12"/>
      <c r="C5540" s="12"/>
      <c r="E5540" t="str">
        <f>IF(LEN(D5540)=0,"",[1]!i_pq_tradedays($B$3,A5541,A5540)-1)</f>
        <v/>
      </c>
      <c r="G5540" s="16" t="str">
        <f t="shared" si="188"/>
        <v/>
      </c>
      <c r="H5540" s="70" t="str">
        <f t="shared" si="189"/>
        <v/>
      </c>
    </row>
    <row r="5541" spans="1:8">
      <c r="A5541" s="2"/>
      <c r="B5541" s="12"/>
      <c r="C5541" s="12"/>
      <c r="E5541" t="str">
        <f>IF(LEN(D5541)=0,"",[1]!i_pq_tradedays($B$3,A5542,A5541)-1)</f>
        <v/>
      </c>
      <c r="G5541" s="16" t="str">
        <f t="shared" si="188"/>
        <v/>
      </c>
      <c r="H5541" s="70" t="str">
        <f t="shared" si="189"/>
        <v/>
      </c>
    </row>
    <row r="5542" spans="1:8">
      <c r="A5542" s="2"/>
      <c r="B5542" s="12"/>
      <c r="C5542" s="12"/>
      <c r="E5542" t="str">
        <f>IF(LEN(D5542)=0,"",[1]!i_pq_tradedays($B$3,A5543,A5542)-1)</f>
        <v/>
      </c>
      <c r="G5542" s="16" t="str">
        <f t="shared" si="188"/>
        <v/>
      </c>
      <c r="H5542" s="70" t="str">
        <f t="shared" si="189"/>
        <v/>
      </c>
    </row>
    <row r="5543" spans="1:8">
      <c r="A5543" s="2"/>
      <c r="B5543" s="12"/>
      <c r="C5543" s="12"/>
      <c r="E5543" t="str">
        <f>IF(LEN(D5543)=0,"",[1]!i_pq_tradedays($B$3,A5544,A5543)-1)</f>
        <v/>
      </c>
      <c r="G5543" s="16" t="str">
        <f t="shared" si="188"/>
        <v/>
      </c>
      <c r="H5543" s="70" t="str">
        <f t="shared" si="189"/>
        <v/>
      </c>
    </row>
    <row r="5544" spans="1:8">
      <c r="A5544" s="2"/>
      <c r="B5544" s="12"/>
      <c r="C5544" s="12"/>
      <c r="E5544" t="str">
        <f>IF(LEN(D5544)=0,"",[1]!i_pq_tradedays($B$3,A5545,A5544)-1)</f>
        <v/>
      </c>
      <c r="G5544" s="16" t="str">
        <f t="shared" si="188"/>
        <v/>
      </c>
      <c r="H5544" s="70" t="str">
        <f t="shared" si="189"/>
        <v/>
      </c>
    </row>
    <row r="5545" spans="1:8">
      <c r="A5545" s="2"/>
      <c r="B5545" s="12"/>
      <c r="C5545" s="12"/>
      <c r="E5545" t="str">
        <f>IF(LEN(D5545)=0,"",[1]!i_pq_tradedays($B$3,A5546,A5545)-1)</f>
        <v/>
      </c>
      <c r="G5545" s="16" t="str">
        <f t="shared" si="188"/>
        <v/>
      </c>
      <c r="H5545" s="70" t="str">
        <f t="shared" si="189"/>
        <v/>
      </c>
    </row>
    <row r="5546" spans="1:8">
      <c r="A5546" s="2"/>
      <c r="B5546" s="12"/>
      <c r="C5546" s="12"/>
      <c r="E5546" t="str">
        <f>IF(LEN(D5546)=0,"",[1]!i_pq_tradedays($B$3,A5547,A5546)-1)</f>
        <v/>
      </c>
      <c r="G5546" s="16" t="str">
        <f t="shared" si="188"/>
        <v/>
      </c>
      <c r="H5546" s="70" t="str">
        <f t="shared" si="189"/>
        <v/>
      </c>
    </row>
    <row r="5547" spans="1:8">
      <c r="A5547" s="2"/>
      <c r="B5547" s="12"/>
      <c r="C5547" s="12"/>
      <c r="E5547" t="str">
        <f>IF(LEN(D5547)=0,"",[1]!i_pq_tradedays($B$3,A5548,A5547)-1)</f>
        <v/>
      </c>
      <c r="G5547" s="16" t="str">
        <f t="shared" si="188"/>
        <v/>
      </c>
      <c r="H5547" s="70" t="str">
        <f t="shared" si="189"/>
        <v/>
      </c>
    </row>
    <row r="5548" spans="1:8">
      <c r="A5548" s="2"/>
      <c r="B5548" s="12"/>
      <c r="C5548" s="12"/>
      <c r="E5548" t="str">
        <f>IF(LEN(D5548)=0,"",[1]!i_pq_tradedays($B$3,A5549,A5548)-1)</f>
        <v/>
      </c>
      <c r="G5548" s="16" t="str">
        <f t="shared" si="188"/>
        <v/>
      </c>
      <c r="H5548" s="70" t="str">
        <f t="shared" si="189"/>
        <v/>
      </c>
    </row>
    <row r="5549" spans="1:8">
      <c r="A5549" s="2"/>
      <c r="B5549" s="12"/>
      <c r="C5549" s="12"/>
      <c r="E5549" t="str">
        <f>IF(LEN(D5549)=0,"",[1]!i_pq_tradedays($B$3,A5550,A5549)-1)</f>
        <v/>
      </c>
      <c r="G5549" s="16" t="str">
        <f t="shared" si="188"/>
        <v/>
      </c>
      <c r="H5549" s="70" t="str">
        <f t="shared" si="189"/>
        <v/>
      </c>
    </row>
    <row r="5550" spans="1:8">
      <c r="A5550" s="2"/>
      <c r="B5550" s="12"/>
      <c r="C5550" s="12"/>
      <c r="E5550" t="str">
        <f>IF(LEN(D5550)=0,"",[1]!i_pq_tradedays($B$3,A5551,A5550)-1)</f>
        <v/>
      </c>
      <c r="G5550" s="16" t="str">
        <f t="shared" si="188"/>
        <v/>
      </c>
      <c r="H5550" s="70" t="str">
        <f t="shared" si="189"/>
        <v/>
      </c>
    </row>
    <row r="5551" spans="1:8">
      <c r="A5551" s="2"/>
      <c r="B5551" s="12"/>
      <c r="C5551" s="12"/>
      <c r="E5551" t="str">
        <f>IF(LEN(D5551)=0,"",[1]!i_pq_tradedays($B$3,A5552,A5551)-1)</f>
        <v/>
      </c>
      <c r="G5551" s="16" t="str">
        <f t="shared" si="188"/>
        <v/>
      </c>
      <c r="H5551" s="70" t="str">
        <f t="shared" si="189"/>
        <v/>
      </c>
    </row>
    <row r="5552" spans="1:8">
      <c r="A5552" s="2"/>
      <c r="B5552" s="12"/>
      <c r="C5552" s="12"/>
      <c r="E5552" t="str">
        <f>IF(LEN(D5552)=0,"",[1]!i_pq_tradedays($B$3,A5553,A5552)-1)</f>
        <v/>
      </c>
      <c r="G5552" s="16" t="str">
        <f t="shared" si="188"/>
        <v/>
      </c>
      <c r="H5552" s="70" t="str">
        <f t="shared" si="189"/>
        <v/>
      </c>
    </row>
    <row r="5553" spans="1:8">
      <c r="A5553" s="2"/>
      <c r="B5553" s="12"/>
      <c r="C5553" s="12"/>
      <c r="E5553" t="str">
        <f>IF(LEN(D5553)=0,"",[1]!i_pq_tradedays($B$3,A5554,A5553)-1)</f>
        <v/>
      </c>
      <c r="G5553" s="16" t="str">
        <f t="shared" si="188"/>
        <v/>
      </c>
      <c r="H5553" s="70" t="str">
        <f t="shared" si="189"/>
        <v/>
      </c>
    </row>
    <row r="5554" spans="1:8">
      <c r="A5554" s="2"/>
      <c r="B5554" s="12"/>
      <c r="C5554" s="12"/>
      <c r="E5554" t="str">
        <f>IF(LEN(D5554)=0,"",[1]!i_pq_tradedays($B$3,A5555,A5554)-1)</f>
        <v/>
      </c>
      <c r="G5554" s="16" t="str">
        <f t="shared" si="188"/>
        <v/>
      </c>
      <c r="H5554" s="70" t="str">
        <f t="shared" si="189"/>
        <v/>
      </c>
    </row>
    <row r="5555" spans="1:8">
      <c r="A5555" s="2"/>
      <c r="B5555" s="12"/>
      <c r="C5555" s="12"/>
      <c r="E5555" t="str">
        <f>IF(LEN(D5555)=0,"",[1]!i_pq_tradedays($B$3,A5556,A5555)-1)</f>
        <v/>
      </c>
      <c r="G5555" s="16" t="str">
        <f t="shared" si="188"/>
        <v/>
      </c>
      <c r="H5555" s="70" t="str">
        <f t="shared" si="189"/>
        <v/>
      </c>
    </row>
    <row r="5556" spans="1:8">
      <c r="A5556" s="2"/>
      <c r="B5556" s="12"/>
      <c r="C5556" s="12"/>
      <c r="E5556" t="str">
        <f>IF(LEN(D5556)=0,"",[1]!i_pq_tradedays($B$3,A5557,A5556)-1)</f>
        <v/>
      </c>
      <c r="G5556" s="16" t="str">
        <f t="shared" si="188"/>
        <v/>
      </c>
      <c r="H5556" s="70" t="str">
        <f t="shared" si="189"/>
        <v/>
      </c>
    </row>
    <row r="5557" spans="1:8">
      <c r="A5557" s="2"/>
      <c r="B5557" s="12"/>
      <c r="C5557" s="12"/>
      <c r="E5557" t="str">
        <f>IF(LEN(D5557)=0,"",[1]!i_pq_tradedays($B$3,A5558,A5557)-1)</f>
        <v/>
      </c>
      <c r="G5557" s="16" t="str">
        <f t="shared" ref="G5557:G5620" si="190">IF(LEN(D5557)=0,"",D5557/E5557)</f>
        <v/>
      </c>
      <c r="H5557" s="70" t="str">
        <f t="shared" ref="H5557:H5620" si="191">IF(LEN(D5557)=0,"",G5557/G5558-1)</f>
        <v/>
      </c>
    </row>
    <row r="5558" spans="1:8">
      <c r="A5558" s="2"/>
      <c r="B5558" s="12"/>
      <c r="C5558" s="12"/>
      <c r="E5558" t="str">
        <f>IF(LEN(D5558)=0,"",[1]!i_pq_tradedays($B$3,A5559,A5558)-1)</f>
        <v/>
      </c>
      <c r="G5558" s="16" t="str">
        <f t="shared" si="190"/>
        <v/>
      </c>
      <c r="H5558" s="70" t="str">
        <f t="shared" si="191"/>
        <v/>
      </c>
    </row>
    <row r="5559" spans="1:8">
      <c r="A5559" s="2"/>
      <c r="B5559" s="12"/>
      <c r="C5559" s="12"/>
      <c r="E5559" t="str">
        <f>IF(LEN(D5559)=0,"",[1]!i_pq_tradedays($B$3,A5560,A5559)-1)</f>
        <v/>
      </c>
      <c r="G5559" s="16" t="str">
        <f t="shared" si="190"/>
        <v/>
      </c>
      <c r="H5559" s="70" t="str">
        <f t="shared" si="191"/>
        <v/>
      </c>
    </row>
    <row r="5560" spans="1:8">
      <c r="A5560" s="2"/>
      <c r="B5560" s="12"/>
      <c r="C5560" s="12"/>
      <c r="E5560" t="str">
        <f>IF(LEN(D5560)=0,"",[1]!i_pq_tradedays($B$3,A5561,A5560)-1)</f>
        <v/>
      </c>
      <c r="G5560" s="16" t="str">
        <f t="shared" si="190"/>
        <v/>
      </c>
      <c r="H5560" s="70" t="str">
        <f t="shared" si="191"/>
        <v/>
      </c>
    </row>
    <row r="5561" spans="1:8">
      <c r="A5561" s="2"/>
      <c r="B5561" s="12"/>
      <c r="C5561" s="12"/>
      <c r="E5561" t="str">
        <f>IF(LEN(D5561)=0,"",[1]!i_pq_tradedays($B$3,A5562,A5561)-1)</f>
        <v/>
      </c>
      <c r="G5561" s="16" t="str">
        <f t="shared" si="190"/>
        <v/>
      </c>
      <c r="H5561" s="70" t="str">
        <f t="shared" si="191"/>
        <v/>
      </c>
    </row>
    <row r="5562" spans="1:8">
      <c r="A5562" s="2"/>
      <c r="B5562" s="12"/>
      <c r="C5562" s="12"/>
      <c r="E5562" t="str">
        <f>IF(LEN(D5562)=0,"",[1]!i_pq_tradedays($B$3,A5563,A5562)-1)</f>
        <v/>
      </c>
      <c r="G5562" s="16" t="str">
        <f t="shared" si="190"/>
        <v/>
      </c>
      <c r="H5562" s="70" t="str">
        <f t="shared" si="191"/>
        <v/>
      </c>
    </row>
    <row r="5563" spans="1:8">
      <c r="A5563" s="2"/>
      <c r="B5563" s="12"/>
      <c r="C5563" s="12"/>
      <c r="E5563" t="str">
        <f>IF(LEN(D5563)=0,"",[1]!i_pq_tradedays($B$3,A5564,A5563)-1)</f>
        <v/>
      </c>
      <c r="G5563" s="16" t="str">
        <f t="shared" si="190"/>
        <v/>
      </c>
      <c r="H5563" s="70" t="str">
        <f t="shared" si="191"/>
        <v/>
      </c>
    </row>
    <row r="5564" spans="1:8">
      <c r="A5564" s="2"/>
      <c r="B5564" s="12"/>
      <c r="C5564" s="12"/>
      <c r="E5564" t="str">
        <f>IF(LEN(D5564)=0,"",[1]!i_pq_tradedays($B$3,A5565,A5564)-1)</f>
        <v/>
      </c>
      <c r="G5564" s="16" t="str">
        <f t="shared" si="190"/>
        <v/>
      </c>
      <c r="H5564" s="70" t="str">
        <f t="shared" si="191"/>
        <v/>
      </c>
    </row>
    <row r="5565" spans="1:8">
      <c r="A5565" s="2"/>
      <c r="B5565" s="12"/>
      <c r="C5565" s="12"/>
      <c r="E5565" t="str">
        <f>IF(LEN(D5565)=0,"",[1]!i_pq_tradedays($B$3,A5566,A5565)-1)</f>
        <v/>
      </c>
      <c r="G5565" s="16" t="str">
        <f t="shared" si="190"/>
        <v/>
      </c>
      <c r="H5565" s="70" t="str">
        <f t="shared" si="191"/>
        <v/>
      </c>
    </row>
    <row r="5566" spans="1:8">
      <c r="A5566" s="2"/>
      <c r="B5566" s="12"/>
      <c r="C5566" s="12"/>
      <c r="E5566" t="str">
        <f>IF(LEN(D5566)=0,"",[1]!i_pq_tradedays($B$3,A5567,A5566)-1)</f>
        <v/>
      </c>
      <c r="G5566" s="16" t="str">
        <f t="shared" si="190"/>
        <v/>
      </c>
      <c r="H5566" s="70" t="str">
        <f t="shared" si="191"/>
        <v/>
      </c>
    </row>
    <row r="5567" spans="1:8">
      <c r="A5567" s="2"/>
      <c r="B5567" s="12"/>
      <c r="C5567" s="12"/>
      <c r="E5567" t="str">
        <f>IF(LEN(D5567)=0,"",[1]!i_pq_tradedays($B$3,A5568,A5567)-1)</f>
        <v/>
      </c>
      <c r="G5567" s="16" t="str">
        <f t="shared" si="190"/>
        <v/>
      </c>
      <c r="H5567" s="70" t="str">
        <f t="shared" si="191"/>
        <v/>
      </c>
    </row>
    <row r="5568" spans="1:8">
      <c r="A5568" s="2"/>
      <c r="B5568" s="12"/>
      <c r="C5568" s="12"/>
      <c r="E5568" t="str">
        <f>IF(LEN(D5568)=0,"",[1]!i_pq_tradedays($B$3,A5569,A5568)-1)</f>
        <v/>
      </c>
      <c r="G5568" s="16" t="str">
        <f t="shared" si="190"/>
        <v/>
      </c>
      <c r="H5568" s="70" t="str">
        <f t="shared" si="191"/>
        <v/>
      </c>
    </row>
    <row r="5569" spans="1:8">
      <c r="A5569" s="2"/>
      <c r="B5569" s="12"/>
      <c r="C5569" s="12"/>
      <c r="E5569" t="str">
        <f>IF(LEN(D5569)=0,"",[1]!i_pq_tradedays($B$3,A5570,A5569)-1)</f>
        <v/>
      </c>
      <c r="G5569" s="16" t="str">
        <f t="shared" si="190"/>
        <v/>
      </c>
      <c r="H5569" s="70" t="str">
        <f t="shared" si="191"/>
        <v/>
      </c>
    </row>
    <row r="5570" spans="1:8">
      <c r="A5570" s="2"/>
      <c r="B5570" s="12"/>
      <c r="C5570" s="12"/>
      <c r="E5570" t="str">
        <f>IF(LEN(D5570)=0,"",[1]!i_pq_tradedays($B$3,A5571,A5570)-1)</f>
        <v/>
      </c>
      <c r="G5570" s="16" t="str">
        <f t="shared" si="190"/>
        <v/>
      </c>
      <c r="H5570" s="70" t="str">
        <f t="shared" si="191"/>
        <v/>
      </c>
    </row>
    <row r="5571" spans="1:8">
      <c r="A5571" s="2"/>
      <c r="B5571" s="12"/>
      <c r="C5571" s="12"/>
      <c r="E5571" t="str">
        <f>IF(LEN(D5571)=0,"",[1]!i_pq_tradedays($B$3,A5572,A5571)-1)</f>
        <v/>
      </c>
      <c r="G5571" s="16" t="str">
        <f t="shared" si="190"/>
        <v/>
      </c>
      <c r="H5571" s="70" t="str">
        <f t="shared" si="191"/>
        <v/>
      </c>
    </row>
    <row r="5572" spans="1:8">
      <c r="A5572" s="2"/>
      <c r="B5572" s="12"/>
      <c r="C5572" s="12"/>
      <c r="E5572" t="str">
        <f>IF(LEN(D5572)=0,"",[1]!i_pq_tradedays($B$3,A5573,A5572)-1)</f>
        <v/>
      </c>
      <c r="G5572" s="16" t="str">
        <f t="shared" si="190"/>
        <v/>
      </c>
      <c r="H5572" s="70" t="str">
        <f t="shared" si="191"/>
        <v/>
      </c>
    </row>
    <row r="5573" spans="1:8">
      <c r="A5573" s="2"/>
      <c r="B5573" s="12"/>
      <c r="C5573" s="12"/>
      <c r="E5573" t="str">
        <f>IF(LEN(D5573)=0,"",[1]!i_pq_tradedays($B$3,A5574,A5573)-1)</f>
        <v/>
      </c>
      <c r="G5573" s="16" t="str">
        <f t="shared" si="190"/>
        <v/>
      </c>
      <c r="H5573" s="70" t="str">
        <f t="shared" si="191"/>
        <v/>
      </c>
    </row>
    <row r="5574" spans="1:8">
      <c r="A5574" s="2"/>
      <c r="B5574" s="12"/>
      <c r="C5574" s="12"/>
      <c r="E5574" t="str">
        <f>IF(LEN(D5574)=0,"",[1]!i_pq_tradedays($B$3,A5575,A5574)-1)</f>
        <v/>
      </c>
      <c r="G5574" s="16" t="str">
        <f t="shared" si="190"/>
        <v/>
      </c>
      <c r="H5574" s="70" t="str">
        <f t="shared" si="191"/>
        <v/>
      </c>
    </row>
    <row r="5575" spans="1:8">
      <c r="A5575" s="2"/>
      <c r="B5575" s="12"/>
      <c r="C5575" s="12"/>
      <c r="E5575" t="str">
        <f>IF(LEN(D5575)=0,"",[1]!i_pq_tradedays($B$3,A5576,A5575)-1)</f>
        <v/>
      </c>
      <c r="G5575" s="16" t="str">
        <f t="shared" si="190"/>
        <v/>
      </c>
      <c r="H5575" s="70" t="str">
        <f t="shared" si="191"/>
        <v/>
      </c>
    </row>
    <row r="5576" spans="1:8">
      <c r="A5576" s="2"/>
      <c r="B5576" s="12"/>
      <c r="C5576" s="12"/>
      <c r="E5576" t="str">
        <f>IF(LEN(D5576)=0,"",[1]!i_pq_tradedays($B$3,A5577,A5576)-1)</f>
        <v/>
      </c>
      <c r="G5576" s="16" t="str">
        <f t="shared" si="190"/>
        <v/>
      </c>
      <c r="H5576" s="70" t="str">
        <f t="shared" si="191"/>
        <v/>
      </c>
    </row>
    <row r="5577" spans="1:8">
      <c r="A5577" s="2"/>
      <c r="B5577" s="12"/>
      <c r="C5577" s="12"/>
      <c r="E5577" t="str">
        <f>IF(LEN(D5577)=0,"",[1]!i_pq_tradedays($B$3,A5578,A5577)-1)</f>
        <v/>
      </c>
      <c r="G5577" s="16" t="str">
        <f t="shared" si="190"/>
        <v/>
      </c>
      <c r="H5577" s="70" t="str">
        <f t="shared" si="191"/>
        <v/>
      </c>
    </row>
    <row r="5578" spans="1:8">
      <c r="A5578" s="2"/>
      <c r="B5578" s="12"/>
      <c r="C5578" s="12"/>
      <c r="E5578" t="str">
        <f>IF(LEN(D5578)=0,"",[1]!i_pq_tradedays($B$3,A5579,A5578)-1)</f>
        <v/>
      </c>
      <c r="G5578" s="16" t="str">
        <f t="shared" si="190"/>
        <v/>
      </c>
      <c r="H5578" s="70" t="str">
        <f t="shared" si="191"/>
        <v/>
      </c>
    </row>
    <row r="5579" spans="1:8">
      <c r="A5579" s="2"/>
      <c r="B5579" s="12"/>
      <c r="C5579" s="12"/>
      <c r="E5579" t="str">
        <f>IF(LEN(D5579)=0,"",[1]!i_pq_tradedays($B$3,A5580,A5579)-1)</f>
        <v/>
      </c>
      <c r="G5579" s="16" t="str">
        <f t="shared" si="190"/>
        <v/>
      </c>
      <c r="H5579" s="70" t="str">
        <f t="shared" si="191"/>
        <v/>
      </c>
    </row>
    <row r="5580" spans="1:8">
      <c r="A5580" s="2"/>
      <c r="B5580" s="12"/>
      <c r="C5580" s="12"/>
      <c r="E5580" t="str">
        <f>IF(LEN(D5580)=0,"",[1]!i_pq_tradedays($B$3,A5581,A5580)-1)</f>
        <v/>
      </c>
      <c r="G5580" s="16" t="str">
        <f t="shared" si="190"/>
        <v/>
      </c>
      <c r="H5580" s="70" t="str">
        <f t="shared" si="191"/>
        <v/>
      </c>
    </row>
    <row r="5581" spans="1:8">
      <c r="A5581" s="2"/>
      <c r="B5581" s="12"/>
      <c r="C5581" s="12"/>
      <c r="E5581" t="str">
        <f>IF(LEN(D5581)=0,"",[1]!i_pq_tradedays($B$3,A5582,A5581)-1)</f>
        <v/>
      </c>
      <c r="G5581" s="16" t="str">
        <f t="shared" si="190"/>
        <v/>
      </c>
      <c r="H5581" s="70" t="str">
        <f t="shared" si="191"/>
        <v/>
      </c>
    </row>
    <row r="5582" spans="1:8">
      <c r="A5582" s="2"/>
      <c r="B5582" s="12"/>
      <c r="C5582" s="12"/>
      <c r="E5582" t="str">
        <f>IF(LEN(D5582)=0,"",[1]!i_pq_tradedays($B$3,A5583,A5582)-1)</f>
        <v/>
      </c>
      <c r="G5582" s="16" t="str">
        <f t="shared" si="190"/>
        <v/>
      </c>
      <c r="H5582" s="70" t="str">
        <f t="shared" si="191"/>
        <v/>
      </c>
    </row>
    <row r="5583" spans="1:8">
      <c r="A5583" s="2"/>
      <c r="B5583" s="12"/>
      <c r="C5583" s="12"/>
      <c r="E5583" t="str">
        <f>IF(LEN(D5583)=0,"",[1]!i_pq_tradedays($B$3,A5584,A5583)-1)</f>
        <v/>
      </c>
      <c r="G5583" s="16" t="str">
        <f t="shared" si="190"/>
        <v/>
      </c>
      <c r="H5583" s="70" t="str">
        <f t="shared" si="191"/>
        <v/>
      </c>
    </row>
    <row r="5584" spans="1:8">
      <c r="A5584" s="2"/>
      <c r="B5584" s="12"/>
      <c r="C5584" s="12"/>
      <c r="E5584" t="str">
        <f>IF(LEN(D5584)=0,"",[1]!i_pq_tradedays($B$3,A5585,A5584)-1)</f>
        <v/>
      </c>
      <c r="G5584" s="16" t="str">
        <f t="shared" si="190"/>
        <v/>
      </c>
      <c r="H5584" s="70" t="str">
        <f t="shared" si="191"/>
        <v/>
      </c>
    </row>
    <row r="5585" spans="1:8">
      <c r="A5585" s="2"/>
      <c r="B5585" s="12"/>
      <c r="C5585" s="12"/>
      <c r="E5585" t="str">
        <f>IF(LEN(D5585)=0,"",[1]!i_pq_tradedays($B$3,A5586,A5585)-1)</f>
        <v/>
      </c>
      <c r="G5585" s="16" t="str">
        <f t="shared" si="190"/>
        <v/>
      </c>
      <c r="H5585" s="70" t="str">
        <f t="shared" si="191"/>
        <v/>
      </c>
    </row>
    <row r="5586" spans="1:8">
      <c r="A5586" s="2"/>
      <c r="B5586" s="12"/>
      <c r="C5586" s="12"/>
      <c r="E5586" t="str">
        <f>IF(LEN(D5586)=0,"",[1]!i_pq_tradedays($B$3,A5587,A5586)-1)</f>
        <v/>
      </c>
      <c r="G5586" s="16" t="str">
        <f t="shared" si="190"/>
        <v/>
      </c>
      <c r="H5586" s="70" t="str">
        <f t="shared" si="191"/>
        <v/>
      </c>
    </row>
    <row r="5587" spans="1:8">
      <c r="A5587" s="2"/>
      <c r="B5587" s="12"/>
      <c r="C5587" s="12"/>
      <c r="E5587" t="str">
        <f>IF(LEN(D5587)=0,"",[1]!i_pq_tradedays($B$3,A5588,A5587)-1)</f>
        <v/>
      </c>
      <c r="G5587" s="16" t="str">
        <f t="shared" si="190"/>
        <v/>
      </c>
      <c r="H5587" s="70" t="str">
        <f t="shared" si="191"/>
        <v/>
      </c>
    </row>
    <row r="5588" spans="1:8">
      <c r="A5588" s="2"/>
      <c r="B5588" s="12"/>
      <c r="C5588" s="12"/>
      <c r="E5588" t="str">
        <f>IF(LEN(D5588)=0,"",[1]!i_pq_tradedays($B$3,A5589,A5588)-1)</f>
        <v/>
      </c>
      <c r="G5588" s="16" t="str">
        <f t="shared" si="190"/>
        <v/>
      </c>
      <c r="H5588" s="70" t="str">
        <f t="shared" si="191"/>
        <v/>
      </c>
    </row>
    <row r="5589" spans="1:8">
      <c r="A5589" s="2"/>
      <c r="B5589" s="12"/>
      <c r="C5589" s="12"/>
      <c r="E5589" t="str">
        <f>IF(LEN(D5589)=0,"",[1]!i_pq_tradedays($B$3,A5590,A5589)-1)</f>
        <v/>
      </c>
      <c r="G5589" s="16" t="str">
        <f t="shared" si="190"/>
        <v/>
      </c>
      <c r="H5589" s="70" t="str">
        <f t="shared" si="191"/>
        <v/>
      </c>
    </row>
    <row r="5590" spans="1:8">
      <c r="A5590" s="2"/>
      <c r="B5590" s="12"/>
      <c r="C5590" s="12"/>
      <c r="E5590" t="str">
        <f>IF(LEN(D5590)=0,"",[1]!i_pq_tradedays($B$3,A5591,A5590)-1)</f>
        <v/>
      </c>
      <c r="G5590" s="16" t="str">
        <f t="shared" si="190"/>
        <v/>
      </c>
      <c r="H5590" s="70" t="str">
        <f t="shared" si="191"/>
        <v/>
      </c>
    </row>
    <row r="5591" spans="1:8">
      <c r="A5591" s="2"/>
      <c r="B5591" s="12"/>
      <c r="C5591" s="12"/>
      <c r="E5591" t="str">
        <f>IF(LEN(D5591)=0,"",[1]!i_pq_tradedays($B$3,A5592,A5591)-1)</f>
        <v/>
      </c>
      <c r="G5591" s="16" t="str">
        <f t="shared" si="190"/>
        <v/>
      </c>
      <c r="H5591" s="70" t="str">
        <f t="shared" si="191"/>
        <v/>
      </c>
    </row>
    <row r="5592" spans="1:8">
      <c r="A5592" s="2"/>
      <c r="B5592" s="12"/>
      <c r="C5592" s="12"/>
      <c r="E5592" t="str">
        <f>IF(LEN(D5592)=0,"",[1]!i_pq_tradedays($B$3,A5593,A5592)-1)</f>
        <v/>
      </c>
      <c r="G5592" s="16" t="str">
        <f t="shared" si="190"/>
        <v/>
      </c>
      <c r="H5592" s="70" t="str">
        <f t="shared" si="191"/>
        <v/>
      </c>
    </row>
    <row r="5593" spans="1:8">
      <c r="A5593" s="2"/>
      <c r="B5593" s="12"/>
      <c r="C5593" s="12"/>
      <c r="E5593" t="str">
        <f>IF(LEN(D5593)=0,"",[1]!i_pq_tradedays($B$3,A5594,A5593)-1)</f>
        <v/>
      </c>
      <c r="G5593" s="16" t="str">
        <f t="shared" si="190"/>
        <v/>
      </c>
      <c r="H5593" s="70" t="str">
        <f t="shared" si="191"/>
        <v/>
      </c>
    </row>
    <row r="5594" spans="1:8">
      <c r="A5594" s="2"/>
      <c r="B5594" s="12"/>
      <c r="C5594" s="12"/>
      <c r="E5594" t="str">
        <f>IF(LEN(D5594)=0,"",[1]!i_pq_tradedays($B$3,A5595,A5594)-1)</f>
        <v/>
      </c>
      <c r="G5594" s="16" t="str">
        <f t="shared" si="190"/>
        <v/>
      </c>
      <c r="H5594" s="70" t="str">
        <f t="shared" si="191"/>
        <v/>
      </c>
    </row>
    <row r="5595" spans="1:8">
      <c r="A5595" s="2"/>
      <c r="B5595" s="12"/>
      <c r="C5595" s="12"/>
      <c r="E5595" t="str">
        <f>IF(LEN(D5595)=0,"",[1]!i_pq_tradedays($B$3,A5596,A5595)-1)</f>
        <v/>
      </c>
      <c r="G5595" s="16" t="str">
        <f t="shared" si="190"/>
        <v/>
      </c>
      <c r="H5595" s="70" t="str">
        <f t="shared" si="191"/>
        <v/>
      </c>
    </row>
    <row r="5596" spans="1:8">
      <c r="A5596" s="2"/>
      <c r="B5596" s="12"/>
      <c r="C5596" s="12"/>
      <c r="E5596" t="str">
        <f>IF(LEN(D5596)=0,"",[1]!i_pq_tradedays($B$3,A5597,A5596)-1)</f>
        <v/>
      </c>
      <c r="G5596" s="16" t="str">
        <f t="shared" si="190"/>
        <v/>
      </c>
      <c r="H5596" s="70" t="str">
        <f t="shared" si="191"/>
        <v/>
      </c>
    </row>
    <row r="5597" spans="1:8">
      <c r="A5597" s="2"/>
      <c r="B5597" s="12"/>
      <c r="C5597" s="12"/>
      <c r="E5597" t="str">
        <f>IF(LEN(D5597)=0,"",[1]!i_pq_tradedays($B$3,A5598,A5597)-1)</f>
        <v/>
      </c>
      <c r="G5597" s="16" t="str">
        <f t="shared" si="190"/>
        <v/>
      </c>
      <c r="H5597" s="70" t="str">
        <f t="shared" si="191"/>
        <v/>
      </c>
    </row>
    <row r="5598" spans="1:8">
      <c r="A5598" s="2"/>
      <c r="B5598" s="12"/>
      <c r="C5598" s="12"/>
      <c r="E5598" t="str">
        <f>IF(LEN(D5598)=0,"",[1]!i_pq_tradedays($B$3,A5599,A5598)-1)</f>
        <v/>
      </c>
      <c r="G5598" s="16" t="str">
        <f t="shared" si="190"/>
        <v/>
      </c>
      <c r="H5598" s="70" t="str">
        <f t="shared" si="191"/>
        <v/>
      </c>
    </row>
    <row r="5599" spans="1:8">
      <c r="A5599" s="2"/>
      <c r="B5599" s="12"/>
      <c r="C5599" s="12"/>
      <c r="E5599" t="str">
        <f>IF(LEN(D5599)=0,"",[1]!i_pq_tradedays($B$3,A5600,A5599)-1)</f>
        <v/>
      </c>
      <c r="G5599" s="16" t="str">
        <f t="shared" si="190"/>
        <v/>
      </c>
      <c r="H5599" s="70" t="str">
        <f t="shared" si="191"/>
        <v/>
      </c>
    </row>
    <row r="5600" spans="1:8">
      <c r="A5600" s="2"/>
      <c r="B5600" s="12"/>
      <c r="C5600" s="12"/>
      <c r="E5600" t="str">
        <f>IF(LEN(D5600)=0,"",[1]!i_pq_tradedays($B$3,A5601,A5600)-1)</f>
        <v/>
      </c>
      <c r="G5600" s="16" t="str">
        <f t="shared" si="190"/>
        <v/>
      </c>
      <c r="H5600" s="70" t="str">
        <f t="shared" si="191"/>
        <v/>
      </c>
    </row>
    <row r="5601" spans="1:8">
      <c r="A5601" s="2"/>
      <c r="B5601" s="12"/>
      <c r="C5601" s="12"/>
      <c r="E5601" t="str">
        <f>IF(LEN(D5601)=0,"",[1]!i_pq_tradedays($B$3,A5602,A5601)-1)</f>
        <v/>
      </c>
      <c r="G5601" s="16" t="str">
        <f t="shared" si="190"/>
        <v/>
      </c>
      <c r="H5601" s="70" t="str">
        <f t="shared" si="191"/>
        <v/>
      </c>
    </row>
    <row r="5602" spans="1:8">
      <c r="A5602" s="2"/>
      <c r="B5602" s="12"/>
      <c r="C5602" s="12"/>
      <c r="E5602" t="str">
        <f>IF(LEN(D5602)=0,"",[1]!i_pq_tradedays($B$3,A5603,A5602)-1)</f>
        <v/>
      </c>
      <c r="G5602" s="16" t="str">
        <f t="shared" si="190"/>
        <v/>
      </c>
      <c r="H5602" s="70" t="str">
        <f t="shared" si="191"/>
        <v/>
      </c>
    </row>
    <row r="5603" spans="1:8">
      <c r="A5603" s="2"/>
      <c r="B5603" s="12"/>
      <c r="C5603" s="12"/>
      <c r="E5603" t="str">
        <f>IF(LEN(D5603)=0,"",[1]!i_pq_tradedays($B$3,A5604,A5603)-1)</f>
        <v/>
      </c>
      <c r="G5603" s="16" t="str">
        <f t="shared" si="190"/>
        <v/>
      </c>
      <c r="H5603" s="70" t="str">
        <f t="shared" si="191"/>
        <v/>
      </c>
    </row>
    <row r="5604" spans="1:8">
      <c r="A5604" s="2"/>
      <c r="B5604" s="12"/>
      <c r="C5604" s="12"/>
      <c r="E5604" t="str">
        <f>IF(LEN(D5604)=0,"",[1]!i_pq_tradedays($B$3,A5605,A5604)-1)</f>
        <v/>
      </c>
      <c r="G5604" s="16" t="str">
        <f t="shared" si="190"/>
        <v/>
      </c>
      <c r="H5604" s="70" t="str">
        <f t="shared" si="191"/>
        <v/>
      </c>
    </row>
    <row r="5605" spans="1:8">
      <c r="A5605" s="2"/>
      <c r="B5605" s="12"/>
      <c r="C5605" s="12"/>
      <c r="E5605" t="str">
        <f>IF(LEN(D5605)=0,"",[1]!i_pq_tradedays($B$3,A5606,A5605)-1)</f>
        <v/>
      </c>
      <c r="G5605" s="16" t="str">
        <f t="shared" si="190"/>
        <v/>
      </c>
      <c r="H5605" s="70" t="str">
        <f t="shared" si="191"/>
        <v/>
      </c>
    </row>
    <row r="5606" spans="1:8">
      <c r="A5606" s="2"/>
      <c r="B5606" s="12"/>
      <c r="C5606" s="12"/>
      <c r="E5606" t="str">
        <f>IF(LEN(D5606)=0,"",[1]!i_pq_tradedays($B$3,A5607,A5606)-1)</f>
        <v/>
      </c>
      <c r="G5606" s="16" t="str">
        <f t="shared" si="190"/>
        <v/>
      </c>
      <c r="H5606" s="70" t="str">
        <f t="shared" si="191"/>
        <v/>
      </c>
    </row>
    <row r="5607" spans="1:8">
      <c r="A5607" s="2"/>
      <c r="B5607" s="12"/>
      <c r="C5607" s="12"/>
      <c r="E5607" t="str">
        <f>IF(LEN(D5607)=0,"",[1]!i_pq_tradedays($B$3,A5608,A5607)-1)</f>
        <v/>
      </c>
      <c r="G5607" s="16" t="str">
        <f t="shared" si="190"/>
        <v/>
      </c>
      <c r="H5607" s="70" t="str">
        <f t="shared" si="191"/>
        <v/>
      </c>
    </row>
    <row r="5608" spans="1:8">
      <c r="A5608" s="2"/>
      <c r="B5608" s="12"/>
      <c r="C5608" s="12"/>
      <c r="E5608" t="str">
        <f>IF(LEN(D5608)=0,"",[1]!i_pq_tradedays($B$3,A5609,A5608)-1)</f>
        <v/>
      </c>
      <c r="G5608" s="16" t="str">
        <f t="shared" si="190"/>
        <v/>
      </c>
      <c r="H5608" s="70" t="str">
        <f t="shared" si="191"/>
        <v/>
      </c>
    </row>
    <row r="5609" spans="1:8">
      <c r="A5609" s="2"/>
      <c r="B5609" s="12"/>
      <c r="C5609" s="12"/>
      <c r="E5609" t="str">
        <f>IF(LEN(D5609)=0,"",[1]!i_pq_tradedays($B$3,A5610,A5609)-1)</f>
        <v/>
      </c>
      <c r="G5609" s="16" t="str">
        <f t="shared" si="190"/>
        <v/>
      </c>
      <c r="H5609" s="70" t="str">
        <f t="shared" si="191"/>
        <v/>
      </c>
    </row>
    <row r="5610" spans="1:8">
      <c r="A5610" s="2"/>
      <c r="B5610" s="12"/>
      <c r="C5610" s="12"/>
      <c r="E5610" t="str">
        <f>IF(LEN(D5610)=0,"",[1]!i_pq_tradedays($B$3,A5611,A5610)-1)</f>
        <v/>
      </c>
      <c r="G5610" s="16" t="str">
        <f t="shared" si="190"/>
        <v/>
      </c>
      <c r="H5610" s="70" t="str">
        <f t="shared" si="191"/>
        <v/>
      </c>
    </row>
    <row r="5611" spans="1:8">
      <c r="A5611" s="2"/>
      <c r="B5611" s="12"/>
      <c r="C5611" s="12"/>
      <c r="E5611" t="str">
        <f>IF(LEN(D5611)=0,"",[1]!i_pq_tradedays($B$3,A5612,A5611)-1)</f>
        <v/>
      </c>
      <c r="G5611" s="16" t="str">
        <f t="shared" si="190"/>
        <v/>
      </c>
      <c r="H5611" s="70" t="str">
        <f t="shared" si="191"/>
        <v/>
      </c>
    </row>
    <row r="5612" spans="1:8">
      <c r="A5612" s="2"/>
      <c r="B5612" s="12"/>
      <c r="C5612" s="12"/>
      <c r="E5612" t="str">
        <f>IF(LEN(D5612)=0,"",[1]!i_pq_tradedays($B$3,A5613,A5612)-1)</f>
        <v/>
      </c>
      <c r="G5612" s="16" t="str">
        <f t="shared" si="190"/>
        <v/>
      </c>
      <c r="H5612" s="70" t="str">
        <f t="shared" si="191"/>
        <v/>
      </c>
    </row>
    <row r="5613" spans="1:8">
      <c r="A5613" s="2"/>
      <c r="B5613" s="12"/>
      <c r="C5613" s="12"/>
      <c r="E5613" t="str">
        <f>IF(LEN(D5613)=0,"",[1]!i_pq_tradedays($B$3,A5614,A5613)-1)</f>
        <v/>
      </c>
      <c r="G5613" s="16" t="str">
        <f t="shared" si="190"/>
        <v/>
      </c>
      <c r="H5613" s="70" t="str">
        <f t="shared" si="191"/>
        <v/>
      </c>
    </row>
    <row r="5614" spans="1:8">
      <c r="A5614" s="2"/>
      <c r="B5614" s="12"/>
      <c r="C5614" s="12"/>
      <c r="E5614" t="str">
        <f>IF(LEN(D5614)=0,"",[1]!i_pq_tradedays($B$3,A5615,A5614)-1)</f>
        <v/>
      </c>
      <c r="G5614" s="16" t="str">
        <f t="shared" si="190"/>
        <v/>
      </c>
      <c r="H5614" s="70" t="str">
        <f t="shared" si="191"/>
        <v/>
      </c>
    </row>
    <row r="5615" spans="1:8">
      <c r="A5615" s="2"/>
      <c r="B5615" s="12"/>
      <c r="C5615" s="12"/>
      <c r="E5615" t="str">
        <f>IF(LEN(D5615)=0,"",[1]!i_pq_tradedays($B$3,A5616,A5615)-1)</f>
        <v/>
      </c>
      <c r="G5615" s="16" t="str">
        <f t="shared" si="190"/>
        <v/>
      </c>
      <c r="H5615" s="70" t="str">
        <f t="shared" si="191"/>
        <v/>
      </c>
    </row>
    <row r="5616" spans="1:8">
      <c r="A5616" s="2"/>
      <c r="B5616" s="12"/>
      <c r="C5616" s="12"/>
      <c r="E5616" t="str">
        <f>IF(LEN(D5616)=0,"",[1]!i_pq_tradedays($B$3,A5617,A5616)-1)</f>
        <v/>
      </c>
      <c r="G5616" s="16" t="str">
        <f t="shared" si="190"/>
        <v/>
      </c>
      <c r="H5616" s="70" t="str">
        <f t="shared" si="191"/>
        <v/>
      </c>
    </row>
    <row r="5617" spans="1:8">
      <c r="A5617" s="2"/>
      <c r="B5617" s="12"/>
      <c r="C5617" s="12"/>
      <c r="E5617" t="str">
        <f>IF(LEN(D5617)=0,"",[1]!i_pq_tradedays($B$3,A5618,A5617)-1)</f>
        <v/>
      </c>
      <c r="G5617" s="16" t="str">
        <f t="shared" si="190"/>
        <v/>
      </c>
      <c r="H5617" s="70" t="str">
        <f t="shared" si="191"/>
        <v/>
      </c>
    </row>
    <row r="5618" spans="1:8">
      <c r="A5618" s="2"/>
      <c r="B5618" s="12"/>
      <c r="C5618" s="12"/>
      <c r="E5618" t="str">
        <f>IF(LEN(D5618)=0,"",[1]!i_pq_tradedays($B$3,A5619,A5618)-1)</f>
        <v/>
      </c>
      <c r="G5618" s="16" t="str">
        <f t="shared" si="190"/>
        <v/>
      </c>
      <c r="H5618" s="70" t="str">
        <f t="shared" si="191"/>
        <v/>
      </c>
    </row>
    <row r="5619" spans="1:8">
      <c r="A5619" s="2"/>
      <c r="B5619" s="12"/>
      <c r="C5619" s="12"/>
      <c r="E5619" t="str">
        <f>IF(LEN(D5619)=0,"",[1]!i_pq_tradedays($B$3,A5620,A5619)-1)</f>
        <v/>
      </c>
      <c r="G5619" s="16" t="str">
        <f t="shared" si="190"/>
        <v/>
      </c>
      <c r="H5619" s="70" t="str">
        <f t="shared" si="191"/>
        <v/>
      </c>
    </row>
    <row r="5620" spans="1:8">
      <c r="A5620" s="2"/>
      <c r="B5620" s="12"/>
      <c r="C5620" s="12"/>
      <c r="E5620" t="str">
        <f>IF(LEN(D5620)=0,"",[1]!i_pq_tradedays($B$3,A5621,A5620)-1)</f>
        <v/>
      </c>
      <c r="G5620" s="16" t="str">
        <f t="shared" si="190"/>
        <v/>
      </c>
      <c r="H5620" s="70" t="str">
        <f t="shared" si="191"/>
        <v/>
      </c>
    </row>
    <row r="5621" spans="1:8">
      <c r="A5621" s="2"/>
      <c r="B5621" s="12"/>
      <c r="C5621" s="12"/>
      <c r="E5621" t="str">
        <f>IF(LEN(D5621)=0,"",[1]!i_pq_tradedays($B$3,A5622,A5621)-1)</f>
        <v/>
      </c>
      <c r="G5621" s="16" t="str">
        <f t="shared" ref="G5621:G5684" si="192">IF(LEN(D5621)=0,"",D5621/E5621)</f>
        <v/>
      </c>
      <c r="H5621" s="70" t="str">
        <f t="shared" ref="H5621:H5684" si="193">IF(LEN(D5621)=0,"",G5621/G5622-1)</f>
        <v/>
      </c>
    </row>
    <row r="5622" spans="1:8">
      <c r="A5622" s="2"/>
      <c r="B5622" s="12"/>
      <c r="C5622" s="12"/>
      <c r="E5622" t="str">
        <f>IF(LEN(D5622)=0,"",[1]!i_pq_tradedays($B$3,A5623,A5622)-1)</f>
        <v/>
      </c>
      <c r="G5622" s="16" t="str">
        <f t="shared" si="192"/>
        <v/>
      </c>
      <c r="H5622" s="70" t="str">
        <f t="shared" si="193"/>
        <v/>
      </c>
    </row>
    <row r="5623" spans="1:8">
      <c r="A5623" s="2"/>
      <c r="B5623" s="12"/>
      <c r="C5623" s="12"/>
      <c r="E5623" t="str">
        <f>IF(LEN(D5623)=0,"",[1]!i_pq_tradedays($B$3,A5624,A5623)-1)</f>
        <v/>
      </c>
      <c r="G5623" s="16" t="str">
        <f t="shared" si="192"/>
        <v/>
      </c>
      <c r="H5623" s="70" t="str">
        <f t="shared" si="193"/>
        <v/>
      </c>
    </row>
    <row r="5624" spans="1:8">
      <c r="A5624" s="2"/>
      <c r="B5624" s="12"/>
      <c r="C5624" s="12"/>
      <c r="E5624" t="str">
        <f>IF(LEN(D5624)=0,"",[1]!i_pq_tradedays($B$3,A5625,A5624)-1)</f>
        <v/>
      </c>
      <c r="G5624" s="16" t="str">
        <f t="shared" si="192"/>
        <v/>
      </c>
      <c r="H5624" s="70" t="str">
        <f t="shared" si="193"/>
        <v/>
      </c>
    </row>
    <row r="5625" spans="1:8">
      <c r="A5625" s="2"/>
      <c r="B5625" s="12"/>
      <c r="C5625" s="12"/>
      <c r="E5625" t="str">
        <f>IF(LEN(D5625)=0,"",[1]!i_pq_tradedays($B$3,A5626,A5625)-1)</f>
        <v/>
      </c>
      <c r="G5625" s="16" t="str">
        <f t="shared" si="192"/>
        <v/>
      </c>
      <c r="H5625" s="70" t="str">
        <f t="shared" si="193"/>
        <v/>
      </c>
    </row>
    <row r="5626" spans="1:8">
      <c r="A5626" s="2"/>
      <c r="B5626" s="12"/>
      <c r="C5626" s="12"/>
      <c r="E5626" t="str">
        <f>IF(LEN(D5626)=0,"",[1]!i_pq_tradedays($B$3,A5627,A5626)-1)</f>
        <v/>
      </c>
      <c r="G5626" s="16" t="str">
        <f t="shared" si="192"/>
        <v/>
      </c>
      <c r="H5626" s="70" t="str">
        <f t="shared" si="193"/>
        <v/>
      </c>
    </row>
    <row r="5627" spans="1:8">
      <c r="A5627" s="2"/>
      <c r="B5627" s="12"/>
      <c r="C5627" s="12"/>
      <c r="E5627" t="str">
        <f>IF(LEN(D5627)=0,"",[1]!i_pq_tradedays($B$3,A5628,A5627)-1)</f>
        <v/>
      </c>
      <c r="G5627" s="16" t="str">
        <f t="shared" si="192"/>
        <v/>
      </c>
      <c r="H5627" s="70" t="str">
        <f t="shared" si="193"/>
        <v/>
      </c>
    </row>
    <row r="5628" spans="1:8">
      <c r="A5628" s="2"/>
      <c r="B5628" s="12"/>
      <c r="C5628" s="12"/>
      <c r="E5628" t="str">
        <f>IF(LEN(D5628)=0,"",[1]!i_pq_tradedays($B$3,A5629,A5628)-1)</f>
        <v/>
      </c>
      <c r="G5628" s="16" t="str">
        <f t="shared" si="192"/>
        <v/>
      </c>
      <c r="H5628" s="70" t="str">
        <f t="shared" si="193"/>
        <v/>
      </c>
    </row>
    <row r="5629" spans="1:8">
      <c r="A5629" s="2"/>
      <c r="B5629" s="12"/>
      <c r="C5629" s="12"/>
      <c r="E5629" t="str">
        <f>IF(LEN(D5629)=0,"",[1]!i_pq_tradedays($B$3,A5630,A5629)-1)</f>
        <v/>
      </c>
      <c r="G5629" s="16" t="str">
        <f t="shared" si="192"/>
        <v/>
      </c>
      <c r="H5629" s="70" t="str">
        <f t="shared" si="193"/>
        <v/>
      </c>
    </row>
    <row r="5630" spans="1:8">
      <c r="A5630" s="2"/>
      <c r="B5630" s="12"/>
      <c r="C5630" s="12"/>
      <c r="E5630" t="str">
        <f>IF(LEN(D5630)=0,"",[1]!i_pq_tradedays($B$3,A5631,A5630)-1)</f>
        <v/>
      </c>
      <c r="G5630" s="16" t="str">
        <f t="shared" si="192"/>
        <v/>
      </c>
      <c r="H5630" s="70" t="str">
        <f t="shared" si="193"/>
        <v/>
      </c>
    </row>
    <row r="5631" spans="1:8">
      <c r="A5631" s="2"/>
      <c r="B5631" s="12"/>
      <c r="C5631" s="12"/>
      <c r="E5631" t="str">
        <f>IF(LEN(D5631)=0,"",[1]!i_pq_tradedays($B$3,A5632,A5631)-1)</f>
        <v/>
      </c>
      <c r="G5631" s="16" t="str">
        <f t="shared" si="192"/>
        <v/>
      </c>
      <c r="H5631" s="70" t="str">
        <f t="shared" si="193"/>
        <v/>
      </c>
    </row>
    <row r="5632" spans="1:8">
      <c r="A5632" s="2"/>
      <c r="B5632" s="12"/>
      <c r="C5632" s="12"/>
      <c r="E5632" t="str">
        <f>IF(LEN(D5632)=0,"",[1]!i_pq_tradedays($B$3,A5633,A5632)-1)</f>
        <v/>
      </c>
      <c r="G5632" s="16" t="str">
        <f t="shared" si="192"/>
        <v/>
      </c>
      <c r="H5632" s="70" t="str">
        <f t="shared" si="193"/>
        <v/>
      </c>
    </row>
    <row r="5633" spans="1:8">
      <c r="A5633" s="2"/>
      <c r="B5633" s="12"/>
      <c r="C5633" s="12"/>
      <c r="E5633" t="str">
        <f>IF(LEN(D5633)=0,"",[1]!i_pq_tradedays($B$3,A5634,A5633)-1)</f>
        <v/>
      </c>
      <c r="G5633" s="16" t="str">
        <f t="shared" si="192"/>
        <v/>
      </c>
      <c r="H5633" s="70" t="str">
        <f t="shared" si="193"/>
        <v/>
      </c>
    </row>
    <row r="5634" spans="1:8">
      <c r="A5634" s="2"/>
      <c r="B5634" s="12"/>
      <c r="C5634" s="12"/>
      <c r="E5634" t="str">
        <f>IF(LEN(D5634)=0,"",[1]!i_pq_tradedays($B$3,A5635,A5634)-1)</f>
        <v/>
      </c>
      <c r="G5634" s="16" t="str">
        <f t="shared" si="192"/>
        <v/>
      </c>
      <c r="H5634" s="70" t="str">
        <f t="shared" si="193"/>
        <v/>
      </c>
    </row>
    <row r="5635" spans="1:8">
      <c r="A5635" s="2"/>
      <c r="B5635" s="12"/>
      <c r="C5635" s="12"/>
      <c r="E5635" t="str">
        <f>IF(LEN(D5635)=0,"",[1]!i_pq_tradedays($B$3,A5636,A5635)-1)</f>
        <v/>
      </c>
      <c r="G5635" s="16" t="str">
        <f t="shared" si="192"/>
        <v/>
      </c>
      <c r="H5635" s="70" t="str">
        <f t="shared" si="193"/>
        <v/>
      </c>
    </row>
    <row r="5636" spans="1:8">
      <c r="A5636" s="2"/>
      <c r="B5636" s="12"/>
      <c r="C5636" s="12"/>
      <c r="E5636" t="str">
        <f>IF(LEN(D5636)=0,"",[1]!i_pq_tradedays($B$3,A5637,A5636)-1)</f>
        <v/>
      </c>
      <c r="G5636" s="16" t="str">
        <f t="shared" si="192"/>
        <v/>
      </c>
      <c r="H5636" s="70" t="str">
        <f t="shared" si="193"/>
        <v/>
      </c>
    </row>
    <row r="5637" spans="1:8">
      <c r="A5637" s="2"/>
      <c r="B5637" s="12"/>
      <c r="C5637" s="12"/>
      <c r="E5637" t="str">
        <f>IF(LEN(D5637)=0,"",[1]!i_pq_tradedays($B$3,A5638,A5637)-1)</f>
        <v/>
      </c>
      <c r="G5637" s="16" t="str">
        <f t="shared" si="192"/>
        <v/>
      </c>
      <c r="H5637" s="70" t="str">
        <f t="shared" si="193"/>
        <v/>
      </c>
    </row>
    <row r="5638" spans="1:8">
      <c r="A5638" s="2"/>
      <c r="B5638" s="12"/>
      <c r="C5638" s="12"/>
      <c r="E5638" t="str">
        <f>IF(LEN(D5638)=0,"",[1]!i_pq_tradedays($B$3,A5639,A5638)-1)</f>
        <v/>
      </c>
      <c r="G5638" s="16" t="str">
        <f t="shared" si="192"/>
        <v/>
      </c>
      <c r="H5638" s="70" t="str">
        <f t="shared" si="193"/>
        <v/>
      </c>
    </row>
    <row r="5639" spans="1:8">
      <c r="A5639" s="2"/>
      <c r="B5639" s="12"/>
      <c r="C5639" s="12"/>
      <c r="E5639" t="str">
        <f>IF(LEN(D5639)=0,"",[1]!i_pq_tradedays($B$3,A5640,A5639)-1)</f>
        <v/>
      </c>
      <c r="G5639" s="16" t="str">
        <f t="shared" si="192"/>
        <v/>
      </c>
      <c r="H5639" s="70" t="str">
        <f t="shared" si="193"/>
        <v/>
      </c>
    </row>
    <row r="5640" spans="1:8">
      <c r="A5640" s="2"/>
      <c r="B5640" s="12"/>
      <c r="C5640" s="12"/>
      <c r="E5640" t="str">
        <f>IF(LEN(D5640)=0,"",[1]!i_pq_tradedays($B$3,A5641,A5640)-1)</f>
        <v/>
      </c>
      <c r="G5640" s="16" t="str">
        <f t="shared" si="192"/>
        <v/>
      </c>
      <c r="H5640" s="70" t="str">
        <f t="shared" si="193"/>
        <v/>
      </c>
    </row>
    <row r="5641" spans="1:8">
      <c r="A5641" s="2"/>
      <c r="B5641" s="12"/>
      <c r="C5641" s="12"/>
      <c r="E5641" t="str">
        <f>IF(LEN(D5641)=0,"",[1]!i_pq_tradedays($B$3,A5642,A5641)-1)</f>
        <v/>
      </c>
      <c r="G5641" s="16" t="str">
        <f t="shared" si="192"/>
        <v/>
      </c>
      <c r="H5641" s="70" t="str">
        <f t="shared" si="193"/>
        <v/>
      </c>
    </row>
    <row r="5642" spans="1:8">
      <c r="A5642" s="2"/>
      <c r="B5642" s="12"/>
      <c r="C5642" s="12"/>
      <c r="E5642" t="str">
        <f>IF(LEN(D5642)=0,"",[1]!i_pq_tradedays($B$3,A5643,A5642)-1)</f>
        <v/>
      </c>
      <c r="G5642" s="16" t="str">
        <f t="shared" si="192"/>
        <v/>
      </c>
      <c r="H5642" s="70" t="str">
        <f t="shared" si="193"/>
        <v/>
      </c>
    </row>
    <row r="5643" spans="1:8">
      <c r="A5643" s="2"/>
      <c r="B5643" s="12"/>
      <c r="C5643" s="12"/>
      <c r="E5643" t="str">
        <f>IF(LEN(D5643)=0,"",[1]!i_pq_tradedays($B$3,A5644,A5643)-1)</f>
        <v/>
      </c>
      <c r="G5643" s="16" t="str">
        <f t="shared" si="192"/>
        <v/>
      </c>
      <c r="H5643" s="70" t="str">
        <f t="shared" si="193"/>
        <v/>
      </c>
    </row>
    <row r="5644" spans="1:8">
      <c r="A5644" s="2"/>
      <c r="B5644" s="12"/>
      <c r="C5644" s="12"/>
      <c r="E5644" t="str">
        <f>IF(LEN(D5644)=0,"",[1]!i_pq_tradedays($B$3,A5645,A5644)-1)</f>
        <v/>
      </c>
      <c r="G5644" s="16" t="str">
        <f t="shared" si="192"/>
        <v/>
      </c>
      <c r="H5644" s="70" t="str">
        <f t="shared" si="193"/>
        <v/>
      </c>
    </row>
    <row r="5645" spans="1:8">
      <c r="A5645" s="2"/>
      <c r="B5645" s="12"/>
      <c r="C5645" s="12"/>
      <c r="E5645" t="str">
        <f>IF(LEN(D5645)=0,"",[1]!i_pq_tradedays($B$3,A5646,A5645)-1)</f>
        <v/>
      </c>
      <c r="G5645" s="16" t="str">
        <f t="shared" si="192"/>
        <v/>
      </c>
      <c r="H5645" s="70" t="str">
        <f t="shared" si="193"/>
        <v/>
      </c>
    </row>
    <row r="5646" spans="1:8">
      <c r="A5646" s="2"/>
      <c r="B5646" s="12"/>
      <c r="C5646" s="12"/>
      <c r="E5646" t="str">
        <f>IF(LEN(D5646)=0,"",[1]!i_pq_tradedays($B$3,A5647,A5646)-1)</f>
        <v/>
      </c>
      <c r="G5646" s="16" t="str">
        <f t="shared" si="192"/>
        <v/>
      </c>
      <c r="H5646" s="70" t="str">
        <f t="shared" si="193"/>
        <v/>
      </c>
    </row>
    <row r="5647" spans="1:8">
      <c r="A5647" s="2"/>
      <c r="B5647" s="12"/>
      <c r="C5647" s="12"/>
      <c r="E5647" t="str">
        <f>IF(LEN(D5647)=0,"",[1]!i_pq_tradedays($B$3,A5648,A5647)-1)</f>
        <v/>
      </c>
      <c r="G5647" s="16" t="str">
        <f t="shared" si="192"/>
        <v/>
      </c>
      <c r="H5647" s="70" t="str">
        <f t="shared" si="193"/>
        <v/>
      </c>
    </row>
    <row r="5648" spans="1:8">
      <c r="A5648" s="2"/>
      <c r="B5648" s="12"/>
      <c r="C5648" s="12"/>
      <c r="E5648" t="str">
        <f>IF(LEN(D5648)=0,"",[1]!i_pq_tradedays($B$3,A5649,A5648)-1)</f>
        <v/>
      </c>
      <c r="G5648" s="16" t="str">
        <f t="shared" si="192"/>
        <v/>
      </c>
      <c r="H5648" s="70" t="str">
        <f t="shared" si="193"/>
        <v/>
      </c>
    </row>
    <row r="5649" spans="1:8">
      <c r="A5649" s="2"/>
      <c r="B5649" s="12"/>
      <c r="C5649" s="12"/>
      <c r="E5649" t="str">
        <f>IF(LEN(D5649)=0,"",[1]!i_pq_tradedays($B$3,A5650,A5649)-1)</f>
        <v/>
      </c>
      <c r="G5649" s="16" t="str">
        <f t="shared" si="192"/>
        <v/>
      </c>
      <c r="H5649" s="70" t="str">
        <f t="shared" si="193"/>
        <v/>
      </c>
    </row>
    <row r="5650" spans="1:8">
      <c r="A5650" s="2"/>
      <c r="B5650" s="12"/>
      <c r="C5650" s="12"/>
      <c r="E5650" t="str">
        <f>IF(LEN(D5650)=0,"",[1]!i_pq_tradedays($B$3,A5651,A5650)-1)</f>
        <v/>
      </c>
      <c r="G5650" s="16" t="str">
        <f t="shared" si="192"/>
        <v/>
      </c>
      <c r="H5650" s="70" t="str">
        <f t="shared" si="193"/>
        <v/>
      </c>
    </row>
    <row r="5651" spans="1:8">
      <c r="A5651" s="2"/>
      <c r="B5651" s="12"/>
      <c r="C5651" s="12"/>
      <c r="E5651" t="str">
        <f>IF(LEN(D5651)=0,"",[1]!i_pq_tradedays($B$3,A5652,A5651)-1)</f>
        <v/>
      </c>
      <c r="G5651" s="16" t="str">
        <f t="shared" si="192"/>
        <v/>
      </c>
      <c r="H5651" s="70" t="str">
        <f t="shared" si="193"/>
        <v/>
      </c>
    </row>
    <row r="5652" spans="1:8">
      <c r="A5652" s="2"/>
      <c r="B5652" s="12"/>
      <c r="C5652" s="12"/>
      <c r="E5652" t="str">
        <f>IF(LEN(D5652)=0,"",[1]!i_pq_tradedays($B$3,A5653,A5652)-1)</f>
        <v/>
      </c>
      <c r="G5652" s="16" t="str">
        <f t="shared" si="192"/>
        <v/>
      </c>
      <c r="H5652" s="70" t="str">
        <f t="shared" si="193"/>
        <v/>
      </c>
    </row>
    <row r="5653" spans="1:8">
      <c r="A5653" s="2"/>
      <c r="B5653" s="12"/>
      <c r="C5653" s="12"/>
      <c r="E5653" t="str">
        <f>IF(LEN(D5653)=0,"",[1]!i_pq_tradedays($B$3,A5654,A5653)-1)</f>
        <v/>
      </c>
      <c r="G5653" s="16" t="str">
        <f t="shared" si="192"/>
        <v/>
      </c>
      <c r="H5653" s="70" t="str">
        <f t="shared" si="193"/>
        <v/>
      </c>
    </row>
    <row r="5654" spans="1:8">
      <c r="A5654" s="2"/>
      <c r="B5654" s="12"/>
      <c r="C5654" s="12"/>
      <c r="E5654" t="str">
        <f>IF(LEN(D5654)=0,"",[1]!i_pq_tradedays($B$3,A5655,A5654)-1)</f>
        <v/>
      </c>
      <c r="G5654" s="16" t="str">
        <f t="shared" si="192"/>
        <v/>
      </c>
      <c r="H5654" s="70" t="str">
        <f t="shared" si="193"/>
        <v/>
      </c>
    </row>
    <row r="5655" spans="1:8">
      <c r="A5655" s="2"/>
      <c r="B5655" s="12"/>
      <c r="C5655" s="12"/>
      <c r="E5655" t="str">
        <f>IF(LEN(D5655)=0,"",[1]!i_pq_tradedays($B$3,A5656,A5655)-1)</f>
        <v/>
      </c>
      <c r="G5655" s="16" t="str">
        <f t="shared" si="192"/>
        <v/>
      </c>
      <c r="H5655" s="70" t="str">
        <f t="shared" si="193"/>
        <v/>
      </c>
    </row>
    <row r="5656" spans="1:8">
      <c r="A5656" s="2"/>
      <c r="B5656" s="12"/>
      <c r="C5656" s="12"/>
      <c r="E5656" t="str">
        <f>IF(LEN(D5656)=0,"",[1]!i_pq_tradedays($B$3,A5657,A5656)-1)</f>
        <v/>
      </c>
      <c r="G5656" s="16" t="str">
        <f t="shared" si="192"/>
        <v/>
      </c>
      <c r="H5656" s="70" t="str">
        <f t="shared" si="193"/>
        <v/>
      </c>
    </row>
    <row r="5657" spans="1:8">
      <c r="A5657" s="2"/>
      <c r="B5657" s="12"/>
      <c r="C5657" s="12"/>
      <c r="E5657" t="str">
        <f>IF(LEN(D5657)=0,"",[1]!i_pq_tradedays($B$3,A5658,A5657)-1)</f>
        <v/>
      </c>
      <c r="G5657" s="16" t="str">
        <f t="shared" si="192"/>
        <v/>
      </c>
      <c r="H5657" s="70" t="str">
        <f t="shared" si="193"/>
        <v/>
      </c>
    </row>
    <row r="5658" spans="1:8">
      <c r="A5658" s="2"/>
      <c r="B5658" s="12"/>
      <c r="C5658" s="12"/>
      <c r="E5658" t="str">
        <f>IF(LEN(D5658)=0,"",[1]!i_pq_tradedays($B$3,A5659,A5658)-1)</f>
        <v/>
      </c>
      <c r="G5658" s="16" t="str">
        <f t="shared" si="192"/>
        <v/>
      </c>
      <c r="H5658" s="70" t="str">
        <f t="shared" si="193"/>
        <v/>
      </c>
    </row>
    <row r="5659" spans="1:8">
      <c r="A5659" s="2"/>
      <c r="B5659" s="12"/>
      <c r="C5659" s="12"/>
      <c r="E5659" t="str">
        <f>IF(LEN(D5659)=0,"",[1]!i_pq_tradedays($B$3,A5660,A5659)-1)</f>
        <v/>
      </c>
      <c r="G5659" s="16" t="str">
        <f t="shared" si="192"/>
        <v/>
      </c>
      <c r="H5659" s="70" t="str">
        <f t="shared" si="193"/>
        <v/>
      </c>
    </row>
    <row r="5660" spans="1:8">
      <c r="A5660" s="2"/>
      <c r="B5660" s="12"/>
      <c r="C5660" s="12"/>
      <c r="E5660" t="str">
        <f>IF(LEN(D5660)=0,"",[1]!i_pq_tradedays($B$3,A5661,A5660)-1)</f>
        <v/>
      </c>
      <c r="G5660" s="16" t="str">
        <f t="shared" si="192"/>
        <v/>
      </c>
      <c r="H5660" s="70" t="str">
        <f t="shared" si="193"/>
        <v/>
      </c>
    </row>
    <row r="5661" spans="1:8">
      <c r="A5661" s="2"/>
      <c r="B5661" s="12"/>
      <c r="C5661" s="12"/>
      <c r="E5661" t="str">
        <f>IF(LEN(D5661)=0,"",[1]!i_pq_tradedays($B$3,A5662,A5661)-1)</f>
        <v/>
      </c>
      <c r="G5661" s="16" t="str">
        <f t="shared" si="192"/>
        <v/>
      </c>
      <c r="H5661" s="70" t="str">
        <f t="shared" si="193"/>
        <v/>
      </c>
    </row>
    <row r="5662" spans="1:8">
      <c r="A5662" s="2"/>
      <c r="B5662" s="12"/>
      <c r="C5662" s="12"/>
      <c r="E5662" t="str">
        <f>IF(LEN(D5662)=0,"",[1]!i_pq_tradedays($B$3,A5663,A5662)-1)</f>
        <v/>
      </c>
      <c r="G5662" s="16" t="str">
        <f t="shared" si="192"/>
        <v/>
      </c>
      <c r="H5662" s="70" t="str">
        <f t="shared" si="193"/>
        <v/>
      </c>
    </row>
    <row r="5663" spans="1:8">
      <c r="A5663" s="2"/>
      <c r="B5663" s="12"/>
      <c r="C5663" s="12"/>
      <c r="E5663" t="str">
        <f>IF(LEN(D5663)=0,"",[1]!i_pq_tradedays($B$3,A5664,A5663)-1)</f>
        <v/>
      </c>
      <c r="G5663" s="16" t="str">
        <f t="shared" si="192"/>
        <v/>
      </c>
      <c r="H5663" s="70" t="str">
        <f t="shared" si="193"/>
        <v/>
      </c>
    </row>
    <row r="5664" spans="1:8">
      <c r="A5664" s="2"/>
      <c r="B5664" s="12"/>
      <c r="C5664" s="12"/>
      <c r="E5664" t="str">
        <f>IF(LEN(D5664)=0,"",[1]!i_pq_tradedays($B$3,A5665,A5664)-1)</f>
        <v/>
      </c>
      <c r="G5664" s="16" t="str">
        <f t="shared" si="192"/>
        <v/>
      </c>
      <c r="H5664" s="70" t="str">
        <f t="shared" si="193"/>
        <v/>
      </c>
    </row>
    <row r="5665" spans="1:8">
      <c r="A5665" s="2"/>
      <c r="B5665" s="12"/>
      <c r="C5665" s="12"/>
      <c r="E5665" t="str">
        <f>IF(LEN(D5665)=0,"",[1]!i_pq_tradedays($B$3,A5666,A5665)-1)</f>
        <v/>
      </c>
      <c r="G5665" s="16" t="str">
        <f t="shared" si="192"/>
        <v/>
      </c>
      <c r="H5665" s="70" t="str">
        <f t="shared" si="193"/>
        <v/>
      </c>
    </row>
    <row r="5666" spans="1:8">
      <c r="A5666" s="2"/>
      <c r="B5666" s="12"/>
      <c r="C5666" s="12"/>
      <c r="E5666" t="str">
        <f>IF(LEN(D5666)=0,"",[1]!i_pq_tradedays($B$3,A5667,A5666)-1)</f>
        <v/>
      </c>
      <c r="G5666" s="16" t="str">
        <f t="shared" si="192"/>
        <v/>
      </c>
      <c r="H5666" s="70" t="str">
        <f t="shared" si="193"/>
        <v/>
      </c>
    </row>
    <row r="5667" spans="1:8">
      <c r="A5667" s="2"/>
      <c r="B5667" s="12"/>
      <c r="C5667" s="12"/>
      <c r="E5667" t="str">
        <f>IF(LEN(D5667)=0,"",[1]!i_pq_tradedays($B$3,A5668,A5667)-1)</f>
        <v/>
      </c>
      <c r="G5667" s="16" t="str">
        <f t="shared" si="192"/>
        <v/>
      </c>
      <c r="H5667" s="70" t="str">
        <f t="shared" si="193"/>
        <v/>
      </c>
    </row>
    <row r="5668" spans="1:8">
      <c r="A5668" s="2"/>
      <c r="B5668" s="12"/>
      <c r="C5668" s="12"/>
      <c r="E5668" t="str">
        <f>IF(LEN(D5668)=0,"",[1]!i_pq_tradedays($B$3,A5669,A5668)-1)</f>
        <v/>
      </c>
      <c r="G5668" s="16" t="str">
        <f t="shared" si="192"/>
        <v/>
      </c>
      <c r="H5668" s="70" t="str">
        <f t="shared" si="193"/>
        <v/>
      </c>
    </row>
    <row r="5669" spans="1:8">
      <c r="A5669" s="2"/>
      <c r="B5669" s="12"/>
      <c r="C5669" s="12"/>
      <c r="E5669" t="str">
        <f>IF(LEN(D5669)=0,"",[1]!i_pq_tradedays($B$3,A5670,A5669)-1)</f>
        <v/>
      </c>
      <c r="G5669" s="16" t="str">
        <f t="shared" si="192"/>
        <v/>
      </c>
      <c r="H5669" s="70" t="str">
        <f t="shared" si="193"/>
        <v/>
      </c>
    </row>
    <row r="5670" spans="1:8">
      <c r="A5670" s="2"/>
      <c r="B5670" s="12"/>
      <c r="C5670" s="12"/>
      <c r="E5670" t="str">
        <f>IF(LEN(D5670)=0,"",[1]!i_pq_tradedays($B$3,A5671,A5670)-1)</f>
        <v/>
      </c>
      <c r="G5670" s="16" t="str">
        <f t="shared" si="192"/>
        <v/>
      </c>
      <c r="H5670" s="70" t="str">
        <f t="shared" si="193"/>
        <v/>
      </c>
    </row>
    <row r="5671" spans="1:8">
      <c r="A5671" s="2"/>
      <c r="B5671" s="12"/>
      <c r="C5671" s="12"/>
      <c r="E5671" t="str">
        <f>IF(LEN(D5671)=0,"",[1]!i_pq_tradedays($B$3,A5672,A5671)-1)</f>
        <v/>
      </c>
      <c r="G5671" s="16" t="str">
        <f t="shared" si="192"/>
        <v/>
      </c>
      <c r="H5671" s="70" t="str">
        <f t="shared" si="193"/>
        <v/>
      </c>
    </row>
    <row r="5672" spans="1:8">
      <c r="A5672" s="2"/>
      <c r="B5672" s="12"/>
      <c r="C5672" s="12"/>
      <c r="E5672" t="str">
        <f>IF(LEN(D5672)=0,"",[1]!i_pq_tradedays($B$3,A5673,A5672)-1)</f>
        <v/>
      </c>
      <c r="G5672" s="16" t="str">
        <f t="shared" si="192"/>
        <v/>
      </c>
      <c r="H5672" s="70" t="str">
        <f t="shared" si="193"/>
        <v/>
      </c>
    </row>
    <row r="5673" spans="1:8">
      <c r="A5673" s="2"/>
      <c r="B5673" s="12"/>
      <c r="C5673" s="12"/>
      <c r="E5673" t="str">
        <f>IF(LEN(D5673)=0,"",[1]!i_pq_tradedays($B$3,A5674,A5673)-1)</f>
        <v/>
      </c>
      <c r="G5673" s="16" t="str">
        <f t="shared" si="192"/>
        <v/>
      </c>
      <c r="H5673" s="70" t="str">
        <f t="shared" si="193"/>
        <v/>
      </c>
    </row>
    <row r="5674" spans="1:8">
      <c r="A5674" s="2"/>
      <c r="B5674" s="12"/>
      <c r="C5674" s="12"/>
      <c r="E5674" t="str">
        <f>IF(LEN(D5674)=0,"",[1]!i_pq_tradedays($B$3,A5675,A5674)-1)</f>
        <v/>
      </c>
      <c r="G5674" s="16" t="str">
        <f t="shared" si="192"/>
        <v/>
      </c>
      <c r="H5674" s="70" t="str">
        <f t="shared" si="193"/>
        <v/>
      </c>
    </row>
    <row r="5675" spans="1:8">
      <c r="A5675" s="2"/>
      <c r="B5675" s="12"/>
      <c r="C5675" s="12"/>
      <c r="E5675" t="str">
        <f>IF(LEN(D5675)=0,"",[1]!i_pq_tradedays($B$3,A5676,A5675)-1)</f>
        <v/>
      </c>
      <c r="G5675" s="16" t="str">
        <f t="shared" si="192"/>
        <v/>
      </c>
      <c r="H5675" s="70" t="str">
        <f t="shared" si="193"/>
        <v/>
      </c>
    </row>
    <row r="5676" spans="1:8">
      <c r="A5676" s="2"/>
      <c r="B5676" s="12"/>
      <c r="C5676" s="12"/>
      <c r="E5676" t="str">
        <f>IF(LEN(D5676)=0,"",[1]!i_pq_tradedays($B$3,A5677,A5676)-1)</f>
        <v/>
      </c>
      <c r="G5676" s="16" t="str">
        <f t="shared" si="192"/>
        <v/>
      </c>
      <c r="H5676" s="70" t="str">
        <f t="shared" si="193"/>
        <v/>
      </c>
    </row>
    <row r="5677" spans="1:8">
      <c r="A5677" s="2"/>
      <c r="B5677" s="12"/>
      <c r="C5677" s="12"/>
      <c r="E5677" t="str">
        <f>IF(LEN(D5677)=0,"",[1]!i_pq_tradedays($B$3,A5678,A5677)-1)</f>
        <v/>
      </c>
      <c r="G5677" s="16" t="str">
        <f t="shared" si="192"/>
        <v/>
      </c>
      <c r="H5677" s="70" t="str">
        <f t="shared" si="193"/>
        <v/>
      </c>
    </row>
    <row r="5678" spans="1:8">
      <c r="A5678" s="2"/>
      <c r="B5678" s="12"/>
      <c r="C5678" s="12"/>
      <c r="E5678" t="str">
        <f>IF(LEN(D5678)=0,"",[1]!i_pq_tradedays($B$3,A5679,A5678)-1)</f>
        <v/>
      </c>
      <c r="G5678" s="16" t="str">
        <f t="shared" si="192"/>
        <v/>
      </c>
      <c r="H5678" s="70" t="str">
        <f t="shared" si="193"/>
        <v/>
      </c>
    </row>
    <row r="5679" spans="1:8">
      <c r="A5679" s="2"/>
      <c r="B5679" s="12"/>
      <c r="C5679" s="12"/>
      <c r="E5679" t="str">
        <f>IF(LEN(D5679)=0,"",[1]!i_pq_tradedays($B$3,A5680,A5679)-1)</f>
        <v/>
      </c>
      <c r="G5679" s="16" t="str">
        <f t="shared" si="192"/>
        <v/>
      </c>
      <c r="H5679" s="70" t="str">
        <f t="shared" si="193"/>
        <v/>
      </c>
    </row>
    <row r="5680" spans="1:8">
      <c r="A5680" s="2"/>
      <c r="B5680" s="12"/>
      <c r="C5680" s="12"/>
      <c r="E5680" t="str">
        <f>IF(LEN(D5680)=0,"",[1]!i_pq_tradedays($B$3,A5681,A5680)-1)</f>
        <v/>
      </c>
      <c r="G5680" s="16" t="str">
        <f t="shared" si="192"/>
        <v/>
      </c>
      <c r="H5680" s="70" t="str">
        <f t="shared" si="193"/>
        <v/>
      </c>
    </row>
    <row r="5681" spans="1:8">
      <c r="A5681" s="2"/>
      <c r="B5681" s="12"/>
      <c r="C5681" s="12"/>
      <c r="E5681" t="str">
        <f>IF(LEN(D5681)=0,"",[1]!i_pq_tradedays($B$3,A5682,A5681)-1)</f>
        <v/>
      </c>
      <c r="G5681" s="16" t="str">
        <f t="shared" si="192"/>
        <v/>
      </c>
      <c r="H5681" s="70" t="str">
        <f t="shared" si="193"/>
        <v/>
      </c>
    </row>
    <row r="5682" spans="1:8">
      <c r="A5682" s="2"/>
      <c r="B5682" s="12"/>
      <c r="C5682" s="12"/>
      <c r="E5682" t="str">
        <f>IF(LEN(D5682)=0,"",[1]!i_pq_tradedays($B$3,A5683,A5682)-1)</f>
        <v/>
      </c>
      <c r="G5682" s="16" t="str">
        <f t="shared" si="192"/>
        <v/>
      </c>
      <c r="H5682" s="70" t="str">
        <f t="shared" si="193"/>
        <v/>
      </c>
    </row>
    <row r="5683" spans="1:8">
      <c r="A5683" s="2"/>
      <c r="B5683" s="12"/>
      <c r="C5683" s="12"/>
      <c r="E5683" t="str">
        <f>IF(LEN(D5683)=0,"",[1]!i_pq_tradedays($B$3,A5684,A5683)-1)</f>
        <v/>
      </c>
      <c r="G5683" s="16" t="str">
        <f t="shared" si="192"/>
        <v/>
      </c>
      <c r="H5683" s="70" t="str">
        <f t="shared" si="193"/>
        <v/>
      </c>
    </row>
    <row r="5684" spans="1:8">
      <c r="A5684" s="2"/>
      <c r="B5684" s="12"/>
      <c r="C5684" s="12"/>
      <c r="E5684" t="str">
        <f>IF(LEN(D5684)=0,"",[1]!i_pq_tradedays($B$3,A5685,A5684)-1)</f>
        <v/>
      </c>
      <c r="G5684" s="16" t="str">
        <f t="shared" si="192"/>
        <v/>
      </c>
      <c r="H5684" s="70" t="str">
        <f t="shared" si="193"/>
        <v/>
      </c>
    </row>
    <row r="5685" spans="1:8">
      <c r="A5685" s="2"/>
      <c r="B5685" s="12"/>
      <c r="C5685" s="12"/>
      <c r="E5685" t="str">
        <f>IF(LEN(D5685)=0,"",[1]!i_pq_tradedays($B$3,A5686,A5685)-1)</f>
        <v/>
      </c>
      <c r="G5685" s="16" t="str">
        <f t="shared" ref="G5685:G5748" si="194">IF(LEN(D5685)=0,"",D5685/E5685)</f>
        <v/>
      </c>
      <c r="H5685" s="70" t="str">
        <f t="shared" ref="H5685:H5748" si="195">IF(LEN(D5685)=0,"",G5685/G5686-1)</f>
        <v/>
      </c>
    </row>
    <row r="5686" spans="1:8">
      <c r="A5686" s="2"/>
      <c r="B5686" s="12"/>
      <c r="C5686" s="12"/>
      <c r="E5686" t="str">
        <f>IF(LEN(D5686)=0,"",[1]!i_pq_tradedays($B$3,A5687,A5686)-1)</f>
        <v/>
      </c>
      <c r="G5686" s="16" t="str">
        <f t="shared" si="194"/>
        <v/>
      </c>
      <c r="H5686" s="70" t="str">
        <f t="shared" si="195"/>
        <v/>
      </c>
    </row>
    <row r="5687" spans="1:8">
      <c r="A5687" s="2"/>
      <c r="B5687" s="12"/>
      <c r="C5687" s="12"/>
      <c r="E5687" t="str">
        <f>IF(LEN(D5687)=0,"",[1]!i_pq_tradedays($B$3,A5688,A5687)-1)</f>
        <v/>
      </c>
      <c r="G5687" s="16" t="str">
        <f t="shared" si="194"/>
        <v/>
      </c>
      <c r="H5687" s="70" t="str">
        <f t="shared" si="195"/>
        <v/>
      </c>
    </row>
    <row r="5688" spans="1:8">
      <c r="A5688" s="2"/>
      <c r="B5688" s="12"/>
      <c r="C5688" s="12"/>
      <c r="E5688" t="str">
        <f>IF(LEN(D5688)=0,"",[1]!i_pq_tradedays($B$3,A5689,A5688)-1)</f>
        <v/>
      </c>
      <c r="G5688" s="16" t="str">
        <f t="shared" si="194"/>
        <v/>
      </c>
      <c r="H5688" s="70" t="str">
        <f t="shared" si="195"/>
        <v/>
      </c>
    </row>
    <row r="5689" spans="1:8">
      <c r="A5689" s="2"/>
      <c r="B5689" s="12"/>
      <c r="C5689" s="12"/>
      <c r="E5689" t="str">
        <f>IF(LEN(D5689)=0,"",[1]!i_pq_tradedays($B$3,A5690,A5689)-1)</f>
        <v/>
      </c>
      <c r="G5689" s="16" t="str">
        <f t="shared" si="194"/>
        <v/>
      </c>
      <c r="H5689" s="70" t="str">
        <f t="shared" si="195"/>
        <v/>
      </c>
    </row>
    <row r="5690" spans="1:8">
      <c r="A5690" s="2"/>
      <c r="B5690" s="12"/>
      <c r="C5690" s="12"/>
      <c r="E5690" t="str">
        <f>IF(LEN(D5690)=0,"",[1]!i_pq_tradedays($B$3,A5691,A5690)-1)</f>
        <v/>
      </c>
      <c r="G5690" s="16" t="str">
        <f t="shared" si="194"/>
        <v/>
      </c>
      <c r="H5690" s="70" t="str">
        <f t="shared" si="195"/>
        <v/>
      </c>
    </row>
    <row r="5691" spans="1:8">
      <c r="A5691" s="2"/>
      <c r="B5691" s="12"/>
      <c r="C5691" s="12"/>
      <c r="E5691" t="str">
        <f>IF(LEN(D5691)=0,"",[1]!i_pq_tradedays($B$3,A5692,A5691)-1)</f>
        <v/>
      </c>
      <c r="G5691" s="16" t="str">
        <f t="shared" si="194"/>
        <v/>
      </c>
      <c r="H5691" s="70" t="str">
        <f t="shared" si="195"/>
        <v/>
      </c>
    </row>
    <row r="5692" spans="1:8">
      <c r="A5692" s="2"/>
      <c r="B5692" s="12"/>
      <c r="C5692" s="12"/>
      <c r="E5692" t="str">
        <f>IF(LEN(D5692)=0,"",[1]!i_pq_tradedays($B$3,A5693,A5692)-1)</f>
        <v/>
      </c>
      <c r="G5692" s="16" t="str">
        <f t="shared" si="194"/>
        <v/>
      </c>
      <c r="H5692" s="70" t="str">
        <f t="shared" si="195"/>
        <v/>
      </c>
    </row>
    <row r="5693" spans="1:8">
      <c r="A5693" s="2"/>
      <c r="B5693" s="12"/>
      <c r="C5693" s="12"/>
      <c r="E5693" t="str">
        <f>IF(LEN(D5693)=0,"",[1]!i_pq_tradedays($B$3,A5694,A5693)-1)</f>
        <v/>
      </c>
      <c r="G5693" s="16" t="str">
        <f t="shared" si="194"/>
        <v/>
      </c>
      <c r="H5693" s="70" t="str">
        <f t="shared" si="195"/>
        <v/>
      </c>
    </row>
    <row r="5694" spans="1:8">
      <c r="A5694" s="2"/>
      <c r="B5694" s="12"/>
      <c r="C5694" s="12"/>
      <c r="E5694" t="str">
        <f>IF(LEN(D5694)=0,"",[1]!i_pq_tradedays($B$3,A5695,A5694)-1)</f>
        <v/>
      </c>
      <c r="G5694" s="16" t="str">
        <f t="shared" si="194"/>
        <v/>
      </c>
      <c r="H5694" s="70" t="str">
        <f t="shared" si="195"/>
        <v/>
      </c>
    </row>
    <row r="5695" spans="1:8">
      <c r="A5695" s="2"/>
      <c r="B5695" s="12"/>
      <c r="C5695" s="12"/>
      <c r="E5695" t="str">
        <f>IF(LEN(D5695)=0,"",[1]!i_pq_tradedays($B$3,A5696,A5695)-1)</f>
        <v/>
      </c>
      <c r="G5695" s="16" t="str">
        <f t="shared" si="194"/>
        <v/>
      </c>
      <c r="H5695" s="70" t="str">
        <f t="shared" si="195"/>
        <v/>
      </c>
    </row>
    <row r="5696" spans="1:8">
      <c r="A5696" s="2"/>
      <c r="B5696" s="12"/>
      <c r="C5696" s="12"/>
      <c r="E5696" t="str">
        <f>IF(LEN(D5696)=0,"",[1]!i_pq_tradedays($B$3,A5697,A5696)-1)</f>
        <v/>
      </c>
      <c r="G5696" s="16" t="str">
        <f t="shared" si="194"/>
        <v/>
      </c>
      <c r="H5696" s="70" t="str">
        <f t="shared" si="195"/>
        <v/>
      </c>
    </row>
    <row r="5697" spans="1:8">
      <c r="A5697" s="2"/>
      <c r="B5697" s="12"/>
      <c r="C5697" s="12"/>
      <c r="E5697" t="str">
        <f>IF(LEN(D5697)=0,"",[1]!i_pq_tradedays($B$3,A5698,A5697)-1)</f>
        <v/>
      </c>
      <c r="G5697" s="16" t="str">
        <f t="shared" si="194"/>
        <v/>
      </c>
      <c r="H5697" s="70" t="str">
        <f t="shared" si="195"/>
        <v/>
      </c>
    </row>
    <row r="5698" spans="1:8">
      <c r="A5698" s="2"/>
      <c r="B5698" s="12"/>
      <c r="C5698" s="12"/>
      <c r="E5698" t="str">
        <f>IF(LEN(D5698)=0,"",[1]!i_pq_tradedays($B$3,A5699,A5698)-1)</f>
        <v/>
      </c>
      <c r="G5698" s="16" t="str">
        <f t="shared" si="194"/>
        <v/>
      </c>
      <c r="H5698" s="70" t="str">
        <f t="shared" si="195"/>
        <v/>
      </c>
    </row>
    <row r="5699" spans="1:8">
      <c r="A5699" s="2"/>
      <c r="B5699" s="12"/>
      <c r="C5699" s="12"/>
      <c r="E5699" t="str">
        <f>IF(LEN(D5699)=0,"",[1]!i_pq_tradedays($B$3,A5700,A5699)-1)</f>
        <v/>
      </c>
      <c r="G5699" s="16" t="str">
        <f t="shared" si="194"/>
        <v/>
      </c>
      <c r="H5699" s="70" t="str">
        <f t="shared" si="195"/>
        <v/>
      </c>
    </row>
    <row r="5700" spans="1:8">
      <c r="A5700" s="2"/>
      <c r="B5700" s="12"/>
      <c r="C5700" s="12"/>
      <c r="E5700" t="str">
        <f>IF(LEN(D5700)=0,"",[1]!i_pq_tradedays($B$3,A5701,A5700)-1)</f>
        <v/>
      </c>
      <c r="G5700" s="16" t="str">
        <f t="shared" si="194"/>
        <v/>
      </c>
      <c r="H5700" s="70" t="str">
        <f t="shared" si="195"/>
        <v/>
      </c>
    </row>
    <row r="5701" spans="1:8">
      <c r="A5701" s="2"/>
      <c r="B5701" s="12"/>
      <c r="C5701" s="12"/>
      <c r="E5701" t="str">
        <f>IF(LEN(D5701)=0,"",[1]!i_pq_tradedays($B$3,A5702,A5701)-1)</f>
        <v/>
      </c>
      <c r="G5701" s="16" t="str">
        <f t="shared" si="194"/>
        <v/>
      </c>
      <c r="H5701" s="70" t="str">
        <f t="shared" si="195"/>
        <v/>
      </c>
    </row>
    <row r="5702" spans="1:8">
      <c r="A5702" s="2"/>
      <c r="B5702" s="12"/>
      <c r="C5702" s="12"/>
      <c r="E5702" t="str">
        <f>IF(LEN(D5702)=0,"",[1]!i_pq_tradedays($B$3,A5703,A5702)-1)</f>
        <v/>
      </c>
      <c r="G5702" s="16" t="str">
        <f t="shared" si="194"/>
        <v/>
      </c>
      <c r="H5702" s="70" t="str">
        <f t="shared" si="195"/>
        <v/>
      </c>
    </row>
    <row r="5703" spans="1:8">
      <c r="A5703" s="2"/>
      <c r="B5703" s="12"/>
      <c r="C5703" s="12"/>
      <c r="E5703" t="str">
        <f>IF(LEN(D5703)=0,"",[1]!i_pq_tradedays($B$3,A5704,A5703)-1)</f>
        <v/>
      </c>
      <c r="G5703" s="16" t="str">
        <f t="shared" si="194"/>
        <v/>
      </c>
      <c r="H5703" s="70" t="str">
        <f t="shared" si="195"/>
        <v/>
      </c>
    </row>
    <row r="5704" spans="1:8">
      <c r="A5704" s="2"/>
      <c r="B5704" s="12"/>
      <c r="C5704" s="12"/>
      <c r="E5704" t="str">
        <f>IF(LEN(D5704)=0,"",[1]!i_pq_tradedays($B$3,A5705,A5704)-1)</f>
        <v/>
      </c>
      <c r="G5704" s="16" t="str">
        <f t="shared" si="194"/>
        <v/>
      </c>
      <c r="H5704" s="70" t="str">
        <f t="shared" si="195"/>
        <v/>
      </c>
    </row>
    <row r="5705" spans="1:8">
      <c r="A5705" s="2"/>
      <c r="B5705" s="12"/>
      <c r="C5705" s="12"/>
      <c r="E5705" t="str">
        <f>IF(LEN(D5705)=0,"",[1]!i_pq_tradedays($B$3,A5706,A5705)-1)</f>
        <v/>
      </c>
      <c r="G5705" s="16" t="str">
        <f t="shared" si="194"/>
        <v/>
      </c>
      <c r="H5705" s="70" t="str">
        <f t="shared" si="195"/>
        <v/>
      </c>
    </row>
    <row r="5706" spans="1:8">
      <c r="A5706" s="2"/>
      <c r="B5706" s="12"/>
      <c r="C5706" s="12"/>
      <c r="E5706" t="str">
        <f>IF(LEN(D5706)=0,"",[1]!i_pq_tradedays($B$3,A5707,A5706)-1)</f>
        <v/>
      </c>
      <c r="G5706" s="16" t="str">
        <f t="shared" si="194"/>
        <v/>
      </c>
      <c r="H5706" s="70" t="str">
        <f t="shared" si="195"/>
        <v/>
      </c>
    </row>
    <row r="5707" spans="1:8">
      <c r="A5707" s="2"/>
      <c r="B5707" s="12"/>
      <c r="C5707" s="12"/>
      <c r="E5707" t="str">
        <f>IF(LEN(D5707)=0,"",[1]!i_pq_tradedays($B$3,A5708,A5707)-1)</f>
        <v/>
      </c>
      <c r="G5707" s="16" t="str">
        <f t="shared" si="194"/>
        <v/>
      </c>
      <c r="H5707" s="70" t="str">
        <f t="shared" si="195"/>
        <v/>
      </c>
    </row>
    <row r="5708" spans="1:8">
      <c r="A5708" s="2"/>
      <c r="B5708" s="12"/>
      <c r="C5708" s="12"/>
      <c r="E5708" t="str">
        <f>IF(LEN(D5708)=0,"",[1]!i_pq_tradedays($B$3,A5709,A5708)-1)</f>
        <v/>
      </c>
      <c r="G5708" s="16" t="str">
        <f t="shared" si="194"/>
        <v/>
      </c>
      <c r="H5708" s="70" t="str">
        <f t="shared" si="195"/>
        <v/>
      </c>
    </row>
    <row r="5709" spans="1:8">
      <c r="A5709" s="2"/>
      <c r="B5709" s="12"/>
      <c r="C5709" s="12"/>
      <c r="E5709" t="str">
        <f>IF(LEN(D5709)=0,"",[1]!i_pq_tradedays($B$3,A5710,A5709)-1)</f>
        <v/>
      </c>
      <c r="G5709" s="16" t="str">
        <f t="shared" si="194"/>
        <v/>
      </c>
      <c r="H5709" s="70" t="str">
        <f t="shared" si="195"/>
        <v/>
      </c>
    </row>
    <row r="5710" spans="1:8">
      <c r="A5710" s="2"/>
      <c r="B5710" s="12"/>
      <c r="C5710" s="12"/>
      <c r="E5710" t="str">
        <f>IF(LEN(D5710)=0,"",[1]!i_pq_tradedays($B$3,A5711,A5710)-1)</f>
        <v/>
      </c>
      <c r="G5710" s="16" t="str">
        <f t="shared" si="194"/>
        <v/>
      </c>
      <c r="H5710" s="70" t="str">
        <f t="shared" si="195"/>
        <v/>
      </c>
    </row>
    <row r="5711" spans="1:8">
      <c r="A5711" s="2"/>
      <c r="B5711" s="12"/>
      <c r="C5711" s="12"/>
      <c r="E5711" t="str">
        <f>IF(LEN(D5711)=0,"",[1]!i_pq_tradedays($B$3,A5712,A5711)-1)</f>
        <v/>
      </c>
      <c r="G5711" s="16" t="str">
        <f t="shared" si="194"/>
        <v/>
      </c>
      <c r="H5711" s="70" t="str">
        <f t="shared" si="195"/>
        <v/>
      </c>
    </row>
    <row r="5712" spans="1:8">
      <c r="A5712" s="2"/>
      <c r="B5712" s="12"/>
      <c r="C5712" s="12"/>
      <c r="E5712" t="str">
        <f>IF(LEN(D5712)=0,"",[1]!i_pq_tradedays($B$3,A5713,A5712)-1)</f>
        <v/>
      </c>
      <c r="G5712" s="16" t="str">
        <f t="shared" si="194"/>
        <v/>
      </c>
      <c r="H5712" s="70" t="str">
        <f t="shared" si="195"/>
        <v/>
      </c>
    </row>
    <row r="5713" spans="1:8">
      <c r="A5713" s="2"/>
      <c r="B5713" s="12"/>
      <c r="C5713" s="12"/>
      <c r="E5713" t="str">
        <f>IF(LEN(D5713)=0,"",[1]!i_pq_tradedays($B$3,A5714,A5713)-1)</f>
        <v/>
      </c>
      <c r="G5713" s="16" t="str">
        <f t="shared" si="194"/>
        <v/>
      </c>
      <c r="H5713" s="70" t="str">
        <f t="shared" si="195"/>
        <v/>
      </c>
    </row>
    <row r="5714" spans="1:8">
      <c r="A5714" s="2"/>
      <c r="B5714" s="12"/>
      <c r="C5714" s="12"/>
      <c r="E5714" t="str">
        <f>IF(LEN(D5714)=0,"",[1]!i_pq_tradedays($B$3,A5715,A5714)-1)</f>
        <v/>
      </c>
      <c r="G5714" s="16" t="str">
        <f t="shared" si="194"/>
        <v/>
      </c>
      <c r="H5714" s="70" t="str">
        <f t="shared" si="195"/>
        <v/>
      </c>
    </row>
    <row r="5715" spans="1:8">
      <c r="A5715" s="2"/>
      <c r="B5715" s="12"/>
      <c r="C5715" s="12"/>
      <c r="E5715" t="str">
        <f>IF(LEN(D5715)=0,"",[1]!i_pq_tradedays($B$3,A5716,A5715)-1)</f>
        <v/>
      </c>
      <c r="G5715" s="16" t="str">
        <f t="shared" si="194"/>
        <v/>
      </c>
      <c r="H5715" s="70" t="str">
        <f t="shared" si="195"/>
        <v/>
      </c>
    </row>
    <row r="5716" spans="1:8">
      <c r="A5716" s="2"/>
      <c r="B5716" s="12"/>
      <c r="C5716" s="12"/>
      <c r="E5716" t="str">
        <f>IF(LEN(D5716)=0,"",[1]!i_pq_tradedays($B$3,A5717,A5716)-1)</f>
        <v/>
      </c>
      <c r="G5716" s="16" t="str">
        <f t="shared" si="194"/>
        <v/>
      </c>
      <c r="H5716" s="70" t="str">
        <f t="shared" si="195"/>
        <v/>
      </c>
    </row>
    <row r="5717" spans="1:8">
      <c r="A5717" s="2"/>
      <c r="B5717" s="12"/>
      <c r="C5717" s="12"/>
      <c r="E5717" t="str">
        <f>IF(LEN(D5717)=0,"",[1]!i_pq_tradedays($B$3,A5718,A5717)-1)</f>
        <v/>
      </c>
      <c r="G5717" s="16" t="str">
        <f t="shared" si="194"/>
        <v/>
      </c>
      <c r="H5717" s="70" t="str">
        <f t="shared" si="195"/>
        <v/>
      </c>
    </row>
    <row r="5718" spans="1:8">
      <c r="A5718" s="2"/>
      <c r="B5718" s="12"/>
      <c r="C5718" s="12"/>
      <c r="E5718" t="str">
        <f>IF(LEN(D5718)=0,"",[1]!i_pq_tradedays($B$3,A5719,A5718)-1)</f>
        <v/>
      </c>
      <c r="G5718" s="16" t="str">
        <f t="shared" si="194"/>
        <v/>
      </c>
      <c r="H5718" s="70" t="str">
        <f t="shared" si="195"/>
        <v/>
      </c>
    </row>
    <row r="5719" spans="1:8">
      <c r="A5719" s="2"/>
      <c r="B5719" s="12"/>
      <c r="C5719" s="12"/>
      <c r="E5719" t="str">
        <f>IF(LEN(D5719)=0,"",[1]!i_pq_tradedays($B$3,A5720,A5719)-1)</f>
        <v/>
      </c>
      <c r="G5719" s="16" t="str">
        <f t="shared" si="194"/>
        <v/>
      </c>
      <c r="H5719" s="70" t="str">
        <f t="shared" si="195"/>
        <v/>
      </c>
    </row>
    <row r="5720" spans="1:8">
      <c r="A5720" s="2"/>
      <c r="B5720" s="12"/>
      <c r="C5720" s="12"/>
      <c r="E5720" t="str">
        <f>IF(LEN(D5720)=0,"",[1]!i_pq_tradedays($B$3,A5721,A5720)-1)</f>
        <v/>
      </c>
      <c r="G5720" s="16" t="str">
        <f t="shared" si="194"/>
        <v/>
      </c>
      <c r="H5720" s="70" t="str">
        <f t="shared" si="195"/>
        <v/>
      </c>
    </row>
    <row r="5721" spans="1:8">
      <c r="A5721" s="2"/>
      <c r="B5721" s="12"/>
      <c r="C5721" s="12"/>
      <c r="E5721" t="str">
        <f>IF(LEN(D5721)=0,"",[1]!i_pq_tradedays($B$3,A5722,A5721)-1)</f>
        <v/>
      </c>
      <c r="G5721" s="16" t="str">
        <f t="shared" si="194"/>
        <v/>
      </c>
      <c r="H5721" s="70" t="str">
        <f t="shared" si="195"/>
        <v/>
      </c>
    </row>
    <row r="5722" spans="1:8">
      <c r="A5722" s="2"/>
      <c r="B5722" s="12"/>
      <c r="C5722" s="12"/>
      <c r="E5722" t="str">
        <f>IF(LEN(D5722)=0,"",[1]!i_pq_tradedays($B$3,A5723,A5722)-1)</f>
        <v/>
      </c>
      <c r="G5722" s="16" t="str">
        <f t="shared" si="194"/>
        <v/>
      </c>
      <c r="H5722" s="70" t="str">
        <f t="shared" si="195"/>
        <v/>
      </c>
    </row>
    <row r="5723" spans="1:8">
      <c r="A5723" s="2"/>
      <c r="B5723" s="12"/>
      <c r="C5723" s="12"/>
      <c r="E5723" t="str">
        <f>IF(LEN(D5723)=0,"",[1]!i_pq_tradedays($B$3,A5724,A5723)-1)</f>
        <v/>
      </c>
      <c r="G5723" s="16" t="str">
        <f t="shared" si="194"/>
        <v/>
      </c>
      <c r="H5723" s="70" t="str">
        <f t="shared" si="195"/>
        <v/>
      </c>
    </row>
    <row r="5724" spans="1:8">
      <c r="A5724" s="2"/>
      <c r="B5724" s="12"/>
      <c r="C5724" s="12"/>
      <c r="E5724" t="str">
        <f>IF(LEN(D5724)=0,"",[1]!i_pq_tradedays($B$3,A5725,A5724)-1)</f>
        <v/>
      </c>
      <c r="G5724" s="16" t="str">
        <f t="shared" si="194"/>
        <v/>
      </c>
      <c r="H5724" s="70" t="str">
        <f t="shared" si="195"/>
        <v/>
      </c>
    </row>
    <row r="5725" spans="1:8">
      <c r="A5725" s="2"/>
      <c r="B5725" s="12"/>
      <c r="C5725" s="12"/>
      <c r="E5725" t="str">
        <f>IF(LEN(D5725)=0,"",[1]!i_pq_tradedays($B$3,A5726,A5725)-1)</f>
        <v/>
      </c>
      <c r="G5725" s="16" t="str">
        <f t="shared" si="194"/>
        <v/>
      </c>
      <c r="H5725" s="70" t="str">
        <f t="shared" si="195"/>
        <v/>
      </c>
    </row>
    <row r="5726" spans="1:8">
      <c r="A5726" s="2"/>
      <c r="B5726" s="12"/>
      <c r="C5726" s="12"/>
      <c r="E5726" t="str">
        <f>IF(LEN(D5726)=0,"",[1]!i_pq_tradedays($B$3,A5727,A5726)-1)</f>
        <v/>
      </c>
      <c r="G5726" s="16" t="str">
        <f t="shared" si="194"/>
        <v/>
      </c>
      <c r="H5726" s="70" t="str">
        <f t="shared" si="195"/>
        <v/>
      </c>
    </row>
    <row r="5727" spans="1:8">
      <c r="A5727" s="2"/>
      <c r="B5727" s="12"/>
      <c r="C5727" s="12"/>
      <c r="E5727" t="str">
        <f>IF(LEN(D5727)=0,"",[1]!i_pq_tradedays($B$3,A5728,A5727)-1)</f>
        <v/>
      </c>
      <c r="G5727" s="16" t="str">
        <f t="shared" si="194"/>
        <v/>
      </c>
      <c r="H5727" s="70" t="str">
        <f t="shared" si="195"/>
        <v/>
      </c>
    </row>
    <row r="5728" spans="1:8">
      <c r="A5728" s="2"/>
      <c r="B5728" s="12"/>
      <c r="C5728" s="12"/>
      <c r="E5728" t="str">
        <f>IF(LEN(D5728)=0,"",[1]!i_pq_tradedays($B$3,A5729,A5728)-1)</f>
        <v/>
      </c>
      <c r="G5728" s="16" t="str">
        <f t="shared" si="194"/>
        <v/>
      </c>
      <c r="H5728" s="70" t="str">
        <f t="shared" si="195"/>
        <v/>
      </c>
    </row>
    <row r="5729" spans="1:8">
      <c r="A5729" s="2"/>
      <c r="B5729" s="12"/>
      <c r="C5729" s="12"/>
      <c r="E5729" t="str">
        <f>IF(LEN(D5729)=0,"",[1]!i_pq_tradedays($B$3,A5730,A5729)-1)</f>
        <v/>
      </c>
      <c r="G5729" s="16" t="str">
        <f t="shared" si="194"/>
        <v/>
      </c>
      <c r="H5729" s="70" t="str">
        <f t="shared" si="195"/>
        <v/>
      </c>
    </row>
    <row r="5730" spans="1:8">
      <c r="A5730" s="2"/>
      <c r="B5730" s="12"/>
      <c r="C5730" s="12"/>
      <c r="E5730" t="str">
        <f>IF(LEN(D5730)=0,"",[1]!i_pq_tradedays($B$3,A5731,A5730)-1)</f>
        <v/>
      </c>
      <c r="G5730" s="16" t="str">
        <f t="shared" si="194"/>
        <v/>
      </c>
      <c r="H5730" s="70" t="str">
        <f t="shared" si="195"/>
        <v/>
      </c>
    </row>
    <row r="5731" spans="1:8">
      <c r="A5731" s="2"/>
      <c r="B5731" s="12"/>
      <c r="C5731" s="12"/>
      <c r="E5731" t="str">
        <f>IF(LEN(D5731)=0,"",[1]!i_pq_tradedays($B$3,A5732,A5731)-1)</f>
        <v/>
      </c>
      <c r="G5731" s="16" t="str">
        <f t="shared" si="194"/>
        <v/>
      </c>
      <c r="H5731" s="70" t="str">
        <f t="shared" si="195"/>
        <v/>
      </c>
    </row>
    <row r="5732" spans="1:8">
      <c r="A5732" s="2"/>
      <c r="B5732" s="12"/>
      <c r="C5732" s="12"/>
      <c r="E5732" t="str">
        <f>IF(LEN(D5732)=0,"",[1]!i_pq_tradedays($B$3,A5733,A5732)-1)</f>
        <v/>
      </c>
      <c r="G5732" s="16" t="str">
        <f t="shared" si="194"/>
        <v/>
      </c>
      <c r="H5732" s="70" t="str">
        <f t="shared" si="195"/>
        <v/>
      </c>
    </row>
    <row r="5733" spans="1:8">
      <c r="A5733" s="2"/>
      <c r="B5733" s="12"/>
      <c r="C5733" s="12"/>
      <c r="E5733" t="str">
        <f>IF(LEN(D5733)=0,"",[1]!i_pq_tradedays($B$3,A5734,A5733)-1)</f>
        <v/>
      </c>
      <c r="G5733" s="16" t="str">
        <f t="shared" si="194"/>
        <v/>
      </c>
      <c r="H5733" s="70" t="str">
        <f t="shared" si="195"/>
        <v/>
      </c>
    </row>
    <row r="5734" spans="1:8">
      <c r="A5734" s="2"/>
      <c r="B5734" s="12"/>
      <c r="C5734" s="12"/>
      <c r="E5734" t="str">
        <f>IF(LEN(D5734)=0,"",[1]!i_pq_tradedays($B$3,A5735,A5734)-1)</f>
        <v/>
      </c>
      <c r="G5734" s="16" t="str">
        <f t="shared" si="194"/>
        <v/>
      </c>
      <c r="H5734" s="70" t="str">
        <f t="shared" si="195"/>
        <v/>
      </c>
    </row>
    <row r="5735" spans="1:8">
      <c r="A5735" s="2"/>
      <c r="B5735" s="12"/>
      <c r="C5735" s="12"/>
      <c r="E5735" t="str">
        <f>IF(LEN(D5735)=0,"",[1]!i_pq_tradedays($B$3,A5736,A5735)-1)</f>
        <v/>
      </c>
      <c r="G5735" s="16" t="str">
        <f t="shared" si="194"/>
        <v/>
      </c>
      <c r="H5735" s="70" t="str">
        <f t="shared" si="195"/>
        <v/>
      </c>
    </row>
    <row r="5736" spans="1:8">
      <c r="A5736" s="2"/>
      <c r="B5736" s="12"/>
      <c r="C5736" s="12"/>
      <c r="E5736" t="str">
        <f>IF(LEN(D5736)=0,"",[1]!i_pq_tradedays($B$3,A5737,A5736)-1)</f>
        <v/>
      </c>
      <c r="G5736" s="16" t="str">
        <f t="shared" si="194"/>
        <v/>
      </c>
      <c r="H5736" s="70" t="str">
        <f t="shared" si="195"/>
        <v/>
      </c>
    </row>
    <row r="5737" spans="1:8">
      <c r="A5737" s="2"/>
      <c r="B5737" s="12"/>
      <c r="C5737" s="12"/>
      <c r="E5737" t="str">
        <f>IF(LEN(D5737)=0,"",[1]!i_pq_tradedays($B$3,A5738,A5737)-1)</f>
        <v/>
      </c>
      <c r="G5737" s="16" t="str">
        <f t="shared" si="194"/>
        <v/>
      </c>
      <c r="H5737" s="70" t="str">
        <f t="shared" si="195"/>
        <v/>
      </c>
    </row>
    <row r="5738" spans="1:8">
      <c r="A5738" s="2"/>
      <c r="B5738" s="12"/>
      <c r="C5738" s="12"/>
      <c r="E5738" t="str">
        <f>IF(LEN(D5738)=0,"",[1]!i_pq_tradedays($B$3,A5739,A5738)-1)</f>
        <v/>
      </c>
      <c r="G5738" s="16" t="str">
        <f t="shared" si="194"/>
        <v/>
      </c>
      <c r="H5738" s="70" t="str">
        <f t="shared" si="195"/>
        <v/>
      </c>
    </row>
    <row r="5739" spans="1:8">
      <c r="A5739" s="2"/>
      <c r="B5739" s="12"/>
      <c r="C5739" s="12"/>
      <c r="E5739" t="str">
        <f>IF(LEN(D5739)=0,"",[1]!i_pq_tradedays($B$3,A5740,A5739)-1)</f>
        <v/>
      </c>
      <c r="G5739" s="16" t="str">
        <f t="shared" si="194"/>
        <v/>
      </c>
      <c r="H5739" s="70" t="str">
        <f t="shared" si="195"/>
        <v/>
      </c>
    </row>
    <row r="5740" spans="1:8">
      <c r="A5740" s="2"/>
      <c r="B5740" s="12"/>
      <c r="C5740" s="12"/>
      <c r="E5740" t="str">
        <f>IF(LEN(D5740)=0,"",[1]!i_pq_tradedays($B$3,A5741,A5740)-1)</f>
        <v/>
      </c>
      <c r="G5740" s="16" t="str">
        <f t="shared" si="194"/>
        <v/>
      </c>
      <c r="H5740" s="70" t="str">
        <f t="shared" si="195"/>
        <v/>
      </c>
    </row>
    <row r="5741" spans="1:8">
      <c r="A5741" s="2"/>
      <c r="B5741" s="12"/>
      <c r="C5741" s="12"/>
      <c r="E5741" t="str">
        <f>IF(LEN(D5741)=0,"",[1]!i_pq_tradedays($B$3,A5742,A5741)-1)</f>
        <v/>
      </c>
      <c r="G5741" s="16" t="str">
        <f t="shared" si="194"/>
        <v/>
      </c>
      <c r="H5741" s="70" t="str">
        <f t="shared" si="195"/>
        <v/>
      </c>
    </row>
    <row r="5742" spans="1:8">
      <c r="A5742" s="2"/>
      <c r="B5742" s="12"/>
      <c r="C5742" s="12"/>
      <c r="E5742" t="str">
        <f>IF(LEN(D5742)=0,"",[1]!i_pq_tradedays($B$3,A5743,A5742)-1)</f>
        <v/>
      </c>
      <c r="G5742" s="16" t="str">
        <f t="shared" si="194"/>
        <v/>
      </c>
      <c r="H5742" s="70" t="str">
        <f t="shared" si="195"/>
        <v/>
      </c>
    </row>
    <row r="5743" spans="1:8">
      <c r="A5743" s="2"/>
      <c r="B5743" s="12"/>
      <c r="C5743" s="12"/>
      <c r="E5743" t="str">
        <f>IF(LEN(D5743)=0,"",[1]!i_pq_tradedays($B$3,A5744,A5743)-1)</f>
        <v/>
      </c>
      <c r="G5743" s="16" t="str">
        <f t="shared" si="194"/>
        <v/>
      </c>
      <c r="H5743" s="70" t="str">
        <f t="shared" si="195"/>
        <v/>
      </c>
    </row>
    <row r="5744" spans="1:8">
      <c r="A5744" s="2"/>
      <c r="B5744" s="12"/>
      <c r="C5744" s="12"/>
      <c r="E5744" t="str">
        <f>IF(LEN(D5744)=0,"",[1]!i_pq_tradedays($B$3,A5745,A5744)-1)</f>
        <v/>
      </c>
      <c r="G5744" s="16" t="str">
        <f t="shared" si="194"/>
        <v/>
      </c>
      <c r="H5744" s="70" t="str">
        <f t="shared" si="195"/>
        <v/>
      </c>
    </row>
    <row r="5745" spans="1:8">
      <c r="A5745" s="2"/>
      <c r="B5745" s="12"/>
      <c r="C5745" s="12"/>
      <c r="E5745" t="str">
        <f>IF(LEN(D5745)=0,"",[1]!i_pq_tradedays($B$3,A5746,A5745)-1)</f>
        <v/>
      </c>
      <c r="G5745" s="16" t="str">
        <f t="shared" si="194"/>
        <v/>
      </c>
      <c r="H5745" s="70" t="str">
        <f t="shared" si="195"/>
        <v/>
      </c>
    </row>
    <row r="5746" spans="1:8">
      <c r="A5746" s="2"/>
      <c r="B5746" s="12"/>
      <c r="C5746" s="12"/>
      <c r="E5746" t="str">
        <f>IF(LEN(D5746)=0,"",[1]!i_pq_tradedays($B$3,A5747,A5746)-1)</f>
        <v/>
      </c>
      <c r="G5746" s="16" t="str">
        <f t="shared" si="194"/>
        <v/>
      </c>
      <c r="H5746" s="70" t="str">
        <f t="shared" si="195"/>
        <v/>
      </c>
    </row>
    <row r="5747" spans="1:8">
      <c r="A5747" s="2"/>
      <c r="B5747" s="12"/>
      <c r="C5747" s="12"/>
      <c r="E5747" t="str">
        <f>IF(LEN(D5747)=0,"",[1]!i_pq_tradedays($B$3,A5748,A5747)-1)</f>
        <v/>
      </c>
      <c r="G5747" s="16" t="str">
        <f t="shared" si="194"/>
        <v/>
      </c>
      <c r="H5747" s="70" t="str">
        <f t="shared" si="195"/>
        <v/>
      </c>
    </row>
    <row r="5748" spans="1:8">
      <c r="A5748" s="2"/>
      <c r="B5748" s="12"/>
      <c r="C5748" s="12"/>
      <c r="E5748" t="str">
        <f>IF(LEN(D5748)=0,"",[1]!i_pq_tradedays($B$3,A5749,A5748)-1)</f>
        <v/>
      </c>
      <c r="G5748" s="16" t="str">
        <f t="shared" si="194"/>
        <v/>
      </c>
      <c r="H5748" s="70" t="str">
        <f t="shared" si="195"/>
        <v/>
      </c>
    </row>
    <row r="5749" spans="1:8">
      <c r="A5749" s="2"/>
      <c r="B5749" s="12"/>
      <c r="C5749" s="12"/>
      <c r="E5749" t="str">
        <f>IF(LEN(D5749)=0,"",[1]!i_pq_tradedays($B$3,A5750,A5749)-1)</f>
        <v/>
      </c>
      <c r="G5749" s="16" t="str">
        <f t="shared" ref="G5749:G5812" si="196">IF(LEN(D5749)=0,"",D5749/E5749)</f>
        <v/>
      </c>
      <c r="H5749" s="70" t="str">
        <f t="shared" ref="H5749:H5812" si="197">IF(LEN(D5749)=0,"",G5749/G5750-1)</f>
        <v/>
      </c>
    </row>
    <row r="5750" spans="1:8">
      <c r="A5750" s="2"/>
      <c r="B5750" s="12"/>
      <c r="C5750" s="12"/>
      <c r="E5750" t="str">
        <f>IF(LEN(D5750)=0,"",[1]!i_pq_tradedays($B$3,A5751,A5750)-1)</f>
        <v/>
      </c>
      <c r="G5750" s="16" t="str">
        <f t="shared" si="196"/>
        <v/>
      </c>
      <c r="H5750" s="70" t="str">
        <f t="shared" si="197"/>
        <v/>
      </c>
    </row>
    <row r="5751" spans="1:8">
      <c r="A5751" s="2"/>
      <c r="B5751" s="12"/>
      <c r="C5751" s="12"/>
      <c r="E5751" t="str">
        <f>IF(LEN(D5751)=0,"",[1]!i_pq_tradedays($B$3,A5752,A5751)-1)</f>
        <v/>
      </c>
      <c r="G5751" s="16" t="str">
        <f t="shared" si="196"/>
        <v/>
      </c>
      <c r="H5751" s="70" t="str">
        <f t="shared" si="197"/>
        <v/>
      </c>
    </row>
    <row r="5752" spans="1:8">
      <c r="A5752" s="2"/>
      <c r="B5752" s="12"/>
      <c r="C5752" s="12"/>
      <c r="E5752" t="str">
        <f>IF(LEN(D5752)=0,"",[1]!i_pq_tradedays($B$3,A5753,A5752)-1)</f>
        <v/>
      </c>
      <c r="G5752" s="16" t="str">
        <f t="shared" si="196"/>
        <v/>
      </c>
      <c r="H5752" s="70" t="str">
        <f t="shared" si="197"/>
        <v/>
      </c>
    </row>
    <row r="5753" spans="1:8">
      <c r="A5753" s="2"/>
      <c r="B5753" s="12"/>
      <c r="C5753" s="12"/>
      <c r="E5753" t="str">
        <f>IF(LEN(D5753)=0,"",[1]!i_pq_tradedays($B$3,A5754,A5753)-1)</f>
        <v/>
      </c>
      <c r="G5753" s="16" t="str">
        <f t="shared" si="196"/>
        <v/>
      </c>
      <c r="H5753" s="70" t="str">
        <f t="shared" si="197"/>
        <v/>
      </c>
    </row>
    <row r="5754" spans="1:8">
      <c r="A5754" s="2"/>
      <c r="B5754" s="12"/>
      <c r="C5754" s="12"/>
      <c r="E5754" t="str">
        <f>IF(LEN(D5754)=0,"",[1]!i_pq_tradedays($B$3,A5755,A5754)-1)</f>
        <v/>
      </c>
      <c r="G5754" s="16" t="str">
        <f t="shared" si="196"/>
        <v/>
      </c>
      <c r="H5754" s="70" t="str">
        <f t="shared" si="197"/>
        <v/>
      </c>
    </row>
    <row r="5755" spans="1:8">
      <c r="A5755" s="2"/>
      <c r="B5755" s="12"/>
      <c r="C5755" s="12"/>
      <c r="E5755" t="str">
        <f>IF(LEN(D5755)=0,"",[1]!i_pq_tradedays($B$3,A5756,A5755)-1)</f>
        <v/>
      </c>
      <c r="G5755" s="16" t="str">
        <f t="shared" si="196"/>
        <v/>
      </c>
      <c r="H5755" s="70" t="str">
        <f t="shared" si="197"/>
        <v/>
      </c>
    </row>
    <row r="5756" spans="1:8">
      <c r="A5756" s="2"/>
      <c r="B5756" s="12"/>
      <c r="C5756" s="12"/>
      <c r="E5756" t="str">
        <f>IF(LEN(D5756)=0,"",[1]!i_pq_tradedays($B$3,A5757,A5756)-1)</f>
        <v/>
      </c>
      <c r="G5756" s="16" t="str">
        <f t="shared" si="196"/>
        <v/>
      </c>
      <c r="H5756" s="70" t="str">
        <f t="shared" si="197"/>
        <v/>
      </c>
    </row>
    <row r="5757" spans="1:8">
      <c r="A5757" s="2"/>
      <c r="B5757" s="12"/>
      <c r="C5757" s="12"/>
      <c r="E5757" t="str">
        <f>IF(LEN(D5757)=0,"",[1]!i_pq_tradedays($B$3,A5758,A5757)-1)</f>
        <v/>
      </c>
      <c r="G5757" s="16" t="str">
        <f t="shared" si="196"/>
        <v/>
      </c>
      <c r="H5757" s="70" t="str">
        <f t="shared" si="197"/>
        <v/>
      </c>
    </row>
    <row r="5758" spans="1:8">
      <c r="A5758" s="2"/>
      <c r="B5758" s="12"/>
      <c r="C5758" s="12"/>
      <c r="E5758" t="str">
        <f>IF(LEN(D5758)=0,"",[1]!i_pq_tradedays($B$3,A5759,A5758)-1)</f>
        <v/>
      </c>
      <c r="G5758" s="16" t="str">
        <f t="shared" si="196"/>
        <v/>
      </c>
      <c r="H5758" s="70" t="str">
        <f t="shared" si="197"/>
        <v/>
      </c>
    </row>
    <row r="5759" spans="1:8">
      <c r="A5759" s="2"/>
      <c r="B5759" s="12"/>
      <c r="C5759" s="12"/>
      <c r="E5759" t="str">
        <f>IF(LEN(D5759)=0,"",[1]!i_pq_tradedays($B$3,A5760,A5759)-1)</f>
        <v/>
      </c>
      <c r="G5759" s="16" t="str">
        <f t="shared" si="196"/>
        <v/>
      </c>
      <c r="H5759" s="70" t="str">
        <f t="shared" si="197"/>
        <v/>
      </c>
    </row>
    <row r="5760" spans="1:8">
      <c r="A5760" s="2"/>
      <c r="B5760" s="12"/>
      <c r="C5760" s="12"/>
      <c r="E5760" t="str">
        <f>IF(LEN(D5760)=0,"",[1]!i_pq_tradedays($B$3,A5761,A5760)-1)</f>
        <v/>
      </c>
      <c r="G5760" s="16" t="str">
        <f t="shared" si="196"/>
        <v/>
      </c>
      <c r="H5760" s="70" t="str">
        <f t="shared" si="197"/>
        <v/>
      </c>
    </row>
    <row r="5761" spans="1:8">
      <c r="A5761" s="2"/>
      <c r="B5761" s="12"/>
      <c r="C5761" s="12"/>
      <c r="E5761" t="str">
        <f>IF(LEN(D5761)=0,"",[1]!i_pq_tradedays($B$3,A5762,A5761)-1)</f>
        <v/>
      </c>
      <c r="G5761" s="16" t="str">
        <f t="shared" si="196"/>
        <v/>
      </c>
      <c r="H5761" s="70" t="str">
        <f t="shared" si="197"/>
        <v/>
      </c>
    </row>
    <row r="5762" spans="1:8">
      <c r="A5762" s="2"/>
      <c r="B5762" s="12"/>
      <c r="C5762" s="12"/>
      <c r="E5762" t="str">
        <f>IF(LEN(D5762)=0,"",[1]!i_pq_tradedays($B$3,A5763,A5762)-1)</f>
        <v/>
      </c>
      <c r="G5762" s="16" t="str">
        <f t="shared" si="196"/>
        <v/>
      </c>
      <c r="H5762" s="70" t="str">
        <f t="shared" si="197"/>
        <v/>
      </c>
    </row>
    <row r="5763" spans="1:8">
      <c r="A5763" s="2"/>
      <c r="B5763" s="12"/>
      <c r="C5763" s="12"/>
      <c r="E5763" t="str">
        <f>IF(LEN(D5763)=0,"",[1]!i_pq_tradedays($B$3,A5764,A5763)-1)</f>
        <v/>
      </c>
      <c r="G5763" s="16" t="str">
        <f t="shared" si="196"/>
        <v/>
      </c>
      <c r="H5763" s="70" t="str">
        <f t="shared" si="197"/>
        <v/>
      </c>
    </row>
    <row r="5764" spans="1:8">
      <c r="A5764" s="2"/>
      <c r="B5764" s="12"/>
      <c r="C5764" s="12"/>
      <c r="E5764" t="str">
        <f>IF(LEN(D5764)=0,"",[1]!i_pq_tradedays($B$3,A5765,A5764)-1)</f>
        <v/>
      </c>
      <c r="G5764" s="16" t="str">
        <f t="shared" si="196"/>
        <v/>
      </c>
      <c r="H5764" s="70" t="str">
        <f t="shared" si="197"/>
        <v/>
      </c>
    </row>
    <row r="5765" spans="1:8">
      <c r="A5765" s="2"/>
      <c r="B5765" s="12"/>
      <c r="C5765" s="12"/>
      <c r="E5765" t="str">
        <f>IF(LEN(D5765)=0,"",[1]!i_pq_tradedays($B$3,A5766,A5765)-1)</f>
        <v/>
      </c>
      <c r="G5765" s="16" t="str">
        <f t="shared" si="196"/>
        <v/>
      </c>
      <c r="H5765" s="70" t="str">
        <f t="shared" si="197"/>
        <v/>
      </c>
    </row>
    <row r="5766" spans="1:8">
      <c r="A5766" s="2"/>
      <c r="B5766" s="12"/>
      <c r="C5766" s="12"/>
      <c r="E5766" t="str">
        <f>IF(LEN(D5766)=0,"",[1]!i_pq_tradedays($B$3,A5767,A5766)-1)</f>
        <v/>
      </c>
      <c r="G5766" s="16" t="str">
        <f t="shared" si="196"/>
        <v/>
      </c>
      <c r="H5766" s="70" t="str">
        <f t="shared" si="197"/>
        <v/>
      </c>
    </row>
    <row r="5767" spans="1:8">
      <c r="A5767" s="2"/>
      <c r="B5767" s="12"/>
      <c r="C5767" s="12"/>
      <c r="E5767" t="str">
        <f>IF(LEN(D5767)=0,"",[1]!i_pq_tradedays($B$3,A5768,A5767)-1)</f>
        <v/>
      </c>
      <c r="G5767" s="16" t="str">
        <f t="shared" si="196"/>
        <v/>
      </c>
      <c r="H5767" s="70" t="str">
        <f t="shared" si="197"/>
        <v/>
      </c>
    </row>
    <row r="5768" spans="1:8">
      <c r="A5768" s="2"/>
      <c r="B5768" s="12"/>
      <c r="C5768" s="12"/>
      <c r="E5768" t="str">
        <f>IF(LEN(D5768)=0,"",[1]!i_pq_tradedays($B$3,A5769,A5768)-1)</f>
        <v/>
      </c>
      <c r="G5768" s="16" t="str">
        <f t="shared" si="196"/>
        <v/>
      </c>
      <c r="H5768" s="70" t="str">
        <f t="shared" si="197"/>
        <v/>
      </c>
    </row>
    <row r="5769" spans="1:8">
      <c r="A5769" s="2"/>
      <c r="B5769" s="12"/>
      <c r="C5769" s="12"/>
      <c r="E5769" t="str">
        <f>IF(LEN(D5769)=0,"",[1]!i_pq_tradedays($B$3,A5770,A5769)-1)</f>
        <v/>
      </c>
      <c r="G5769" s="16" t="str">
        <f t="shared" si="196"/>
        <v/>
      </c>
      <c r="H5769" s="70" t="str">
        <f t="shared" si="197"/>
        <v/>
      </c>
    </row>
    <row r="5770" spans="1:8">
      <c r="A5770" s="2"/>
      <c r="B5770" s="12"/>
      <c r="C5770" s="12"/>
      <c r="E5770" t="str">
        <f>IF(LEN(D5770)=0,"",[1]!i_pq_tradedays($B$3,A5771,A5770)-1)</f>
        <v/>
      </c>
      <c r="G5770" s="16" t="str">
        <f t="shared" si="196"/>
        <v/>
      </c>
      <c r="H5770" s="70" t="str">
        <f t="shared" si="197"/>
        <v/>
      </c>
    </row>
    <row r="5771" spans="1:8">
      <c r="A5771" s="2"/>
      <c r="B5771" s="12"/>
      <c r="C5771" s="12"/>
      <c r="E5771" t="str">
        <f>IF(LEN(D5771)=0,"",[1]!i_pq_tradedays($B$3,A5772,A5771)-1)</f>
        <v/>
      </c>
      <c r="G5771" s="16" t="str">
        <f t="shared" si="196"/>
        <v/>
      </c>
      <c r="H5771" s="70" t="str">
        <f t="shared" si="197"/>
        <v/>
      </c>
    </row>
    <row r="5772" spans="1:8">
      <c r="A5772" s="2"/>
      <c r="B5772" s="12"/>
      <c r="C5772" s="12"/>
      <c r="E5772" t="str">
        <f>IF(LEN(D5772)=0,"",[1]!i_pq_tradedays($B$3,A5773,A5772)-1)</f>
        <v/>
      </c>
      <c r="G5772" s="16" t="str">
        <f t="shared" si="196"/>
        <v/>
      </c>
      <c r="H5772" s="70" t="str">
        <f t="shared" si="197"/>
        <v/>
      </c>
    </row>
    <row r="5773" spans="1:8">
      <c r="A5773" s="2"/>
      <c r="B5773" s="12"/>
      <c r="C5773" s="12"/>
      <c r="E5773" t="str">
        <f>IF(LEN(D5773)=0,"",[1]!i_pq_tradedays($B$3,A5774,A5773)-1)</f>
        <v/>
      </c>
      <c r="G5773" s="16" t="str">
        <f t="shared" si="196"/>
        <v/>
      </c>
      <c r="H5773" s="70" t="str">
        <f t="shared" si="197"/>
        <v/>
      </c>
    </row>
    <row r="5774" spans="1:8">
      <c r="A5774" s="2"/>
      <c r="B5774" s="12"/>
      <c r="C5774" s="12"/>
      <c r="E5774" t="str">
        <f>IF(LEN(D5774)=0,"",[1]!i_pq_tradedays($B$3,A5775,A5774)-1)</f>
        <v/>
      </c>
      <c r="G5774" s="16" t="str">
        <f t="shared" si="196"/>
        <v/>
      </c>
      <c r="H5774" s="70" t="str">
        <f t="shared" si="197"/>
        <v/>
      </c>
    </row>
    <row r="5775" spans="1:8">
      <c r="A5775" s="2"/>
      <c r="B5775" s="12"/>
      <c r="C5775" s="12"/>
      <c r="E5775" t="str">
        <f>IF(LEN(D5775)=0,"",[1]!i_pq_tradedays($B$3,A5776,A5775)-1)</f>
        <v/>
      </c>
      <c r="G5775" s="16" t="str">
        <f t="shared" si="196"/>
        <v/>
      </c>
      <c r="H5775" s="70" t="str">
        <f t="shared" si="197"/>
        <v/>
      </c>
    </row>
    <row r="5776" spans="1:8">
      <c r="A5776" s="2"/>
      <c r="B5776" s="12"/>
      <c r="C5776" s="12"/>
      <c r="E5776" t="str">
        <f>IF(LEN(D5776)=0,"",[1]!i_pq_tradedays($B$3,A5777,A5776)-1)</f>
        <v/>
      </c>
      <c r="G5776" s="16" t="str">
        <f t="shared" si="196"/>
        <v/>
      </c>
      <c r="H5776" s="70" t="str">
        <f t="shared" si="197"/>
        <v/>
      </c>
    </row>
    <row r="5777" spans="1:8">
      <c r="A5777" s="2"/>
      <c r="B5777" s="12"/>
      <c r="C5777" s="12"/>
      <c r="E5777" t="str">
        <f>IF(LEN(D5777)=0,"",[1]!i_pq_tradedays($B$3,A5778,A5777)-1)</f>
        <v/>
      </c>
      <c r="G5777" s="16" t="str">
        <f t="shared" si="196"/>
        <v/>
      </c>
      <c r="H5777" s="70" t="str">
        <f t="shared" si="197"/>
        <v/>
      </c>
    </row>
    <row r="5778" spans="1:8">
      <c r="A5778" s="2"/>
      <c r="B5778" s="12"/>
      <c r="C5778" s="12"/>
      <c r="E5778" t="str">
        <f>IF(LEN(D5778)=0,"",[1]!i_pq_tradedays($B$3,A5779,A5778)-1)</f>
        <v/>
      </c>
      <c r="G5778" s="16" t="str">
        <f t="shared" si="196"/>
        <v/>
      </c>
      <c r="H5778" s="70" t="str">
        <f t="shared" si="197"/>
        <v/>
      </c>
    </row>
    <row r="5779" spans="1:8">
      <c r="A5779" s="2"/>
      <c r="B5779" s="12"/>
      <c r="C5779" s="12"/>
      <c r="E5779" t="str">
        <f>IF(LEN(D5779)=0,"",[1]!i_pq_tradedays($B$3,A5780,A5779)-1)</f>
        <v/>
      </c>
      <c r="G5779" s="16" t="str">
        <f t="shared" si="196"/>
        <v/>
      </c>
      <c r="H5779" s="70" t="str">
        <f t="shared" si="197"/>
        <v/>
      </c>
    </row>
    <row r="5780" spans="1:8">
      <c r="A5780" s="2"/>
      <c r="B5780" s="12"/>
      <c r="C5780" s="12"/>
      <c r="E5780" t="str">
        <f>IF(LEN(D5780)=0,"",[1]!i_pq_tradedays($B$3,A5781,A5780)-1)</f>
        <v/>
      </c>
      <c r="G5780" s="16" t="str">
        <f t="shared" si="196"/>
        <v/>
      </c>
      <c r="H5780" s="70" t="str">
        <f t="shared" si="197"/>
        <v/>
      </c>
    </row>
    <row r="5781" spans="1:8">
      <c r="A5781" s="2"/>
      <c r="B5781" s="12"/>
      <c r="C5781" s="12"/>
      <c r="E5781" t="str">
        <f>IF(LEN(D5781)=0,"",[1]!i_pq_tradedays($B$3,A5782,A5781)-1)</f>
        <v/>
      </c>
      <c r="G5781" s="16" t="str">
        <f t="shared" si="196"/>
        <v/>
      </c>
      <c r="H5781" s="70" t="str">
        <f t="shared" si="197"/>
        <v/>
      </c>
    </row>
    <row r="5782" spans="1:8">
      <c r="A5782" s="2"/>
      <c r="B5782" s="12"/>
      <c r="C5782" s="12"/>
      <c r="E5782" t="str">
        <f>IF(LEN(D5782)=0,"",[1]!i_pq_tradedays($B$3,A5783,A5782)-1)</f>
        <v/>
      </c>
      <c r="G5782" s="16" t="str">
        <f t="shared" si="196"/>
        <v/>
      </c>
      <c r="H5782" s="70" t="str">
        <f t="shared" si="197"/>
        <v/>
      </c>
    </row>
    <row r="5783" spans="1:8">
      <c r="A5783" s="2"/>
      <c r="B5783" s="12"/>
      <c r="C5783" s="12"/>
      <c r="E5783" t="str">
        <f>IF(LEN(D5783)=0,"",[1]!i_pq_tradedays($B$3,A5784,A5783)-1)</f>
        <v/>
      </c>
      <c r="G5783" s="16" t="str">
        <f t="shared" si="196"/>
        <v/>
      </c>
      <c r="H5783" s="70" t="str">
        <f t="shared" si="197"/>
        <v/>
      </c>
    </row>
    <row r="5784" spans="1:8">
      <c r="A5784" s="2"/>
      <c r="B5784" s="12"/>
      <c r="C5784" s="12"/>
      <c r="E5784" t="str">
        <f>IF(LEN(D5784)=0,"",[1]!i_pq_tradedays($B$3,A5785,A5784)-1)</f>
        <v/>
      </c>
      <c r="G5784" s="16" t="str">
        <f t="shared" si="196"/>
        <v/>
      </c>
      <c r="H5784" s="70" t="str">
        <f t="shared" si="197"/>
        <v/>
      </c>
    </row>
    <row r="5785" spans="1:8">
      <c r="A5785" s="2"/>
      <c r="B5785" s="12"/>
      <c r="C5785" s="12"/>
      <c r="E5785" t="str">
        <f>IF(LEN(D5785)=0,"",[1]!i_pq_tradedays($B$3,A5786,A5785)-1)</f>
        <v/>
      </c>
      <c r="G5785" s="16" t="str">
        <f t="shared" si="196"/>
        <v/>
      </c>
      <c r="H5785" s="70" t="str">
        <f t="shared" si="197"/>
        <v/>
      </c>
    </row>
    <row r="5786" spans="1:8">
      <c r="A5786" s="2"/>
      <c r="B5786" s="12"/>
      <c r="C5786" s="12"/>
      <c r="E5786" t="str">
        <f>IF(LEN(D5786)=0,"",[1]!i_pq_tradedays($B$3,A5787,A5786)-1)</f>
        <v/>
      </c>
      <c r="G5786" s="16" t="str">
        <f t="shared" si="196"/>
        <v/>
      </c>
      <c r="H5786" s="70" t="str">
        <f t="shared" si="197"/>
        <v/>
      </c>
    </row>
    <row r="5787" spans="1:8">
      <c r="A5787" s="2"/>
      <c r="B5787" s="12"/>
      <c r="C5787" s="12"/>
      <c r="E5787" t="str">
        <f>IF(LEN(D5787)=0,"",[1]!i_pq_tradedays($B$3,A5788,A5787)-1)</f>
        <v/>
      </c>
      <c r="G5787" s="16" t="str">
        <f t="shared" si="196"/>
        <v/>
      </c>
      <c r="H5787" s="70" t="str">
        <f t="shared" si="197"/>
        <v/>
      </c>
    </row>
    <row r="5788" spans="1:8">
      <c r="A5788" s="2"/>
      <c r="B5788" s="12"/>
      <c r="C5788" s="12"/>
      <c r="E5788" t="str">
        <f>IF(LEN(D5788)=0,"",[1]!i_pq_tradedays($B$3,A5789,A5788)-1)</f>
        <v/>
      </c>
      <c r="G5788" s="16" t="str">
        <f t="shared" si="196"/>
        <v/>
      </c>
      <c r="H5788" s="70" t="str">
        <f t="shared" si="197"/>
        <v/>
      </c>
    </row>
    <row r="5789" spans="1:8">
      <c r="A5789" s="2"/>
      <c r="B5789" s="12"/>
      <c r="C5789" s="12"/>
      <c r="E5789" t="str">
        <f>IF(LEN(D5789)=0,"",[1]!i_pq_tradedays($B$3,A5790,A5789)-1)</f>
        <v/>
      </c>
      <c r="G5789" s="16" t="str">
        <f t="shared" si="196"/>
        <v/>
      </c>
      <c r="H5789" s="70" t="str">
        <f t="shared" si="197"/>
        <v/>
      </c>
    </row>
    <row r="5790" spans="1:8">
      <c r="A5790" s="2"/>
      <c r="B5790" s="12"/>
      <c r="C5790" s="12"/>
      <c r="E5790" t="str">
        <f>IF(LEN(D5790)=0,"",[1]!i_pq_tradedays($B$3,A5791,A5790)-1)</f>
        <v/>
      </c>
      <c r="G5790" s="16" t="str">
        <f t="shared" si="196"/>
        <v/>
      </c>
      <c r="H5790" s="70" t="str">
        <f t="shared" si="197"/>
        <v/>
      </c>
    </row>
    <row r="5791" spans="1:8">
      <c r="A5791" s="2"/>
      <c r="B5791" s="12"/>
      <c r="C5791" s="12"/>
      <c r="E5791" t="str">
        <f>IF(LEN(D5791)=0,"",[1]!i_pq_tradedays($B$3,A5792,A5791)-1)</f>
        <v/>
      </c>
      <c r="G5791" s="16" t="str">
        <f t="shared" si="196"/>
        <v/>
      </c>
      <c r="H5791" s="70" t="str">
        <f t="shared" si="197"/>
        <v/>
      </c>
    </row>
    <row r="5792" spans="1:8">
      <c r="A5792" s="2"/>
      <c r="B5792" s="12"/>
      <c r="C5792" s="12"/>
      <c r="E5792" t="str">
        <f>IF(LEN(D5792)=0,"",[1]!i_pq_tradedays($B$3,A5793,A5792)-1)</f>
        <v/>
      </c>
      <c r="G5792" s="16" t="str">
        <f t="shared" si="196"/>
        <v/>
      </c>
      <c r="H5792" s="70" t="str">
        <f t="shared" si="197"/>
        <v/>
      </c>
    </row>
    <row r="5793" spans="1:8">
      <c r="A5793" s="2"/>
      <c r="B5793" s="12"/>
      <c r="C5793" s="12"/>
      <c r="E5793" t="str">
        <f>IF(LEN(D5793)=0,"",[1]!i_pq_tradedays($B$3,A5794,A5793)-1)</f>
        <v/>
      </c>
      <c r="G5793" s="16" t="str">
        <f t="shared" si="196"/>
        <v/>
      </c>
      <c r="H5793" s="70" t="str">
        <f t="shared" si="197"/>
        <v/>
      </c>
    </row>
    <row r="5794" spans="1:8">
      <c r="A5794" s="2"/>
      <c r="B5794" s="12"/>
      <c r="C5794" s="12"/>
      <c r="E5794" t="str">
        <f>IF(LEN(D5794)=0,"",[1]!i_pq_tradedays($B$3,A5795,A5794)-1)</f>
        <v/>
      </c>
      <c r="G5794" s="16" t="str">
        <f t="shared" si="196"/>
        <v/>
      </c>
      <c r="H5794" s="70" t="str">
        <f t="shared" si="197"/>
        <v/>
      </c>
    </row>
    <row r="5795" spans="1:8">
      <c r="A5795" s="2"/>
      <c r="B5795" s="12"/>
      <c r="C5795" s="12"/>
      <c r="E5795" t="str">
        <f>IF(LEN(D5795)=0,"",[1]!i_pq_tradedays($B$3,A5796,A5795)-1)</f>
        <v/>
      </c>
      <c r="G5795" s="16" t="str">
        <f t="shared" si="196"/>
        <v/>
      </c>
      <c r="H5795" s="70" t="str">
        <f t="shared" si="197"/>
        <v/>
      </c>
    </row>
    <row r="5796" spans="1:8">
      <c r="A5796" s="2"/>
      <c r="B5796" s="12"/>
      <c r="C5796" s="12"/>
      <c r="E5796" t="str">
        <f>IF(LEN(D5796)=0,"",[1]!i_pq_tradedays($B$3,A5797,A5796)-1)</f>
        <v/>
      </c>
      <c r="G5796" s="16" t="str">
        <f t="shared" si="196"/>
        <v/>
      </c>
      <c r="H5796" s="70" t="str">
        <f t="shared" si="197"/>
        <v/>
      </c>
    </row>
    <row r="5797" spans="1:8">
      <c r="A5797" s="2"/>
      <c r="B5797" s="12"/>
      <c r="C5797" s="12"/>
      <c r="E5797" t="str">
        <f>IF(LEN(D5797)=0,"",[1]!i_pq_tradedays($B$3,A5798,A5797)-1)</f>
        <v/>
      </c>
      <c r="G5797" s="16" t="str">
        <f t="shared" si="196"/>
        <v/>
      </c>
      <c r="H5797" s="70" t="str">
        <f t="shared" si="197"/>
        <v/>
      </c>
    </row>
    <row r="5798" spans="1:8">
      <c r="A5798" s="2"/>
      <c r="B5798" s="12"/>
      <c r="C5798" s="12"/>
      <c r="E5798" t="str">
        <f>IF(LEN(D5798)=0,"",[1]!i_pq_tradedays($B$3,A5799,A5798)-1)</f>
        <v/>
      </c>
      <c r="G5798" s="16" t="str">
        <f t="shared" si="196"/>
        <v/>
      </c>
      <c r="H5798" s="70" t="str">
        <f t="shared" si="197"/>
        <v/>
      </c>
    </row>
    <row r="5799" spans="1:8">
      <c r="A5799" s="2"/>
      <c r="B5799" s="12"/>
      <c r="C5799" s="12"/>
      <c r="E5799" t="str">
        <f>IF(LEN(D5799)=0,"",[1]!i_pq_tradedays($B$3,A5800,A5799)-1)</f>
        <v/>
      </c>
      <c r="G5799" s="16" t="str">
        <f t="shared" si="196"/>
        <v/>
      </c>
      <c r="H5799" s="70" t="str">
        <f t="shared" si="197"/>
        <v/>
      </c>
    </row>
    <row r="5800" spans="1:8">
      <c r="A5800" s="2"/>
      <c r="B5800" s="12"/>
      <c r="C5800" s="12"/>
      <c r="E5800" t="str">
        <f>IF(LEN(D5800)=0,"",[1]!i_pq_tradedays($B$3,A5801,A5800)-1)</f>
        <v/>
      </c>
      <c r="G5800" s="16" t="str">
        <f t="shared" si="196"/>
        <v/>
      </c>
      <c r="H5800" s="70" t="str">
        <f t="shared" si="197"/>
        <v/>
      </c>
    </row>
    <row r="5801" spans="1:8">
      <c r="A5801" s="2"/>
      <c r="B5801" s="12"/>
      <c r="C5801" s="12"/>
      <c r="E5801" t="str">
        <f>IF(LEN(D5801)=0,"",[1]!i_pq_tradedays($B$3,A5802,A5801)-1)</f>
        <v/>
      </c>
      <c r="G5801" s="16" t="str">
        <f t="shared" si="196"/>
        <v/>
      </c>
      <c r="H5801" s="70" t="str">
        <f t="shared" si="197"/>
        <v/>
      </c>
    </row>
    <row r="5802" spans="1:8">
      <c r="A5802" s="2"/>
      <c r="B5802" s="12"/>
      <c r="C5802" s="12"/>
      <c r="E5802" t="str">
        <f>IF(LEN(D5802)=0,"",[1]!i_pq_tradedays($B$3,A5803,A5802)-1)</f>
        <v/>
      </c>
      <c r="G5802" s="16" t="str">
        <f t="shared" si="196"/>
        <v/>
      </c>
      <c r="H5802" s="70" t="str">
        <f t="shared" si="197"/>
        <v/>
      </c>
    </row>
    <row r="5803" spans="1:8">
      <c r="A5803" s="2"/>
      <c r="B5803" s="12"/>
      <c r="C5803" s="12"/>
      <c r="E5803" t="str">
        <f>IF(LEN(D5803)=0,"",[1]!i_pq_tradedays($B$3,A5804,A5803)-1)</f>
        <v/>
      </c>
      <c r="G5803" s="16" t="str">
        <f t="shared" si="196"/>
        <v/>
      </c>
      <c r="H5803" s="70" t="str">
        <f t="shared" si="197"/>
        <v/>
      </c>
    </row>
    <row r="5804" spans="1:8">
      <c r="A5804" s="2"/>
      <c r="B5804" s="12"/>
      <c r="C5804" s="12"/>
      <c r="E5804" t="str">
        <f>IF(LEN(D5804)=0,"",[1]!i_pq_tradedays($B$3,A5805,A5804)-1)</f>
        <v/>
      </c>
      <c r="G5804" s="16" t="str">
        <f t="shared" si="196"/>
        <v/>
      </c>
      <c r="H5804" s="70" t="str">
        <f t="shared" si="197"/>
        <v/>
      </c>
    </row>
    <row r="5805" spans="1:8">
      <c r="A5805" s="2"/>
      <c r="B5805" s="12"/>
      <c r="C5805" s="12"/>
      <c r="E5805" t="str">
        <f>IF(LEN(D5805)=0,"",[1]!i_pq_tradedays($B$3,A5806,A5805)-1)</f>
        <v/>
      </c>
      <c r="G5805" s="16" t="str">
        <f t="shared" si="196"/>
        <v/>
      </c>
      <c r="H5805" s="70" t="str">
        <f t="shared" si="197"/>
        <v/>
      </c>
    </row>
    <row r="5806" spans="1:8">
      <c r="A5806" s="2"/>
      <c r="B5806" s="12"/>
      <c r="C5806" s="12"/>
      <c r="E5806" t="str">
        <f>IF(LEN(D5806)=0,"",[1]!i_pq_tradedays($B$3,A5807,A5806)-1)</f>
        <v/>
      </c>
      <c r="G5806" s="16" t="str">
        <f t="shared" si="196"/>
        <v/>
      </c>
      <c r="H5806" s="70" t="str">
        <f t="shared" si="197"/>
        <v/>
      </c>
    </row>
    <row r="5807" spans="1:8">
      <c r="A5807" s="2"/>
      <c r="B5807" s="12"/>
      <c r="C5807" s="12"/>
      <c r="E5807" t="str">
        <f>IF(LEN(D5807)=0,"",[1]!i_pq_tradedays($B$3,A5808,A5807)-1)</f>
        <v/>
      </c>
      <c r="G5807" s="16" t="str">
        <f t="shared" si="196"/>
        <v/>
      </c>
      <c r="H5807" s="70" t="str">
        <f t="shared" si="197"/>
        <v/>
      </c>
    </row>
    <row r="5808" spans="1:8">
      <c r="A5808" s="2"/>
      <c r="B5808" s="12"/>
      <c r="C5808" s="12"/>
      <c r="E5808" t="str">
        <f>IF(LEN(D5808)=0,"",[1]!i_pq_tradedays($B$3,A5809,A5808)-1)</f>
        <v/>
      </c>
      <c r="G5808" s="16" t="str">
        <f t="shared" si="196"/>
        <v/>
      </c>
      <c r="H5808" s="70" t="str">
        <f t="shared" si="197"/>
        <v/>
      </c>
    </row>
    <row r="5809" spans="1:8">
      <c r="A5809" s="2"/>
      <c r="B5809" s="12"/>
      <c r="C5809" s="12"/>
      <c r="E5809" t="str">
        <f>IF(LEN(D5809)=0,"",[1]!i_pq_tradedays($B$3,A5810,A5809)-1)</f>
        <v/>
      </c>
      <c r="G5809" s="16" t="str">
        <f t="shared" si="196"/>
        <v/>
      </c>
      <c r="H5809" s="70" t="str">
        <f t="shared" si="197"/>
        <v/>
      </c>
    </row>
    <row r="5810" spans="1:8">
      <c r="A5810" s="2"/>
      <c r="B5810" s="12"/>
      <c r="C5810" s="12"/>
      <c r="E5810" t="str">
        <f>IF(LEN(D5810)=0,"",[1]!i_pq_tradedays($B$3,A5811,A5810)-1)</f>
        <v/>
      </c>
      <c r="G5810" s="16" t="str">
        <f t="shared" si="196"/>
        <v/>
      </c>
      <c r="H5810" s="70" t="str">
        <f t="shared" si="197"/>
        <v/>
      </c>
    </row>
    <row r="5811" spans="1:8">
      <c r="A5811" s="2"/>
      <c r="B5811" s="12"/>
      <c r="C5811" s="12"/>
      <c r="E5811" t="str">
        <f>IF(LEN(D5811)=0,"",[1]!i_pq_tradedays($B$3,A5812,A5811)-1)</f>
        <v/>
      </c>
      <c r="G5811" s="16" t="str">
        <f t="shared" si="196"/>
        <v/>
      </c>
      <c r="H5811" s="70" t="str">
        <f t="shared" si="197"/>
        <v/>
      </c>
    </row>
    <row r="5812" spans="1:8">
      <c r="A5812" s="2"/>
      <c r="B5812" s="12"/>
      <c r="C5812" s="12"/>
      <c r="E5812" t="str">
        <f>IF(LEN(D5812)=0,"",[1]!i_pq_tradedays($B$3,A5813,A5812)-1)</f>
        <v/>
      </c>
      <c r="G5812" s="16" t="str">
        <f t="shared" si="196"/>
        <v/>
      </c>
      <c r="H5812" s="70" t="str">
        <f t="shared" si="197"/>
        <v/>
      </c>
    </row>
    <row r="5813" spans="1:8">
      <c r="A5813" s="2"/>
      <c r="B5813" s="12"/>
      <c r="C5813" s="12"/>
      <c r="E5813" t="str">
        <f>IF(LEN(D5813)=0,"",[1]!i_pq_tradedays($B$3,A5814,A5813)-1)</f>
        <v/>
      </c>
      <c r="G5813" s="16" t="str">
        <f t="shared" ref="G5813:G5876" si="198">IF(LEN(D5813)=0,"",D5813/E5813)</f>
        <v/>
      </c>
      <c r="H5813" s="70" t="str">
        <f t="shared" ref="H5813:H5876" si="199">IF(LEN(D5813)=0,"",G5813/G5814-1)</f>
        <v/>
      </c>
    </row>
    <row r="5814" spans="1:8">
      <c r="A5814" s="2"/>
      <c r="B5814" s="12"/>
      <c r="C5814" s="12"/>
      <c r="E5814" t="str">
        <f>IF(LEN(D5814)=0,"",[1]!i_pq_tradedays($B$3,A5815,A5814)-1)</f>
        <v/>
      </c>
      <c r="G5814" s="16" t="str">
        <f t="shared" si="198"/>
        <v/>
      </c>
      <c r="H5814" s="70" t="str">
        <f t="shared" si="199"/>
        <v/>
      </c>
    </row>
    <row r="5815" spans="1:8">
      <c r="A5815" s="2"/>
      <c r="B5815" s="12"/>
      <c r="C5815" s="12"/>
      <c r="E5815" t="str">
        <f>IF(LEN(D5815)=0,"",[1]!i_pq_tradedays($B$3,A5816,A5815)-1)</f>
        <v/>
      </c>
      <c r="G5815" s="16" t="str">
        <f t="shared" si="198"/>
        <v/>
      </c>
      <c r="H5815" s="70" t="str">
        <f t="shared" si="199"/>
        <v/>
      </c>
    </row>
    <row r="5816" spans="1:8">
      <c r="A5816" s="2"/>
      <c r="B5816" s="12"/>
      <c r="C5816" s="12"/>
      <c r="E5816" t="str">
        <f>IF(LEN(D5816)=0,"",[1]!i_pq_tradedays($B$3,A5817,A5816)-1)</f>
        <v/>
      </c>
      <c r="G5816" s="16" t="str">
        <f t="shared" si="198"/>
        <v/>
      </c>
      <c r="H5816" s="70" t="str">
        <f t="shared" si="199"/>
        <v/>
      </c>
    </row>
    <row r="5817" spans="1:8">
      <c r="A5817" s="2"/>
      <c r="B5817" s="12"/>
      <c r="C5817" s="12"/>
      <c r="E5817" t="str">
        <f>IF(LEN(D5817)=0,"",[1]!i_pq_tradedays($B$3,A5818,A5817)-1)</f>
        <v/>
      </c>
      <c r="G5817" s="16" t="str">
        <f t="shared" si="198"/>
        <v/>
      </c>
      <c r="H5817" s="70" t="str">
        <f t="shared" si="199"/>
        <v/>
      </c>
    </row>
    <row r="5818" spans="1:8">
      <c r="A5818" s="2"/>
      <c r="B5818" s="12"/>
      <c r="C5818" s="12"/>
      <c r="E5818" t="str">
        <f>IF(LEN(D5818)=0,"",[1]!i_pq_tradedays($B$3,A5819,A5818)-1)</f>
        <v/>
      </c>
      <c r="G5818" s="16" t="str">
        <f t="shared" si="198"/>
        <v/>
      </c>
      <c r="H5818" s="70" t="str">
        <f t="shared" si="199"/>
        <v/>
      </c>
    </row>
    <row r="5819" spans="1:8">
      <c r="A5819" s="2"/>
      <c r="B5819" s="12"/>
      <c r="C5819" s="12"/>
      <c r="E5819" t="str">
        <f>IF(LEN(D5819)=0,"",[1]!i_pq_tradedays($B$3,A5820,A5819)-1)</f>
        <v/>
      </c>
      <c r="G5819" s="16" t="str">
        <f t="shared" si="198"/>
        <v/>
      </c>
      <c r="H5819" s="70" t="str">
        <f t="shared" si="199"/>
        <v/>
      </c>
    </row>
    <row r="5820" spans="1:8">
      <c r="A5820" s="2"/>
      <c r="B5820" s="12"/>
      <c r="C5820" s="12"/>
      <c r="E5820" t="str">
        <f>IF(LEN(D5820)=0,"",[1]!i_pq_tradedays($B$3,A5821,A5820)-1)</f>
        <v/>
      </c>
      <c r="G5820" s="16" t="str">
        <f t="shared" si="198"/>
        <v/>
      </c>
      <c r="H5820" s="70" t="str">
        <f t="shared" si="199"/>
        <v/>
      </c>
    </row>
    <row r="5821" spans="1:8">
      <c r="A5821" s="2"/>
      <c r="B5821" s="12"/>
      <c r="C5821" s="12"/>
      <c r="E5821" t="str">
        <f>IF(LEN(D5821)=0,"",[1]!i_pq_tradedays($B$3,A5822,A5821)-1)</f>
        <v/>
      </c>
      <c r="G5821" s="16" t="str">
        <f t="shared" si="198"/>
        <v/>
      </c>
      <c r="H5821" s="70" t="str">
        <f t="shared" si="199"/>
        <v/>
      </c>
    </row>
    <row r="5822" spans="1:8">
      <c r="A5822" s="2"/>
      <c r="B5822" s="12"/>
      <c r="C5822" s="12"/>
      <c r="E5822" t="str">
        <f>IF(LEN(D5822)=0,"",[1]!i_pq_tradedays($B$3,A5823,A5822)-1)</f>
        <v/>
      </c>
      <c r="G5822" s="16" t="str">
        <f t="shared" si="198"/>
        <v/>
      </c>
      <c r="H5822" s="70" t="str">
        <f t="shared" si="199"/>
        <v/>
      </c>
    </row>
    <row r="5823" spans="1:8">
      <c r="A5823" s="2"/>
      <c r="B5823" s="12"/>
      <c r="C5823" s="12"/>
      <c r="E5823" t="str">
        <f>IF(LEN(D5823)=0,"",[1]!i_pq_tradedays($B$3,A5824,A5823)-1)</f>
        <v/>
      </c>
      <c r="G5823" s="16" t="str">
        <f t="shared" si="198"/>
        <v/>
      </c>
      <c r="H5823" s="70" t="str">
        <f t="shared" si="199"/>
        <v/>
      </c>
    </row>
    <row r="5824" spans="1:8">
      <c r="A5824" s="2"/>
      <c r="B5824" s="12"/>
      <c r="C5824" s="12"/>
      <c r="E5824" t="str">
        <f>IF(LEN(D5824)=0,"",[1]!i_pq_tradedays($B$3,A5825,A5824)-1)</f>
        <v/>
      </c>
      <c r="G5824" s="16" t="str">
        <f t="shared" si="198"/>
        <v/>
      </c>
      <c r="H5824" s="70" t="str">
        <f t="shared" si="199"/>
        <v/>
      </c>
    </row>
    <row r="5825" spans="1:8">
      <c r="A5825" s="2"/>
      <c r="B5825" s="12"/>
      <c r="C5825" s="12"/>
      <c r="E5825" t="str">
        <f>IF(LEN(D5825)=0,"",[1]!i_pq_tradedays($B$3,A5826,A5825)-1)</f>
        <v/>
      </c>
      <c r="G5825" s="16" t="str">
        <f t="shared" si="198"/>
        <v/>
      </c>
      <c r="H5825" s="70" t="str">
        <f t="shared" si="199"/>
        <v/>
      </c>
    </row>
    <row r="5826" spans="1:8">
      <c r="A5826" s="2"/>
      <c r="B5826" s="12"/>
      <c r="C5826" s="12"/>
      <c r="E5826" t="str">
        <f>IF(LEN(D5826)=0,"",[1]!i_pq_tradedays($B$3,A5827,A5826)-1)</f>
        <v/>
      </c>
      <c r="G5826" s="16" t="str">
        <f t="shared" si="198"/>
        <v/>
      </c>
      <c r="H5826" s="70" t="str">
        <f t="shared" si="199"/>
        <v/>
      </c>
    </row>
    <row r="5827" spans="1:8">
      <c r="A5827" s="2"/>
      <c r="B5827" s="12"/>
      <c r="C5827" s="12"/>
      <c r="E5827" t="str">
        <f>IF(LEN(D5827)=0,"",[1]!i_pq_tradedays($B$3,A5828,A5827)-1)</f>
        <v/>
      </c>
      <c r="G5827" s="16" t="str">
        <f t="shared" si="198"/>
        <v/>
      </c>
      <c r="H5827" s="70" t="str">
        <f t="shared" si="199"/>
        <v/>
      </c>
    </row>
    <row r="5828" spans="1:8">
      <c r="A5828" s="2"/>
      <c r="B5828" s="12"/>
      <c r="C5828" s="12"/>
      <c r="E5828" t="str">
        <f>IF(LEN(D5828)=0,"",[1]!i_pq_tradedays($B$3,A5829,A5828)-1)</f>
        <v/>
      </c>
      <c r="G5828" s="16" t="str">
        <f t="shared" si="198"/>
        <v/>
      </c>
      <c r="H5828" s="70" t="str">
        <f t="shared" si="199"/>
        <v/>
      </c>
    </row>
    <row r="5829" spans="1:8">
      <c r="A5829" s="2"/>
      <c r="B5829" s="12"/>
      <c r="C5829" s="12"/>
      <c r="E5829" t="str">
        <f>IF(LEN(D5829)=0,"",[1]!i_pq_tradedays($B$3,A5830,A5829)-1)</f>
        <v/>
      </c>
      <c r="G5829" s="16" t="str">
        <f t="shared" si="198"/>
        <v/>
      </c>
      <c r="H5829" s="70" t="str">
        <f t="shared" si="199"/>
        <v/>
      </c>
    </row>
    <row r="5830" spans="1:8">
      <c r="A5830" s="2"/>
      <c r="B5830" s="12"/>
      <c r="C5830" s="12"/>
      <c r="E5830" t="str">
        <f>IF(LEN(D5830)=0,"",[1]!i_pq_tradedays($B$3,A5831,A5830)-1)</f>
        <v/>
      </c>
      <c r="G5830" s="16" t="str">
        <f t="shared" si="198"/>
        <v/>
      </c>
      <c r="H5830" s="70" t="str">
        <f t="shared" si="199"/>
        <v/>
      </c>
    </row>
    <row r="5831" spans="1:8">
      <c r="A5831" s="2"/>
      <c r="B5831" s="12"/>
      <c r="C5831" s="12"/>
      <c r="E5831" t="str">
        <f>IF(LEN(D5831)=0,"",[1]!i_pq_tradedays($B$3,A5832,A5831)-1)</f>
        <v/>
      </c>
      <c r="G5831" s="16" t="str">
        <f t="shared" si="198"/>
        <v/>
      </c>
      <c r="H5831" s="70" t="str">
        <f t="shared" si="199"/>
        <v/>
      </c>
    </row>
    <row r="5832" spans="1:8">
      <c r="A5832" s="2"/>
      <c r="B5832" s="12"/>
      <c r="C5832" s="12"/>
      <c r="E5832" t="str">
        <f>IF(LEN(D5832)=0,"",[1]!i_pq_tradedays($B$3,A5833,A5832)-1)</f>
        <v/>
      </c>
      <c r="G5832" s="16" t="str">
        <f t="shared" si="198"/>
        <v/>
      </c>
      <c r="H5832" s="70" t="str">
        <f t="shared" si="199"/>
        <v/>
      </c>
    </row>
    <row r="5833" spans="1:8">
      <c r="A5833" s="2"/>
      <c r="B5833" s="12"/>
      <c r="C5833" s="12"/>
      <c r="E5833" t="str">
        <f>IF(LEN(D5833)=0,"",[1]!i_pq_tradedays($B$3,A5834,A5833)-1)</f>
        <v/>
      </c>
      <c r="G5833" s="16" t="str">
        <f t="shared" si="198"/>
        <v/>
      </c>
      <c r="H5833" s="70" t="str">
        <f t="shared" si="199"/>
        <v/>
      </c>
    </row>
    <row r="5834" spans="1:8">
      <c r="A5834" s="2"/>
      <c r="B5834" s="12"/>
      <c r="C5834" s="12"/>
      <c r="E5834" t="str">
        <f>IF(LEN(D5834)=0,"",[1]!i_pq_tradedays($B$3,A5835,A5834)-1)</f>
        <v/>
      </c>
      <c r="G5834" s="16" t="str">
        <f t="shared" si="198"/>
        <v/>
      </c>
      <c r="H5834" s="70" t="str">
        <f t="shared" si="199"/>
        <v/>
      </c>
    </row>
    <row r="5835" spans="1:8">
      <c r="A5835" s="2"/>
      <c r="B5835" s="12"/>
      <c r="C5835" s="12"/>
      <c r="E5835" t="str">
        <f>IF(LEN(D5835)=0,"",[1]!i_pq_tradedays($B$3,A5836,A5835)-1)</f>
        <v/>
      </c>
      <c r="G5835" s="16" t="str">
        <f t="shared" si="198"/>
        <v/>
      </c>
      <c r="H5835" s="70" t="str">
        <f t="shared" si="199"/>
        <v/>
      </c>
    </row>
    <row r="5836" spans="1:8">
      <c r="A5836" s="2"/>
      <c r="B5836" s="12"/>
      <c r="C5836" s="12"/>
      <c r="E5836" t="str">
        <f>IF(LEN(D5836)=0,"",[1]!i_pq_tradedays($B$3,A5837,A5836)-1)</f>
        <v/>
      </c>
      <c r="G5836" s="16" t="str">
        <f t="shared" si="198"/>
        <v/>
      </c>
      <c r="H5836" s="70" t="str">
        <f t="shared" si="199"/>
        <v/>
      </c>
    </row>
    <row r="5837" spans="1:8">
      <c r="A5837" s="2"/>
      <c r="B5837" s="12"/>
      <c r="C5837" s="12"/>
      <c r="E5837" t="str">
        <f>IF(LEN(D5837)=0,"",[1]!i_pq_tradedays($B$3,A5838,A5837)-1)</f>
        <v/>
      </c>
      <c r="G5837" s="16" t="str">
        <f t="shared" si="198"/>
        <v/>
      </c>
      <c r="H5837" s="70" t="str">
        <f t="shared" si="199"/>
        <v/>
      </c>
    </row>
    <row r="5838" spans="1:8">
      <c r="A5838" s="2"/>
      <c r="B5838" s="12"/>
      <c r="C5838" s="12"/>
      <c r="E5838" t="str">
        <f>IF(LEN(D5838)=0,"",[1]!i_pq_tradedays($B$3,A5839,A5838)-1)</f>
        <v/>
      </c>
      <c r="G5838" s="16" t="str">
        <f t="shared" si="198"/>
        <v/>
      </c>
      <c r="H5838" s="70" t="str">
        <f t="shared" si="199"/>
        <v/>
      </c>
    </row>
    <row r="5839" spans="1:8">
      <c r="A5839" s="2"/>
      <c r="B5839" s="12"/>
      <c r="C5839" s="12"/>
      <c r="E5839" t="str">
        <f>IF(LEN(D5839)=0,"",[1]!i_pq_tradedays($B$3,A5840,A5839)-1)</f>
        <v/>
      </c>
      <c r="G5839" s="16" t="str">
        <f t="shared" si="198"/>
        <v/>
      </c>
      <c r="H5839" s="70" t="str">
        <f t="shared" si="199"/>
        <v/>
      </c>
    </row>
    <row r="5840" spans="1:8">
      <c r="A5840" s="2"/>
      <c r="B5840" s="12"/>
      <c r="C5840" s="12"/>
      <c r="E5840" t="str">
        <f>IF(LEN(D5840)=0,"",[1]!i_pq_tradedays($B$3,A5841,A5840)-1)</f>
        <v/>
      </c>
      <c r="G5840" s="16" t="str">
        <f t="shared" si="198"/>
        <v/>
      </c>
      <c r="H5840" s="70" t="str">
        <f t="shared" si="199"/>
        <v/>
      </c>
    </row>
    <row r="5841" spans="1:8">
      <c r="A5841" s="2"/>
      <c r="B5841" s="12"/>
      <c r="C5841" s="12"/>
      <c r="E5841" t="str">
        <f>IF(LEN(D5841)=0,"",[1]!i_pq_tradedays($B$3,A5842,A5841)-1)</f>
        <v/>
      </c>
      <c r="G5841" s="16" t="str">
        <f t="shared" si="198"/>
        <v/>
      </c>
      <c r="H5841" s="70" t="str">
        <f t="shared" si="199"/>
        <v/>
      </c>
    </row>
    <row r="5842" spans="1:8">
      <c r="A5842" s="2"/>
      <c r="B5842" s="12"/>
      <c r="C5842" s="12"/>
      <c r="E5842" t="str">
        <f>IF(LEN(D5842)=0,"",[1]!i_pq_tradedays($B$3,A5843,A5842)-1)</f>
        <v/>
      </c>
      <c r="G5842" s="16" t="str">
        <f t="shared" si="198"/>
        <v/>
      </c>
      <c r="H5842" s="70" t="str">
        <f t="shared" si="199"/>
        <v/>
      </c>
    </row>
    <row r="5843" spans="1:8">
      <c r="A5843" s="2"/>
      <c r="B5843" s="12"/>
      <c r="C5843" s="12"/>
      <c r="E5843" t="str">
        <f>IF(LEN(D5843)=0,"",[1]!i_pq_tradedays($B$3,A5844,A5843)-1)</f>
        <v/>
      </c>
      <c r="G5843" s="16" t="str">
        <f t="shared" si="198"/>
        <v/>
      </c>
      <c r="H5843" s="70" t="str">
        <f t="shared" si="199"/>
        <v/>
      </c>
    </row>
    <row r="5844" spans="1:8">
      <c r="A5844" s="2"/>
      <c r="B5844" s="12"/>
      <c r="C5844" s="12"/>
      <c r="E5844" t="str">
        <f>IF(LEN(D5844)=0,"",[1]!i_pq_tradedays($B$3,A5845,A5844)-1)</f>
        <v/>
      </c>
      <c r="G5844" s="16" t="str">
        <f t="shared" si="198"/>
        <v/>
      </c>
      <c r="H5844" s="70" t="str">
        <f t="shared" si="199"/>
        <v/>
      </c>
    </row>
    <row r="5845" spans="1:8">
      <c r="A5845" s="2"/>
      <c r="B5845" s="12"/>
      <c r="C5845" s="12"/>
      <c r="E5845" t="str">
        <f>IF(LEN(D5845)=0,"",[1]!i_pq_tradedays($B$3,A5846,A5845)-1)</f>
        <v/>
      </c>
      <c r="G5845" s="16" t="str">
        <f t="shared" si="198"/>
        <v/>
      </c>
      <c r="H5845" s="70" t="str">
        <f t="shared" si="199"/>
        <v/>
      </c>
    </row>
    <row r="5846" spans="1:8">
      <c r="A5846" s="2"/>
      <c r="B5846" s="12"/>
      <c r="C5846" s="12"/>
      <c r="E5846" t="str">
        <f>IF(LEN(D5846)=0,"",[1]!i_pq_tradedays($B$3,A5847,A5846)-1)</f>
        <v/>
      </c>
      <c r="G5846" s="16" t="str">
        <f t="shared" si="198"/>
        <v/>
      </c>
      <c r="H5846" s="70" t="str">
        <f t="shared" si="199"/>
        <v/>
      </c>
    </row>
    <row r="5847" spans="1:8">
      <c r="A5847" s="2"/>
      <c r="B5847" s="12"/>
      <c r="C5847" s="12"/>
      <c r="E5847" t="str">
        <f>IF(LEN(D5847)=0,"",[1]!i_pq_tradedays($B$3,A5848,A5847)-1)</f>
        <v/>
      </c>
      <c r="G5847" s="16" t="str">
        <f t="shared" si="198"/>
        <v/>
      </c>
      <c r="H5847" s="70" t="str">
        <f t="shared" si="199"/>
        <v/>
      </c>
    </row>
    <row r="5848" spans="1:8">
      <c r="A5848" s="2"/>
      <c r="B5848" s="12"/>
      <c r="C5848" s="12"/>
      <c r="E5848" t="str">
        <f>IF(LEN(D5848)=0,"",[1]!i_pq_tradedays($B$3,A5849,A5848)-1)</f>
        <v/>
      </c>
      <c r="G5848" s="16" t="str">
        <f t="shared" si="198"/>
        <v/>
      </c>
      <c r="H5848" s="70" t="str">
        <f t="shared" si="199"/>
        <v/>
      </c>
    </row>
    <row r="5849" spans="1:8">
      <c r="A5849" s="2"/>
      <c r="B5849" s="12"/>
      <c r="C5849" s="12"/>
      <c r="E5849" t="str">
        <f>IF(LEN(D5849)=0,"",[1]!i_pq_tradedays($B$3,A5850,A5849)-1)</f>
        <v/>
      </c>
      <c r="G5849" s="16" t="str">
        <f t="shared" si="198"/>
        <v/>
      </c>
      <c r="H5849" s="70" t="str">
        <f t="shared" si="199"/>
        <v/>
      </c>
    </row>
    <row r="5850" spans="1:8">
      <c r="A5850" s="2"/>
      <c r="B5850" s="12"/>
      <c r="C5850" s="12"/>
      <c r="E5850" t="str">
        <f>IF(LEN(D5850)=0,"",[1]!i_pq_tradedays($B$3,A5851,A5850)-1)</f>
        <v/>
      </c>
      <c r="G5850" s="16" t="str">
        <f t="shared" si="198"/>
        <v/>
      </c>
      <c r="H5850" s="70" t="str">
        <f t="shared" si="199"/>
        <v/>
      </c>
    </row>
    <row r="5851" spans="1:8">
      <c r="A5851" s="2"/>
      <c r="B5851" s="12"/>
      <c r="C5851" s="12"/>
      <c r="E5851" t="str">
        <f>IF(LEN(D5851)=0,"",[1]!i_pq_tradedays($B$3,A5852,A5851)-1)</f>
        <v/>
      </c>
      <c r="G5851" s="16" t="str">
        <f t="shared" si="198"/>
        <v/>
      </c>
      <c r="H5851" s="70" t="str">
        <f t="shared" si="199"/>
        <v/>
      </c>
    </row>
    <row r="5852" spans="1:8">
      <c r="A5852" s="2"/>
      <c r="B5852" s="12"/>
      <c r="C5852" s="12"/>
      <c r="E5852" t="str">
        <f>IF(LEN(D5852)=0,"",[1]!i_pq_tradedays($B$3,A5853,A5852)-1)</f>
        <v/>
      </c>
      <c r="G5852" s="16" t="str">
        <f t="shared" si="198"/>
        <v/>
      </c>
      <c r="H5852" s="70" t="str">
        <f t="shared" si="199"/>
        <v/>
      </c>
    </row>
    <row r="5853" spans="1:8">
      <c r="A5853" s="2"/>
      <c r="B5853" s="12"/>
      <c r="C5853" s="12"/>
      <c r="E5853" t="str">
        <f>IF(LEN(D5853)=0,"",[1]!i_pq_tradedays($B$3,A5854,A5853)-1)</f>
        <v/>
      </c>
      <c r="G5853" s="16" t="str">
        <f t="shared" si="198"/>
        <v/>
      </c>
      <c r="H5853" s="70" t="str">
        <f t="shared" si="199"/>
        <v/>
      </c>
    </row>
    <row r="5854" spans="1:8">
      <c r="A5854" s="2"/>
      <c r="B5854" s="12"/>
      <c r="C5854" s="12"/>
      <c r="E5854" t="str">
        <f>IF(LEN(D5854)=0,"",[1]!i_pq_tradedays($B$3,A5855,A5854)-1)</f>
        <v/>
      </c>
      <c r="G5854" s="16" t="str">
        <f t="shared" si="198"/>
        <v/>
      </c>
      <c r="H5854" s="70" t="str">
        <f t="shared" si="199"/>
        <v/>
      </c>
    </row>
    <row r="5855" spans="1:8">
      <c r="A5855" s="2"/>
      <c r="B5855" s="12"/>
      <c r="C5855" s="12"/>
      <c r="E5855" t="str">
        <f>IF(LEN(D5855)=0,"",[1]!i_pq_tradedays($B$3,A5856,A5855)-1)</f>
        <v/>
      </c>
      <c r="G5855" s="16" t="str">
        <f t="shared" si="198"/>
        <v/>
      </c>
      <c r="H5855" s="70" t="str">
        <f t="shared" si="199"/>
        <v/>
      </c>
    </row>
    <row r="5856" spans="1:8">
      <c r="A5856" s="2"/>
      <c r="B5856" s="12"/>
      <c r="C5856" s="12"/>
      <c r="E5856" t="str">
        <f>IF(LEN(D5856)=0,"",[1]!i_pq_tradedays($B$3,A5857,A5856)-1)</f>
        <v/>
      </c>
      <c r="G5856" s="16" t="str">
        <f t="shared" si="198"/>
        <v/>
      </c>
      <c r="H5856" s="70" t="str">
        <f t="shared" si="199"/>
        <v/>
      </c>
    </row>
    <row r="5857" spans="1:8">
      <c r="A5857" s="2"/>
      <c r="B5857" s="12"/>
      <c r="C5857" s="12"/>
      <c r="E5857" t="str">
        <f>IF(LEN(D5857)=0,"",[1]!i_pq_tradedays($B$3,A5858,A5857)-1)</f>
        <v/>
      </c>
      <c r="G5857" s="16" t="str">
        <f t="shared" si="198"/>
        <v/>
      </c>
      <c r="H5857" s="70" t="str">
        <f t="shared" si="199"/>
        <v/>
      </c>
    </row>
    <row r="5858" spans="1:8">
      <c r="A5858" s="2"/>
      <c r="B5858" s="12"/>
      <c r="C5858" s="12"/>
      <c r="E5858" t="str">
        <f>IF(LEN(D5858)=0,"",[1]!i_pq_tradedays($B$3,A5859,A5858)-1)</f>
        <v/>
      </c>
      <c r="G5858" s="16" t="str">
        <f t="shared" si="198"/>
        <v/>
      </c>
      <c r="H5858" s="70" t="str">
        <f t="shared" si="199"/>
        <v/>
      </c>
    </row>
    <row r="5859" spans="1:8">
      <c r="A5859" s="2"/>
      <c r="B5859" s="12"/>
      <c r="C5859" s="12"/>
      <c r="E5859" t="str">
        <f>IF(LEN(D5859)=0,"",[1]!i_pq_tradedays($B$3,A5860,A5859)-1)</f>
        <v/>
      </c>
      <c r="G5859" s="16" t="str">
        <f t="shared" si="198"/>
        <v/>
      </c>
      <c r="H5859" s="70" t="str">
        <f t="shared" si="199"/>
        <v/>
      </c>
    </row>
    <row r="5860" spans="1:8">
      <c r="A5860" s="2"/>
      <c r="B5860" s="12"/>
      <c r="C5860" s="12"/>
      <c r="E5860" t="str">
        <f>IF(LEN(D5860)=0,"",[1]!i_pq_tradedays($B$3,A5861,A5860)-1)</f>
        <v/>
      </c>
      <c r="G5860" s="16" t="str">
        <f t="shared" si="198"/>
        <v/>
      </c>
      <c r="H5860" s="70" t="str">
        <f t="shared" si="199"/>
        <v/>
      </c>
    </row>
    <row r="5861" spans="1:8">
      <c r="A5861" s="2"/>
      <c r="B5861" s="12"/>
      <c r="C5861" s="12"/>
      <c r="E5861" t="str">
        <f>IF(LEN(D5861)=0,"",[1]!i_pq_tradedays($B$3,A5862,A5861)-1)</f>
        <v/>
      </c>
      <c r="G5861" s="16" t="str">
        <f t="shared" si="198"/>
        <v/>
      </c>
      <c r="H5861" s="70" t="str">
        <f t="shared" si="199"/>
        <v/>
      </c>
    </row>
    <row r="5862" spans="1:8">
      <c r="A5862" s="2"/>
      <c r="B5862" s="12"/>
      <c r="C5862" s="12"/>
      <c r="E5862" t="str">
        <f>IF(LEN(D5862)=0,"",[1]!i_pq_tradedays($B$3,A5863,A5862)-1)</f>
        <v/>
      </c>
      <c r="G5862" s="16" t="str">
        <f t="shared" si="198"/>
        <v/>
      </c>
      <c r="H5862" s="70" t="str">
        <f t="shared" si="199"/>
        <v/>
      </c>
    </row>
    <row r="5863" spans="1:8">
      <c r="A5863" s="2"/>
      <c r="B5863" s="12"/>
      <c r="C5863" s="12"/>
      <c r="E5863" t="str">
        <f>IF(LEN(D5863)=0,"",[1]!i_pq_tradedays($B$3,A5864,A5863)-1)</f>
        <v/>
      </c>
      <c r="G5863" s="16" t="str">
        <f t="shared" si="198"/>
        <v/>
      </c>
      <c r="H5863" s="70" t="str">
        <f t="shared" si="199"/>
        <v/>
      </c>
    </row>
    <row r="5864" spans="1:8">
      <c r="A5864" s="2"/>
      <c r="B5864" s="12"/>
      <c r="C5864" s="12"/>
      <c r="E5864" t="str">
        <f>IF(LEN(D5864)=0,"",[1]!i_pq_tradedays($B$3,A5865,A5864)-1)</f>
        <v/>
      </c>
      <c r="G5864" s="16" t="str">
        <f t="shared" si="198"/>
        <v/>
      </c>
      <c r="H5864" s="70" t="str">
        <f t="shared" si="199"/>
        <v/>
      </c>
    </row>
    <row r="5865" spans="1:8">
      <c r="A5865" s="2"/>
      <c r="B5865" s="12"/>
      <c r="C5865" s="12"/>
      <c r="E5865" t="str">
        <f>IF(LEN(D5865)=0,"",[1]!i_pq_tradedays($B$3,A5866,A5865)-1)</f>
        <v/>
      </c>
      <c r="G5865" s="16" t="str">
        <f t="shared" si="198"/>
        <v/>
      </c>
      <c r="H5865" s="70" t="str">
        <f t="shared" si="199"/>
        <v/>
      </c>
    </row>
    <row r="5866" spans="1:8">
      <c r="A5866" s="2"/>
      <c r="B5866" s="12"/>
      <c r="C5866" s="12"/>
      <c r="E5866" t="str">
        <f>IF(LEN(D5866)=0,"",[1]!i_pq_tradedays($B$3,A5867,A5866)-1)</f>
        <v/>
      </c>
      <c r="G5866" s="16" t="str">
        <f t="shared" si="198"/>
        <v/>
      </c>
      <c r="H5866" s="70" t="str">
        <f t="shared" si="199"/>
        <v/>
      </c>
    </row>
    <row r="5867" spans="1:8">
      <c r="A5867" s="2"/>
      <c r="B5867" s="12"/>
      <c r="C5867" s="12"/>
      <c r="E5867" t="str">
        <f>IF(LEN(D5867)=0,"",[1]!i_pq_tradedays($B$3,A5868,A5867)-1)</f>
        <v/>
      </c>
      <c r="G5867" s="16" t="str">
        <f t="shared" si="198"/>
        <v/>
      </c>
      <c r="H5867" s="70" t="str">
        <f t="shared" si="199"/>
        <v/>
      </c>
    </row>
    <row r="5868" spans="1:8">
      <c r="A5868" s="2"/>
      <c r="B5868" s="12"/>
      <c r="C5868" s="12"/>
      <c r="E5868" t="str">
        <f>IF(LEN(D5868)=0,"",[1]!i_pq_tradedays($B$3,A5869,A5868)-1)</f>
        <v/>
      </c>
      <c r="G5868" s="16" t="str">
        <f t="shared" si="198"/>
        <v/>
      </c>
      <c r="H5868" s="70" t="str">
        <f t="shared" si="199"/>
        <v/>
      </c>
    </row>
    <row r="5869" spans="1:8">
      <c r="A5869" s="2"/>
      <c r="B5869" s="12"/>
      <c r="C5869" s="12"/>
      <c r="E5869" t="str">
        <f>IF(LEN(D5869)=0,"",[1]!i_pq_tradedays($B$3,A5870,A5869)-1)</f>
        <v/>
      </c>
      <c r="G5869" s="16" t="str">
        <f t="shared" si="198"/>
        <v/>
      </c>
      <c r="H5869" s="70" t="str">
        <f t="shared" si="199"/>
        <v/>
      </c>
    </row>
    <row r="5870" spans="1:8">
      <c r="A5870" s="2"/>
      <c r="B5870" s="12"/>
      <c r="C5870" s="12"/>
      <c r="E5870" t="str">
        <f>IF(LEN(D5870)=0,"",[1]!i_pq_tradedays($B$3,A5871,A5870)-1)</f>
        <v/>
      </c>
      <c r="G5870" s="16" t="str">
        <f t="shared" si="198"/>
        <v/>
      </c>
      <c r="H5870" s="70" t="str">
        <f t="shared" si="199"/>
        <v/>
      </c>
    </row>
    <row r="5871" spans="1:8">
      <c r="A5871" s="2"/>
      <c r="B5871" s="12"/>
      <c r="C5871" s="12"/>
      <c r="E5871" t="str">
        <f>IF(LEN(D5871)=0,"",[1]!i_pq_tradedays($B$3,A5872,A5871)-1)</f>
        <v/>
      </c>
      <c r="G5871" s="16" t="str">
        <f t="shared" si="198"/>
        <v/>
      </c>
      <c r="H5871" s="70" t="str">
        <f t="shared" si="199"/>
        <v/>
      </c>
    </row>
    <row r="5872" spans="1:8">
      <c r="A5872" s="2"/>
      <c r="B5872" s="12"/>
      <c r="C5872" s="12"/>
      <c r="E5872" t="str">
        <f>IF(LEN(D5872)=0,"",[1]!i_pq_tradedays($B$3,A5873,A5872)-1)</f>
        <v/>
      </c>
      <c r="G5872" s="16" t="str">
        <f t="shared" si="198"/>
        <v/>
      </c>
      <c r="H5872" s="70" t="str">
        <f t="shared" si="199"/>
        <v/>
      </c>
    </row>
    <row r="5873" spans="1:8">
      <c r="A5873" s="2"/>
      <c r="B5873" s="12"/>
      <c r="C5873" s="12"/>
      <c r="E5873" t="str">
        <f>IF(LEN(D5873)=0,"",[1]!i_pq_tradedays($B$3,A5874,A5873)-1)</f>
        <v/>
      </c>
      <c r="G5873" s="16" t="str">
        <f t="shared" si="198"/>
        <v/>
      </c>
      <c r="H5873" s="70" t="str">
        <f t="shared" si="199"/>
        <v/>
      </c>
    </row>
    <row r="5874" spans="1:8">
      <c r="A5874" s="2"/>
      <c r="B5874" s="12"/>
      <c r="C5874" s="12"/>
      <c r="E5874" t="str">
        <f>IF(LEN(D5874)=0,"",[1]!i_pq_tradedays($B$3,A5875,A5874)-1)</f>
        <v/>
      </c>
      <c r="G5874" s="16" t="str">
        <f t="shared" si="198"/>
        <v/>
      </c>
      <c r="H5874" s="70" t="str">
        <f t="shared" si="199"/>
        <v/>
      </c>
    </row>
    <row r="5875" spans="1:8">
      <c r="A5875" s="2"/>
      <c r="B5875" s="12"/>
      <c r="C5875" s="12"/>
      <c r="E5875" t="str">
        <f>IF(LEN(D5875)=0,"",[1]!i_pq_tradedays($B$3,A5876,A5875)-1)</f>
        <v/>
      </c>
      <c r="G5875" s="16" t="str">
        <f t="shared" si="198"/>
        <v/>
      </c>
      <c r="H5875" s="70" t="str">
        <f t="shared" si="199"/>
        <v/>
      </c>
    </row>
    <row r="5876" spans="1:8">
      <c r="A5876" s="2"/>
      <c r="B5876" s="12"/>
      <c r="C5876" s="12"/>
      <c r="E5876" t="str">
        <f>IF(LEN(D5876)=0,"",[1]!i_pq_tradedays($B$3,A5877,A5876)-1)</f>
        <v/>
      </c>
      <c r="G5876" s="16" t="str">
        <f t="shared" si="198"/>
        <v/>
      </c>
      <c r="H5876" s="70" t="str">
        <f t="shared" si="199"/>
        <v/>
      </c>
    </row>
    <row r="5877" spans="1:8">
      <c r="A5877" s="2"/>
      <c r="B5877" s="12"/>
      <c r="C5877" s="12"/>
      <c r="E5877" t="str">
        <f>IF(LEN(D5877)=0,"",[1]!i_pq_tradedays($B$3,A5878,A5877)-1)</f>
        <v/>
      </c>
      <c r="G5877" s="16" t="str">
        <f t="shared" ref="G5877:G5940" si="200">IF(LEN(D5877)=0,"",D5877/E5877)</f>
        <v/>
      </c>
      <c r="H5877" s="70" t="str">
        <f t="shared" ref="H5877:H5940" si="201">IF(LEN(D5877)=0,"",G5877/G5878-1)</f>
        <v/>
      </c>
    </row>
    <row r="5878" spans="1:8">
      <c r="A5878" s="2"/>
      <c r="B5878" s="12"/>
      <c r="C5878" s="12"/>
      <c r="E5878" t="str">
        <f>IF(LEN(D5878)=0,"",[1]!i_pq_tradedays($B$3,A5879,A5878)-1)</f>
        <v/>
      </c>
      <c r="G5878" s="16" t="str">
        <f t="shared" si="200"/>
        <v/>
      </c>
      <c r="H5878" s="70" t="str">
        <f t="shared" si="201"/>
        <v/>
      </c>
    </row>
    <row r="5879" spans="1:8">
      <c r="A5879" s="2"/>
      <c r="B5879" s="12"/>
      <c r="C5879" s="12"/>
      <c r="E5879" t="str">
        <f>IF(LEN(D5879)=0,"",[1]!i_pq_tradedays($B$3,A5880,A5879)-1)</f>
        <v/>
      </c>
      <c r="G5879" s="16" t="str">
        <f t="shared" si="200"/>
        <v/>
      </c>
      <c r="H5879" s="70" t="str">
        <f t="shared" si="201"/>
        <v/>
      </c>
    </row>
    <row r="5880" spans="1:8">
      <c r="A5880" s="2"/>
      <c r="B5880" s="12"/>
      <c r="C5880" s="12"/>
      <c r="E5880" t="str">
        <f>IF(LEN(D5880)=0,"",[1]!i_pq_tradedays($B$3,A5881,A5880)-1)</f>
        <v/>
      </c>
      <c r="G5880" s="16" t="str">
        <f t="shared" si="200"/>
        <v/>
      </c>
      <c r="H5880" s="70" t="str">
        <f t="shared" si="201"/>
        <v/>
      </c>
    </row>
    <row r="5881" spans="1:8">
      <c r="A5881" s="2"/>
      <c r="B5881" s="12"/>
      <c r="C5881" s="12"/>
      <c r="E5881" t="str">
        <f>IF(LEN(D5881)=0,"",[1]!i_pq_tradedays($B$3,A5882,A5881)-1)</f>
        <v/>
      </c>
      <c r="G5881" s="16" t="str">
        <f t="shared" si="200"/>
        <v/>
      </c>
      <c r="H5881" s="70" t="str">
        <f t="shared" si="201"/>
        <v/>
      </c>
    </row>
    <row r="5882" spans="1:8">
      <c r="A5882" s="2"/>
      <c r="B5882" s="12"/>
      <c r="C5882" s="12"/>
      <c r="E5882" t="str">
        <f>IF(LEN(D5882)=0,"",[1]!i_pq_tradedays($B$3,A5883,A5882)-1)</f>
        <v/>
      </c>
      <c r="G5882" s="16" t="str">
        <f t="shared" si="200"/>
        <v/>
      </c>
      <c r="H5882" s="70" t="str">
        <f t="shared" si="201"/>
        <v/>
      </c>
    </row>
    <row r="5883" spans="1:8">
      <c r="A5883" s="2"/>
      <c r="B5883" s="12"/>
      <c r="C5883" s="12"/>
      <c r="E5883" t="str">
        <f>IF(LEN(D5883)=0,"",[1]!i_pq_tradedays($B$3,A5884,A5883)-1)</f>
        <v/>
      </c>
      <c r="G5883" s="16" t="str">
        <f t="shared" si="200"/>
        <v/>
      </c>
      <c r="H5883" s="70" t="str">
        <f t="shared" si="201"/>
        <v/>
      </c>
    </row>
    <row r="5884" spans="1:8">
      <c r="A5884" s="2"/>
      <c r="B5884" s="12"/>
      <c r="C5884" s="12"/>
      <c r="E5884" t="str">
        <f>IF(LEN(D5884)=0,"",[1]!i_pq_tradedays($B$3,A5885,A5884)-1)</f>
        <v/>
      </c>
      <c r="G5884" s="16" t="str">
        <f t="shared" si="200"/>
        <v/>
      </c>
      <c r="H5884" s="70" t="str">
        <f t="shared" si="201"/>
        <v/>
      </c>
    </row>
    <row r="5885" spans="1:8">
      <c r="A5885" s="2"/>
      <c r="B5885" s="12"/>
      <c r="C5885" s="12"/>
      <c r="E5885" t="str">
        <f>IF(LEN(D5885)=0,"",[1]!i_pq_tradedays($B$3,A5886,A5885)-1)</f>
        <v/>
      </c>
      <c r="G5885" s="16" t="str">
        <f t="shared" si="200"/>
        <v/>
      </c>
      <c r="H5885" s="70" t="str">
        <f t="shared" si="201"/>
        <v/>
      </c>
    </row>
    <row r="5886" spans="1:8">
      <c r="A5886" s="2"/>
      <c r="B5886" s="12"/>
      <c r="C5886" s="12"/>
      <c r="E5886" t="str">
        <f>IF(LEN(D5886)=0,"",[1]!i_pq_tradedays($B$3,A5887,A5886)-1)</f>
        <v/>
      </c>
      <c r="G5886" s="16" t="str">
        <f t="shared" si="200"/>
        <v/>
      </c>
      <c r="H5886" s="70" t="str">
        <f t="shared" si="201"/>
        <v/>
      </c>
    </row>
    <row r="5887" spans="1:8">
      <c r="A5887" s="2"/>
      <c r="B5887" s="12"/>
      <c r="C5887" s="12"/>
      <c r="E5887" t="str">
        <f>IF(LEN(D5887)=0,"",[1]!i_pq_tradedays($B$3,A5888,A5887)-1)</f>
        <v/>
      </c>
      <c r="G5887" s="16" t="str">
        <f t="shared" si="200"/>
        <v/>
      </c>
      <c r="H5887" s="70" t="str">
        <f t="shared" si="201"/>
        <v/>
      </c>
    </row>
    <row r="5888" spans="1:8">
      <c r="A5888" s="2"/>
      <c r="B5888" s="12"/>
      <c r="C5888" s="12"/>
      <c r="E5888" t="str">
        <f>IF(LEN(D5888)=0,"",[1]!i_pq_tradedays($B$3,A5889,A5888)-1)</f>
        <v/>
      </c>
      <c r="G5888" s="16" t="str">
        <f t="shared" si="200"/>
        <v/>
      </c>
      <c r="H5888" s="70" t="str">
        <f t="shared" si="201"/>
        <v/>
      </c>
    </row>
    <row r="5889" spans="1:8">
      <c r="A5889" s="2"/>
      <c r="B5889" s="12"/>
      <c r="C5889" s="12"/>
      <c r="E5889" t="str">
        <f>IF(LEN(D5889)=0,"",[1]!i_pq_tradedays($B$3,A5890,A5889)-1)</f>
        <v/>
      </c>
      <c r="G5889" s="16" t="str">
        <f t="shared" si="200"/>
        <v/>
      </c>
      <c r="H5889" s="70" t="str">
        <f t="shared" si="201"/>
        <v/>
      </c>
    </row>
    <row r="5890" spans="1:8">
      <c r="A5890" s="2"/>
      <c r="B5890" s="12"/>
      <c r="C5890" s="12"/>
      <c r="E5890" t="str">
        <f>IF(LEN(D5890)=0,"",[1]!i_pq_tradedays($B$3,A5891,A5890)-1)</f>
        <v/>
      </c>
      <c r="G5890" s="16" t="str">
        <f t="shared" si="200"/>
        <v/>
      </c>
      <c r="H5890" s="70" t="str">
        <f t="shared" si="201"/>
        <v/>
      </c>
    </row>
    <row r="5891" spans="1:8">
      <c r="A5891" s="2"/>
      <c r="B5891" s="12"/>
      <c r="C5891" s="12"/>
      <c r="E5891" t="str">
        <f>IF(LEN(D5891)=0,"",[1]!i_pq_tradedays($B$3,A5892,A5891)-1)</f>
        <v/>
      </c>
      <c r="G5891" s="16" t="str">
        <f t="shared" si="200"/>
        <v/>
      </c>
      <c r="H5891" s="70" t="str">
        <f t="shared" si="201"/>
        <v/>
      </c>
    </row>
    <row r="5892" spans="1:8">
      <c r="A5892" s="2"/>
      <c r="B5892" s="12"/>
      <c r="C5892" s="12"/>
      <c r="E5892" t="str">
        <f>IF(LEN(D5892)=0,"",[1]!i_pq_tradedays($B$3,A5893,A5892)-1)</f>
        <v/>
      </c>
      <c r="G5892" s="16" t="str">
        <f t="shared" si="200"/>
        <v/>
      </c>
      <c r="H5892" s="70" t="str">
        <f t="shared" si="201"/>
        <v/>
      </c>
    </row>
    <row r="5893" spans="1:8">
      <c r="A5893" s="2"/>
      <c r="B5893" s="12"/>
      <c r="C5893" s="12"/>
      <c r="E5893" t="str">
        <f>IF(LEN(D5893)=0,"",[1]!i_pq_tradedays($B$3,A5894,A5893)-1)</f>
        <v/>
      </c>
      <c r="G5893" s="16" t="str">
        <f t="shared" si="200"/>
        <v/>
      </c>
      <c r="H5893" s="70" t="str">
        <f t="shared" si="201"/>
        <v/>
      </c>
    </row>
    <row r="5894" spans="1:8">
      <c r="A5894" s="2"/>
      <c r="B5894" s="12"/>
      <c r="C5894" s="12"/>
      <c r="E5894" t="str">
        <f>IF(LEN(D5894)=0,"",[1]!i_pq_tradedays($B$3,A5895,A5894)-1)</f>
        <v/>
      </c>
      <c r="G5894" s="16" t="str">
        <f t="shared" si="200"/>
        <v/>
      </c>
      <c r="H5894" s="70" t="str">
        <f t="shared" si="201"/>
        <v/>
      </c>
    </row>
    <row r="5895" spans="1:8">
      <c r="A5895" s="2"/>
      <c r="B5895" s="12"/>
      <c r="C5895" s="12"/>
      <c r="E5895" t="str">
        <f>IF(LEN(D5895)=0,"",[1]!i_pq_tradedays($B$3,A5896,A5895)-1)</f>
        <v/>
      </c>
      <c r="G5895" s="16" t="str">
        <f t="shared" si="200"/>
        <v/>
      </c>
      <c r="H5895" s="70" t="str">
        <f t="shared" si="201"/>
        <v/>
      </c>
    </row>
    <row r="5896" spans="1:8">
      <c r="A5896" s="2"/>
      <c r="B5896" s="12"/>
      <c r="C5896" s="12"/>
      <c r="E5896" t="str">
        <f>IF(LEN(D5896)=0,"",[1]!i_pq_tradedays($B$3,A5897,A5896)-1)</f>
        <v/>
      </c>
      <c r="G5896" s="16" t="str">
        <f t="shared" si="200"/>
        <v/>
      </c>
      <c r="H5896" s="70" t="str">
        <f t="shared" si="201"/>
        <v/>
      </c>
    </row>
    <row r="5897" spans="1:8">
      <c r="A5897" s="2"/>
      <c r="B5897" s="12"/>
      <c r="C5897" s="12"/>
      <c r="E5897" t="str">
        <f>IF(LEN(D5897)=0,"",[1]!i_pq_tradedays($B$3,A5898,A5897)-1)</f>
        <v/>
      </c>
      <c r="G5897" s="16" t="str">
        <f t="shared" si="200"/>
        <v/>
      </c>
      <c r="H5897" s="70" t="str">
        <f t="shared" si="201"/>
        <v/>
      </c>
    </row>
    <row r="5898" spans="1:8">
      <c r="A5898" s="2"/>
      <c r="B5898" s="12"/>
      <c r="C5898" s="12"/>
      <c r="E5898" t="str">
        <f>IF(LEN(D5898)=0,"",[1]!i_pq_tradedays($B$3,A5899,A5898)-1)</f>
        <v/>
      </c>
      <c r="G5898" s="16" t="str">
        <f t="shared" si="200"/>
        <v/>
      </c>
      <c r="H5898" s="70" t="str">
        <f t="shared" si="201"/>
        <v/>
      </c>
    </row>
    <row r="5899" spans="1:8">
      <c r="A5899" s="2"/>
      <c r="B5899" s="12"/>
      <c r="C5899" s="12"/>
      <c r="E5899" t="str">
        <f>IF(LEN(D5899)=0,"",[1]!i_pq_tradedays($B$3,A5900,A5899)-1)</f>
        <v/>
      </c>
      <c r="G5899" s="16" t="str">
        <f t="shared" si="200"/>
        <v/>
      </c>
      <c r="H5899" s="70" t="str">
        <f t="shared" si="201"/>
        <v/>
      </c>
    </row>
    <row r="5900" spans="1:8">
      <c r="A5900" s="2"/>
      <c r="B5900" s="12"/>
      <c r="C5900" s="12"/>
      <c r="E5900" t="str">
        <f>IF(LEN(D5900)=0,"",[1]!i_pq_tradedays($B$3,A5901,A5900)-1)</f>
        <v/>
      </c>
      <c r="G5900" s="16" t="str">
        <f t="shared" si="200"/>
        <v/>
      </c>
      <c r="H5900" s="70" t="str">
        <f t="shared" si="201"/>
        <v/>
      </c>
    </row>
    <row r="5901" spans="1:8">
      <c r="A5901" s="2"/>
      <c r="B5901" s="12"/>
      <c r="C5901" s="12"/>
      <c r="E5901" t="str">
        <f>IF(LEN(D5901)=0,"",[1]!i_pq_tradedays($B$3,A5902,A5901)-1)</f>
        <v/>
      </c>
      <c r="G5901" s="16" t="str">
        <f t="shared" si="200"/>
        <v/>
      </c>
      <c r="H5901" s="70" t="str">
        <f t="shared" si="201"/>
        <v/>
      </c>
    </row>
    <row r="5902" spans="1:8">
      <c r="A5902" s="2"/>
      <c r="B5902" s="12"/>
      <c r="C5902" s="12"/>
      <c r="E5902" t="str">
        <f>IF(LEN(D5902)=0,"",[1]!i_pq_tradedays($B$3,A5903,A5902)-1)</f>
        <v/>
      </c>
      <c r="G5902" s="16" t="str">
        <f t="shared" si="200"/>
        <v/>
      </c>
      <c r="H5902" s="70" t="str">
        <f t="shared" si="201"/>
        <v/>
      </c>
    </row>
    <row r="5903" spans="1:8">
      <c r="A5903" s="2"/>
      <c r="B5903" s="12"/>
      <c r="C5903" s="12"/>
      <c r="E5903" t="str">
        <f>IF(LEN(D5903)=0,"",[1]!i_pq_tradedays($B$3,A5904,A5903)-1)</f>
        <v/>
      </c>
      <c r="G5903" s="16" t="str">
        <f t="shared" si="200"/>
        <v/>
      </c>
      <c r="H5903" s="70" t="str">
        <f t="shared" si="201"/>
        <v/>
      </c>
    </row>
    <row r="5904" spans="1:8">
      <c r="A5904" s="2"/>
      <c r="B5904" s="12"/>
      <c r="C5904" s="12"/>
      <c r="E5904" t="str">
        <f>IF(LEN(D5904)=0,"",[1]!i_pq_tradedays($B$3,A5905,A5904)-1)</f>
        <v/>
      </c>
      <c r="G5904" s="16" t="str">
        <f t="shared" si="200"/>
        <v/>
      </c>
      <c r="H5904" s="70" t="str">
        <f t="shared" si="201"/>
        <v/>
      </c>
    </row>
    <row r="5905" spans="1:8">
      <c r="A5905" s="2"/>
      <c r="B5905" s="12"/>
      <c r="C5905" s="12"/>
      <c r="E5905" t="str">
        <f>IF(LEN(D5905)=0,"",[1]!i_pq_tradedays($B$3,A5906,A5905)-1)</f>
        <v/>
      </c>
      <c r="G5905" s="16" t="str">
        <f t="shared" si="200"/>
        <v/>
      </c>
      <c r="H5905" s="70" t="str">
        <f t="shared" si="201"/>
        <v/>
      </c>
    </row>
    <row r="5906" spans="1:8">
      <c r="A5906" s="2"/>
      <c r="B5906" s="12"/>
      <c r="C5906" s="12"/>
      <c r="E5906" t="str">
        <f>IF(LEN(D5906)=0,"",[1]!i_pq_tradedays($B$3,A5907,A5906)-1)</f>
        <v/>
      </c>
      <c r="G5906" s="16" t="str">
        <f t="shared" si="200"/>
        <v/>
      </c>
      <c r="H5906" s="70" t="str">
        <f t="shared" si="201"/>
        <v/>
      </c>
    </row>
    <row r="5907" spans="1:8">
      <c r="A5907" s="2"/>
      <c r="B5907" s="12"/>
      <c r="C5907" s="12"/>
      <c r="E5907" t="str">
        <f>IF(LEN(D5907)=0,"",[1]!i_pq_tradedays($B$3,A5908,A5907)-1)</f>
        <v/>
      </c>
      <c r="G5907" s="16" t="str">
        <f t="shared" si="200"/>
        <v/>
      </c>
      <c r="H5907" s="70" t="str">
        <f t="shared" si="201"/>
        <v/>
      </c>
    </row>
    <row r="5908" spans="1:8">
      <c r="A5908" s="2"/>
      <c r="B5908" s="12"/>
      <c r="C5908" s="12"/>
      <c r="E5908" t="str">
        <f>IF(LEN(D5908)=0,"",[1]!i_pq_tradedays($B$3,A5909,A5908)-1)</f>
        <v/>
      </c>
      <c r="G5908" s="16" t="str">
        <f t="shared" si="200"/>
        <v/>
      </c>
      <c r="H5908" s="70" t="str">
        <f t="shared" si="201"/>
        <v/>
      </c>
    </row>
    <row r="5909" spans="1:8">
      <c r="A5909" s="2"/>
      <c r="B5909" s="12"/>
      <c r="C5909" s="12"/>
      <c r="E5909" t="str">
        <f>IF(LEN(D5909)=0,"",[1]!i_pq_tradedays($B$3,A5910,A5909)-1)</f>
        <v/>
      </c>
      <c r="G5909" s="16" t="str">
        <f t="shared" si="200"/>
        <v/>
      </c>
      <c r="H5909" s="70" t="str">
        <f t="shared" si="201"/>
        <v/>
      </c>
    </row>
    <row r="5910" spans="1:8">
      <c r="A5910" s="2"/>
      <c r="B5910" s="12"/>
      <c r="C5910" s="12"/>
      <c r="E5910" t="str">
        <f>IF(LEN(D5910)=0,"",[1]!i_pq_tradedays($B$3,A5911,A5910)-1)</f>
        <v/>
      </c>
      <c r="G5910" s="16" t="str">
        <f t="shared" si="200"/>
        <v/>
      </c>
      <c r="H5910" s="70" t="str">
        <f t="shared" si="201"/>
        <v/>
      </c>
    </row>
    <row r="5911" spans="1:8">
      <c r="A5911" s="2"/>
      <c r="B5911" s="12"/>
      <c r="C5911" s="12"/>
      <c r="E5911" t="str">
        <f>IF(LEN(D5911)=0,"",[1]!i_pq_tradedays($B$3,A5912,A5911)-1)</f>
        <v/>
      </c>
      <c r="G5911" s="16" t="str">
        <f t="shared" si="200"/>
        <v/>
      </c>
      <c r="H5911" s="70" t="str">
        <f t="shared" si="201"/>
        <v/>
      </c>
    </row>
    <row r="5912" spans="1:8">
      <c r="A5912" s="2"/>
      <c r="B5912" s="12"/>
      <c r="C5912" s="12"/>
      <c r="E5912" t="str">
        <f>IF(LEN(D5912)=0,"",[1]!i_pq_tradedays($B$3,A5913,A5912)-1)</f>
        <v/>
      </c>
      <c r="G5912" s="16" t="str">
        <f t="shared" si="200"/>
        <v/>
      </c>
      <c r="H5912" s="70" t="str">
        <f t="shared" si="201"/>
        <v/>
      </c>
    </row>
    <row r="5913" spans="1:8">
      <c r="A5913" s="2"/>
      <c r="B5913" s="12"/>
      <c r="C5913" s="12"/>
      <c r="E5913" t="str">
        <f>IF(LEN(D5913)=0,"",[1]!i_pq_tradedays($B$3,A5914,A5913)-1)</f>
        <v/>
      </c>
      <c r="G5913" s="16" t="str">
        <f t="shared" si="200"/>
        <v/>
      </c>
      <c r="H5913" s="70" t="str">
        <f t="shared" si="201"/>
        <v/>
      </c>
    </row>
    <row r="5914" spans="1:8">
      <c r="A5914" s="2"/>
      <c r="B5914" s="12"/>
      <c r="C5914" s="12"/>
      <c r="E5914" t="str">
        <f>IF(LEN(D5914)=0,"",[1]!i_pq_tradedays($B$3,A5915,A5914)-1)</f>
        <v/>
      </c>
      <c r="G5914" s="16" t="str">
        <f t="shared" si="200"/>
        <v/>
      </c>
      <c r="H5914" s="70" t="str">
        <f t="shared" si="201"/>
        <v/>
      </c>
    </row>
    <row r="5915" spans="1:8">
      <c r="A5915" s="2"/>
      <c r="B5915" s="12"/>
      <c r="C5915" s="12"/>
      <c r="E5915" t="str">
        <f>IF(LEN(D5915)=0,"",[1]!i_pq_tradedays($B$3,A5916,A5915)-1)</f>
        <v/>
      </c>
      <c r="G5915" s="16" t="str">
        <f t="shared" si="200"/>
        <v/>
      </c>
      <c r="H5915" s="70" t="str">
        <f t="shared" si="201"/>
        <v/>
      </c>
    </row>
    <row r="5916" spans="1:8">
      <c r="A5916" s="2"/>
      <c r="B5916" s="12"/>
      <c r="C5916" s="12"/>
      <c r="E5916" t="str">
        <f>IF(LEN(D5916)=0,"",[1]!i_pq_tradedays($B$3,A5917,A5916)-1)</f>
        <v/>
      </c>
      <c r="G5916" s="16" t="str">
        <f t="shared" si="200"/>
        <v/>
      </c>
      <c r="H5916" s="70" t="str">
        <f t="shared" si="201"/>
        <v/>
      </c>
    </row>
    <row r="5917" spans="1:8">
      <c r="A5917" s="2"/>
      <c r="B5917" s="12"/>
      <c r="C5917" s="12"/>
      <c r="E5917" t="str">
        <f>IF(LEN(D5917)=0,"",[1]!i_pq_tradedays($B$3,A5918,A5917)-1)</f>
        <v/>
      </c>
      <c r="G5917" s="16" t="str">
        <f t="shared" si="200"/>
        <v/>
      </c>
      <c r="H5917" s="70" t="str">
        <f t="shared" si="201"/>
        <v/>
      </c>
    </row>
    <row r="5918" spans="1:8">
      <c r="A5918" s="2"/>
      <c r="B5918" s="12"/>
      <c r="C5918" s="12"/>
      <c r="E5918" t="str">
        <f>IF(LEN(D5918)=0,"",[1]!i_pq_tradedays($B$3,A5919,A5918)-1)</f>
        <v/>
      </c>
      <c r="G5918" s="16" t="str">
        <f t="shared" si="200"/>
        <v/>
      </c>
      <c r="H5918" s="70" t="str">
        <f t="shared" si="201"/>
        <v/>
      </c>
    </row>
    <row r="5919" spans="1:8">
      <c r="A5919" s="2"/>
      <c r="B5919" s="12"/>
      <c r="C5919" s="12"/>
      <c r="E5919" t="str">
        <f>IF(LEN(D5919)=0,"",[1]!i_pq_tradedays($B$3,A5920,A5919)-1)</f>
        <v/>
      </c>
      <c r="G5919" s="16" t="str">
        <f t="shared" si="200"/>
        <v/>
      </c>
      <c r="H5919" s="70" t="str">
        <f t="shared" si="201"/>
        <v/>
      </c>
    </row>
    <row r="5920" spans="1:8">
      <c r="A5920" s="2"/>
      <c r="B5920" s="12"/>
      <c r="C5920" s="12"/>
      <c r="E5920" t="str">
        <f>IF(LEN(D5920)=0,"",[1]!i_pq_tradedays($B$3,A5921,A5920)-1)</f>
        <v/>
      </c>
      <c r="G5920" s="16" t="str">
        <f t="shared" si="200"/>
        <v/>
      </c>
      <c r="H5920" s="70" t="str">
        <f t="shared" si="201"/>
        <v/>
      </c>
    </row>
    <row r="5921" spans="1:8">
      <c r="A5921" s="2"/>
      <c r="B5921" s="12"/>
      <c r="C5921" s="12"/>
      <c r="E5921" t="str">
        <f>IF(LEN(D5921)=0,"",[1]!i_pq_tradedays($B$3,A5922,A5921)-1)</f>
        <v/>
      </c>
      <c r="G5921" s="16" t="str">
        <f t="shared" si="200"/>
        <v/>
      </c>
      <c r="H5921" s="70" t="str">
        <f t="shared" si="201"/>
        <v/>
      </c>
    </row>
    <row r="5922" spans="1:8">
      <c r="A5922" s="2"/>
      <c r="B5922" s="12"/>
      <c r="C5922" s="12"/>
      <c r="E5922" t="str">
        <f>IF(LEN(D5922)=0,"",[1]!i_pq_tradedays($B$3,A5923,A5922)-1)</f>
        <v/>
      </c>
      <c r="G5922" s="16" t="str">
        <f t="shared" si="200"/>
        <v/>
      </c>
      <c r="H5922" s="70" t="str">
        <f t="shared" si="201"/>
        <v/>
      </c>
    </row>
    <row r="5923" spans="1:8">
      <c r="A5923" s="2"/>
      <c r="B5923" s="12"/>
      <c r="C5923" s="12"/>
      <c r="E5923" t="str">
        <f>IF(LEN(D5923)=0,"",[1]!i_pq_tradedays($B$3,A5924,A5923)-1)</f>
        <v/>
      </c>
      <c r="G5923" s="16" t="str">
        <f t="shared" si="200"/>
        <v/>
      </c>
      <c r="H5923" s="70" t="str">
        <f t="shared" si="201"/>
        <v/>
      </c>
    </row>
    <row r="5924" spans="1:8">
      <c r="A5924" s="2"/>
      <c r="B5924" s="12"/>
      <c r="C5924" s="12"/>
      <c r="E5924" t="str">
        <f>IF(LEN(D5924)=0,"",[1]!i_pq_tradedays($B$3,A5925,A5924)-1)</f>
        <v/>
      </c>
      <c r="G5924" s="16" t="str">
        <f t="shared" si="200"/>
        <v/>
      </c>
      <c r="H5924" s="70" t="str">
        <f t="shared" si="201"/>
        <v/>
      </c>
    </row>
    <row r="5925" spans="1:8">
      <c r="A5925" s="2"/>
      <c r="B5925" s="12"/>
      <c r="C5925" s="12"/>
      <c r="E5925" t="str">
        <f>IF(LEN(D5925)=0,"",[1]!i_pq_tradedays($B$3,A5926,A5925)-1)</f>
        <v/>
      </c>
      <c r="G5925" s="16" t="str">
        <f t="shared" si="200"/>
        <v/>
      </c>
      <c r="H5925" s="70" t="str">
        <f t="shared" si="201"/>
        <v/>
      </c>
    </row>
    <row r="5926" spans="1:8">
      <c r="A5926" s="2"/>
      <c r="B5926" s="12"/>
      <c r="C5926" s="12"/>
      <c r="E5926" t="str">
        <f>IF(LEN(D5926)=0,"",[1]!i_pq_tradedays($B$3,A5927,A5926)-1)</f>
        <v/>
      </c>
      <c r="G5926" s="16" t="str">
        <f t="shared" si="200"/>
        <v/>
      </c>
      <c r="H5926" s="70" t="str">
        <f t="shared" si="201"/>
        <v/>
      </c>
    </row>
    <row r="5927" spans="1:8">
      <c r="A5927" s="2"/>
      <c r="B5927" s="12"/>
      <c r="C5927" s="12"/>
      <c r="E5927" t="str">
        <f>IF(LEN(D5927)=0,"",[1]!i_pq_tradedays($B$3,A5928,A5927)-1)</f>
        <v/>
      </c>
      <c r="G5927" s="16" t="str">
        <f t="shared" si="200"/>
        <v/>
      </c>
      <c r="H5927" s="70" t="str">
        <f t="shared" si="201"/>
        <v/>
      </c>
    </row>
    <row r="5928" spans="1:8">
      <c r="A5928" s="2"/>
      <c r="B5928" s="12"/>
      <c r="C5928" s="12"/>
      <c r="E5928" t="str">
        <f>IF(LEN(D5928)=0,"",[1]!i_pq_tradedays($B$3,A5929,A5928)-1)</f>
        <v/>
      </c>
      <c r="G5928" s="16" t="str">
        <f t="shared" si="200"/>
        <v/>
      </c>
      <c r="H5928" s="70" t="str">
        <f t="shared" si="201"/>
        <v/>
      </c>
    </row>
    <row r="5929" spans="1:8">
      <c r="A5929" s="2"/>
      <c r="B5929" s="12"/>
      <c r="C5929" s="12"/>
      <c r="E5929" t="str">
        <f>IF(LEN(D5929)=0,"",[1]!i_pq_tradedays($B$3,A5930,A5929)-1)</f>
        <v/>
      </c>
      <c r="G5929" s="16" t="str">
        <f t="shared" si="200"/>
        <v/>
      </c>
      <c r="H5929" s="70" t="str">
        <f t="shared" si="201"/>
        <v/>
      </c>
    </row>
    <row r="5930" spans="1:8">
      <c r="A5930" s="2"/>
      <c r="B5930" s="12"/>
      <c r="C5930" s="12"/>
      <c r="E5930" t="str">
        <f>IF(LEN(D5930)=0,"",[1]!i_pq_tradedays($B$3,A5931,A5930)-1)</f>
        <v/>
      </c>
      <c r="G5930" s="16" t="str">
        <f t="shared" si="200"/>
        <v/>
      </c>
      <c r="H5930" s="70" t="str">
        <f t="shared" si="201"/>
        <v/>
      </c>
    </row>
    <row r="5931" spans="1:8">
      <c r="A5931" s="2"/>
      <c r="B5931" s="12"/>
      <c r="C5931" s="12"/>
      <c r="E5931" t="str">
        <f>IF(LEN(D5931)=0,"",[1]!i_pq_tradedays($B$3,A5932,A5931)-1)</f>
        <v/>
      </c>
      <c r="G5931" s="16" t="str">
        <f t="shared" si="200"/>
        <v/>
      </c>
      <c r="H5931" s="70" t="str">
        <f t="shared" si="201"/>
        <v/>
      </c>
    </row>
    <row r="5932" spans="1:8">
      <c r="A5932" s="2"/>
      <c r="B5932" s="12"/>
      <c r="C5932" s="12"/>
      <c r="E5932" t="str">
        <f>IF(LEN(D5932)=0,"",[1]!i_pq_tradedays($B$3,A5933,A5932)-1)</f>
        <v/>
      </c>
      <c r="G5932" s="16" t="str">
        <f t="shared" si="200"/>
        <v/>
      </c>
      <c r="H5932" s="70" t="str">
        <f t="shared" si="201"/>
        <v/>
      </c>
    </row>
    <row r="5933" spans="1:8">
      <c r="A5933" s="2"/>
      <c r="B5933" s="12"/>
      <c r="C5933" s="12"/>
      <c r="E5933" t="str">
        <f>IF(LEN(D5933)=0,"",[1]!i_pq_tradedays($B$3,A5934,A5933)-1)</f>
        <v/>
      </c>
      <c r="G5933" s="16" t="str">
        <f t="shared" si="200"/>
        <v/>
      </c>
      <c r="H5933" s="70" t="str">
        <f t="shared" si="201"/>
        <v/>
      </c>
    </row>
    <row r="5934" spans="1:8">
      <c r="A5934" s="2"/>
      <c r="B5934" s="12"/>
      <c r="C5934" s="12"/>
      <c r="E5934" t="str">
        <f>IF(LEN(D5934)=0,"",[1]!i_pq_tradedays($B$3,A5935,A5934)-1)</f>
        <v/>
      </c>
      <c r="G5934" s="16" t="str">
        <f t="shared" si="200"/>
        <v/>
      </c>
      <c r="H5934" s="70" t="str">
        <f t="shared" si="201"/>
        <v/>
      </c>
    </row>
    <row r="5935" spans="1:8">
      <c r="A5935" s="2"/>
      <c r="B5935" s="12"/>
      <c r="C5935" s="12"/>
      <c r="E5935" t="str">
        <f>IF(LEN(D5935)=0,"",[1]!i_pq_tradedays($B$3,A5936,A5935)-1)</f>
        <v/>
      </c>
      <c r="G5935" s="16" t="str">
        <f t="shared" si="200"/>
        <v/>
      </c>
      <c r="H5935" s="70" t="str">
        <f t="shared" si="201"/>
        <v/>
      </c>
    </row>
    <row r="5936" spans="1:8">
      <c r="A5936" s="2"/>
      <c r="B5936" s="12"/>
      <c r="C5936" s="12"/>
      <c r="E5936" t="str">
        <f>IF(LEN(D5936)=0,"",[1]!i_pq_tradedays($B$3,A5937,A5936)-1)</f>
        <v/>
      </c>
      <c r="G5936" s="16" t="str">
        <f t="shared" si="200"/>
        <v/>
      </c>
      <c r="H5936" s="70" t="str">
        <f t="shared" si="201"/>
        <v/>
      </c>
    </row>
    <row r="5937" spans="1:8">
      <c r="A5937" s="2"/>
      <c r="B5937" s="12"/>
      <c r="C5937" s="12"/>
      <c r="E5937" t="str">
        <f>IF(LEN(D5937)=0,"",[1]!i_pq_tradedays($B$3,A5938,A5937)-1)</f>
        <v/>
      </c>
      <c r="G5937" s="16" t="str">
        <f t="shared" si="200"/>
        <v/>
      </c>
      <c r="H5937" s="70" t="str">
        <f t="shared" si="201"/>
        <v/>
      </c>
    </row>
    <row r="5938" spans="1:8">
      <c r="A5938" s="2"/>
      <c r="B5938" s="12"/>
      <c r="C5938" s="12"/>
      <c r="E5938" t="str">
        <f>IF(LEN(D5938)=0,"",[1]!i_pq_tradedays($B$3,A5939,A5938)-1)</f>
        <v/>
      </c>
      <c r="G5938" s="16" t="str">
        <f t="shared" si="200"/>
        <v/>
      </c>
      <c r="H5938" s="70" t="str">
        <f t="shared" si="201"/>
        <v/>
      </c>
    </row>
    <row r="5939" spans="1:8">
      <c r="A5939" s="2"/>
      <c r="B5939" s="12"/>
      <c r="C5939" s="12"/>
      <c r="E5939" t="str">
        <f>IF(LEN(D5939)=0,"",[1]!i_pq_tradedays($B$3,A5940,A5939)-1)</f>
        <v/>
      </c>
      <c r="G5939" s="16" t="str">
        <f t="shared" si="200"/>
        <v/>
      </c>
      <c r="H5939" s="70" t="str">
        <f t="shared" si="201"/>
        <v/>
      </c>
    </row>
    <row r="5940" spans="1:8">
      <c r="A5940" s="2"/>
      <c r="B5940" s="12"/>
      <c r="C5940" s="12"/>
      <c r="E5940" t="str">
        <f>IF(LEN(D5940)=0,"",[1]!i_pq_tradedays($B$3,A5941,A5940)-1)</f>
        <v/>
      </c>
      <c r="G5940" s="16" t="str">
        <f t="shared" si="200"/>
        <v/>
      </c>
      <c r="H5940" s="70" t="str">
        <f t="shared" si="201"/>
        <v/>
      </c>
    </row>
    <row r="5941" spans="1:8">
      <c r="A5941" s="2"/>
      <c r="B5941" s="12"/>
      <c r="C5941" s="12"/>
      <c r="E5941" t="str">
        <f>IF(LEN(D5941)=0,"",[1]!i_pq_tradedays($B$3,A5942,A5941)-1)</f>
        <v/>
      </c>
      <c r="G5941" s="16" t="str">
        <f t="shared" ref="G5941:G6004" si="202">IF(LEN(D5941)=0,"",D5941/E5941)</f>
        <v/>
      </c>
      <c r="H5941" s="70" t="str">
        <f t="shared" ref="H5941:H6004" si="203">IF(LEN(D5941)=0,"",G5941/G5942-1)</f>
        <v/>
      </c>
    </row>
    <row r="5942" spans="1:8">
      <c r="A5942" s="2"/>
      <c r="B5942" s="12"/>
      <c r="C5942" s="12"/>
      <c r="E5942" t="str">
        <f>IF(LEN(D5942)=0,"",[1]!i_pq_tradedays($B$3,A5943,A5942)-1)</f>
        <v/>
      </c>
      <c r="G5942" s="16" t="str">
        <f t="shared" si="202"/>
        <v/>
      </c>
      <c r="H5942" s="70" t="str">
        <f t="shared" si="203"/>
        <v/>
      </c>
    </row>
    <row r="5943" spans="1:8">
      <c r="A5943" s="2"/>
      <c r="B5943" s="12"/>
      <c r="C5943" s="12"/>
      <c r="E5943" t="str">
        <f>IF(LEN(D5943)=0,"",[1]!i_pq_tradedays($B$3,A5944,A5943)-1)</f>
        <v/>
      </c>
      <c r="G5943" s="16" t="str">
        <f t="shared" si="202"/>
        <v/>
      </c>
      <c r="H5943" s="70" t="str">
        <f t="shared" si="203"/>
        <v/>
      </c>
    </row>
    <row r="5944" spans="1:8">
      <c r="A5944" s="2"/>
      <c r="B5944" s="12"/>
      <c r="C5944" s="12"/>
      <c r="E5944" t="str">
        <f>IF(LEN(D5944)=0,"",[1]!i_pq_tradedays($B$3,A5945,A5944)-1)</f>
        <v/>
      </c>
      <c r="G5944" s="16" t="str">
        <f t="shared" si="202"/>
        <v/>
      </c>
      <c r="H5944" s="70" t="str">
        <f t="shared" si="203"/>
        <v/>
      </c>
    </row>
    <row r="5945" spans="1:8">
      <c r="A5945" s="2"/>
      <c r="B5945" s="12"/>
      <c r="C5945" s="12"/>
      <c r="E5945" t="str">
        <f>IF(LEN(D5945)=0,"",[1]!i_pq_tradedays($B$3,A5946,A5945)-1)</f>
        <v/>
      </c>
      <c r="G5945" s="16" t="str">
        <f t="shared" si="202"/>
        <v/>
      </c>
      <c r="H5945" s="70" t="str">
        <f t="shared" si="203"/>
        <v/>
      </c>
    </row>
    <row r="5946" spans="1:8">
      <c r="A5946" s="2"/>
      <c r="B5946" s="12"/>
      <c r="C5946" s="12"/>
      <c r="E5946" t="str">
        <f>IF(LEN(D5946)=0,"",[1]!i_pq_tradedays($B$3,A5947,A5946)-1)</f>
        <v/>
      </c>
      <c r="G5946" s="16" t="str">
        <f t="shared" si="202"/>
        <v/>
      </c>
      <c r="H5946" s="70" t="str">
        <f t="shared" si="203"/>
        <v/>
      </c>
    </row>
    <row r="5947" spans="1:8">
      <c r="A5947" s="2"/>
      <c r="B5947" s="12"/>
      <c r="C5947" s="12"/>
      <c r="E5947" t="str">
        <f>IF(LEN(D5947)=0,"",[1]!i_pq_tradedays($B$3,A5948,A5947)-1)</f>
        <v/>
      </c>
      <c r="G5947" s="16" t="str">
        <f t="shared" si="202"/>
        <v/>
      </c>
      <c r="H5947" s="70" t="str">
        <f t="shared" si="203"/>
        <v/>
      </c>
    </row>
    <row r="5948" spans="1:8">
      <c r="A5948" s="2"/>
      <c r="B5948" s="12"/>
      <c r="C5948" s="12"/>
      <c r="E5948" t="str">
        <f>IF(LEN(D5948)=0,"",[1]!i_pq_tradedays($B$3,A5949,A5948)-1)</f>
        <v/>
      </c>
      <c r="G5948" s="16" t="str">
        <f t="shared" si="202"/>
        <v/>
      </c>
      <c r="H5948" s="70" t="str">
        <f t="shared" si="203"/>
        <v/>
      </c>
    </row>
    <row r="5949" spans="1:8">
      <c r="A5949" s="2"/>
      <c r="B5949" s="12"/>
      <c r="C5949" s="12"/>
      <c r="E5949" t="str">
        <f>IF(LEN(D5949)=0,"",[1]!i_pq_tradedays($B$3,A5950,A5949)-1)</f>
        <v/>
      </c>
      <c r="G5949" s="16" t="str">
        <f t="shared" si="202"/>
        <v/>
      </c>
      <c r="H5949" s="70" t="str">
        <f t="shared" si="203"/>
        <v/>
      </c>
    </row>
    <row r="5950" spans="1:8">
      <c r="A5950" s="2"/>
      <c r="B5950" s="12"/>
      <c r="C5950" s="12"/>
      <c r="E5950" t="str">
        <f>IF(LEN(D5950)=0,"",[1]!i_pq_tradedays($B$3,A5951,A5950)-1)</f>
        <v/>
      </c>
      <c r="G5950" s="16" t="str">
        <f t="shared" si="202"/>
        <v/>
      </c>
      <c r="H5950" s="70" t="str">
        <f t="shared" si="203"/>
        <v/>
      </c>
    </row>
    <row r="5951" spans="1:8">
      <c r="A5951" s="2"/>
      <c r="B5951" s="12"/>
      <c r="C5951" s="12"/>
      <c r="E5951" t="str">
        <f>IF(LEN(D5951)=0,"",[1]!i_pq_tradedays($B$3,A5952,A5951)-1)</f>
        <v/>
      </c>
      <c r="G5951" s="16" t="str">
        <f t="shared" si="202"/>
        <v/>
      </c>
      <c r="H5951" s="70" t="str">
        <f t="shared" si="203"/>
        <v/>
      </c>
    </row>
    <row r="5952" spans="1:8">
      <c r="A5952" s="2"/>
      <c r="B5952" s="12"/>
      <c r="C5952" s="12"/>
      <c r="E5952" t="str">
        <f>IF(LEN(D5952)=0,"",[1]!i_pq_tradedays($B$3,A5953,A5952)-1)</f>
        <v/>
      </c>
      <c r="G5952" s="16" t="str">
        <f t="shared" si="202"/>
        <v/>
      </c>
      <c r="H5952" s="70" t="str">
        <f t="shared" si="203"/>
        <v/>
      </c>
    </row>
    <row r="5953" spans="1:8">
      <c r="A5953" s="2"/>
      <c r="B5953" s="12"/>
      <c r="C5953" s="12"/>
      <c r="E5953" t="str">
        <f>IF(LEN(D5953)=0,"",[1]!i_pq_tradedays($B$3,A5954,A5953)-1)</f>
        <v/>
      </c>
      <c r="G5953" s="16" t="str">
        <f t="shared" si="202"/>
        <v/>
      </c>
      <c r="H5953" s="70" t="str">
        <f t="shared" si="203"/>
        <v/>
      </c>
    </row>
    <row r="5954" spans="1:8">
      <c r="A5954" s="2"/>
      <c r="B5954" s="12"/>
      <c r="C5954" s="12"/>
      <c r="E5954" t="str">
        <f>IF(LEN(D5954)=0,"",[1]!i_pq_tradedays($B$3,A5955,A5954)-1)</f>
        <v/>
      </c>
      <c r="G5954" s="16" t="str">
        <f t="shared" si="202"/>
        <v/>
      </c>
      <c r="H5954" s="70" t="str">
        <f t="shared" si="203"/>
        <v/>
      </c>
    </row>
    <row r="5955" spans="1:8">
      <c r="A5955" s="2"/>
      <c r="B5955" s="12"/>
      <c r="C5955" s="12"/>
      <c r="E5955" t="str">
        <f>IF(LEN(D5955)=0,"",[1]!i_pq_tradedays($B$3,A5956,A5955)-1)</f>
        <v/>
      </c>
      <c r="G5955" s="16" t="str">
        <f t="shared" si="202"/>
        <v/>
      </c>
      <c r="H5955" s="70" t="str">
        <f t="shared" si="203"/>
        <v/>
      </c>
    </row>
    <row r="5956" spans="1:8">
      <c r="A5956" s="2"/>
      <c r="B5956" s="12"/>
      <c r="C5956" s="12"/>
      <c r="E5956" t="str">
        <f>IF(LEN(D5956)=0,"",[1]!i_pq_tradedays($B$3,A5957,A5956)-1)</f>
        <v/>
      </c>
      <c r="G5956" s="16" t="str">
        <f t="shared" si="202"/>
        <v/>
      </c>
      <c r="H5956" s="70" t="str">
        <f t="shared" si="203"/>
        <v/>
      </c>
    </row>
    <row r="5957" spans="1:8">
      <c r="A5957" s="2"/>
      <c r="B5957" s="12"/>
      <c r="C5957" s="12"/>
      <c r="E5957" t="str">
        <f>IF(LEN(D5957)=0,"",[1]!i_pq_tradedays($B$3,A5958,A5957)-1)</f>
        <v/>
      </c>
      <c r="G5957" s="16" t="str">
        <f t="shared" si="202"/>
        <v/>
      </c>
      <c r="H5957" s="70" t="str">
        <f t="shared" si="203"/>
        <v/>
      </c>
    </row>
    <row r="5958" spans="1:8">
      <c r="A5958" s="2"/>
      <c r="B5958" s="12"/>
      <c r="C5958" s="12"/>
      <c r="E5958" t="str">
        <f>IF(LEN(D5958)=0,"",[1]!i_pq_tradedays($B$3,A5959,A5958)-1)</f>
        <v/>
      </c>
      <c r="G5958" s="16" t="str">
        <f t="shared" si="202"/>
        <v/>
      </c>
      <c r="H5958" s="70" t="str">
        <f t="shared" si="203"/>
        <v/>
      </c>
    </row>
    <row r="5959" spans="1:8">
      <c r="A5959" s="2"/>
      <c r="B5959" s="12"/>
      <c r="C5959" s="12"/>
      <c r="E5959" t="str">
        <f>IF(LEN(D5959)=0,"",[1]!i_pq_tradedays($B$3,A5960,A5959)-1)</f>
        <v/>
      </c>
      <c r="G5959" s="16" t="str">
        <f t="shared" si="202"/>
        <v/>
      </c>
      <c r="H5959" s="70" t="str">
        <f t="shared" si="203"/>
        <v/>
      </c>
    </row>
    <row r="5960" spans="1:8">
      <c r="A5960" s="2"/>
      <c r="B5960" s="12"/>
      <c r="C5960" s="12"/>
      <c r="E5960" t="str">
        <f>IF(LEN(D5960)=0,"",[1]!i_pq_tradedays($B$3,A5961,A5960)-1)</f>
        <v/>
      </c>
      <c r="G5960" s="16" t="str">
        <f t="shared" si="202"/>
        <v/>
      </c>
      <c r="H5960" s="70" t="str">
        <f t="shared" si="203"/>
        <v/>
      </c>
    </row>
    <row r="5961" spans="1:8">
      <c r="A5961" s="2"/>
      <c r="B5961" s="12"/>
      <c r="C5961" s="12"/>
      <c r="E5961" t="str">
        <f>IF(LEN(D5961)=0,"",[1]!i_pq_tradedays($B$3,A5962,A5961)-1)</f>
        <v/>
      </c>
      <c r="G5961" s="16" t="str">
        <f t="shared" si="202"/>
        <v/>
      </c>
      <c r="H5961" s="70" t="str">
        <f t="shared" si="203"/>
        <v/>
      </c>
    </row>
    <row r="5962" spans="1:8">
      <c r="A5962" s="2"/>
      <c r="B5962" s="12"/>
      <c r="C5962" s="12"/>
      <c r="E5962" t="str">
        <f>IF(LEN(D5962)=0,"",[1]!i_pq_tradedays($B$3,A5963,A5962)-1)</f>
        <v/>
      </c>
      <c r="G5962" s="16" t="str">
        <f t="shared" si="202"/>
        <v/>
      </c>
      <c r="H5962" s="70" t="str">
        <f t="shared" si="203"/>
        <v/>
      </c>
    </row>
    <row r="5963" spans="1:8">
      <c r="A5963" s="2"/>
      <c r="B5963" s="12"/>
      <c r="C5963" s="12"/>
      <c r="E5963" t="str">
        <f>IF(LEN(D5963)=0,"",[1]!i_pq_tradedays($B$3,A5964,A5963)-1)</f>
        <v/>
      </c>
      <c r="G5963" s="16" t="str">
        <f t="shared" si="202"/>
        <v/>
      </c>
      <c r="H5963" s="70" t="str">
        <f t="shared" si="203"/>
        <v/>
      </c>
    </row>
    <row r="5964" spans="1:8">
      <c r="A5964" s="2"/>
      <c r="B5964" s="12"/>
      <c r="C5964" s="12"/>
      <c r="E5964" t="str">
        <f>IF(LEN(D5964)=0,"",[1]!i_pq_tradedays($B$3,A5965,A5964)-1)</f>
        <v/>
      </c>
      <c r="G5964" s="16" t="str">
        <f t="shared" si="202"/>
        <v/>
      </c>
      <c r="H5964" s="70" t="str">
        <f t="shared" si="203"/>
        <v/>
      </c>
    </row>
    <row r="5965" spans="1:8">
      <c r="A5965" s="2"/>
      <c r="B5965" s="12"/>
      <c r="C5965" s="12"/>
      <c r="E5965" t="str">
        <f>IF(LEN(D5965)=0,"",[1]!i_pq_tradedays($B$3,A5966,A5965)-1)</f>
        <v/>
      </c>
      <c r="G5965" s="16" t="str">
        <f t="shared" si="202"/>
        <v/>
      </c>
      <c r="H5965" s="70" t="str">
        <f t="shared" si="203"/>
        <v/>
      </c>
    </row>
    <row r="5966" spans="1:8">
      <c r="A5966" s="2"/>
      <c r="B5966" s="12"/>
      <c r="C5966" s="12"/>
      <c r="E5966" t="str">
        <f>IF(LEN(D5966)=0,"",[1]!i_pq_tradedays($B$3,A5967,A5966)-1)</f>
        <v/>
      </c>
      <c r="G5966" s="16" t="str">
        <f t="shared" si="202"/>
        <v/>
      </c>
      <c r="H5966" s="70" t="str">
        <f t="shared" si="203"/>
        <v/>
      </c>
    </row>
    <row r="5967" spans="1:8">
      <c r="A5967" s="2"/>
      <c r="B5967" s="12"/>
      <c r="C5967" s="12"/>
      <c r="E5967" t="str">
        <f>IF(LEN(D5967)=0,"",[1]!i_pq_tradedays($B$3,A5968,A5967)-1)</f>
        <v/>
      </c>
      <c r="G5967" s="16" t="str">
        <f t="shared" si="202"/>
        <v/>
      </c>
      <c r="H5967" s="70" t="str">
        <f t="shared" si="203"/>
        <v/>
      </c>
    </row>
    <row r="5968" spans="1:8">
      <c r="A5968" s="2"/>
      <c r="B5968" s="12"/>
      <c r="C5968" s="12"/>
      <c r="E5968" t="str">
        <f>IF(LEN(D5968)=0,"",[1]!i_pq_tradedays($B$3,A5969,A5968)-1)</f>
        <v/>
      </c>
      <c r="G5968" s="16" t="str">
        <f t="shared" si="202"/>
        <v/>
      </c>
      <c r="H5968" s="70" t="str">
        <f t="shared" si="203"/>
        <v/>
      </c>
    </row>
    <row r="5969" spans="1:8">
      <c r="A5969" s="2"/>
      <c r="B5969" s="12"/>
      <c r="C5969" s="12"/>
      <c r="E5969" t="str">
        <f>IF(LEN(D5969)=0,"",[1]!i_pq_tradedays($B$3,A5970,A5969)-1)</f>
        <v/>
      </c>
      <c r="G5969" s="16" t="str">
        <f t="shared" si="202"/>
        <v/>
      </c>
      <c r="H5969" s="70" t="str">
        <f t="shared" si="203"/>
        <v/>
      </c>
    </row>
    <row r="5970" spans="1:8">
      <c r="A5970" s="2"/>
      <c r="B5970" s="12"/>
      <c r="C5970" s="12"/>
      <c r="E5970" t="str">
        <f>IF(LEN(D5970)=0,"",[1]!i_pq_tradedays($B$3,A5971,A5970)-1)</f>
        <v/>
      </c>
      <c r="G5970" s="16" t="str">
        <f t="shared" si="202"/>
        <v/>
      </c>
      <c r="H5970" s="70" t="str">
        <f t="shared" si="203"/>
        <v/>
      </c>
    </row>
    <row r="5971" spans="1:8">
      <c r="A5971" s="2"/>
      <c r="B5971" s="12"/>
      <c r="C5971" s="12"/>
      <c r="E5971" t="str">
        <f>IF(LEN(D5971)=0,"",[1]!i_pq_tradedays($B$3,A5972,A5971)-1)</f>
        <v/>
      </c>
      <c r="G5971" s="16" t="str">
        <f t="shared" si="202"/>
        <v/>
      </c>
      <c r="H5971" s="70" t="str">
        <f t="shared" si="203"/>
        <v/>
      </c>
    </row>
    <row r="5972" spans="1:8">
      <c r="A5972" s="2"/>
      <c r="B5972" s="12"/>
      <c r="C5972" s="12"/>
      <c r="E5972" t="str">
        <f>IF(LEN(D5972)=0,"",[1]!i_pq_tradedays($B$3,A5973,A5972)-1)</f>
        <v/>
      </c>
      <c r="G5972" s="16" t="str">
        <f t="shared" si="202"/>
        <v/>
      </c>
      <c r="H5972" s="70" t="str">
        <f t="shared" si="203"/>
        <v/>
      </c>
    </row>
    <row r="5973" spans="1:8">
      <c r="A5973" s="2"/>
      <c r="B5973" s="12"/>
      <c r="C5973" s="12"/>
      <c r="E5973" t="str">
        <f>IF(LEN(D5973)=0,"",[1]!i_pq_tradedays($B$3,A5974,A5973)-1)</f>
        <v/>
      </c>
      <c r="G5973" s="16" t="str">
        <f t="shared" si="202"/>
        <v/>
      </c>
      <c r="H5973" s="70" t="str">
        <f t="shared" si="203"/>
        <v/>
      </c>
    </row>
    <row r="5974" spans="1:8">
      <c r="A5974" s="2"/>
      <c r="B5974" s="12"/>
      <c r="C5974" s="12"/>
      <c r="E5974" t="str">
        <f>IF(LEN(D5974)=0,"",[1]!i_pq_tradedays($B$3,A5975,A5974)-1)</f>
        <v/>
      </c>
      <c r="G5974" s="16" t="str">
        <f t="shared" si="202"/>
        <v/>
      </c>
      <c r="H5974" s="70" t="str">
        <f t="shared" si="203"/>
        <v/>
      </c>
    </row>
    <row r="5975" spans="1:8">
      <c r="A5975" s="2"/>
      <c r="B5975" s="12"/>
      <c r="C5975" s="12"/>
      <c r="E5975" t="str">
        <f>IF(LEN(D5975)=0,"",[1]!i_pq_tradedays($B$3,A5976,A5975)-1)</f>
        <v/>
      </c>
      <c r="G5975" s="16" t="str">
        <f t="shared" si="202"/>
        <v/>
      </c>
      <c r="H5975" s="70" t="str">
        <f t="shared" si="203"/>
        <v/>
      </c>
    </row>
    <row r="5976" spans="1:8">
      <c r="A5976" s="2"/>
      <c r="B5976" s="12"/>
      <c r="C5976" s="12"/>
      <c r="E5976" t="str">
        <f>IF(LEN(D5976)=0,"",[1]!i_pq_tradedays($B$3,A5977,A5976)-1)</f>
        <v/>
      </c>
      <c r="G5976" s="16" t="str">
        <f t="shared" si="202"/>
        <v/>
      </c>
      <c r="H5976" s="70" t="str">
        <f t="shared" si="203"/>
        <v/>
      </c>
    </row>
    <row r="5977" spans="1:8">
      <c r="A5977" s="2"/>
      <c r="B5977" s="12"/>
      <c r="C5977" s="12"/>
      <c r="E5977" t="str">
        <f>IF(LEN(D5977)=0,"",[1]!i_pq_tradedays($B$3,A5978,A5977)-1)</f>
        <v/>
      </c>
      <c r="G5977" s="16" t="str">
        <f t="shared" si="202"/>
        <v/>
      </c>
      <c r="H5977" s="70" t="str">
        <f t="shared" si="203"/>
        <v/>
      </c>
    </row>
    <row r="5978" spans="1:8">
      <c r="A5978" s="2"/>
      <c r="B5978" s="12"/>
      <c r="C5978" s="12"/>
      <c r="E5978" t="str">
        <f>IF(LEN(D5978)=0,"",[1]!i_pq_tradedays($B$3,A5979,A5978)-1)</f>
        <v/>
      </c>
      <c r="G5978" s="16" t="str">
        <f t="shared" si="202"/>
        <v/>
      </c>
      <c r="H5978" s="70" t="str">
        <f t="shared" si="203"/>
        <v/>
      </c>
    </row>
    <row r="5979" spans="1:8">
      <c r="A5979" s="2"/>
      <c r="B5979" s="12"/>
      <c r="C5979" s="12"/>
      <c r="E5979" t="str">
        <f>IF(LEN(D5979)=0,"",[1]!i_pq_tradedays($B$3,A5980,A5979)-1)</f>
        <v/>
      </c>
      <c r="G5979" s="16" t="str">
        <f t="shared" si="202"/>
        <v/>
      </c>
      <c r="H5979" s="70" t="str">
        <f t="shared" si="203"/>
        <v/>
      </c>
    </row>
    <row r="5980" spans="1:8">
      <c r="A5980" s="2"/>
      <c r="B5980" s="12"/>
      <c r="C5980" s="12"/>
      <c r="E5980" t="str">
        <f>IF(LEN(D5980)=0,"",[1]!i_pq_tradedays($B$3,A5981,A5980)-1)</f>
        <v/>
      </c>
      <c r="G5980" s="16" t="str">
        <f t="shared" si="202"/>
        <v/>
      </c>
      <c r="H5980" s="70" t="str">
        <f t="shared" si="203"/>
        <v/>
      </c>
    </row>
    <row r="5981" spans="1:8">
      <c r="A5981" s="2"/>
      <c r="B5981" s="12"/>
      <c r="C5981" s="12"/>
      <c r="E5981" t="str">
        <f>IF(LEN(D5981)=0,"",[1]!i_pq_tradedays($B$3,A5982,A5981)-1)</f>
        <v/>
      </c>
      <c r="G5981" s="16" t="str">
        <f t="shared" si="202"/>
        <v/>
      </c>
      <c r="H5981" s="70" t="str">
        <f t="shared" si="203"/>
        <v/>
      </c>
    </row>
    <row r="5982" spans="1:8">
      <c r="A5982" s="2"/>
      <c r="B5982" s="12"/>
      <c r="C5982" s="12"/>
      <c r="E5982" t="str">
        <f>IF(LEN(D5982)=0,"",[1]!i_pq_tradedays($B$3,A5983,A5982)-1)</f>
        <v/>
      </c>
      <c r="G5982" s="16" t="str">
        <f t="shared" si="202"/>
        <v/>
      </c>
      <c r="H5982" s="70" t="str">
        <f t="shared" si="203"/>
        <v/>
      </c>
    </row>
    <row r="5983" spans="1:8">
      <c r="A5983" s="2"/>
      <c r="B5983" s="12"/>
      <c r="C5983" s="12"/>
      <c r="E5983" t="str">
        <f>IF(LEN(D5983)=0,"",[1]!i_pq_tradedays($B$3,A5984,A5983)-1)</f>
        <v/>
      </c>
      <c r="G5983" s="16" t="str">
        <f t="shared" si="202"/>
        <v/>
      </c>
      <c r="H5983" s="70" t="str">
        <f t="shared" si="203"/>
        <v/>
      </c>
    </row>
    <row r="5984" spans="1:8">
      <c r="A5984" s="2"/>
      <c r="B5984" s="12"/>
      <c r="C5984" s="12"/>
      <c r="E5984" t="str">
        <f>IF(LEN(D5984)=0,"",[1]!i_pq_tradedays($B$3,A5985,A5984)-1)</f>
        <v/>
      </c>
      <c r="G5984" s="16" t="str">
        <f t="shared" si="202"/>
        <v/>
      </c>
      <c r="H5984" s="70" t="str">
        <f t="shared" si="203"/>
        <v/>
      </c>
    </row>
    <row r="5985" spans="1:8">
      <c r="A5985" s="2"/>
      <c r="B5985" s="12"/>
      <c r="C5985" s="12"/>
      <c r="E5985" t="str">
        <f>IF(LEN(D5985)=0,"",[1]!i_pq_tradedays($B$3,A5986,A5985)-1)</f>
        <v/>
      </c>
      <c r="G5985" s="16" t="str">
        <f t="shared" si="202"/>
        <v/>
      </c>
      <c r="H5985" s="70" t="str">
        <f t="shared" si="203"/>
        <v/>
      </c>
    </row>
    <row r="5986" spans="1:8">
      <c r="A5986" s="2"/>
      <c r="B5986" s="12"/>
      <c r="C5986" s="12"/>
      <c r="E5986" t="str">
        <f>IF(LEN(D5986)=0,"",[1]!i_pq_tradedays($B$3,A5987,A5986)-1)</f>
        <v/>
      </c>
      <c r="G5986" s="16" t="str">
        <f t="shared" si="202"/>
        <v/>
      </c>
      <c r="H5986" s="70" t="str">
        <f t="shared" si="203"/>
        <v/>
      </c>
    </row>
    <row r="5987" spans="1:8">
      <c r="A5987" s="2"/>
      <c r="B5987" s="12"/>
      <c r="C5987" s="12"/>
      <c r="E5987" t="str">
        <f>IF(LEN(D5987)=0,"",[1]!i_pq_tradedays($B$3,A5988,A5987)-1)</f>
        <v/>
      </c>
      <c r="G5987" s="16" t="str">
        <f t="shared" si="202"/>
        <v/>
      </c>
      <c r="H5987" s="70" t="str">
        <f t="shared" si="203"/>
        <v/>
      </c>
    </row>
    <row r="5988" spans="1:8">
      <c r="A5988" s="2"/>
      <c r="B5988" s="12"/>
      <c r="C5988" s="12"/>
      <c r="E5988" t="str">
        <f>IF(LEN(D5988)=0,"",[1]!i_pq_tradedays($B$3,A5989,A5988)-1)</f>
        <v/>
      </c>
      <c r="G5988" s="16" t="str">
        <f t="shared" si="202"/>
        <v/>
      </c>
      <c r="H5988" s="70" t="str">
        <f t="shared" si="203"/>
        <v/>
      </c>
    </row>
    <row r="5989" spans="1:8">
      <c r="A5989" s="2"/>
      <c r="B5989" s="12"/>
      <c r="C5989" s="12"/>
      <c r="E5989" t="str">
        <f>IF(LEN(D5989)=0,"",[1]!i_pq_tradedays($B$3,A5990,A5989)-1)</f>
        <v/>
      </c>
      <c r="G5989" s="16" t="str">
        <f t="shared" si="202"/>
        <v/>
      </c>
      <c r="H5989" s="70" t="str">
        <f t="shared" si="203"/>
        <v/>
      </c>
    </row>
    <row r="5990" spans="1:8">
      <c r="A5990" s="2"/>
      <c r="B5990" s="12"/>
      <c r="C5990" s="12"/>
      <c r="E5990" t="str">
        <f>IF(LEN(D5990)=0,"",[1]!i_pq_tradedays($B$3,A5991,A5990)-1)</f>
        <v/>
      </c>
      <c r="G5990" s="16" t="str">
        <f t="shared" si="202"/>
        <v/>
      </c>
      <c r="H5990" s="70" t="str">
        <f t="shared" si="203"/>
        <v/>
      </c>
    </row>
    <row r="5991" spans="1:8">
      <c r="A5991" s="2"/>
      <c r="B5991" s="12"/>
      <c r="C5991" s="12"/>
      <c r="E5991" t="str">
        <f>IF(LEN(D5991)=0,"",[1]!i_pq_tradedays($B$3,A5992,A5991)-1)</f>
        <v/>
      </c>
      <c r="G5991" s="16" t="str">
        <f t="shared" si="202"/>
        <v/>
      </c>
      <c r="H5991" s="70" t="str">
        <f t="shared" si="203"/>
        <v/>
      </c>
    </row>
    <row r="5992" spans="1:8">
      <c r="A5992" s="2"/>
      <c r="B5992" s="12"/>
      <c r="C5992" s="12"/>
      <c r="E5992" t="str">
        <f>IF(LEN(D5992)=0,"",[1]!i_pq_tradedays($B$3,A5993,A5992)-1)</f>
        <v/>
      </c>
      <c r="G5992" s="16" t="str">
        <f t="shared" si="202"/>
        <v/>
      </c>
      <c r="H5992" s="70" t="str">
        <f t="shared" si="203"/>
        <v/>
      </c>
    </row>
    <row r="5993" spans="1:8">
      <c r="A5993" s="2"/>
      <c r="B5993" s="12"/>
      <c r="C5993" s="12"/>
      <c r="E5993" t="str">
        <f>IF(LEN(D5993)=0,"",[1]!i_pq_tradedays($B$3,A5994,A5993)-1)</f>
        <v/>
      </c>
      <c r="G5993" s="16" t="str">
        <f t="shared" si="202"/>
        <v/>
      </c>
      <c r="H5993" s="70" t="str">
        <f t="shared" si="203"/>
        <v/>
      </c>
    </row>
    <row r="5994" spans="1:8">
      <c r="A5994" s="2"/>
      <c r="B5994" s="12"/>
      <c r="C5994" s="12"/>
      <c r="E5994" t="str">
        <f>IF(LEN(D5994)=0,"",[1]!i_pq_tradedays($B$3,A5995,A5994)-1)</f>
        <v/>
      </c>
      <c r="G5994" s="16" t="str">
        <f t="shared" si="202"/>
        <v/>
      </c>
      <c r="H5994" s="70" t="str">
        <f t="shared" si="203"/>
        <v/>
      </c>
    </row>
    <row r="5995" spans="1:8">
      <c r="A5995" s="2"/>
      <c r="B5995" s="12"/>
      <c r="C5995" s="12"/>
      <c r="E5995" t="str">
        <f>IF(LEN(D5995)=0,"",[1]!i_pq_tradedays($B$3,A5996,A5995)-1)</f>
        <v/>
      </c>
      <c r="G5995" s="16" t="str">
        <f t="shared" si="202"/>
        <v/>
      </c>
      <c r="H5995" s="70" t="str">
        <f t="shared" si="203"/>
        <v/>
      </c>
    </row>
    <row r="5996" spans="1:8">
      <c r="A5996" s="2"/>
      <c r="B5996" s="12"/>
      <c r="C5996" s="12"/>
      <c r="E5996" t="str">
        <f>IF(LEN(D5996)=0,"",[1]!i_pq_tradedays($B$3,A5997,A5996)-1)</f>
        <v/>
      </c>
      <c r="G5996" s="16" t="str">
        <f t="shared" si="202"/>
        <v/>
      </c>
      <c r="H5996" s="70" t="str">
        <f t="shared" si="203"/>
        <v/>
      </c>
    </row>
    <row r="5997" spans="1:8">
      <c r="A5997" s="2"/>
      <c r="B5997" s="12"/>
      <c r="C5997" s="12"/>
      <c r="E5997" t="str">
        <f>IF(LEN(D5997)=0,"",[1]!i_pq_tradedays($B$3,A5998,A5997)-1)</f>
        <v/>
      </c>
      <c r="G5997" s="16" t="str">
        <f t="shared" si="202"/>
        <v/>
      </c>
      <c r="H5997" s="70" t="str">
        <f t="shared" si="203"/>
        <v/>
      </c>
    </row>
    <row r="5998" spans="1:8">
      <c r="A5998" s="2"/>
      <c r="B5998" s="12"/>
      <c r="C5998" s="12"/>
      <c r="E5998" t="str">
        <f>IF(LEN(D5998)=0,"",[1]!i_pq_tradedays($B$3,A5999,A5998)-1)</f>
        <v/>
      </c>
      <c r="G5998" s="16" t="str">
        <f t="shared" si="202"/>
        <v/>
      </c>
      <c r="H5998" s="70" t="str">
        <f t="shared" si="203"/>
        <v/>
      </c>
    </row>
    <row r="5999" spans="1:8">
      <c r="A5999" s="2"/>
      <c r="B5999" s="12"/>
      <c r="C5999" s="12"/>
      <c r="E5999" t="str">
        <f>IF(LEN(D5999)=0,"",[1]!i_pq_tradedays($B$3,A6000,A5999)-1)</f>
        <v/>
      </c>
      <c r="G5999" s="16" t="str">
        <f t="shared" si="202"/>
        <v/>
      </c>
      <c r="H5999" s="70" t="str">
        <f t="shared" si="203"/>
        <v/>
      </c>
    </row>
    <row r="6000" spans="1:8">
      <c r="A6000" s="2"/>
      <c r="B6000" s="12"/>
      <c r="C6000" s="12"/>
      <c r="E6000" t="str">
        <f>IF(LEN(D6000)=0,"",[1]!i_pq_tradedays($B$3,A6001,A6000)-1)</f>
        <v/>
      </c>
      <c r="G6000" s="16" t="str">
        <f t="shared" si="202"/>
        <v/>
      </c>
      <c r="H6000" s="70" t="str">
        <f t="shared" si="203"/>
        <v/>
      </c>
    </row>
    <row r="6001" spans="1:8">
      <c r="A6001" s="2"/>
      <c r="B6001" s="12"/>
      <c r="C6001" s="12"/>
      <c r="E6001" t="str">
        <f>IF(LEN(D6001)=0,"",[1]!i_pq_tradedays($B$3,A6002,A6001)-1)</f>
        <v/>
      </c>
      <c r="G6001" s="16" t="str">
        <f t="shared" si="202"/>
        <v/>
      </c>
      <c r="H6001" s="70" t="str">
        <f t="shared" si="203"/>
        <v/>
      </c>
    </row>
    <row r="6002" spans="1:8">
      <c r="A6002" s="2"/>
      <c r="B6002" s="12"/>
      <c r="C6002" s="12"/>
      <c r="E6002" t="str">
        <f>IF(LEN(D6002)=0,"",[1]!i_pq_tradedays($B$3,A6003,A6002)-1)</f>
        <v/>
      </c>
      <c r="G6002" s="16" t="str">
        <f t="shared" si="202"/>
        <v/>
      </c>
      <c r="H6002" s="70" t="str">
        <f t="shared" si="203"/>
        <v/>
      </c>
    </row>
    <row r="6003" spans="1:8">
      <c r="A6003" s="2"/>
      <c r="B6003" s="12"/>
      <c r="C6003" s="12"/>
      <c r="E6003" t="str">
        <f>IF(LEN(D6003)=0,"",[1]!i_pq_tradedays($B$3,A6004,A6003)-1)</f>
        <v/>
      </c>
      <c r="G6003" s="16" t="str">
        <f t="shared" si="202"/>
        <v/>
      </c>
      <c r="H6003" s="70" t="str">
        <f t="shared" si="203"/>
        <v/>
      </c>
    </row>
    <row r="6004" spans="1:8">
      <c r="A6004" s="2"/>
      <c r="B6004" s="12"/>
      <c r="C6004" s="12"/>
      <c r="E6004" t="str">
        <f>IF(LEN(D6004)=0,"",[1]!i_pq_tradedays($B$3,A6005,A6004)-1)</f>
        <v/>
      </c>
      <c r="G6004" s="16" t="str">
        <f t="shared" si="202"/>
        <v/>
      </c>
      <c r="H6004" s="70" t="str">
        <f t="shared" si="203"/>
        <v/>
      </c>
    </row>
    <row r="6005" spans="1:8">
      <c r="A6005" s="2"/>
      <c r="B6005" s="12"/>
      <c r="C6005" s="12"/>
      <c r="E6005" t="str">
        <f>IF(LEN(D6005)=0,"",[1]!i_pq_tradedays($B$3,A6006,A6005)-1)</f>
        <v/>
      </c>
      <c r="G6005" s="16" t="str">
        <f t="shared" ref="G6005:G6068" si="204">IF(LEN(D6005)=0,"",D6005/E6005)</f>
        <v/>
      </c>
      <c r="H6005" s="70" t="str">
        <f t="shared" ref="H6005:H6068" si="205">IF(LEN(D6005)=0,"",G6005/G6006-1)</f>
        <v/>
      </c>
    </row>
    <row r="6006" spans="1:8">
      <c r="A6006" s="2"/>
      <c r="B6006" s="12"/>
      <c r="C6006" s="12"/>
      <c r="E6006" t="str">
        <f>IF(LEN(D6006)=0,"",[1]!i_pq_tradedays($B$3,A6007,A6006)-1)</f>
        <v/>
      </c>
      <c r="G6006" s="16" t="str">
        <f t="shared" si="204"/>
        <v/>
      </c>
      <c r="H6006" s="70" t="str">
        <f t="shared" si="205"/>
        <v/>
      </c>
    </row>
    <row r="6007" spans="1:8">
      <c r="A6007" s="2"/>
      <c r="B6007" s="12"/>
      <c r="C6007" s="12"/>
      <c r="E6007" t="str">
        <f>IF(LEN(D6007)=0,"",[1]!i_pq_tradedays($B$3,A6008,A6007)-1)</f>
        <v/>
      </c>
      <c r="G6007" s="16" t="str">
        <f t="shared" si="204"/>
        <v/>
      </c>
      <c r="H6007" s="70" t="str">
        <f t="shared" si="205"/>
        <v/>
      </c>
    </row>
    <row r="6008" spans="1:8">
      <c r="A6008" s="2"/>
      <c r="B6008" s="12"/>
      <c r="C6008" s="12"/>
      <c r="E6008" t="str">
        <f>IF(LEN(D6008)=0,"",[1]!i_pq_tradedays($B$3,A6009,A6008)-1)</f>
        <v/>
      </c>
      <c r="G6008" s="16" t="str">
        <f t="shared" si="204"/>
        <v/>
      </c>
      <c r="H6008" s="70" t="str">
        <f t="shared" si="205"/>
        <v/>
      </c>
    </row>
    <row r="6009" spans="1:8">
      <c r="A6009" s="2"/>
      <c r="B6009" s="12"/>
      <c r="C6009" s="12"/>
      <c r="E6009" t="str">
        <f>IF(LEN(D6009)=0,"",[1]!i_pq_tradedays($B$3,A6010,A6009)-1)</f>
        <v/>
      </c>
      <c r="G6009" s="16" t="str">
        <f t="shared" si="204"/>
        <v/>
      </c>
      <c r="H6009" s="70" t="str">
        <f t="shared" si="205"/>
        <v/>
      </c>
    </row>
    <row r="6010" spans="1:8">
      <c r="A6010" s="2"/>
      <c r="B6010" s="12"/>
      <c r="C6010" s="12"/>
      <c r="E6010" t="str">
        <f>IF(LEN(D6010)=0,"",[1]!i_pq_tradedays($B$3,A6011,A6010)-1)</f>
        <v/>
      </c>
      <c r="G6010" s="16" t="str">
        <f t="shared" si="204"/>
        <v/>
      </c>
      <c r="H6010" s="70" t="str">
        <f t="shared" si="205"/>
        <v/>
      </c>
    </row>
    <row r="6011" spans="1:8">
      <c r="A6011" s="2"/>
      <c r="B6011" s="12"/>
      <c r="C6011" s="12"/>
      <c r="E6011" t="str">
        <f>IF(LEN(D6011)=0,"",[1]!i_pq_tradedays($B$3,A6012,A6011)-1)</f>
        <v/>
      </c>
      <c r="G6011" s="16" t="str">
        <f t="shared" si="204"/>
        <v/>
      </c>
      <c r="H6011" s="70" t="str">
        <f t="shared" si="205"/>
        <v/>
      </c>
    </row>
    <row r="6012" spans="1:8">
      <c r="A6012" s="2"/>
      <c r="B6012" s="12"/>
      <c r="C6012" s="12"/>
      <c r="E6012" t="str">
        <f>IF(LEN(D6012)=0,"",[1]!i_pq_tradedays($B$3,A6013,A6012)-1)</f>
        <v/>
      </c>
      <c r="G6012" s="16" t="str">
        <f t="shared" si="204"/>
        <v/>
      </c>
      <c r="H6012" s="70" t="str">
        <f t="shared" si="205"/>
        <v/>
      </c>
    </row>
    <row r="6013" spans="1:8">
      <c r="A6013" s="2"/>
      <c r="B6013" s="12"/>
      <c r="C6013" s="12"/>
      <c r="E6013" t="str">
        <f>IF(LEN(D6013)=0,"",[1]!i_pq_tradedays($B$3,A6014,A6013)-1)</f>
        <v/>
      </c>
      <c r="G6013" s="16" t="str">
        <f t="shared" si="204"/>
        <v/>
      </c>
      <c r="H6013" s="70" t="str">
        <f t="shared" si="205"/>
        <v/>
      </c>
    </row>
    <row r="6014" spans="1:8">
      <c r="A6014" s="2"/>
      <c r="B6014" s="12"/>
      <c r="C6014" s="12"/>
      <c r="E6014" t="str">
        <f>IF(LEN(D6014)=0,"",[1]!i_pq_tradedays($B$3,A6015,A6014)-1)</f>
        <v/>
      </c>
      <c r="G6014" s="16" t="str">
        <f t="shared" si="204"/>
        <v/>
      </c>
      <c r="H6014" s="70" t="str">
        <f t="shared" si="205"/>
        <v/>
      </c>
    </row>
    <row r="6015" spans="1:8">
      <c r="A6015" s="2"/>
      <c r="B6015" s="12"/>
      <c r="C6015" s="12"/>
      <c r="E6015" t="str">
        <f>IF(LEN(D6015)=0,"",[1]!i_pq_tradedays($B$3,A6016,A6015)-1)</f>
        <v/>
      </c>
      <c r="G6015" s="16" t="str">
        <f t="shared" si="204"/>
        <v/>
      </c>
      <c r="H6015" s="70" t="str">
        <f t="shared" si="205"/>
        <v/>
      </c>
    </row>
    <row r="6016" spans="1:8">
      <c r="A6016" s="2"/>
      <c r="B6016" s="12"/>
      <c r="C6016" s="12"/>
      <c r="E6016" t="str">
        <f>IF(LEN(D6016)=0,"",[1]!i_pq_tradedays($B$3,A6017,A6016)-1)</f>
        <v/>
      </c>
      <c r="G6016" s="16" t="str">
        <f t="shared" si="204"/>
        <v/>
      </c>
      <c r="H6016" s="70" t="str">
        <f t="shared" si="205"/>
        <v/>
      </c>
    </row>
    <row r="6017" spans="1:8">
      <c r="A6017" s="2"/>
      <c r="B6017" s="12"/>
      <c r="C6017" s="12"/>
      <c r="E6017" t="str">
        <f>IF(LEN(D6017)=0,"",[1]!i_pq_tradedays($B$3,A6018,A6017)-1)</f>
        <v/>
      </c>
      <c r="G6017" s="16" t="str">
        <f t="shared" si="204"/>
        <v/>
      </c>
      <c r="H6017" s="70" t="str">
        <f t="shared" si="205"/>
        <v/>
      </c>
    </row>
    <row r="6018" spans="1:8">
      <c r="A6018" s="2"/>
      <c r="B6018" s="12"/>
      <c r="C6018" s="12"/>
      <c r="E6018" t="str">
        <f>IF(LEN(D6018)=0,"",[1]!i_pq_tradedays($B$3,A6019,A6018)-1)</f>
        <v/>
      </c>
      <c r="G6018" s="16" t="str">
        <f t="shared" si="204"/>
        <v/>
      </c>
      <c r="H6018" s="70" t="str">
        <f t="shared" si="205"/>
        <v/>
      </c>
    </row>
    <row r="6019" spans="1:8">
      <c r="A6019" s="2"/>
      <c r="B6019" s="12"/>
      <c r="C6019" s="12"/>
      <c r="E6019" t="str">
        <f>IF(LEN(D6019)=0,"",[1]!i_pq_tradedays($B$3,A6020,A6019)-1)</f>
        <v/>
      </c>
      <c r="G6019" s="16" t="str">
        <f t="shared" si="204"/>
        <v/>
      </c>
      <c r="H6019" s="70" t="str">
        <f t="shared" si="205"/>
        <v/>
      </c>
    </row>
    <row r="6020" spans="1:8">
      <c r="A6020" s="2"/>
      <c r="B6020" s="12"/>
      <c r="C6020" s="12"/>
      <c r="E6020" t="str">
        <f>IF(LEN(D6020)=0,"",[1]!i_pq_tradedays($B$3,A6021,A6020)-1)</f>
        <v/>
      </c>
      <c r="G6020" s="16" t="str">
        <f t="shared" si="204"/>
        <v/>
      </c>
      <c r="H6020" s="70" t="str">
        <f t="shared" si="205"/>
        <v/>
      </c>
    </row>
    <row r="6021" spans="1:8">
      <c r="A6021" s="2"/>
      <c r="B6021" s="12"/>
      <c r="C6021" s="12"/>
      <c r="E6021" t="str">
        <f>IF(LEN(D6021)=0,"",[1]!i_pq_tradedays($B$3,A6022,A6021)-1)</f>
        <v/>
      </c>
      <c r="G6021" s="16" t="str">
        <f t="shared" si="204"/>
        <v/>
      </c>
      <c r="H6021" s="70" t="str">
        <f t="shared" si="205"/>
        <v/>
      </c>
    </row>
    <row r="6022" spans="1:8">
      <c r="A6022" s="2"/>
      <c r="B6022" s="12"/>
      <c r="C6022" s="12"/>
      <c r="E6022" t="str">
        <f>IF(LEN(D6022)=0,"",[1]!i_pq_tradedays($B$3,A6023,A6022)-1)</f>
        <v/>
      </c>
      <c r="G6022" s="16" t="str">
        <f t="shared" si="204"/>
        <v/>
      </c>
      <c r="H6022" s="70" t="str">
        <f t="shared" si="205"/>
        <v/>
      </c>
    </row>
    <row r="6023" spans="1:8">
      <c r="A6023" s="2"/>
      <c r="B6023" s="12"/>
      <c r="C6023" s="12"/>
      <c r="E6023" t="str">
        <f>IF(LEN(D6023)=0,"",[1]!i_pq_tradedays($B$3,A6024,A6023)-1)</f>
        <v/>
      </c>
      <c r="G6023" s="16" t="str">
        <f t="shared" si="204"/>
        <v/>
      </c>
      <c r="H6023" s="70" t="str">
        <f t="shared" si="205"/>
        <v/>
      </c>
    </row>
    <row r="6024" spans="1:8">
      <c r="A6024" s="2"/>
      <c r="B6024" s="12"/>
      <c r="C6024" s="12"/>
      <c r="E6024" t="str">
        <f>IF(LEN(D6024)=0,"",[1]!i_pq_tradedays($B$3,A6025,A6024)-1)</f>
        <v/>
      </c>
      <c r="G6024" s="16" t="str">
        <f t="shared" si="204"/>
        <v/>
      </c>
      <c r="H6024" s="70" t="str">
        <f t="shared" si="205"/>
        <v/>
      </c>
    </row>
    <row r="6025" spans="1:8">
      <c r="A6025" s="2"/>
      <c r="B6025" s="12"/>
      <c r="C6025" s="12"/>
      <c r="E6025" t="str">
        <f>IF(LEN(D6025)=0,"",[1]!i_pq_tradedays($B$3,A6026,A6025)-1)</f>
        <v/>
      </c>
      <c r="G6025" s="16" t="str">
        <f t="shared" si="204"/>
        <v/>
      </c>
      <c r="H6025" s="70" t="str">
        <f t="shared" si="205"/>
        <v/>
      </c>
    </row>
    <row r="6026" spans="1:8">
      <c r="A6026" s="2"/>
      <c r="B6026" s="12"/>
      <c r="C6026" s="12"/>
      <c r="E6026" t="str">
        <f>IF(LEN(D6026)=0,"",[1]!i_pq_tradedays($B$3,A6027,A6026)-1)</f>
        <v/>
      </c>
      <c r="G6026" s="16" t="str">
        <f t="shared" si="204"/>
        <v/>
      </c>
      <c r="H6026" s="70" t="str">
        <f t="shared" si="205"/>
        <v/>
      </c>
    </row>
    <row r="6027" spans="1:8">
      <c r="A6027" s="2"/>
      <c r="B6027" s="12"/>
      <c r="C6027" s="12"/>
      <c r="E6027" t="str">
        <f>IF(LEN(D6027)=0,"",[1]!i_pq_tradedays($B$3,A6028,A6027)-1)</f>
        <v/>
      </c>
      <c r="G6027" s="16" t="str">
        <f t="shared" si="204"/>
        <v/>
      </c>
      <c r="H6027" s="70" t="str">
        <f t="shared" si="205"/>
        <v/>
      </c>
    </row>
    <row r="6028" spans="1:8">
      <c r="A6028" s="2"/>
      <c r="B6028" s="12"/>
      <c r="C6028" s="12"/>
      <c r="E6028" t="str">
        <f>IF(LEN(D6028)=0,"",[1]!i_pq_tradedays($B$3,A6029,A6028)-1)</f>
        <v/>
      </c>
      <c r="G6028" s="16" t="str">
        <f t="shared" si="204"/>
        <v/>
      </c>
      <c r="H6028" s="70" t="str">
        <f t="shared" si="205"/>
        <v/>
      </c>
    </row>
    <row r="6029" spans="1:8">
      <c r="A6029" s="2"/>
      <c r="B6029" s="12"/>
      <c r="C6029" s="12"/>
      <c r="E6029" t="str">
        <f>IF(LEN(D6029)=0,"",[1]!i_pq_tradedays($B$3,A6030,A6029)-1)</f>
        <v/>
      </c>
      <c r="G6029" s="16" t="str">
        <f t="shared" si="204"/>
        <v/>
      </c>
      <c r="H6029" s="70" t="str">
        <f t="shared" si="205"/>
        <v/>
      </c>
    </row>
    <row r="6030" spans="1:8">
      <c r="A6030" s="2"/>
      <c r="B6030" s="12"/>
      <c r="C6030" s="12"/>
      <c r="E6030" t="str">
        <f>IF(LEN(D6030)=0,"",[1]!i_pq_tradedays($B$3,A6031,A6030)-1)</f>
        <v/>
      </c>
      <c r="G6030" s="16" t="str">
        <f t="shared" si="204"/>
        <v/>
      </c>
      <c r="H6030" s="70" t="str">
        <f t="shared" si="205"/>
        <v/>
      </c>
    </row>
    <row r="6031" spans="1:8">
      <c r="A6031" s="2"/>
      <c r="B6031" s="12"/>
      <c r="C6031" s="12"/>
      <c r="E6031" t="str">
        <f>IF(LEN(D6031)=0,"",[1]!i_pq_tradedays($B$3,A6032,A6031)-1)</f>
        <v/>
      </c>
      <c r="G6031" s="16" t="str">
        <f t="shared" si="204"/>
        <v/>
      </c>
      <c r="H6031" s="70" t="str">
        <f t="shared" si="205"/>
        <v/>
      </c>
    </row>
    <row r="6032" spans="1:8">
      <c r="A6032" s="2"/>
      <c r="B6032" s="12"/>
      <c r="C6032" s="12"/>
      <c r="E6032" t="str">
        <f>IF(LEN(D6032)=0,"",[1]!i_pq_tradedays($B$3,A6033,A6032)-1)</f>
        <v/>
      </c>
      <c r="G6032" s="16" t="str">
        <f t="shared" si="204"/>
        <v/>
      </c>
      <c r="H6032" s="70" t="str">
        <f t="shared" si="205"/>
        <v/>
      </c>
    </row>
    <row r="6033" spans="1:8">
      <c r="A6033" s="2"/>
      <c r="B6033" s="12"/>
      <c r="C6033" s="12"/>
      <c r="E6033" t="str">
        <f>IF(LEN(D6033)=0,"",[1]!i_pq_tradedays($B$3,A6034,A6033)-1)</f>
        <v/>
      </c>
      <c r="G6033" s="16" t="str">
        <f t="shared" si="204"/>
        <v/>
      </c>
      <c r="H6033" s="70" t="str">
        <f t="shared" si="205"/>
        <v/>
      </c>
    </row>
    <row r="6034" spans="1:8">
      <c r="A6034" s="2"/>
      <c r="B6034" s="12"/>
      <c r="C6034" s="12"/>
      <c r="E6034" t="str">
        <f>IF(LEN(D6034)=0,"",[1]!i_pq_tradedays($B$3,A6035,A6034)-1)</f>
        <v/>
      </c>
      <c r="G6034" s="16" t="str">
        <f t="shared" si="204"/>
        <v/>
      </c>
      <c r="H6034" s="70" t="str">
        <f t="shared" si="205"/>
        <v/>
      </c>
    </row>
    <row r="6035" spans="1:8">
      <c r="A6035" s="2"/>
      <c r="B6035" s="12"/>
      <c r="C6035" s="12"/>
      <c r="E6035" t="str">
        <f>IF(LEN(D6035)=0,"",[1]!i_pq_tradedays($B$3,A6036,A6035)-1)</f>
        <v/>
      </c>
      <c r="G6035" s="16" t="str">
        <f t="shared" si="204"/>
        <v/>
      </c>
      <c r="H6035" s="70" t="str">
        <f t="shared" si="205"/>
        <v/>
      </c>
    </row>
    <row r="6036" spans="1:8">
      <c r="A6036" s="2"/>
      <c r="B6036" s="12"/>
      <c r="C6036" s="12"/>
      <c r="E6036" t="str">
        <f>IF(LEN(D6036)=0,"",[1]!i_pq_tradedays($B$3,A6037,A6036)-1)</f>
        <v/>
      </c>
      <c r="G6036" s="16" t="str">
        <f t="shared" si="204"/>
        <v/>
      </c>
      <c r="H6036" s="70" t="str">
        <f t="shared" si="205"/>
        <v/>
      </c>
    </row>
    <row r="6037" spans="1:8">
      <c r="A6037" s="2"/>
      <c r="B6037" s="12"/>
      <c r="C6037" s="12"/>
      <c r="E6037" t="str">
        <f>IF(LEN(D6037)=0,"",[1]!i_pq_tradedays($B$3,A6038,A6037)-1)</f>
        <v/>
      </c>
      <c r="G6037" s="16" t="str">
        <f t="shared" si="204"/>
        <v/>
      </c>
      <c r="H6037" s="70" t="str">
        <f t="shared" si="205"/>
        <v/>
      </c>
    </row>
    <row r="6038" spans="1:8">
      <c r="A6038" s="2"/>
      <c r="B6038" s="12"/>
      <c r="C6038" s="12"/>
      <c r="E6038" t="str">
        <f>IF(LEN(D6038)=0,"",[1]!i_pq_tradedays($B$3,A6039,A6038)-1)</f>
        <v/>
      </c>
      <c r="G6038" s="16" t="str">
        <f t="shared" si="204"/>
        <v/>
      </c>
      <c r="H6038" s="70" t="str">
        <f t="shared" si="205"/>
        <v/>
      </c>
    </row>
    <row r="6039" spans="1:8">
      <c r="A6039" s="2"/>
      <c r="B6039" s="12"/>
      <c r="C6039" s="12"/>
      <c r="E6039" t="str">
        <f>IF(LEN(D6039)=0,"",[1]!i_pq_tradedays($B$3,A6040,A6039)-1)</f>
        <v/>
      </c>
      <c r="G6039" s="16" t="str">
        <f t="shared" si="204"/>
        <v/>
      </c>
      <c r="H6039" s="70" t="str">
        <f t="shared" si="205"/>
        <v/>
      </c>
    </row>
    <row r="6040" spans="1:8">
      <c r="A6040" s="2"/>
      <c r="B6040" s="12"/>
      <c r="C6040" s="12"/>
      <c r="E6040" t="str">
        <f>IF(LEN(D6040)=0,"",[1]!i_pq_tradedays($B$3,A6041,A6040)-1)</f>
        <v/>
      </c>
      <c r="G6040" s="16" t="str">
        <f t="shared" si="204"/>
        <v/>
      </c>
      <c r="H6040" s="70" t="str">
        <f t="shared" si="205"/>
        <v/>
      </c>
    </row>
    <row r="6041" spans="1:8">
      <c r="A6041" s="2"/>
      <c r="B6041" s="12"/>
      <c r="C6041" s="12"/>
      <c r="E6041" t="str">
        <f>IF(LEN(D6041)=0,"",[1]!i_pq_tradedays($B$3,A6042,A6041)-1)</f>
        <v/>
      </c>
      <c r="G6041" s="16" t="str">
        <f t="shared" si="204"/>
        <v/>
      </c>
      <c r="H6041" s="70" t="str">
        <f t="shared" si="205"/>
        <v/>
      </c>
    </row>
    <row r="6042" spans="1:8">
      <c r="A6042" s="2"/>
      <c r="B6042" s="12"/>
      <c r="C6042" s="12"/>
      <c r="E6042" t="str">
        <f>IF(LEN(D6042)=0,"",[1]!i_pq_tradedays($B$3,A6043,A6042)-1)</f>
        <v/>
      </c>
      <c r="G6042" s="16" t="str">
        <f t="shared" si="204"/>
        <v/>
      </c>
      <c r="H6042" s="70" t="str">
        <f t="shared" si="205"/>
        <v/>
      </c>
    </row>
    <row r="6043" spans="1:8">
      <c r="A6043" s="2"/>
      <c r="B6043" s="12"/>
      <c r="C6043" s="12"/>
      <c r="E6043" t="str">
        <f>IF(LEN(D6043)=0,"",[1]!i_pq_tradedays($B$3,A6044,A6043)-1)</f>
        <v/>
      </c>
      <c r="G6043" s="16" t="str">
        <f t="shared" si="204"/>
        <v/>
      </c>
      <c r="H6043" s="70" t="str">
        <f t="shared" si="205"/>
        <v/>
      </c>
    </row>
    <row r="6044" spans="1:8">
      <c r="A6044" s="2"/>
      <c r="B6044" s="12"/>
      <c r="C6044" s="12"/>
      <c r="E6044" t="str">
        <f>IF(LEN(D6044)=0,"",[1]!i_pq_tradedays($B$3,A6045,A6044)-1)</f>
        <v/>
      </c>
      <c r="G6044" s="16" t="str">
        <f t="shared" si="204"/>
        <v/>
      </c>
      <c r="H6044" s="70" t="str">
        <f t="shared" si="205"/>
        <v/>
      </c>
    </row>
    <row r="6045" spans="1:8">
      <c r="A6045" s="2"/>
      <c r="B6045" s="12"/>
      <c r="C6045" s="12"/>
      <c r="E6045" t="str">
        <f>IF(LEN(D6045)=0,"",[1]!i_pq_tradedays($B$3,A6046,A6045)-1)</f>
        <v/>
      </c>
      <c r="G6045" s="16" t="str">
        <f t="shared" si="204"/>
        <v/>
      </c>
      <c r="H6045" s="70" t="str">
        <f t="shared" si="205"/>
        <v/>
      </c>
    </row>
    <row r="6046" spans="1:8">
      <c r="A6046" s="2"/>
      <c r="B6046" s="12"/>
      <c r="C6046" s="12"/>
      <c r="E6046" t="str">
        <f>IF(LEN(D6046)=0,"",[1]!i_pq_tradedays($B$3,A6047,A6046)-1)</f>
        <v/>
      </c>
      <c r="G6046" s="16" t="str">
        <f t="shared" si="204"/>
        <v/>
      </c>
      <c r="H6046" s="70" t="str">
        <f t="shared" si="205"/>
        <v/>
      </c>
    </row>
    <row r="6047" spans="1:8">
      <c r="A6047" s="2"/>
      <c r="B6047" s="12"/>
      <c r="C6047" s="12"/>
      <c r="E6047" t="str">
        <f>IF(LEN(D6047)=0,"",[1]!i_pq_tradedays($B$3,A6048,A6047)-1)</f>
        <v/>
      </c>
      <c r="G6047" s="16" t="str">
        <f t="shared" si="204"/>
        <v/>
      </c>
      <c r="H6047" s="70" t="str">
        <f t="shared" si="205"/>
        <v/>
      </c>
    </row>
    <row r="6048" spans="1:8">
      <c r="A6048" s="2"/>
      <c r="B6048" s="12"/>
      <c r="C6048" s="12"/>
      <c r="E6048" t="str">
        <f>IF(LEN(D6048)=0,"",[1]!i_pq_tradedays($B$3,A6049,A6048)-1)</f>
        <v/>
      </c>
      <c r="G6048" s="16" t="str">
        <f t="shared" si="204"/>
        <v/>
      </c>
      <c r="H6048" s="70" t="str">
        <f t="shared" si="205"/>
        <v/>
      </c>
    </row>
    <row r="6049" spans="1:8">
      <c r="A6049" s="2"/>
      <c r="B6049" s="12"/>
      <c r="C6049" s="12"/>
      <c r="E6049" t="str">
        <f>IF(LEN(D6049)=0,"",[1]!i_pq_tradedays($B$3,A6050,A6049)-1)</f>
        <v/>
      </c>
      <c r="G6049" s="16" t="str">
        <f t="shared" si="204"/>
        <v/>
      </c>
      <c r="H6049" s="70" t="str">
        <f t="shared" si="205"/>
        <v/>
      </c>
    </row>
    <row r="6050" spans="1:8">
      <c r="A6050" s="2"/>
      <c r="B6050" s="12"/>
      <c r="C6050" s="12"/>
      <c r="E6050" t="str">
        <f>IF(LEN(D6050)=0,"",[1]!i_pq_tradedays($B$3,A6051,A6050)-1)</f>
        <v/>
      </c>
      <c r="G6050" s="16" t="str">
        <f t="shared" si="204"/>
        <v/>
      </c>
      <c r="H6050" s="70" t="str">
        <f t="shared" si="205"/>
        <v/>
      </c>
    </row>
    <row r="6051" spans="1:8">
      <c r="A6051" s="2"/>
      <c r="B6051" s="12"/>
      <c r="C6051" s="12"/>
      <c r="E6051" t="str">
        <f>IF(LEN(D6051)=0,"",[1]!i_pq_tradedays($B$3,A6052,A6051)-1)</f>
        <v/>
      </c>
      <c r="G6051" s="16" t="str">
        <f t="shared" si="204"/>
        <v/>
      </c>
      <c r="H6051" s="70" t="str">
        <f t="shared" si="205"/>
        <v/>
      </c>
    </row>
    <row r="6052" spans="1:8">
      <c r="A6052" s="2"/>
      <c r="B6052" s="12"/>
      <c r="C6052" s="12"/>
      <c r="E6052" t="str">
        <f>IF(LEN(D6052)=0,"",[1]!i_pq_tradedays($B$3,A6053,A6052)-1)</f>
        <v/>
      </c>
      <c r="G6052" s="16" t="str">
        <f t="shared" si="204"/>
        <v/>
      </c>
      <c r="H6052" s="70" t="str">
        <f t="shared" si="205"/>
        <v/>
      </c>
    </row>
    <row r="6053" spans="1:8">
      <c r="A6053" s="2"/>
      <c r="B6053" s="12"/>
      <c r="C6053" s="12"/>
      <c r="E6053" t="str">
        <f>IF(LEN(D6053)=0,"",[1]!i_pq_tradedays($B$3,A6054,A6053)-1)</f>
        <v/>
      </c>
      <c r="G6053" s="16" t="str">
        <f t="shared" si="204"/>
        <v/>
      </c>
      <c r="H6053" s="70" t="str">
        <f t="shared" si="205"/>
        <v/>
      </c>
    </row>
    <row r="6054" spans="1:8">
      <c r="A6054" s="2"/>
      <c r="B6054" s="12"/>
      <c r="C6054" s="12"/>
      <c r="E6054" t="str">
        <f>IF(LEN(D6054)=0,"",[1]!i_pq_tradedays($B$3,A6055,A6054)-1)</f>
        <v/>
      </c>
      <c r="G6054" s="16" t="str">
        <f t="shared" si="204"/>
        <v/>
      </c>
      <c r="H6054" s="70" t="str">
        <f t="shared" si="205"/>
        <v/>
      </c>
    </row>
    <row r="6055" spans="1:8">
      <c r="A6055" s="2"/>
      <c r="B6055" s="12"/>
      <c r="C6055" s="12"/>
      <c r="E6055" t="str">
        <f>IF(LEN(D6055)=0,"",[1]!i_pq_tradedays($B$3,A6056,A6055)-1)</f>
        <v/>
      </c>
      <c r="G6055" s="16" t="str">
        <f t="shared" si="204"/>
        <v/>
      </c>
      <c r="H6055" s="70" t="str">
        <f t="shared" si="205"/>
        <v/>
      </c>
    </row>
    <row r="6056" spans="1:8">
      <c r="A6056" s="2"/>
      <c r="B6056" s="12"/>
      <c r="C6056" s="12"/>
      <c r="E6056" t="str">
        <f>IF(LEN(D6056)=0,"",[1]!i_pq_tradedays($B$3,A6057,A6056)-1)</f>
        <v/>
      </c>
      <c r="G6056" s="16" t="str">
        <f t="shared" si="204"/>
        <v/>
      </c>
      <c r="H6056" s="70" t="str">
        <f t="shared" si="205"/>
        <v/>
      </c>
    </row>
    <row r="6057" spans="1:8">
      <c r="A6057" s="2"/>
      <c r="B6057" s="12"/>
      <c r="C6057" s="12"/>
      <c r="E6057" t="str">
        <f>IF(LEN(D6057)=0,"",[1]!i_pq_tradedays($B$3,A6058,A6057)-1)</f>
        <v/>
      </c>
      <c r="G6057" s="16" t="str">
        <f t="shared" si="204"/>
        <v/>
      </c>
      <c r="H6057" s="70" t="str">
        <f t="shared" si="205"/>
        <v/>
      </c>
    </row>
    <row r="6058" spans="1:8">
      <c r="A6058" s="2"/>
      <c r="B6058" s="12"/>
      <c r="C6058" s="12"/>
      <c r="E6058" t="str">
        <f>IF(LEN(D6058)=0,"",[1]!i_pq_tradedays($B$3,A6059,A6058)-1)</f>
        <v/>
      </c>
      <c r="G6058" s="16" t="str">
        <f t="shared" si="204"/>
        <v/>
      </c>
      <c r="H6058" s="70" t="str">
        <f t="shared" si="205"/>
        <v/>
      </c>
    </row>
    <row r="6059" spans="1:8">
      <c r="A6059" s="2"/>
      <c r="B6059" s="12"/>
      <c r="C6059" s="12"/>
      <c r="E6059" t="str">
        <f>IF(LEN(D6059)=0,"",[1]!i_pq_tradedays($B$3,A6060,A6059)-1)</f>
        <v/>
      </c>
      <c r="G6059" s="16" t="str">
        <f t="shared" si="204"/>
        <v/>
      </c>
      <c r="H6059" s="70" t="str">
        <f t="shared" si="205"/>
        <v/>
      </c>
    </row>
    <row r="6060" spans="1:8">
      <c r="A6060" s="2"/>
      <c r="B6060" s="12"/>
      <c r="C6060" s="12"/>
      <c r="E6060" t="str">
        <f>IF(LEN(D6060)=0,"",[1]!i_pq_tradedays($B$3,A6061,A6060)-1)</f>
        <v/>
      </c>
      <c r="G6060" s="16" t="str">
        <f t="shared" si="204"/>
        <v/>
      </c>
      <c r="H6060" s="70" t="str">
        <f t="shared" si="205"/>
        <v/>
      </c>
    </row>
    <row r="6061" spans="1:8">
      <c r="A6061" s="2"/>
      <c r="B6061" s="12"/>
      <c r="C6061" s="12"/>
      <c r="E6061" t="str">
        <f>IF(LEN(D6061)=0,"",[1]!i_pq_tradedays($B$3,A6062,A6061)-1)</f>
        <v/>
      </c>
      <c r="G6061" s="16" t="str">
        <f t="shared" si="204"/>
        <v/>
      </c>
      <c r="H6061" s="70" t="str">
        <f t="shared" si="205"/>
        <v/>
      </c>
    </row>
    <row r="6062" spans="1:8">
      <c r="A6062" s="2"/>
      <c r="B6062" s="12"/>
      <c r="C6062" s="12"/>
      <c r="E6062" t="str">
        <f>IF(LEN(D6062)=0,"",[1]!i_pq_tradedays($B$3,A6063,A6062)-1)</f>
        <v/>
      </c>
      <c r="G6062" s="16" t="str">
        <f t="shared" si="204"/>
        <v/>
      </c>
      <c r="H6062" s="70" t="str">
        <f t="shared" si="205"/>
        <v/>
      </c>
    </row>
    <row r="6063" spans="1:8">
      <c r="A6063" s="2"/>
      <c r="B6063" s="12"/>
      <c r="C6063" s="12"/>
      <c r="E6063" t="str">
        <f>IF(LEN(D6063)=0,"",[1]!i_pq_tradedays($B$3,A6064,A6063)-1)</f>
        <v/>
      </c>
      <c r="G6063" s="16" t="str">
        <f t="shared" si="204"/>
        <v/>
      </c>
      <c r="H6063" s="70" t="str">
        <f t="shared" si="205"/>
        <v/>
      </c>
    </row>
    <row r="6064" spans="1:8">
      <c r="A6064" s="2"/>
      <c r="B6064" s="12"/>
      <c r="C6064" s="12"/>
      <c r="E6064" t="str">
        <f>IF(LEN(D6064)=0,"",[1]!i_pq_tradedays($B$3,A6065,A6064)-1)</f>
        <v/>
      </c>
      <c r="G6064" s="16" t="str">
        <f t="shared" si="204"/>
        <v/>
      </c>
      <c r="H6064" s="70" t="str">
        <f t="shared" si="205"/>
        <v/>
      </c>
    </row>
    <row r="6065" spans="1:8">
      <c r="A6065" s="2"/>
      <c r="B6065" s="12"/>
      <c r="C6065" s="12"/>
      <c r="E6065" t="str">
        <f>IF(LEN(D6065)=0,"",[1]!i_pq_tradedays($B$3,A6066,A6065)-1)</f>
        <v/>
      </c>
      <c r="G6065" s="16" t="str">
        <f t="shared" si="204"/>
        <v/>
      </c>
      <c r="H6065" s="70" t="str">
        <f t="shared" si="205"/>
        <v/>
      </c>
    </row>
    <row r="6066" spans="1:8">
      <c r="A6066" s="2"/>
      <c r="B6066" s="12"/>
      <c r="C6066" s="12"/>
      <c r="E6066" t="str">
        <f>IF(LEN(D6066)=0,"",[1]!i_pq_tradedays($B$3,A6067,A6066)-1)</f>
        <v/>
      </c>
      <c r="G6066" s="16" t="str">
        <f t="shared" si="204"/>
        <v/>
      </c>
      <c r="H6066" s="70" t="str">
        <f t="shared" si="205"/>
        <v/>
      </c>
    </row>
    <row r="6067" spans="1:8">
      <c r="A6067" s="2"/>
      <c r="B6067" s="12"/>
      <c r="C6067" s="12"/>
      <c r="E6067" t="str">
        <f>IF(LEN(D6067)=0,"",[1]!i_pq_tradedays($B$3,A6068,A6067)-1)</f>
        <v/>
      </c>
      <c r="G6067" s="16" t="str">
        <f t="shared" si="204"/>
        <v/>
      </c>
      <c r="H6067" s="70" t="str">
        <f t="shared" si="205"/>
        <v/>
      </c>
    </row>
    <row r="6068" spans="1:8">
      <c r="A6068" s="2"/>
      <c r="B6068" s="12"/>
      <c r="C6068" s="12"/>
      <c r="E6068" t="str">
        <f>IF(LEN(D6068)=0,"",[1]!i_pq_tradedays($B$3,A6069,A6068)-1)</f>
        <v/>
      </c>
      <c r="G6068" s="16" t="str">
        <f t="shared" si="204"/>
        <v/>
      </c>
      <c r="H6068" s="70" t="str">
        <f t="shared" si="205"/>
        <v/>
      </c>
    </row>
    <row r="6069" spans="1:8">
      <c r="A6069" s="2"/>
      <c r="B6069" s="12"/>
      <c r="C6069" s="12"/>
      <c r="E6069" t="str">
        <f>IF(LEN(D6069)=0,"",[1]!i_pq_tradedays($B$3,A6070,A6069)-1)</f>
        <v/>
      </c>
      <c r="G6069" s="16" t="str">
        <f t="shared" ref="G6069:G6132" si="206">IF(LEN(D6069)=0,"",D6069/E6069)</f>
        <v/>
      </c>
      <c r="H6069" s="70" t="str">
        <f t="shared" ref="H6069:H6132" si="207">IF(LEN(D6069)=0,"",G6069/G6070-1)</f>
        <v/>
      </c>
    </row>
    <row r="6070" spans="1:8">
      <c r="A6070" s="2"/>
      <c r="B6070" s="12"/>
      <c r="C6070" s="12"/>
      <c r="E6070" t="str">
        <f>IF(LEN(D6070)=0,"",[1]!i_pq_tradedays($B$3,A6071,A6070)-1)</f>
        <v/>
      </c>
      <c r="G6070" s="16" t="str">
        <f t="shared" si="206"/>
        <v/>
      </c>
      <c r="H6070" s="70" t="str">
        <f t="shared" si="207"/>
        <v/>
      </c>
    </row>
    <row r="6071" spans="1:8">
      <c r="A6071" s="2"/>
      <c r="B6071" s="12"/>
      <c r="C6071" s="12"/>
      <c r="E6071" t="str">
        <f>IF(LEN(D6071)=0,"",[1]!i_pq_tradedays($B$3,A6072,A6071)-1)</f>
        <v/>
      </c>
      <c r="G6071" s="16" t="str">
        <f t="shared" si="206"/>
        <v/>
      </c>
      <c r="H6071" s="70" t="str">
        <f t="shared" si="207"/>
        <v/>
      </c>
    </row>
    <row r="6072" spans="1:8">
      <c r="A6072" s="2"/>
      <c r="B6072" s="12"/>
      <c r="C6072" s="12"/>
      <c r="E6072" t="str">
        <f>IF(LEN(D6072)=0,"",[1]!i_pq_tradedays($B$3,A6073,A6072)-1)</f>
        <v/>
      </c>
      <c r="G6072" s="16" t="str">
        <f t="shared" si="206"/>
        <v/>
      </c>
      <c r="H6072" s="70" t="str">
        <f t="shared" si="207"/>
        <v/>
      </c>
    </row>
    <row r="6073" spans="1:8">
      <c r="A6073" s="2"/>
      <c r="B6073" s="12"/>
      <c r="C6073" s="12"/>
      <c r="E6073" t="str">
        <f>IF(LEN(D6073)=0,"",[1]!i_pq_tradedays($B$3,A6074,A6073)-1)</f>
        <v/>
      </c>
      <c r="G6073" s="16" t="str">
        <f t="shared" si="206"/>
        <v/>
      </c>
      <c r="H6073" s="70" t="str">
        <f t="shared" si="207"/>
        <v/>
      </c>
    </row>
    <row r="6074" spans="1:8">
      <c r="A6074" s="2"/>
      <c r="B6074" s="12"/>
      <c r="C6074" s="12"/>
      <c r="E6074" t="str">
        <f>IF(LEN(D6074)=0,"",[1]!i_pq_tradedays($B$3,A6075,A6074)-1)</f>
        <v/>
      </c>
      <c r="G6074" s="16" t="str">
        <f t="shared" si="206"/>
        <v/>
      </c>
      <c r="H6074" s="70" t="str">
        <f t="shared" si="207"/>
        <v/>
      </c>
    </row>
    <row r="6075" spans="1:8">
      <c r="A6075" s="2"/>
      <c r="B6075" s="12"/>
      <c r="C6075" s="12"/>
      <c r="E6075" t="str">
        <f>IF(LEN(D6075)=0,"",[1]!i_pq_tradedays($B$3,A6076,A6075)-1)</f>
        <v/>
      </c>
      <c r="G6075" s="16" t="str">
        <f t="shared" si="206"/>
        <v/>
      </c>
      <c r="H6075" s="70" t="str">
        <f t="shared" si="207"/>
        <v/>
      </c>
    </row>
    <row r="6076" spans="1:8">
      <c r="A6076" s="2"/>
      <c r="B6076" s="12"/>
      <c r="C6076" s="12"/>
      <c r="E6076" t="str">
        <f>IF(LEN(D6076)=0,"",[1]!i_pq_tradedays($B$3,A6077,A6076)-1)</f>
        <v/>
      </c>
      <c r="G6076" s="16" t="str">
        <f t="shared" si="206"/>
        <v/>
      </c>
      <c r="H6076" s="70" t="str">
        <f t="shared" si="207"/>
        <v/>
      </c>
    </row>
    <row r="6077" spans="1:8">
      <c r="A6077" s="2"/>
      <c r="B6077" s="12"/>
      <c r="C6077" s="12"/>
      <c r="E6077" t="str">
        <f>IF(LEN(D6077)=0,"",[1]!i_pq_tradedays($B$3,A6078,A6077)-1)</f>
        <v/>
      </c>
      <c r="G6077" s="16" t="str">
        <f t="shared" si="206"/>
        <v/>
      </c>
      <c r="H6077" s="70" t="str">
        <f t="shared" si="207"/>
        <v/>
      </c>
    </row>
    <row r="6078" spans="1:8">
      <c r="A6078" s="2"/>
      <c r="B6078" s="12"/>
      <c r="C6078" s="12"/>
      <c r="E6078" t="str">
        <f>IF(LEN(D6078)=0,"",[1]!i_pq_tradedays($B$3,A6079,A6078)-1)</f>
        <v/>
      </c>
      <c r="G6078" s="16" t="str">
        <f t="shared" si="206"/>
        <v/>
      </c>
      <c r="H6078" s="70" t="str">
        <f t="shared" si="207"/>
        <v/>
      </c>
    </row>
    <row r="6079" spans="1:8">
      <c r="A6079" s="2"/>
      <c r="B6079" s="12"/>
      <c r="C6079" s="12"/>
      <c r="E6079" t="str">
        <f>IF(LEN(D6079)=0,"",[1]!i_pq_tradedays($B$3,A6080,A6079)-1)</f>
        <v/>
      </c>
      <c r="G6079" s="16" t="str">
        <f t="shared" si="206"/>
        <v/>
      </c>
      <c r="H6079" s="70" t="str">
        <f t="shared" si="207"/>
        <v/>
      </c>
    </row>
    <row r="6080" spans="1:8">
      <c r="A6080" s="2"/>
      <c r="B6080" s="12"/>
      <c r="C6080" s="12"/>
      <c r="E6080" t="str">
        <f>IF(LEN(D6080)=0,"",[1]!i_pq_tradedays($B$3,A6081,A6080)-1)</f>
        <v/>
      </c>
      <c r="G6080" s="16" t="str">
        <f t="shared" si="206"/>
        <v/>
      </c>
      <c r="H6080" s="70" t="str">
        <f t="shared" si="207"/>
        <v/>
      </c>
    </row>
    <row r="6081" spans="1:8">
      <c r="A6081" s="2"/>
      <c r="B6081" s="12"/>
      <c r="C6081" s="12"/>
      <c r="E6081" t="str">
        <f>IF(LEN(D6081)=0,"",[1]!i_pq_tradedays($B$3,A6082,A6081)-1)</f>
        <v/>
      </c>
      <c r="G6081" s="16" t="str">
        <f t="shared" si="206"/>
        <v/>
      </c>
      <c r="H6081" s="70" t="str">
        <f t="shared" si="207"/>
        <v/>
      </c>
    </row>
    <row r="6082" spans="1:8">
      <c r="A6082" s="2"/>
      <c r="B6082" s="12"/>
      <c r="C6082" s="12"/>
      <c r="E6082" t="str">
        <f>IF(LEN(D6082)=0,"",[1]!i_pq_tradedays($B$3,A6083,A6082)-1)</f>
        <v/>
      </c>
      <c r="G6082" s="16" t="str">
        <f t="shared" si="206"/>
        <v/>
      </c>
      <c r="H6082" s="70" t="str">
        <f t="shared" si="207"/>
        <v/>
      </c>
    </row>
    <row r="6083" spans="1:8">
      <c r="A6083" s="2"/>
      <c r="B6083" s="12"/>
      <c r="C6083" s="12"/>
      <c r="E6083" t="str">
        <f>IF(LEN(D6083)=0,"",[1]!i_pq_tradedays($B$3,A6084,A6083)-1)</f>
        <v/>
      </c>
      <c r="G6083" s="16" t="str">
        <f t="shared" si="206"/>
        <v/>
      </c>
      <c r="H6083" s="70" t="str">
        <f t="shared" si="207"/>
        <v/>
      </c>
    </row>
    <row r="6084" spans="1:8">
      <c r="A6084" s="2"/>
      <c r="B6084" s="12"/>
      <c r="C6084" s="12"/>
      <c r="E6084" t="str">
        <f>IF(LEN(D6084)=0,"",[1]!i_pq_tradedays($B$3,A6085,A6084)-1)</f>
        <v/>
      </c>
      <c r="G6084" s="16" t="str">
        <f t="shared" si="206"/>
        <v/>
      </c>
      <c r="H6084" s="70" t="str">
        <f t="shared" si="207"/>
        <v/>
      </c>
    </row>
    <row r="6085" spans="1:8">
      <c r="A6085" s="2"/>
      <c r="B6085" s="12"/>
      <c r="C6085" s="12"/>
      <c r="E6085" t="str">
        <f>IF(LEN(D6085)=0,"",[1]!i_pq_tradedays($B$3,A6086,A6085)-1)</f>
        <v/>
      </c>
      <c r="G6085" s="16" t="str">
        <f t="shared" si="206"/>
        <v/>
      </c>
      <c r="H6085" s="70" t="str">
        <f t="shared" si="207"/>
        <v/>
      </c>
    </row>
    <row r="6086" spans="1:8">
      <c r="A6086" s="2"/>
      <c r="B6086" s="12"/>
      <c r="C6086" s="12"/>
      <c r="E6086" t="str">
        <f>IF(LEN(D6086)=0,"",[1]!i_pq_tradedays($B$3,A6087,A6086)-1)</f>
        <v/>
      </c>
      <c r="G6086" s="16" t="str">
        <f t="shared" si="206"/>
        <v/>
      </c>
      <c r="H6086" s="70" t="str">
        <f t="shared" si="207"/>
        <v/>
      </c>
    </row>
    <row r="6087" spans="1:8">
      <c r="A6087" s="2"/>
      <c r="B6087" s="12"/>
      <c r="C6087" s="12"/>
      <c r="E6087" t="str">
        <f>IF(LEN(D6087)=0,"",[1]!i_pq_tradedays($B$3,A6088,A6087)-1)</f>
        <v/>
      </c>
      <c r="G6087" s="16" t="str">
        <f t="shared" si="206"/>
        <v/>
      </c>
      <c r="H6087" s="70" t="str">
        <f t="shared" si="207"/>
        <v/>
      </c>
    </row>
    <row r="6088" spans="1:8">
      <c r="A6088" s="2"/>
      <c r="B6088" s="12"/>
      <c r="C6088" s="12"/>
      <c r="E6088" t="str">
        <f>IF(LEN(D6088)=0,"",[1]!i_pq_tradedays($B$3,A6089,A6088)-1)</f>
        <v/>
      </c>
      <c r="G6088" s="16" t="str">
        <f t="shared" si="206"/>
        <v/>
      </c>
      <c r="H6088" s="70" t="str">
        <f t="shared" si="207"/>
        <v/>
      </c>
    </row>
    <row r="6089" spans="1:8">
      <c r="A6089" s="2"/>
      <c r="B6089" s="12"/>
      <c r="C6089" s="12"/>
      <c r="E6089" t="str">
        <f>IF(LEN(D6089)=0,"",[1]!i_pq_tradedays($B$3,A6090,A6089)-1)</f>
        <v/>
      </c>
      <c r="G6089" s="16" t="str">
        <f t="shared" si="206"/>
        <v/>
      </c>
      <c r="H6089" s="70" t="str">
        <f t="shared" si="207"/>
        <v/>
      </c>
    </row>
    <row r="6090" spans="1:8">
      <c r="A6090" s="2"/>
      <c r="B6090" s="12"/>
      <c r="C6090" s="12"/>
      <c r="E6090" t="str">
        <f>IF(LEN(D6090)=0,"",[1]!i_pq_tradedays($B$3,A6091,A6090)-1)</f>
        <v/>
      </c>
      <c r="G6090" s="16" t="str">
        <f t="shared" si="206"/>
        <v/>
      </c>
      <c r="H6090" s="70" t="str">
        <f t="shared" si="207"/>
        <v/>
      </c>
    </row>
    <row r="6091" spans="1:8">
      <c r="A6091" s="2"/>
      <c r="B6091" s="12"/>
      <c r="C6091" s="12"/>
      <c r="E6091" t="str">
        <f>IF(LEN(D6091)=0,"",[1]!i_pq_tradedays($B$3,A6092,A6091)-1)</f>
        <v/>
      </c>
      <c r="G6091" s="16" t="str">
        <f t="shared" si="206"/>
        <v/>
      </c>
      <c r="H6091" s="70" t="str">
        <f t="shared" si="207"/>
        <v/>
      </c>
    </row>
    <row r="6092" spans="1:8">
      <c r="A6092" s="2"/>
      <c r="B6092" s="12"/>
      <c r="C6092" s="12"/>
      <c r="E6092" t="str">
        <f>IF(LEN(D6092)=0,"",[1]!i_pq_tradedays($B$3,A6093,A6092)-1)</f>
        <v/>
      </c>
      <c r="G6092" s="16" t="str">
        <f t="shared" si="206"/>
        <v/>
      </c>
      <c r="H6092" s="70" t="str">
        <f t="shared" si="207"/>
        <v/>
      </c>
    </row>
    <row r="6093" spans="1:8">
      <c r="A6093" s="2"/>
      <c r="B6093" s="12"/>
      <c r="C6093" s="12"/>
      <c r="E6093" t="str">
        <f>IF(LEN(D6093)=0,"",[1]!i_pq_tradedays($B$3,A6094,A6093)-1)</f>
        <v/>
      </c>
      <c r="G6093" s="16" t="str">
        <f t="shared" si="206"/>
        <v/>
      </c>
      <c r="H6093" s="70" t="str">
        <f t="shared" si="207"/>
        <v/>
      </c>
    </row>
    <row r="6094" spans="1:8">
      <c r="A6094" s="2"/>
      <c r="B6094" s="12"/>
      <c r="C6094" s="12"/>
      <c r="E6094" t="str">
        <f>IF(LEN(D6094)=0,"",[1]!i_pq_tradedays($B$3,A6095,A6094)-1)</f>
        <v/>
      </c>
      <c r="G6094" s="16" t="str">
        <f t="shared" si="206"/>
        <v/>
      </c>
      <c r="H6094" s="70" t="str">
        <f t="shared" si="207"/>
        <v/>
      </c>
    </row>
    <row r="6095" spans="1:8">
      <c r="A6095" s="2"/>
      <c r="B6095" s="12"/>
      <c r="C6095" s="12"/>
      <c r="E6095" t="str">
        <f>IF(LEN(D6095)=0,"",[1]!i_pq_tradedays($B$3,A6096,A6095)-1)</f>
        <v/>
      </c>
      <c r="G6095" s="16" t="str">
        <f t="shared" si="206"/>
        <v/>
      </c>
      <c r="H6095" s="70" t="str">
        <f t="shared" si="207"/>
        <v/>
      </c>
    </row>
    <row r="6096" spans="1:8">
      <c r="A6096" s="2"/>
      <c r="B6096" s="12"/>
      <c r="C6096" s="12"/>
      <c r="E6096" t="str">
        <f>IF(LEN(D6096)=0,"",[1]!i_pq_tradedays($B$3,A6097,A6096)-1)</f>
        <v/>
      </c>
      <c r="G6096" s="16" t="str">
        <f t="shared" si="206"/>
        <v/>
      </c>
      <c r="H6096" s="70" t="str">
        <f t="shared" si="207"/>
        <v/>
      </c>
    </row>
    <row r="6097" spans="1:8">
      <c r="A6097" s="2"/>
      <c r="B6097" s="12"/>
      <c r="C6097" s="12"/>
      <c r="E6097" t="str">
        <f>IF(LEN(D6097)=0,"",[1]!i_pq_tradedays($B$3,A6098,A6097)-1)</f>
        <v/>
      </c>
      <c r="G6097" s="16" t="str">
        <f t="shared" si="206"/>
        <v/>
      </c>
      <c r="H6097" s="70" t="str">
        <f t="shared" si="207"/>
        <v/>
      </c>
    </row>
    <row r="6098" spans="1:8">
      <c r="A6098" s="2"/>
      <c r="B6098" s="12"/>
      <c r="C6098" s="12"/>
      <c r="E6098" t="str">
        <f>IF(LEN(D6098)=0,"",[1]!i_pq_tradedays($B$3,A6099,A6098)-1)</f>
        <v/>
      </c>
      <c r="G6098" s="16" t="str">
        <f t="shared" si="206"/>
        <v/>
      </c>
      <c r="H6098" s="70" t="str">
        <f t="shared" si="207"/>
        <v/>
      </c>
    </row>
    <row r="6099" spans="1:8">
      <c r="A6099" s="2"/>
      <c r="B6099" s="12"/>
      <c r="C6099" s="12"/>
      <c r="E6099" t="str">
        <f>IF(LEN(D6099)=0,"",[1]!i_pq_tradedays($B$3,A6100,A6099)-1)</f>
        <v/>
      </c>
      <c r="G6099" s="16" t="str">
        <f t="shared" si="206"/>
        <v/>
      </c>
      <c r="H6099" s="70" t="str">
        <f t="shared" si="207"/>
        <v/>
      </c>
    </row>
    <row r="6100" spans="1:8">
      <c r="A6100" s="2"/>
      <c r="B6100" s="12"/>
      <c r="C6100" s="12"/>
      <c r="E6100" t="str">
        <f>IF(LEN(D6100)=0,"",[1]!i_pq_tradedays($B$3,A6101,A6100)-1)</f>
        <v/>
      </c>
      <c r="G6100" s="16" t="str">
        <f t="shared" si="206"/>
        <v/>
      </c>
      <c r="H6100" s="70" t="str">
        <f t="shared" si="207"/>
        <v/>
      </c>
    </row>
    <row r="6101" spans="1:8">
      <c r="A6101" s="2"/>
      <c r="B6101" s="12"/>
      <c r="C6101" s="12"/>
      <c r="E6101" t="str">
        <f>IF(LEN(D6101)=0,"",[1]!i_pq_tradedays($B$3,A6102,A6101)-1)</f>
        <v/>
      </c>
      <c r="G6101" s="16" t="str">
        <f t="shared" si="206"/>
        <v/>
      </c>
      <c r="H6101" s="70" t="str">
        <f t="shared" si="207"/>
        <v/>
      </c>
    </row>
    <row r="6102" spans="1:8">
      <c r="A6102" s="2"/>
      <c r="B6102" s="12"/>
      <c r="C6102" s="12"/>
      <c r="E6102" t="str">
        <f>IF(LEN(D6102)=0,"",[1]!i_pq_tradedays($B$3,A6103,A6102)-1)</f>
        <v/>
      </c>
      <c r="G6102" s="16" t="str">
        <f t="shared" si="206"/>
        <v/>
      </c>
      <c r="H6102" s="70" t="str">
        <f t="shared" si="207"/>
        <v/>
      </c>
    </row>
    <row r="6103" spans="1:8">
      <c r="A6103" s="2"/>
      <c r="B6103" s="12"/>
      <c r="C6103" s="12"/>
      <c r="E6103" t="str">
        <f>IF(LEN(D6103)=0,"",[1]!i_pq_tradedays($B$3,A6104,A6103)-1)</f>
        <v/>
      </c>
      <c r="G6103" s="16" t="str">
        <f t="shared" si="206"/>
        <v/>
      </c>
      <c r="H6103" s="70" t="str">
        <f t="shared" si="207"/>
        <v/>
      </c>
    </row>
    <row r="6104" spans="1:8">
      <c r="A6104" s="2"/>
      <c r="B6104" s="12"/>
      <c r="C6104" s="12"/>
      <c r="E6104" t="str">
        <f>IF(LEN(D6104)=0,"",[1]!i_pq_tradedays($B$3,A6105,A6104)-1)</f>
        <v/>
      </c>
      <c r="G6104" s="16" t="str">
        <f t="shared" si="206"/>
        <v/>
      </c>
      <c r="H6104" s="70" t="str">
        <f t="shared" si="207"/>
        <v/>
      </c>
    </row>
    <row r="6105" spans="1:8">
      <c r="A6105" s="2"/>
      <c r="B6105" s="12"/>
      <c r="C6105" s="12"/>
      <c r="E6105" t="str">
        <f>IF(LEN(D6105)=0,"",[1]!i_pq_tradedays($B$3,A6106,A6105)-1)</f>
        <v/>
      </c>
      <c r="G6105" s="16" t="str">
        <f t="shared" si="206"/>
        <v/>
      </c>
      <c r="H6105" s="70" t="str">
        <f t="shared" si="207"/>
        <v/>
      </c>
    </row>
    <row r="6106" spans="1:8">
      <c r="A6106" s="2"/>
      <c r="B6106" s="12"/>
      <c r="C6106" s="12"/>
      <c r="E6106" t="str">
        <f>IF(LEN(D6106)=0,"",[1]!i_pq_tradedays($B$3,A6107,A6106)-1)</f>
        <v/>
      </c>
      <c r="G6106" s="16" t="str">
        <f t="shared" si="206"/>
        <v/>
      </c>
      <c r="H6106" s="70" t="str">
        <f t="shared" si="207"/>
        <v/>
      </c>
    </row>
    <row r="6107" spans="1:8">
      <c r="A6107" s="2"/>
      <c r="B6107" s="12"/>
      <c r="C6107" s="12"/>
      <c r="E6107" t="str">
        <f>IF(LEN(D6107)=0,"",[1]!i_pq_tradedays($B$3,A6108,A6107)-1)</f>
        <v/>
      </c>
      <c r="G6107" s="16" t="str">
        <f t="shared" si="206"/>
        <v/>
      </c>
      <c r="H6107" s="70" t="str">
        <f t="shared" si="207"/>
        <v/>
      </c>
    </row>
    <row r="6108" spans="1:8">
      <c r="A6108" s="2"/>
      <c r="B6108" s="12"/>
      <c r="C6108" s="12"/>
      <c r="E6108" t="str">
        <f>IF(LEN(D6108)=0,"",[1]!i_pq_tradedays($B$3,A6109,A6108)-1)</f>
        <v/>
      </c>
      <c r="G6108" s="16" t="str">
        <f t="shared" si="206"/>
        <v/>
      </c>
      <c r="H6108" s="70" t="str">
        <f t="shared" si="207"/>
        <v/>
      </c>
    </row>
    <row r="6109" spans="1:8">
      <c r="A6109" s="2"/>
      <c r="B6109" s="12"/>
      <c r="C6109" s="12"/>
      <c r="E6109" t="str">
        <f>IF(LEN(D6109)=0,"",[1]!i_pq_tradedays($B$3,A6110,A6109)-1)</f>
        <v/>
      </c>
      <c r="G6109" s="16" t="str">
        <f t="shared" si="206"/>
        <v/>
      </c>
      <c r="H6109" s="70" t="str">
        <f t="shared" si="207"/>
        <v/>
      </c>
    </row>
    <row r="6110" spans="1:8">
      <c r="A6110" s="2"/>
      <c r="B6110" s="12"/>
      <c r="C6110" s="12"/>
      <c r="E6110" t="str">
        <f>IF(LEN(D6110)=0,"",[1]!i_pq_tradedays($B$3,A6111,A6110)-1)</f>
        <v/>
      </c>
      <c r="G6110" s="16" t="str">
        <f t="shared" si="206"/>
        <v/>
      </c>
      <c r="H6110" s="70" t="str">
        <f t="shared" si="207"/>
        <v/>
      </c>
    </row>
    <row r="6111" spans="1:8">
      <c r="A6111" s="2"/>
      <c r="B6111" s="12"/>
      <c r="C6111" s="12"/>
      <c r="E6111" t="str">
        <f>IF(LEN(D6111)=0,"",[1]!i_pq_tradedays($B$3,A6112,A6111)-1)</f>
        <v/>
      </c>
      <c r="G6111" s="16" t="str">
        <f t="shared" si="206"/>
        <v/>
      </c>
      <c r="H6111" s="70" t="str">
        <f t="shared" si="207"/>
        <v/>
      </c>
    </row>
    <row r="6112" spans="1:8">
      <c r="A6112" s="2"/>
      <c r="B6112" s="12"/>
      <c r="C6112" s="12"/>
      <c r="E6112" t="str">
        <f>IF(LEN(D6112)=0,"",[1]!i_pq_tradedays($B$3,A6113,A6112)-1)</f>
        <v/>
      </c>
      <c r="G6112" s="16" t="str">
        <f t="shared" si="206"/>
        <v/>
      </c>
      <c r="H6112" s="70" t="str">
        <f t="shared" si="207"/>
        <v/>
      </c>
    </row>
    <row r="6113" spans="1:8">
      <c r="A6113" s="2"/>
      <c r="B6113" s="12"/>
      <c r="C6113" s="12"/>
      <c r="E6113" t="str">
        <f>IF(LEN(D6113)=0,"",[1]!i_pq_tradedays($B$3,A6114,A6113)-1)</f>
        <v/>
      </c>
      <c r="G6113" s="16" t="str">
        <f t="shared" si="206"/>
        <v/>
      </c>
      <c r="H6113" s="70" t="str">
        <f t="shared" si="207"/>
        <v/>
      </c>
    </row>
    <row r="6114" spans="1:8">
      <c r="A6114" s="2"/>
      <c r="B6114" s="12"/>
      <c r="C6114" s="12"/>
      <c r="E6114" t="str">
        <f>IF(LEN(D6114)=0,"",[1]!i_pq_tradedays($B$3,A6115,A6114)-1)</f>
        <v/>
      </c>
      <c r="G6114" s="16" t="str">
        <f t="shared" si="206"/>
        <v/>
      </c>
      <c r="H6114" s="70" t="str">
        <f t="shared" si="207"/>
        <v/>
      </c>
    </row>
    <row r="6115" spans="1:8">
      <c r="A6115" s="2"/>
      <c r="B6115" s="12"/>
      <c r="C6115" s="12"/>
      <c r="E6115" t="str">
        <f>IF(LEN(D6115)=0,"",[1]!i_pq_tradedays($B$3,A6116,A6115)-1)</f>
        <v/>
      </c>
      <c r="G6115" s="16" t="str">
        <f t="shared" si="206"/>
        <v/>
      </c>
      <c r="H6115" s="70" t="str">
        <f t="shared" si="207"/>
        <v/>
      </c>
    </row>
    <row r="6116" spans="1:8">
      <c r="A6116" s="2"/>
      <c r="B6116" s="12"/>
      <c r="C6116" s="12"/>
      <c r="E6116" t="str">
        <f>IF(LEN(D6116)=0,"",[1]!i_pq_tradedays($B$3,A6117,A6116)-1)</f>
        <v/>
      </c>
      <c r="G6116" s="16" t="str">
        <f t="shared" si="206"/>
        <v/>
      </c>
      <c r="H6116" s="70" t="str">
        <f t="shared" si="207"/>
        <v/>
      </c>
    </row>
    <row r="6117" spans="1:8">
      <c r="A6117" s="2"/>
      <c r="B6117" s="12"/>
      <c r="C6117" s="12"/>
      <c r="E6117" t="str">
        <f>IF(LEN(D6117)=0,"",[1]!i_pq_tradedays($B$3,A6118,A6117)-1)</f>
        <v/>
      </c>
      <c r="G6117" s="16" t="str">
        <f t="shared" si="206"/>
        <v/>
      </c>
      <c r="H6117" s="70" t="str">
        <f t="shared" si="207"/>
        <v/>
      </c>
    </row>
    <row r="6118" spans="1:8">
      <c r="A6118" s="2"/>
      <c r="B6118" s="12"/>
      <c r="C6118" s="12"/>
      <c r="E6118" t="str">
        <f>IF(LEN(D6118)=0,"",[1]!i_pq_tradedays($B$3,A6119,A6118)-1)</f>
        <v/>
      </c>
      <c r="G6118" s="16" t="str">
        <f t="shared" si="206"/>
        <v/>
      </c>
      <c r="H6118" s="70" t="str">
        <f t="shared" si="207"/>
        <v/>
      </c>
    </row>
    <row r="6119" spans="1:8">
      <c r="A6119" s="2"/>
      <c r="B6119" s="12"/>
      <c r="C6119" s="12"/>
      <c r="E6119" t="str">
        <f>IF(LEN(D6119)=0,"",[1]!i_pq_tradedays($B$3,A6120,A6119)-1)</f>
        <v/>
      </c>
      <c r="G6119" s="16" t="str">
        <f t="shared" si="206"/>
        <v/>
      </c>
      <c r="H6119" s="70" t="str">
        <f t="shared" si="207"/>
        <v/>
      </c>
    </row>
    <row r="6120" spans="1:8">
      <c r="A6120" s="2"/>
      <c r="B6120" s="12"/>
      <c r="C6120" s="12"/>
      <c r="E6120" t="str">
        <f>IF(LEN(D6120)=0,"",[1]!i_pq_tradedays($B$3,A6121,A6120)-1)</f>
        <v/>
      </c>
      <c r="G6120" s="16" t="str">
        <f t="shared" si="206"/>
        <v/>
      </c>
      <c r="H6120" s="70" t="str">
        <f t="shared" si="207"/>
        <v/>
      </c>
    </row>
    <row r="6121" spans="1:8">
      <c r="A6121" s="2"/>
      <c r="B6121" s="12"/>
      <c r="C6121" s="12"/>
      <c r="E6121" t="str">
        <f>IF(LEN(D6121)=0,"",[1]!i_pq_tradedays($B$3,A6122,A6121)-1)</f>
        <v/>
      </c>
      <c r="G6121" s="16" t="str">
        <f t="shared" si="206"/>
        <v/>
      </c>
      <c r="H6121" s="70" t="str">
        <f t="shared" si="207"/>
        <v/>
      </c>
    </row>
    <row r="6122" spans="1:8">
      <c r="A6122" s="2"/>
      <c r="B6122" s="12"/>
      <c r="C6122" s="12"/>
      <c r="E6122" t="str">
        <f>IF(LEN(D6122)=0,"",[1]!i_pq_tradedays($B$3,A6123,A6122)-1)</f>
        <v/>
      </c>
      <c r="G6122" s="16" t="str">
        <f t="shared" si="206"/>
        <v/>
      </c>
      <c r="H6122" s="70" t="str">
        <f t="shared" si="207"/>
        <v/>
      </c>
    </row>
    <row r="6123" spans="1:8">
      <c r="A6123" s="2"/>
      <c r="B6123" s="12"/>
      <c r="C6123" s="12"/>
      <c r="E6123" t="str">
        <f>IF(LEN(D6123)=0,"",[1]!i_pq_tradedays($B$3,A6124,A6123)-1)</f>
        <v/>
      </c>
      <c r="G6123" s="16" t="str">
        <f t="shared" si="206"/>
        <v/>
      </c>
      <c r="H6123" s="70" t="str">
        <f t="shared" si="207"/>
        <v/>
      </c>
    </row>
    <row r="6124" spans="1:8">
      <c r="A6124" s="2"/>
      <c r="B6124" s="12"/>
      <c r="C6124" s="12"/>
      <c r="E6124" t="str">
        <f>IF(LEN(D6124)=0,"",[1]!i_pq_tradedays($B$3,A6125,A6124)-1)</f>
        <v/>
      </c>
      <c r="G6124" s="16" t="str">
        <f t="shared" si="206"/>
        <v/>
      </c>
      <c r="H6124" s="70" t="str">
        <f t="shared" si="207"/>
        <v/>
      </c>
    </row>
    <row r="6125" spans="1:8">
      <c r="A6125" s="2"/>
      <c r="B6125" s="12"/>
      <c r="C6125" s="12"/>
      <c r="E6125" t="str">
        <f>IF(LEN(D6125)=0,"",[1]!i_pq_tradedays($B$3,A6126,A6125)-1)</f>
        <v/>
      </c>
      <c r="G6125" s="16" t="str">
        <f t="shared" si="206"/>
        <v/>
      </c>
      <c r="H6125" s="70" t="str">
        <f t="shared" si="207"/>
        <v/>
      </c>
    </row>
    <row r="6126" spans="1:8">
      <c r="A6126" s="2"/>
      <c r="B6126" s="12"/>
      <c r="C6126" s="12"/>
      <c r="E6126" t="str">
        <f>IF(LEN(D6126)=0,"",[1]!i_pq_tradedays($B$3,A6127,A6126)-1)</f>
        <v/>
      </c>
      <c r="G6126" s="16" t="str">
        <f t="shared" si="206"/>
        <v/>
      </c>
      <c r="H6126" s="70" t="str">
        <f t="shared" si="207"/>
        <v/>
      </c>
    </row>
    <row r="6127" spans="1:8">
      <c r="A6127" s="2"/>
      <c r="B6127" s="12"/>
      <c r="C6127" s="12"/>
      <c r="E6127" t="str">
        <f>IF(LEN(D6127)=0,"",[1]!i_pq_tradedays($B$3,A6128,A6127)-1)</f>
        <v/>
      </c>
      <c r="G6127" s="16" t="str">
        <f t="shared" si="206"/>
        <v/>
      </c>
      <c r="H6127" s="70" t="str">
        <f t="shared" si="207"/>
        <v/>
      </c>
    </row>
    <row r="6128" spans="1:8">
      <c r="A6128" s="2"/>
      <c r="B6128" s="12"/>
      <c r="C6128" s="12"/>
      <c r="E6128" t="str">
        <f>IF(LEN(D6128)=0,"",[1]!i_pq_tradedays($B$3,A6129,A6128)-1)</f>
        <v/>
      </c>
      <c r="G6128" s="16" t="str">
        <f t="shared" si="206"/>
        <v/>
      </c>
      <c r="H6128" s="70" t="str">
        <f t="shared" si="207"/>
        <v/>
      </c>
    </row>
    <row r="6129" spans="1:8">
      <c r="A6129" s="2"/>
      <c r="B6129" s="12"/>
      <c r="C6129" s="12"/>
      <c r="E6129" t="str">
        <f>IF(LEN(D6129)=0,"",[1]!i_pq_tradedays($B$3,A6130,A6129)-1)</f>
        <v/>
      </c>
      <c r="G6129" s="16" t="str">
        <f t="shared" si="206"/>
        <v/>
      </c>
      <c r="H6129" s="70" t="str">
        <f t="shared" si="207"/>
        <v/>
      </c>
    </row>
    <row r="6130" spans="1:8">
      <c r="A6130" s="2"/>
      <c r="B6130" s="12"/>
      <c r="C6130" s="12"/>
      <c r="E6130" t="str">
        <f>IF(LEN(D6130)=0,"",[1]!i_pq_tradedays($B$3,A6131,A6130)-1)</f>
        <v/>
      </c>
      <c r="G6130" s="16" t="str">
        <f t="shared" si="206"/>
        <v/>
      </c>
      <c r="H6130" s="70" t="str">
        <f t="shared" si="207"/>
        <v/>
      </c>
    </row>
    <row r="6131" spans="1:8">
      <c r="A6131" s="2"/>
      <c r="B6131" s="12"/>
      <c r="C6131" s="12"/>
      <c r="E6131" t="str">
        <f>IF(LEN(D6131)=0,"",[1]!i_pq_tradedays($B$3,A6132,A6131)-1)</f>
        <v/>
      </c>
      <c r="G6131" s="16" t="str">
        <f t="shared" si="206"/>
        <v/>
      </c>
      <c r="H6131" s="70" t="str">
        <f t="shared" si="207"/>
        <v/>
      </c>
    </row>
    <row r="6132" spans="1:8">
      <c r="A6132" s="2"/>
      <c r="B6132" s="12"/>
      <c r="C6132" s="12"/>
      <c r="E6132" t="str">
        <f>IF(LEN(D6132)=0,"",[1]!i_pq_tradedays($B$3,A6133,A6132)-1)</f>
        <v/>
      </c>
      <c r="G6132" s="16" t="str">
        <f t="shared" si="206"/>
        <v/>
      </c>
      <c r="H6132" s="70" t="str">
        <f t="shared" si="207"/>
        <v/>
      </c>
    </row>
    <row r="6133" spans="1:8">
      <c r="A6133" s="2"/>
      <c r="B6133" s="12"/>
      <c r="C6133" s="12"/>
      <c r="E6133" t="str">
        <f>IF(LEN(D6133)=0,"",[1]!i_pq_tradedays($B$3,A6134,A6133)-1)</f>
        <v/>
      </c>
      <c r="G6133" s="16" t="str">
        <f t="shared" ref="G6133:G6196" si="208">IF(LEN(D6133)=0,"",D6133/E6133)</f>
        <v/>
      </c>
      <c r="H6133" s="70" t="str">
        <f t="shared" ref="H6133:H6196" si="209">IF(LEN(D6133)=0,"",G6133/G6134-1)</f>
        <v/>
      </c>
    </row>
    <row r="6134" spans="1:8">
      <c r="A6134" s="2"/>
      <c r="B6134" s="12"/>
      <c r="C6134" s="12"/>
      <c r="E6134" t="str">
        <f>IF(LEN(D6134)=0,"",[1]!i_pq_tradedays($B$3,A6135,A6134)-1)</f>
        <v/>
      </c>
      <c r="G6134" s="16" t="str">
        <f t="shared" si="208"/>
        <v/>
      </c>
      <c r="H6134" s="70" t="str">
        <f t="shared" si="209"/>
        <v/>
      </c>
    </row>
    <row r="6135" spans="1:8">
      <c r="A6135" s="2"/>
      <c r="B6135" s="12"/>
      <c r="C6135" s="12"/>
      <c r="E6135" t="str">
        <f>IF(LEN(D6135)=0,"",[1]!i_pq_tradedays($B$3,A6136,A6135)-1)</f>
        <v/>
      </c>
      <c r="G6135" s="16" t="str">
        <f t="shared" si="208"/>
        <v/>
      </c>
      <c r="H6135" s="70" t="str">
        <f t="shared" si="209"/>
        <v/>
      </c>
    </row>
    <row r="6136" spans="1:8">
      <c r="A6136" s="2"/>
      <c r="B6136" s="12"/>
      <c r="C6136" s="12"/>
      <c r="E6136" t="str">
        <f>IF(LEN(D6136)=0,"",[1]!i_pq_tradedays($B$3,A6137,A6136)-1)</f>
        <v/>
      </c>
      <c r="G6136" s="16" t="str">
        <f t="shared" si="208"/>
        <v/>
      </c>
      <c r="H6136" s="70" t="str">
        <f t="shared" si="209"/>
        <v/>
      </c>
    </row>
    <row r="6137" spans="1:8">
      <c r="A6137" s="2"/>
      <c r="B6137" s="12"/>
      <c r="C6137" s="12"/>
      <c r="E6137" t="str">
        <f>IF(LEN(D6137)=0,"",[1]!i_pq_tradedays($B$3,A6138,A6137)-1)</f>
        <v/>
      </c>
      <c r="G6137" s="16" t="str">
        <f t="shared" si="208"/>
        <v/>
      </c>
      <c r="H6137" s="70" t="str">
        <f t="shared" si="209"/>
        <v/>
      </c>
    </row>
    <row r="6138" spans="1:8">
      <c r="A6138" s="2"/>
      <c r="B6138" s="12"/>
      <c r="C6138" s="12"/>
      <c r="E6138" t="str">
        <f>IF(LEN(D6138)=0,"",[1]!i_pq_tradedays($B$3,A6139,A6138)-1)</f>
        <v/>
      </c>
      <c r="G6138" s="16" t="str">
        <f t="shared" si="208"/>
        <v/>
      </c>
      <c r="H6138" s="70" t="str">
        <f t="shared" si="209"/>
        <v/>
      </c>
    </row>
    <row r="6139" spans="1:8">
      <c r="A6139" s="2"/>
      <c r="B6139" s="12"/>
      <c r="C6139" s="12"/>
      <c r="E6139" t="str">
        <f>IF(LEN(D6139)=0,"",[1]!i_pq_tradedays($B$3,A6140,A6139)-1)</f>
        <v/>
      </c>
      <c r="G6139" s="16" t="str">
        <f t="shared" si="208"/>
        <v/>
      </c>
      <c r="H6139" s="70" t="str">
        <f t="shared" si="209"/>
        <v/>
      </c>
    </row>
    <row r="6140" spans="1:8">
      <c r="A6140" s="2"/>
      <c r="B6140" s="12"/>
      <c r="C6140" s="12"/>
      <c r="E6140" t="str">
        <f>IF(LEN(D6140)=0,"",[1]!i_pq_tradedays($B$3,A6141,A6140)-1)</f>
        <v/>
      </c>
      <c r="G6140" s="16" t="str">
        <f t="shared" si="208"/>
        <v/>
      </c>
      <c r="H6140" s="70" t="str">
        <f t="shared" si="209"/>
        <v/>
      </c>
    </row>
    <row r="6141" spans="1:8">
      <c r="A6141" s="2"/>
      <c r="B6141" s="12"/>
      <c r="C6141" s="12"/>
      <c r="E6141" t="str">
        <f>IF(LEN(D6141)=0,"",[1]!i_pq_tradedays($B$3,A6142,A6141)-1)</f>
        <v/>
      </c>
      <c r="G6141" s="16" t="str">
        <f t="shared" si="208"/>
        <v/>
      </c>
      <c r="H6141" s="70" t="str">
        <f t="shared" si="209"/>
        <v/>
      </c>
    </row>
    <row r="6142" spans="1:8">
      <c r="A6142" s="2"/>
      <c r="B6142" s="12"/>
      <c r="C6142" s="12"/>
      <c r="E6142" t="str">
        <f>IF(LEN(D6142)=0,"",[1]!i_pq_tradedays($B$3,A6143,A6142)-1)</f>
        <v/>
      </c>
      <c r="G6142" s="16" t="str">
        <f t="shared" si="208"/>
        <v/>
      </c>
      <c r="H6142" s="70" t="str">
        <f t="shared" si="209"/>
        <v/>
      </c>
    </row>
    <row r="6143" spans="1:8">
      <c r="A6143" s="2"/>
      <c r="B6143" s="12"/>
      <c r="C6143" s="12"/>
      <c r="E6143" t="str">
        <f>IF(LEN(D6143)=0,"",[1]!i_pq_tradedays($B$3,A6144,A6143)-1)</f>
        <v/>
      </c>
      <c r="G6143" s="16" t="str">
        <f t="shared" si="208"/>
        <v/>
      </c>
      <c r="H6143" s="70" t="str">
        <f t="shared" si="209"/>
        <v/>
      </c>
    </row>
    <row r="6144" spans="1:8">
      <c r="A6144" s="2"/>
      <c r="B6144" s="12"/>
      <c r="C6144" s="12"/>
      <c r="E6144" t="str">
        <f>IF(LEN(D6144)=0,"",[1]!i_pq_tradedays($B$3,A6145,A6144)-1)</f>
        <v/>
      </c>
      <c r="G6144" s="16" t="str">
        <f t="shared" si="208"/>
        <v/>
      </c>
      <c r="H6144" s="70" t="str">
        <f t="shared" si="209"/>
        <v/>
      </c>
    </row>
    <row r="6145" spans="1:8">
      <c r="A6145" s="2"/>
      <c r="B6145" s="12"/>
      <c r="C6145" s="12"/>
      <c r="E6145" t="str">
        <f>IF(LEN(D6145)=0,"",[1]!i_pq_tradedays($B$3,A6146,A6145)-1)</f>
        <v/>
      </c>
      <c r="G6145" s="16" t="str">
        <f t="shared" si="208"/>
        <v/>
      </c>
      <c r="H6145" s="70" t="str">
        <f t="shared" si="209"/>
        <v/>
      </c>
    </row>
    <row r="6146" spans="1:8">
      <c r="A6146" s="2"/>
      <c r="B6146" s="12"/>
      <c r="C6146" s="12"/>
      <c r="E6146" t="str">
        <f>IF(LEN(D6146)=0,"",[1]!i_pq_tradedays($B$3,A6147,A6146)-1)</f>
        <v/>
      </c>
      <c r="G6146" s="16" t="str">
        <f t="shared" si="208"/>
        <v/>
      </c>
      <c r="H6146" s="70" t="str">
        <f t="shared" si="209"/>
        <v/>
      </c>
    </row>
    <row r="6147" spans="1:8">
      <c r="A6147" s="2"/>
      <c r="B6147" s="12"/>
      <c r="C6147" s="12"/>
      <c r="E6147" t="str">
        <f>IF(LEN(D6147)=0,"",[1]!i_pq_tradedays($B$3,A6148,A6147)-1)</f>
        <v/>
      </c>
      <c r="G6147" s="16" t="str">
        <f t="shared" si="208"/>
        <v/>
      </c>
      <c r="H6147" s="70" t="str">
        <f t="shared" si="209"/>
        <v/>
      </c>
    </row>
    <row r="6148" spans="1:8">
      <c r="A6148" s="2"/>
      <c r="B6148" s="12"/>
      <c r="C6148" s="12"/>
      <c r="E6148" t="str">
        <f>IF(LEN(D6148)=0,"",[1]!i_pq_tradedays($B$3,A6149,A6148)-1)</f>
        <v/>
      </c>
      <c r="G6148" s="16" t="str">
        <f t="shared" si="208"/>
        <v/>
      </c>
      <c r="H6148" s="70" t="str">
        <f t="shared" si="209"/>
        <v/>
      </c>
    </row>
    <row r="6149" spans="1:8">
      <c r="A6149" s="2"/>
      <c r="B6149" s="12"/>
      <c r="C6149" s="12"/>
      <c r="E6149" t="str">
        <f>IF(LEN(D6149)=0,"",[1]!i_pq_tradedays($B$3,A6150,A6149)-1)</f>
        <v/>
      </c>
      <c r="G6149" s="16" t="str">
        <f t="shared" si="208"/>
        <v/>
      </c>
      <c r="H6149" s="70" t="str">
        <f t="shared" si="209"/>
        <v/>
      </c>
    </row>
    <row r="6150" spans="1:8">
      <c r="A6150" s="2"/>
      <c r="B6150" s="12"/>
      <c r="C6150" s="12"/>
      <c r="E6150" t="str">
        <f>IF(LEN(D6150)=0,"",[1]!i_pq_tradedays($B$3,A6151,A6150)-1)</f>
        <v/>
      </c>
      <c r="G6150" s="16" t="str">
        <f t="shared" si="208"/>
        <v/>
      </c>
      <c r="H6150" s="70" t="str">
        <f t="shared" si="209"/>
        <v/>
      </c>
    </row>
    <row r="6151" spans="1:8">
      <c r="A6151" s="2"/>
      <c r="B6151" s="12"/>
      <c r="C6151" s="12"/>
      <c r="E6151" t="str">
        <f>IF(LEN(D6151)=0,"",[1]!i_pq_tradedays($B$3,A6152,A6151)-1)</f>
        <v/>
      </c>
      <c r="G6151" s="16" t="str">
        <f t="shared" si="208"/>
        <v/>
      </c>
      <c r="H6151" s="70" t="str">
        <f t="shared" si="209"/>
        <v/>
      </c>
    </row>
    <row r="6152" spans="1:8">
      <c r="A6152" s="2"/>
      <c r="B6152" s="12"/>
      <c r="C6152" s="12"/>
      <c r="E6152" t="str">
        <f>IF(LEN(D6152)=0,"",[1]!i_pq_tradedays($B$3,A6153,A6152)-1)</f>
        <v/>
      </c>
      <c r="G6152" s="16" t="str">
        <f t="shared" si="208"/>
        <v/>
      </c>
      <c r="H6152" s="70" t="str">
        <f t="shared" si="209"/>
        <v/>
      </c>
    </row>
    <row r="6153" spans="1:8">
      <c r="A6153" s="2"/>
      <c r="B6153" s="12"/>
      <c r="C6153" s="12"/>
      <c r="E6153" t="str">
        <f>IF(LEN(D6153)=0,"",[1]!i_pq_tradedays($B$3,A6154,A6153)-1)</f>
        <v/>
      </c>
      <c r="G6153" s="16" t="str">
        <f t="shared" si="208"/>
        <v/>
      </c>
      <c r="H6153" s="70" t="str">
        <f t="shared" si="209"/>
        <v/>
      </c>
    </row>
    <row r="6154" spans="1:8">
      <c r="A6154" s="2"/>
      <c r="B6154" s="12"/>
      <c r="C6154" s="12"/>
      <c r="E6154" t="str">
        <f>IF(LEN(D6154)=0,"",[1]!i_pq_tradedays($B$3,A6155,A6154)-1)</f>
        <v/>
      </c>
      <c r="G6154" s="16" t="str">
        <f t="shared" si="208"/>
        <v/>
      </c>
      <c r="H6154" s="70" t="str">
        <f t="shared" si="209"/>
        <v/>
      </c>
    </row>
    <row r="6155" spans="1:8">
      <c r="A6155" s="2"/>
      <c r="B6155" s="12"/>
      <c r="C6155" s="12"/>
      <c r="E6155" t="str">
        <f>IF(LEN(D6155)=0,"",[1]!i_pq_tradedays($B$3,A6156,A6155)-1)</f>
        <v/>
      </c>
      <c r="G6155" s="16" t="str">
        <f t="shared" si="208"/>
        <v/>
      </c>
      <c r="H6155" s="70" t="str">
        <f t="shared" si="209"/>
        <v/>
      </c>
    </row>
    <row r="6156" spans="1:8">
      <c r="A6156" s="2"/>
      <c r="B6156" s="12"/>
      <c r="C6156" s="12"/>
      <c r="E6156" t="str">
        <f>IF(LEN(D6156)=0,"",[1]!i_pq_tradedays($B$3,A6157,A6156)-1)</f>
        <v/>
      </c>
      <c r="G6156" s="16" t="str">
        <f t="shared" si="208"/>
        <v/>
      </c>
      <c r="H6156" s="70" t="str">
        <f t="shared" si="209"/>
        <v/>
      </c>
    </row>
    <row r="6157" spans="1:8">
      <c r="A6157" s="2"/>
      <c r="B6157" s="12"/>
      <c r="C6157" s="12"/>
      <c r="E6157" t="str">
        <f>IF(LEN(D6157)=0,"",[1]!i_pq_tradedays($B$3,A6158,A6157)-1)</f>
        <v/>
      </c>
      <c r="G6157" s="16" t="str">
        <f t="shared" si="208"/>
        <v/>
      </c>
      <c r="H6157" s="70" t="str">
        <f t="shared" si="209"/>
        <v/>
      </c>
    </row>
    <row r="6158" spans="1:8">
      <c r="A6158" s="2"/>
      <c r="B6158" s="12"/>
      <c r="C6158" s="12"/>
      <c r="E6158" t="str">
        <f>IF(LEN(D6158)=0,"",[1]!i_pq_tradedays($B$3,A6159,A6158)-1)</f>
        <v/>
      </c>
      <c r="G6158" s="16" t="str">
        <f t="shared" si="208"/>
        <v/>
      </c>
      <c r="H6158" s="70" t="str">
        <f t="shared" si="209"/>
        <v/>
      </c>
    </row>
    <row r="6159" spans="1:8">
      <c r="A6159" s="2"/>
      <c r="B6159" s="12"/>
      <c r="C6159" s="12"/>
      <c r="E6159" t="str">
        <f>IF(LEN(D6159)=0,"",[1]!i_pq_tradedays($B$3,A6160,A6159)-1)</f>
        <v/>
      </c>
      <c r="G6159" s="16" t="str">
        <f t="shared" si="208"/>
        <v/>
      </c>
      <c r="H6159" s="70" t="str">
        <f t="shared" si="209"/>
        <v/>
      </c>
    </row>
    <row r="6160" spans="1:8">
      <c r="A6160" s="2"/>
      <c r="B6160" s="12"/>
      <c r="C6160" s="12"/>
      <c r="E6160" t="str">
        <f>IF(LEN(D6160)=0,"",[1]!i_pq_tradedays($B$3,A6161,A6160)-1)</f>
        <v/>
      </c>
      <c r="G6160" s="16" t="str">
        <f t="shared" si="208"/>
        <v/>
      </c>
      <c r="H6160" s="70" t="str">
        <f t="shared" si="209"/>
        <v/>
      </c>
    </row>
    <row r="6161" spans="1:8">
      <c r="A6161" s="2"/>
      <c r="B6161" s="12"/>
      <c r="C6161" s="12"/>
      <c r="E6161" t="str">
        <f>IF(LEN(D6161)=0,"",[1]!i_pq_tradedays($B$3,A6162,A6161)-1)</f>
        <v/>
      </c>
      <c r="G6161" s="16" t="str">
        <f t="shared" si="208"/>
        <v/>
      </c>
      <c r="H6161" s="70" t="str">
        <f t="shared" si="209"/>
        <v/>
      </c>
    </row>
    <row r="6162" spans="1:8">
      <c r="A6162" s="2"/>
      <c r="B6162" s="12"/>
      <c r="C6162" s="12"/>
      <c r="E6162" t="str">
        <f>IF(LEN(D6162)=0,"",[1]!i_pq_tradedays($B$3,A6163,A6162)-1)</f>
        <v/>
      </c>
      <c r="G6162" s="16" t="str">
        <f t="shared" si="208"/>
        <v/>
      </c>
      <c r="H6162" s="70" t="str">
        <f t="shared" si="209"/>
        <v/>
      </c>
    </row>
    <row r="6163" spans="1:8">
      <c r="A6163" s="2"/>
      <c r="B6163" s="12"/>
      <c r="C6163" s="12"/>
      <c r="E6163" t="str">
        <f>IF(LEN(D6163)=0,"",[1]!i_pq_tradedays($B$3,A6164,A6163)-1)</f>
        <v/>
      </c>
      <c r="G6163" s="16" t="str">
        <f t="shared" si="208"/>
        <v/>
      </c>
      <c r="H6163" s="70" t="str">
        <f t="shared" si="209"/>
        <v/>
      </c>
    </row>
    <row r="6164" spans="1:8">
      <c r="A6164" s="2"/>
      <c r="B6164" s="12"/>
      <c r="C6164" s="12"/>
      <c r="E6164" t="str">
        <f>IF(LEN(D6164)=0,"",[1]!i_pq_tradedays($B$3,A6165,A6164)-1)</f>
        <v/>
      </c>
      <c r="G6164" s="16" t="str">
        <f t="shared" si="208"/>
        <v/>
      </c>
      <c r="H6164" s="70" t="str">
        <f t="shared" si="209"/>
        <v/>
      </c>
    </row>
    <row r="6165" spans="1:8">
      <c r="A6165" s="2"/>
      <c r="B6165" s="12"/>
      <c r="C6165" s="12"/>
      <c r="E6165" t="str">
        <f>IF(LEN(D6165)=0,"",[1]!i_pq_tradedays($B$3,A6166,A6165)-1)</f>
        <v/>
      </c>
      <c r="G6165" s="16" t="str">
        <f t="shared" si="208"/>
        <v/>
      </c>
      <c r="H6165" s="70" t="str">
        <f t="shared" si="209"/>
        <v/>
      </c>
    </row>
    <row r="6166" spans="1:8">
      <c r="A6166" s="2"/>
      <c r="B6166" s="12"/>
      <c r="C6166" s="12"/>
      <c r="E6166" t="str">
        <f>IF(LEN(D6166)=0,"",[1]!i_pq_tradedays($B$3,A6167,A6166)-1)</f>
        <v/>
      </c>
      <c r="G6166" s="16" t="str">
        <f t="shared" si="208"/>
        <v/>
      </c>
      <c r="H6166" s="70" t="str">
        <f t="shared" si="209"/>
        <v/>
      </c>
    </row>
    <row r="6167" spans="1:8">
      <c r="A6167" s="2"/>
      <c r="B6167" s="12"/>
      <c r="C6167" s="12"/>
      <c r="E6167" t="str">
        <f>IF(LEN(D6167)=0,"",[1]!i_pq_tradedays($B$3,A6168,A6167)-1)</f>
        <v/>
      </c>
      <c r="G6167" s="16" t="str">
        <f t="shared" si="208"/>
        <v/>
      </c>
      <c r="H6167" s="70" t="str">
        <f t="shared" si="209"/>
        <v/>
      </c>
    </row>
    <row r="6168" spans="1:8">
      <c r="A6168" s="2"/>
      <c r="B6168" s="12"/>
      <c r="C6168" s="12"/>
      <c r="E6168" t="str">
        <f>IF(LEN(D6168)=0,"",[1]!i_pq_tradedays($B$3,A6169,A6168)-1)</f>
        <v/>
      </c>
      <c r="G6168" s="16" t="str">
        <f t="shared" si="208"/>
        <v/>
      </c>
      <c r="H6168" s="70" t="str">
        <f t="shared" si="209"/>
        <v/>
      </c>
    </row>
    <row r="6169" spans="1:8">
      <c r="A6169" s="2"/>
      <c r="B6169" s="12"/>
      <c r="C6169" s="12"/>
      <c r="E6169" t="str">
        <f>IF(LEN(D6169)=0,"",[1]!i_pq_tradedays($B$3,A6170,A6169)-1)</f>
        <v/>
      </c>
      <c r="G6169" s="16" t="str">
        <f t="shared" si="208"/>
        <v/>
      </c>
      <c r="H6169" s="70" t="str">
        <f t="shared" si="209"/>
        <v/>
      </c>
    </row>
    <row r="6170" spans="1:8">
      <c r="A6170" s="2"/>
      <c r="B6170" s="12"/>
      <c r="C6170" s="12"/>
      <c r="E6170" t="str">
        <f>IF(LEN(D6170)=0,"",[1]!i_pq_tradedays($B$3,A6171,A6170)-1)</f>
        <v/>
      </c>
      <c r="G6170" s="16" t="str">
        <f t="shared" si="208"/>
        <v/>
      </c>
      <c r="H6170" s="70" t="str">
        <f t="shared" si="209"/>
        <v/>
      </c>
    </row>
    <row r="6171" spans="1:8">
      <c r="A6171" s="2"/>
      <c r="B6171" s="12"/>
      <c r="C6171" s="12"/>
      <c r="E6171" t="str">
        <f>IF(LEN(D6171)=0,"",[1]!i_pq_tradedays($B$3,A6172,A6171)-1)</f>
        <v/>
      </c>
      <c r="G6171" s="16" t="str">
        <f t="shared" si="208"/>
        <v/>
      </c>
      <c r="H6171" s="70" t="str">
        <f t="shared" si="209"/>
        <v/>
      </c>
    </row>
    <row r="6172" spans="1:8">
      <c r="A6172" s="2"/>
      <c r="B6172" s="12"/>
      <c r="C6172" s="12"/>
      <c r="E6172" t="str">
        <f>IF(LEN(D6172)=0,"",[1]!i_pq_tradedays($B$3,A6173,A6172)-1)</f>
        <v/>
      </c>
      <c r="G6172" s="16" t="str">
        <f t="shared" si="208"/>
        <v/>
      </c>
      <c r="H6172" s="70" t="str">
        <f t="shared" si="209"/>
        <v/>
      </c>
    </row>
    <row r="6173" spans="1:8">
      <c r="A6173" s="2"/>
      <c r="B6173" s="12"/>
      <c r="C6173" s="12"/>
      <c r="E6173" t="str">
        <f>IF(LEN(D6173)=0,"",[1]!i_pq_tradedays($B$3,A6174,A6173)-1)</f>
        <v/>
      </c>
      <c r="G6173" s="16" t="str">
        <f t="shared" si="208"/>
        <v/>
      </c>
      <c r="H6173" s="70" t="str">
        <f t="shared" si="209"/>
        <v/>
      </c>
    </row>
    <row r="6174" spans="1:8">
      <c r="A6174" s="2"/>
      <c r="B6174" s="12"/>
      <c r="C6174" s="12"/>
      <c r="E6174" t="str">
        <f>IF(LEN(D6174)=0,"",[1]!i_pq_tradedays($B$3,A6175,A6174)-1)</f>
        <v/>
      </c>
      <c r="G6174" s="16" t="str">
        <f t="shared" si="208"/>
        <v/>
      </c>
      <c r="H6174" s="70" t="str">
        <f t="shared" si="209"/>
        <v/>
      </c>
    </row>
    <row r="6175" spans="1:8">
      <c r="A6175" s="2"/>
      <c r="B6175" s="12"/>
      <c r="C6175" s="12"/>
      <c r="E6175" t="str">
        <f>IF(LEN(D6175)=0,"",[1]!i_pq_tradedays($B$3,A6176,A6175)-1)</f>
        <v/>
      </c>
      <c r="G6175" s="16" t="str">
        <f t="shared" si="208"/>
        <v/>
      </c>
      <c r="H6175" s="70" t="str">
        <f t="shared" si="209"/>
        <v/>
      </c>
    </row>
    <row r="6176" spans="1:8">
      <c r="A6176" s="2"/>
      <c r="B6176" s="12"/>
      <c r="C6176" s="12"/>
      <c r="E6176" t="str">
        <f>IF(LEN(D6176)=0,"",[1]!i_pq_tradedays($B$3,A6177,A6176)-1)</f>
        <v/>
      </c>
      <c r="G6176" s="16" t="str">
        <f t="shared" si="208"/>
        <v/>
      </c>
      <c r="H6176" s="70" t="str">
        <f t="shared" si="209"/>
        <v/>
      </c>
    </row>
    <row r="6177" spans="1:8">
      <c r="A6177" s="2"/>
      <c r="B6177" s="12"/>
      <c r="C6177" s="12"/>
      <c r="E6177" t="str">
        <f>IF(LEN(D6177)=0,"",[1]!i_pq_tradedays($B$3,A6178,A6177)-1)</f>
        <v/>
      </c>
      <c r="G6177" s="16" t="str">
        <f t="shared" si="208"/>
        <v/>
      </c>
      <c r="H6177" s="70" t="str">
        <f t="shared" si="209"/>
        <v/>
      </c>
    </row>
    <row r="6178" spans="1:8">
      <c r="A6178" s="2"/>
      <c r="B6178" s="12"/>
      <c r="C6178" s="12"/>
      <c r="E6178" t="str">
        <f>IF(LEN(D6178)=0,"",[1]!i_pq_tradedays($B$3,A6179,A6178)-1)</f>
        <v/>
      </c>
      <c r="G6178" s="16" t="str">
        <f t="shared" si="208"/>
        <v/>
      </c>
      <c r="H6178" s="70" t="str">
        <f t="shared" si="209"/>
        <v/>
      </c>
    </row>
    <row r="6179" spans="1:8">
      <c r="A6179" s="2"/>
      <c r="B6179" s="12"/>
      <c r="C6179" s="12"/>
      <c r="E6179" t="str">
        <f>IF(LEN(D6179)=0,"",[1]!i_pq_tradedays($B$3,A6180,A6179)-1)</f>
        <v/>
      </c>
      <c r="G6179" s="16" t="str">
        <f t="shared" si="208"/>
        <v/>
      </c>
      <c r="H6179" s="70" t="str">
        <f t="shared" si="209"/>
        <v/>
      </c>
    </row>
    <row r="6180" spans="1:8">
      <c r="A6180" s="2"/>
      <c r="B6180" s="12"/>
      <c r="C6180" s="12"/>
      <c r="E6180" t="str">
        <f>IF(LEN(D6180)=0,"",[1]!i_pq_tradedays($B$3,A6181,A6180)-1)</f>
        <v/>
      </c>
      <c r="G6180" s="16" t="str">
        <f t="shared" si="208"/>
        <v/>
      </c>
      <c r="H6180" s="70" t="str">
        <f t="shared" si="209"/>
        <v/>
      </c>
    </row>
    <row r="6181" spans="1:8">
      <c r="A6181" s="2"/>
      <c r="B6181" s="12"/>
      <c r="C6181" s="12"/>
      <c r="E6181" t="str">
        <f>IF(LEN(D6181)=0,"",[1]!i_pq_tradedays($B$3,A6182,A6181)-1)</f>
        <v/>
      </c>
      <c r="G6181" s="16" t="str">
        <f t="shared" si="208"/>
        <v/>
      </c>
      <c r="H6181" s="70" t="str">
        <f t="shared" si="209"/>
        <v/>
      </c>
    </row>
    <row r="6182" spans="1:8">
      <c r="A6182" s="2"/>
      <c r="B6182" s="12"/>
      <c r="C6182" s="12"/>
      <c r="E6182" t="str">
        <f>IF(LEN(D6182)=0,"",[1]!i_pq_tradedays($B$3,A6183,A6182)-1)</f>
        <v/>
      </c>
      <c r="G6182" s="16" t="str">
        <f t="shared" si="208"/>
        <v/>
      </c>
      <c r="H6182" s="70" t="str">
        <f t="shared" si="209"/>
        <v/>
      </c>
    </row>
    <row r="6183" spans="1:8">
      <c r="A6183" s="2"/>
      <c r="B6183" s="12"/>
      <c r="C6183" s="12"/>
      <c r="E6183" t="str">
        <f>IF(LEN(D6183)=0,"",[1]!i_pq_tradedays($B$3,A6184,A6183)-1)</f>
        <v/>
      </c>
      <c r="G6183" s="16" t="str">
        <f t="shared" si="208"/>
        <v/>
      </c>
      <c r="H6183" s="70" t="str">
        <f t="shared" si="209"/>
        <v/>
      </c>
    </row>
    <row r="6184" spans="1:8">
      <c r="A6184" s="2"/>
      <c r="B6184" s="12"/>
      <c r="C6184" s="12"/>
      <c r="E6184" t="str">
        <f>IF(LEN(D6184)=0,"",[1]!i_pq_tradedays($B$3,A6185,A6184)-1)</f>
        <v/>
      </c>
      <c r="G6184" s="16" t="str">
        <f t="shared" si="208"/>
        <v/>
      </c>
      <c r="H6184" s="70" t="str">
        <f t="shared" si="209"/>
        <v/>
      </c>
    </row>
    <row r="6185" spans="1:8">
      <c r="A6185" s="2"/>
      <c r="B6185" s="12"/>
      <c r="C6185" s="12"/>
      <c r="E6185" t="str">
        <f>IF(LEN(D6185)=0,"",[1]!i_pq_tradedays($B$3,A6186,A6185)-1)</f>
        <v/>
      </c>
      <c r="G6185" s="16" t="str">
        <f t="shared" si="208"/>
        <v/>
      </c>
      <c r="H6185" s="70" t="str">
        <f t="shared" si="209"/>
        <v/>
      </c>
    </row>
    <row r="6186" spans="1:8">
      <c r="A6186" s="2"/>
      <c r="B6186" s="12"/>
      <c r="C6186" s="12"/>
      <c r="E6186" t="str">
        <f>IF(LEN(D6186)=0,"",[1]!i_pq_tradedays($B$3,A6187,A6186)-1)</f>
        <v/>
      </c>
      <c r="G6186" s="16" t="str">
        <f t="shared" si="208"/>
        <v/>
      </c>
      <c r="H6186" s="70" t="str">
        <f t="shared" si="209"/>
        <v/>
      </c>
    </row>
    <row r="6187" spans="1:8">
      <c r="A6187" s="2"/>
      <c r="B6187" s="12"/>
      <c r="C6187" s="12"/>
      <c r="E6187" t="str">
        <f>IF(LEN(D6187)=0,"",[1]!i_pq_tradedays($B$3,A6188,A6187)-1)</f>
        <v/>
      </c>
      <c r="G6187" s="16" t="str">
        <f t="shared" si="208"/>
        <v/>
      </c>
      <c r="H6187" s="70" t="str">
        <f t="shared" si="209"/>
        <v/>
      </c>
    </row>
    <row r="6188" spans="1:8">
      <c r="A6188" s="2"/>
      <c r="B6188" s="12"/>
      <c r="C6188" s="12"/>
      <c r="E6188" t="str">
        <f>IF(LEN(D6188)=0,"",[1]!i_pq_tradedays($B$3,A6189,A6188)-1)</f>
        <v/>
      </c>
      <c r="G6188" s="16" t="str">
        <f t="shared" si="208"/>
        <v/>
      </c>
      <c r="H6188" s="70" t="str">
        <f t="shared" si="209"/>
        <v/>
      </c>
    </row>
    <row r="6189" spans="1:8">
      <c r="A6189" s="2"/>
      <c r="B6189" s="12"/>
      <c r="C6189" s="12"/>
      <c r="E6189" t="str">
        <f>IF(LEN(D6189)=0,"",[1]!i_pq_tradedays($B$3,A6190,A6189)-1)</f>
        <v/>
      </c>
      <c r="G6189" s="16" t="str">
        <f t="shared" si="208"/>
        <v/>
      </c>
      <c r="H6189" s="70" t="str">
        <f t="shared" si="209"/>
        <v/>
      </c>
    </row>
    <row r="6190" spans="1:8">
      <c r="A6190" s="2"/>
      <c r="B6190" s="12"/>
      <c r="C6190" s="12"/>
      <c r="E6190" t="str">
        <f>IF(LEN(D6190)=0,"",[1]!i_pq_tradedays($B$3,A6191,A6190)-1)</f>
        <v/>
      </c>
      <c r="G6190" s="16" t="str">
        <f t="shared" si="208"/>
        <v/>
      </c>
      <c r="H6190" s="70" t="str">
        <f t="shared" si="209"/>
        <v/>
      </c>
    </row>
    <row r="6191" spans="1:8">
      <c r="A6191" s="2"/>
      <c r="B6191" s="12"/>
      <c r="C6191" s="12"/>
      <c r="E6191" t="str">
        <f>IF(LEN(D6191)=0,"",[1]!i_pq_tradedays($B$3,A6192,A6191)-1)</f>
        <v/>
      </c>
      <c r="G6191" s="16" t="str">
        <f t="shared" si="208"/>
        <v/>
      </c>
      <c r="H6191" s="70" t="str">
        <f t="shared" si="209"/>
        <v/>
      </c>
    </row>
    <row r="6192" spans="1:8">
      <c r="A6192" s="2"/>
      <c r="B6192" s="12"/>
      <c r="C6192" s="12"/>
      <c r="E6192" t="str">
        <f>IF(LEN(D6192)=0,"",[1]!i_pq_tradedays($B$3,A6193,A6192)-1)</f>
        <v/>
      </c>
      <c r="G6192" s="16" t="str">
        <f t="shared" si="208"/>
        <v/>
      </c>
      <c r="H6192" s="70" t="str">
        <f t="shared" si="209"/>
        <v/>
      </c>
    </row>
    <row r="6193" spans="1:8">
      <c r="A6193" s="2"/>
      <c r="B6193" s="12"/>
      <c r="C6193" s="12"/>
      <c r="E6193" t="str">
        <f>IF(LEN(D6193)=0,"",[1]!i_pq_tradedays($B$3,A6194,A6193)-1)</f>
        <v/>
      </c>
      <c r="G6193" s="16" t="str">
        <f t="shared" si="208"/>
        <v/>
      </c>
      <c r="H6193" s="70" t="str">
        <f t="shared" si="209"/>
        <v/>
      </c>
    </row>
    <row r="6194" spans="1:8">
      <c r="A6194" s="2"/>
      <c r="B6194" s="12"/>
      <c r="C6194" s="12"/>
      <c r="E6194" t="str">
        <f>IF(LEN(D6194)=0,"",[1]!i_pq_tradedays($B$3,A6195,A6194)-1)</f>
        <v/>
      </c>
      <c r="G6194" s="16" t="str">
        <f t="shared" si="208"/>
        <v/>
      </c>
      <c r="H6194" s="70" t="str">
        <f t="shared" si="209"/>
        <v/>
      </c>
    </row>
    <row r="6195" spans="1:8">
      <c r="A6195" s="2"/>
      <c r="B6195" s="12"/>
      <c r="C6195" s="12"/>
      <c r="E6195" t="str">
        <f>IF(LEN(D6195)=0,"",[1]!i_pq_tradedays($B$3,A6196,A6195)-1)</f>
        <v/>
      </c>
      <c r="G6195" s="16" t="str">
        <f t="shared" si="208"/>
        <v/>
      </c>
      <c r="H6195" s="70" t="str">
        <f t="shared" si="209"/>
        <v/>
      </c>
    </row>
    <row r="6196" spans="1:8">
      <c r="A6196" s="2"/>
      <c r="B6196" s="12"/>
      <c r="C6196" s="12"/>
      <c r="E6196" t="str">
        <f>IF(LEN(D6196)=0,"",[1]!i_pq_tradedays($B$3,A6197,A6196)-1)</f>
        <v/>
      </c>
      <c r="G6196" s="16" t="str">
        <f t="shared" si="208"/>
        <v/>
      </c>
      <c r="H6196" s="70" t="str">
        <f t="shared" si="209"/>
        <v/>
      </c>
    </row>
    <row r="6197" spans="1:8">
      <c r="A6197" s="2"/>
      <c r="B6197" s="12"/>
      <c r="C6197" s="12"/>
      <c r="E6197" t="str">
        <f>IF(LEN(D6197)=0,"",[1]!i_pq_tradedays($B$3,A6198,A6197)-1)</f>
        <v/>
      </c>
      <c r="G6197" s="16" t="str">
        <f t="shared" ref="G6197:G6260" si="210">IF(LEN(D6197)=0,"",D6197/E6197)</f>
        <v/>
      </c>
      <c r="H6197" s="70" t="str">
        <f t="shared" ref="H6197:H6260" si="211">IF(LEN(D6197)=0,"",G6197/G6198-1)</f>
        <v/>
      </c>
    </row>
    <row r="6198" spans="1:8">
      <c r="A6198" s="2"/>
      <c r="B6198" s="12"/>
      <c r="C6198" s="12"/>
      <c r="E6198" t="str">
        <f>IF(LEN(D6198)=0,"",[1]!i_pq_tradedays($B$3,A6199,A6198)-1)</f>
        <v/>
      </c>
      <c r="G6198" s="16" t="str">
        <f t="shared" si="210"/>
        <v/>
      </c>
      <c r="H6198" s="70" t="str">
        <f t="shared" si="211"/>
        <v/>
      </c>
    </row>
    <row r="6199" spans="1:8">
      <c r="A6199" s="2"/>
      <c r="B6199" s="12"/>
      <c r="C6199" s="12"/>
      <c r="E6199" t="str">
        <f>IF(LEN(D6199)=0,"",[1]!i_pq_tradedays($B$3,A6200,A6199)-1)</f>
        <v/>
      </c>
      <c r="G6199" s="16" t="str">
        <f t="shared" si="210"/>
        <v/>
      </c>
      <c r="H6199" s="70" t="str">
        <f t="shared" si="211"/>
        <v/>
      </c>
    </row>
    <row r="6200" spans="1:8">
      <c r="A6200" s="2"/>
      <c r="B6200" s="12"/>
      <c r="C6200" s="12"/>
      <c r="E6200" t="str">
        <f>IF(LEN(D6200)=0,"",[1]!i_pq_tradedays($B$3,A6201,A6200)-1)</f>
        <v/>
      </c>
      <c r="G6200" s="16" t="str">
        <f t="shared" si="210"/>
        <v/>
      </c>
      <c r="H6200" s="70" t="str">
        <f t="shared" si="211"/>
        <v/>
      </c>
    </row>
    <row r="6201" spans="1:8">
      <c r="A6201" s="2"/>
      <c r="B6201" s="12"/>
      <c r="C6201" s="12"/>
      <c r="E6201" t="str">
        <f>IF(LEN(D6201)=0,"",[1]!i_pq_tradedays($B$3,A6202,A6201)-1)</f>
        <v/>
      </c>
      <c r="G6201" s="16" t="str">
        <f t="shared" si="210"/>
        <v/>
      </c>
      <c r="H6201" s="70" t="str">
        <f t="shared" si="211"/>
        <v/>
      </c>
    </row>
    <row r="6202" spans="1:8">
      <c r="A6202" s="2"/>
      <c r="B6202" s="12"/>
      <c r="C6202" s="12"/>
      <c r="E6202" t="str">
        <f>IF(LEN(D6202)=0,"",[1]!i_pq_tradedays($B$3,A6203,A6202)-1)</f>
        <v/>
      </c>
      <c r="G6202" s="16" t="str">
        <f t="shared" si="210"/>
        <v/>
      </c>
      <c r="H6202" s="70" t="str">
        <f t="shared" si="211"/>
        <v/>
      </c>
    </row>
    <row r="6203" spans="1:8">
      <c r="A6203" s="2"/>
      <c r="B6203" s="12"/>
      <c r="C6203" s="12"/>
      <c r="E6203" t="str">
        <f>IF(LEN(D6203)=0,"",[1]!i_pq_tradedays($B$3,A6204,A6203)-1)</f>
        <v/>
      </c>
      <c r="G6203" s="16" t="str">
        <f t="shared" si="210"/>
        <v/>
      </c>
      <c r="H6203" s="70" t="str">
        <f t="shared" si="211"/>
        <v/>
      </c>
    </row>
    <row r="6204" spans="1:8">
      <c r="A6204" s="2"/>
      <c r="B6204" s="12"/>
      <c r="C6204" s="12"/>
      <c r="E6204" t="str">
        <f>IF(LEN(D6204)=0,"",[1]!i_pq_tradedays($B$3,A6205,A6204)-1)</f>
        <v/>
      </c>
      <c r="G6204" s="16" t="str">
        <f t="shared" si="210"/>
        <v/>
      </c>
      <c r="H6204" s="70" t="str">
        <f t="shared" si="211"/>
        <v/>
      </c>
    </row>
    <row r="6205" spans="1:8">
      <c r="A6205" s="2"/>
      <c r="B6205" s="12"/>
      <c r="C6205" s="12"/>
      <c r="E6205" t="str">
        <f>IF(LEN(D6205)=0,"",[1]!i_pq_tradedays($B$3,A6206,A6205)-1)</f>
        <v/>
      </c>
      <c r="G6205" s="16" t="str">
        <f t="shared" si="210"/>
        <v/>
      </c>
      <c r="H6205" s="70" t="str">
        <f t="shared" si="211"/>
        <v/>
      </c>
    </row>
    <row r="6206" spans="1:8">
      <c r="A6206" s="2"/>
      <c r="B6206" s="12"/>
      <c r="C6206" s="12"/>
      <c r="E6206" t="str">
        <f>IF(LEN(D6206)=0,"",[1]!i_pq_tradedays($B$3,A6207,A6206)-1)</f>
        <v/>
      </c>
      <c r="G6206" s="16" t="str">
        <f t="shared" si="210"/>
        <v/>
      </c>
      <c r="H6206" s="70" t="str">
        <f t="shared" si="211"/>
        <v/>
      </c>
    </row>
    <row r="6207" spans="1:8">
      <c r="A6207" s="2"/>
      <c r="B6207" s="12"/>
      <c r="C6207" s="12"/>
      <c r="E6207" t="str">
        <f>IF(LEN(D6207)=0,"",[1]!i_pq_tradedays($B$3,A6208,A6207)-1)</f>
        <v/>
      </c>
      <c r="G6207" s="16" t="str">
        <f t="shared" si="210"/>
        <v/>
      </c>
      <c r="H6207" s="70" t="str">
        <f t="shared" si="211"/>
        <v/>
      </c>
    </row>
    <row r="6208" spans="1:8">
      <c r="A6208" s="2"/>
      <c r="B6208" s="12"/>
      <c r="C6208" s="12"/>
      <c r="E6208" t="str">
        <f>IF(LEN(D6208)=0,"",[1]!i_pq_tradedays($B$3,A6209,A6208)-1)</f>
        <v/>
      </c>
      <c r="G6208" s="16" t="str">
        <f t="shared" si="210"/>
        <v/>
      </c>
      <c r="H6208" s="70" t="str">
        <f t="shared" si="211"/>
        <v/>
      </c>
    </row>
    <row r="6209" spans="1:8">
      <c r="A6209" s="2"/>
      <c r="B6209" s="12"/>
      <c r="C6209" s="12"/>
      <c r="E6209" t="str">
        <f>IF(LEN(D6209)=0,"",[1]!i_pq_tradedays($B$3,A6210,A6209)-1)</f>
        <v/>
      </c>
      <c r="G6209" s="16" t="str">
        <f t="shared" si="210"/>
        <v/>
      </c>
      <c r="H6209" s="70" t="str">
        <f t="shared" si="211"/>
        <v/>
      </c>
    </row>
    <row r="6210" spans="1:8">
      <c r="A6210" s="2"/>
      <c r="B6210" s="12"/>
      <c r="C6210" s="12"/>
      <c r="E6210" t="str">
        <f>IF(LEN(D6210)=0,"",[1]!i_pq_tradedays($B$3,A6211,A6210)-1)</f>
        <v/>
      </c>
      <c r="G6210" s="16" t="str">
        <f t="shared" si="210"/>
        <v/>
      </c>
      <c r="H6210" s="70" t="str">
        <f t="shared" si="211"/>
        <v/>
      </c>
    </row>
    <row r="6211" spans="1:8">
      <c r="A6211" s="2"/>
      <c r="B6211" s="12"/>
      <c r="C6211" s="12"/>
      <c r="E6211" t="str">
        <f>IF(LEN(D6211)=0,"",[1]!i_pq_tradedays($B$3,A6212,A6211)-1)</f>
        <v/>
      </c>
      <c r="G6211" s="16" t="str">
        <f t="shared" si="210"/>
        <v/>
      </c>
      <c r="H6211" s="70" t="str">
        <f t="shared" si="211"/>
        <v/>
      </c>
    </row>
    <row r="6212" spans="1:8">
      <c r="A6212" s="2"/>
      <c r="B6212" s="12"/>
      <c r="C6212" s="12"/>
      <c r="E6212" t="str">
        <f>IF(LEN(D6212)=0,"",[1]!i_pq_tradedays($B$3,A6213,A6212)-1)</f>
        <v/>
      </c>
      <c r="G6212" s="16" t="str">
        <f t="shared" si="210"/>
        <v/>
      </c>
      <c r="H6212" s="70" t="str">
        <f t="shared" si="211"/>
        <v/>
      </c>
    </row>
    <row r="6213" spans="1:8">
      <c r="A6213" s="2"/>
      <c r="B6213" s="12"/>
      <c r="C6213" s="12"/>
      <c r="E6213" t="str">
        <f>IF(LEN(D6213)=0,"",[1]!i_pq_tradedays($B$3,A6214,A6213)-1)</f>
        <v/>
      </c>
      <c r="G6213" s="16" t="str">
        <f t="shared" si="210"/>
        <v/>
      </c>
      <c r="H6213" s="70" t="str">
        <f t="shared" si="211"/>
        <v/>
      </c>
    </row>
    <row r="6214" spans="1:8">
      <c r="A6214" s="2"/>
      <c r="B6214" s="12"/>
      <c r="C6214" s="12"/>
      <c r="E6214" t="str">
        <f>IF(LEN(D6214)=0,"",[1]!i_pq_tradedays($B$3,A6215,A6214)-1)</f>
        <v/>
      </c>
      <c r="G6214" s="16" t="str">
        <f t="shared" si="210"/>
        <v/>
      </c>
      <c r="H6214" s="70" t="str">
        <f t="shared" si="211"/>
        <v/>
      </c>
    </row>
    <row r="6215" spans="1:8">
      <c r="A6215" s="2"/>
      <c r="B6215" s="12"/>
      <c r="C6215" s="12"/>
      <c r="E6215" t="str">
        <f>IF(LEN(D6215)=0,"",[1]!i_pq_tradedays($B$3,A6216,A6215)-1)</f>
        <v/>
      </c>
      <c r="G6215" s="16" t="str">
        <f t="shared" si="210"/>
        <v/>
      </c>
      <c r="H6215" s="70" t="str">
        <f t="shared" si="211"/>
        <v/>
      </c>
    </row>
    <row r="6216" spans="1:8">
      <c r="A6216" s="2"/>
      <c r="B6216" s="12"/>
      <c r="C6216" s="12"/>
      <c r="E6216" t="str">
        <f>IF(LEN(D6216)=0,"",[1]!i_pq_tradedays($B$3,A6217,A6216)-1)</f>
        <v/>
      </c>
      <c r="G6216" s="16" t="str">
        <f t="shared" si="210"/>
        <v/>
      </c>
      <c r="H6216" s="70" t="str">
        <f t="shared" si="211"/>
        <v/>
      </c>
    </row>
    <row r="6217" spans="1:8">
      <c r="A6217" s="2"/>
      <c r="B6217" s="12"/>
      <c r="C6217" s="12"/>
      <c r="E6217" t="str">
        <f>IF(LEN(D6217)=0,"",[1]!i_pq_tradedays($B$3,A6218,A6217)-1)</f>
        <v/>
      </c>
      <c r="G6217" s="16" t="str">
        <f t="shared" si="210"/>
        <v/>
      </c>
      <c r="H6217" s="70" t="str">
        <f t="shared" si="211"/>
        <v/>
      </c>
    </row>
    <row r="6218" spans="1:8">
      <c r="A6218" s="2"/>
      <c r="B6218" s="12"/>
      <c r="C6218" s="12"/>
      <c r="E6218" t="str">
        <f>IF(LEN(D6218)=0,"",[1]!i_pq_tradedays($B$3,A6219,A6218)-1)</f>
        <v/>
      </c>
      <c r="G6218" s="16" t="str">
        <f t="shared" si="210"/>
        <v/>
      </c>
      <c r="H6218" s="70" t="str">
        <f t="shared" si="211"/>
        <v/>
      </c>
    </row>
    <row r="6219" spans="1:8">
      <c r="A6219" s="2"/>
      <c r="B6219" s="12"/>
      <c r="C6219" s="12"/>
      <c r="E6219" t="str">
        <f>IF(LEN(D6219)=0,"",[1]!i_pq_tradedays($B$3,A6220,A6219)-1)</f>
        <v/>
      </c>
      <c r="G6219" s="16" t="str">
        <f t="shared" si="210"/>
        <v/>
      </c>
      <c r="H6219" s="70" t="str">
        <f t="shared" si="211"/>
        <v/>
      </c>
    </row>
    <row r="6220" spans="1:8">
      <c r="A6220" s="2"/>
      <c r="B6220" s="12"/>
      <c r="C6220" s="12"/>
      <c r="E6220" t="str">
        <f>IF(LEN(D6220)=0,"",[1]!i_pq_tradedays($B$3,A6221,A6220)-1)</f>
        <v/>
      </c>
      <c r="G6220" s="16" t="str">
        <f t="shared" si="210"/>
        <v/>
      </c>
      <c r="H6220" s="70" t="str">
        <f t="shared" si="211"/>
        <v/>
      </c>
    </row>
    <row r="6221" spans="1:8">
      <c r="A6221" s="2"/>
      <c r="B6221" s="12"/>
      <c r="C6221" s="12"/>
      <c r="E6221" t="str">
        <f>IF(LEN(D6221)=0,"",[1]!i_pq_tradedays($B$3,A6222,A6221)-1)</f>
        <v/>
      </c>
      <c r="G6221" s="16" t="str">
        <f t="shared" si="210"/>
        <v/>
      </c>
      <c r="H6221" s="70" t="str">
        <f t="shared" si="211"/>
        <v/>
      </c>
    </row>
    <row r="6222" spans="1:8">
      <c r="A6222" s="2"/>
      <c r="B6222" s="12"/>
      <c r="C6222" s="12"/>
      <c r="E6222" t="str">
        <f>IF(LEN(D6222)=0,"",[1]!i_pq_tradedays($B$3,A6223,A6222)-1)</f>
        <v/>
      </c>
      <c r="G6222" s="16" t="str">
        <f t="shared" si="210"/>
        <v/>
      </c>
      <c r="H6222" s="70" t="str">
        <f t="shared" si="211"/>
        <v/>
      </c>
    </row>
    <row r="6223" spans="1:8">
      <c r="A6223" s="2"/>
      <c r="B6223" s="12"/>
      <c r="C6223" s="12"/>
      <c r="E6223" t="str">
        <f>IF(LEN(D6223)=0,"",[1]!i_pq_tradedays($B$3,A6224,A6223)-1)</f>
        <v/>
      </c>
      <c r="G6223" s="16" t="str">
        <f t="shared" si="210"/>
        <v/>
      </c>
      <c r="H6223" s="70" t="str">
        <f t="shared" si="211"/>
        <v/>
      </c>
    </row>
    <row r="6224" spans="1:8">
      <c r="A6224" s="2"/>
      <c r="B6224" s="12"/>
      <c r="C6224" s="12"/>
      <c r="E6224" t="str">
        <f>IF(LEN(D6224)=0,"",[1]!i_pq_tradedays($B$3,A6225,A6224)-1)</f>
        <v/>
      </c>
      <c r="G6224" s="16" t="str">
        <f t="shared" si="210"/>
        <v/>
      </c>
      <c r="H6224" s="70" t="str">
        <f t="shared" si="211"/>
        <v/>
      </c>
    </row>
    <row r="6225" spans="1:8">
      <c r="A6225" s="2"/>
      <c r="B6225" s="12"/>
      <c r="C6225" s="12"/>
      <c r="E6225" t="str">
        <f>IF(LEN(D6225)=0,"",[1]!i_pq_tradedays($B$3,A6226,A6225)-1)</f>
        <v/>
      </c>
      <c r="G6225" s="16" t="str">
        <f t="shared" si="210"/>
        <v/>
      </c>
      <c r="H6225" s="70" t="str">
        <f t="shared" si="211"/>
        <v/>
      </c>
    </row>
    <row r="6226" spans="1:8">
      <c r="A6226" s="2"/>
      <c r="B6226" s="12"/>
      <c r="C6226" s="12"/>
      <c r="E6226" t="str">
        <f>IF(LEN(D6226)=0,"",[1]!i_pq_tradedays($B$3,A6227,A6226)-1)</f>
        <v/>
      </c>
      <c r="G6226" s="16" t="str">
        <f t="shared" si="210"/>
        <v/>
      </c>
      <c r="H6226" s="70" t="str">
        <f t="shared" si="211"/>
        <v/>
      </c>
    </row>
    <row r="6227" spans="1:8">
      <c r="A6227" s="2"/>
      <c r="B6227" s="12"/>
      <c r="C6227" s="12"/>
      <c r="E6227" t="str">
        <f>IF(LEN(D6227)=0,"",[1]!i_pq_tradedays($B$3,A6228,A6227)-1)</f>
        <v/>
      </c>
      <c r="G6227" s="16" t="str">
        <f t="shared" si="210"/>
        <v/>
      </c>
      <c r="H6227" s="70" t="str">
        <f t="shared" si="211"/>
        <v/>
      </c>
    </row>
    <row r="6228" spans="1:8">
      <c r="A6228" s="2"/>
      <c r="B6228" s="12"/>
      <c r="C6228" s="12"/>
      <c r="E6228" t="str">
        <f>IF(LEN(D6228)=0,"",[1]!i_pq_tradedays($B$3,A6229,A6228)-1)</f>
        <v/>
      </c>
      <c r="G6228" s="16" t="str">
        <f t="shared" si="210"/>
        <v/>
      </c>
      <c r="H6228" s="70" t="str">
        <f t="shared" si="211"/>
        <v/>
      </c>
    </row>
    <row r="6229" spans="1:8">
      <c r="A6229" s="2"/>
      <c r="B6229" s="12"/>
      <c r="C6229" s="12"/>
      <c r="E6229" t="str">
        <f>IF(LEN(D6229)=0,"",[1]!i_pq_tradedays($B$3,A6230,A6229)-1)</f>
        <v/>
      </c>
      <c r="G6229" s="16" t="str">
        <f t="shared" si="210"/>
        <v/>
      </c>
      <c r="H6229" s="70" t="str">
        <f t="shared" si="211"/>
        <v/>
      </c>
    </row>
    <row r="6230" spans="1:8">
      <c r="A6230" s="2"/>
      <c r="B6230" s="12"/>
      <c r="C6230" s="12"/>
      <c r="E6230" t="str">
        <f>IF(LEN(D6230)=0,"",[1]!i_pq_tradedays($B$3,A6231,A6230)-1)</f>
        <v/>
      </c>
      <c r="G6230" s="16" t="str">
        <f t="shared" si="210"/>
        <v/>
      </c>
      <c r="H6230" s="70" t="str">
        <f t="shared" si="211"/>
        <v/>
      </c>
    </row>
    <row r="6231" spans="1:8">
      <c r="A6231" s="2"/>
      <c r="B6231" s="12"/>
      <c r="C6231" s="12"/>
      <c r="E6231" t="str">
        <f>IF(LEN(D6231)=0,"",[1]!i_pq_tradedays($B$3,A6232,A6231)-1)</f>
        <v/>
      </c>
      <c r="G6231" s="16" t="str">
        <f t="shared" si="210"/>
        <v/>
      </c>
      <c r="H6231" s="70" t="str">
        <f t="shared" si="211"/>
        <v/>
      </c>
    </row>
    <row r="6232" spans="1:8">
      <c r="A6232" s="2"/>
      <c r="B6232" s="12"/>
      <c r="C6232" s="12"/>
      <c r="E6232" t="str">
        <f>IF(LEN(D6232)=0,"",[1]!i_pq_tradedays($B$3,A6233,A6232)-1)</f>
        <v/>
      </c>
      <c r="G6232" s="16" t="str">
        <f t="shared" si="210"/>
        <v/>
      </c>
      <c r="H6232" s="70" t="str">
        <f t="shared" si="211"/>
        <v/>
      </c>
    </row>
    <row r="6233" spans="1:8">
      <c r="A6233" s="2"/>
      <c r="B6233" s="12"/>
      <c r="C6233" s="12"/>
      <c r="E6233" t="str">
        <f>IF(LEN(D6233)=0,"",[1]!i_pq_tradedays($B$3,A6234,A6233)-1)</f>
        <v/>
      </c>
      <c r="G6233" s="16" t="str">
        <f t="shared" si="210"/>
        <v/>
      </c>
      <c r="H6233" s="70" t="str">
        <f t="shared" si="211"/>
        <v/>
      </c>
    </row>
    <row r="6234" spans="1:8">
      <c r="A6234" s="2"/>
      <c r="B6234" s="12"/>
      <c r="C6234" s="12"/>
      <c r="E6234" t="str">
        <f>IF(LEN(D6234)=0,"",[1]!i_pq_tradedays($B$3,A6235,A6234)-1)</f>
        <v/>
      </c>
      <c r="G6234" s="16" t="str">
        <f t="shared" si="210"/>
        <v/>
      </c>
      <c r="H6234" s="70" t="str">
        <f t="shared" si="211"/>
        <v/>
      </c>
    </row>
    <row r="6235" spans="1:8">
      <c r="A6235" s="2"/>
      <c r="B6235" s="12"/>
      <c r="C6235" s="12"/>
      <c r="E6235" t="str">
        <f>IF(LEN(D6235)=0,"",[1]!i_pq_tradedays($B$3,A6236,A6235)-1)</f>
        <v/>
      </c>
      <c r="G6235" s="16" t="str">
        <f t="shared" si="210"/>
        <v/>
      </c>
      <c r="H6235" s="70" t="str">
        <f t="shared" si="211"/>
        <v/>
      </c>
    </row>
    <row r="6236" spans="1:8">
      <c r="A6236" s="2"/>
      <c r="B6236" s="12"/>
      <c r="C6236" s="12"/>
      <c r="E6236" t="str">
        <f>IF(LEN(D6236)=0,"",[1]!i_pq_tradedays($B$3,A6237,A6236)-1)</f>
        <v/>
      </c>
      <c r="G6236" s="16" t="str">
        <f t="shared" si="210"/>
        <v/>
      </c>
      <c r="H6236" s="70" t="str">
        <f t="shared" si="211"/>
        <v/>
      </c>
    </row>
    <row r="6237" spans="1:8">
      <c r="A6237" s="2"/>
      <c r="B6237" s="12"/>
      <c r="C6237" s="12"/>
      <c r="E6237" t="str">
        <f>IF(LEN(D6237)=0,"",[1]!i_pq_tradedays($B$3,A6238,A6237)-1)</f>
        <v/>
      </c>
      <c r="G6237" s="16" t="str">
        <f t="shared" si="210"/>
        <v/>
      </c>
      <c r="H6237" s="70" t="str">
        <f t="shared" si="211"/>
        <v/>
      </c>
    </row>
    <row r="6238" spans="1:8">
      <c r="A6238" s="2"/>
      <c r="B6238" s="12"/>
      <c r="C6238" s="12"/>
      <c r="E6238" t="str">
        <f>IF(LEN(D6238)=0,"",[1]!i_pq_tradedays($B$3,A6239,A6238)-1)</f>
        <v/>
      </c>
      <c r="G6238" s="16" t="str">
        <f t="shared" si="210"/>
        <v/>
      </c>
      <c r="H6238" s="70" t="str">
        <f t="shared" si="211"/>
        <v/>
      </c>
    </row>
    <row r="6239" spans="1:8">
      <c r="A6239" s="2"/>
      <c r="B6239" s="12"/>
      <c r="C6239" s="12"/>
      <c r="E6239" t="str">
        <f>IF(LEN(D6239)=0,"",[1]!i_pq_tradedays($B$3,A6240,A6239)-1)</f>
        <v/>
      </c>
      <c r="G6239" s="16" t="str">
        <f t="shared" si="210"/>
        <v/>
      </c>
      <c r="H6239" s="70" t="str">
        <f t="shared" si="211"/>
        <v/>
      </c>
    </row>
    <row r="6240" spans="1:8">
      <c r="A6240" s="2"/>
      <c r="B6240" s="12"/>
      <c r="C6240" s="12"/>
      <c r="E6240" t="str">
        <f>IF(LEN(D6240)=0,"",[1]!i_pq_tradedays($B$3,A6241,A6240)-1)</f>
        <v/>
      </c>
      <c r="G6240" s="16" t="str">
        <f t="shared" si="210"/>
        <v/>
      </c>
      <c r="H6240" s="70" t="str">
        <f t="shared" si="211"/>
        <v/>
      </c>
    </row>
    <row r="6241" spans="1:8">
      <c r="A6241" s="2"/>
      <c r="B6241" s="12"/>
      <c r="C6241" s="12"/>
      <c r="E6241" t="str">
        <f>IF(LEN(D6241)=0,"",[1]!i_pq_tradedays($B$3,A6242,A6241)-1)</f>
        <v/>
      </c>
      <c r="G6241" s="16" t="str">
        <f t="shared" si="210"/>
        <v/>
      </c>
      <c r="H6241" s="70" t="str">
        <f t="shared" si="211"/>
        <v/>
      </c>
    </row>
    <row r="6242" spans="1:8">
      <c r="A6242" s="2"/>
      <c r="B6242" s="12"/>
      <c r="C6242" s="12"/>
      <c r="E6242" t="str">
        <f>IF(LEN(D6242)=0,"",[1]!i_pq_tradedays($B$3,A6243,A6242)-1)</f>
        <v/>
      </c>
      <c r="G6242" s="16" t="str">
        <f t="shared" si="210"/>
        <v/>
      </c>
      <c r="H6242" s="70" t="str">
        <f t="shared" si="211"/>
        <v/>
      </c>
    </row>
    <row r="6243" spans="1:8">
      <c r="A6243" s="2"/>
      <c r="B6243" s="12"/>
      <c r="C6243" s="12"/>
      <c r="E6243" t="str">
        <f>IF(LEN(D6243)=0,"",[1]!i_pq_tradedays($B$3,A6244,A6243)-1)</f>
        <v/>
      </c>
      <c r="G6243" s="16" t="str">
        <f t="shared" si="210"/>
        <v/>
      </c>
      <c r="H6243" s="70" t="str">
        <f t="shared" si="211"/>
        <v/>
      </c>
    </row>
    <row r="6244" spans="1:8">
      <c r="A6244" s="2"/>
      <c r="B6244" s="12"/>
      <c r="C6244" s="12"/>
      <c r="E6244" t="str">
        <f>IF(LEN(D6244)=0,"",[1]!i_pq_tradedays($B$3,A6245,A6244)-1)</f>
        <v/>
      </c>
      <c r="G6244" s="16" t="str">
        <f t="shared" si="210"/>
        <v/>
      </c>
      <c r="H6244" s="70" t="str">
        <f t="shared" si="211"/>
        <v/>
      </c>
    </row>
    <row r="6245" spans="1:8">
      <c r="A6245" s="2"/>
      <c r="B6245" s="12"/>
      <c r="C6245" s="12"/>
      <c r="E6245" t="str">
        <f>IF(LEN(D6245)=0,"",[1]!i_pq_tradedays($B$3,A6246,A6245)-1)</f>
        <v/>
      </c>
      <c r="G6245" s="16" t="str">
        <f t="shared" si="210"/>
        <v/>
      </c>
      <c r="H6245" s="70" t="str">
        <f t="shared" si="211"/>
        <v/>
      </c>
    </row>
    <row r="6246" spans="1:8">
      <c r="A6246" s="2"/>
      <c r="B6246" s="12"/>
      <c r="C6246" s="12"/>
      <c r="E6246" t="str">
        <f>IF(LEN(D6246)=0,"",[1]!i_pq_tradedays($B$3,A6247,A6246)-1)</f>
        <v/>
      </c>
      <c r="G6246" s="16" t="str">
        <f t="shared" si="210"/>
        <v/>
      </c>
      <c r="H6246" s="70" t="str">
        <f t="shared" si="211"/>
        <v/>
      </c>
    </row>
    <row r="6247" spans="1:8">
      <c r="A6247" s="2"/>
      <c r="B6247" s="12"/>
      <c r="C6247" s="12"/>
      <c r="E6247" t="str">
        <f>IF(LEN(D6247)=0,"",[1]!i_pq_tradedays($B$3,A6248,A6247)-1)</f>
        <v/>
      </c>
      <c r="G6247" s="16" t="str">
        <f t="shared" si="210"/>
        <v/>
      </c>
      <c r="H6247" s="70" t="str">
        <f t="shared" si="211"/>
        <v/>
      </c>
    </row>
    <row r="6248" spans="1:8">
      <c r="A6248" s="2"/>
      <c r="B6248" s="12"/>
      <c r="C6248" s="12"/>
      <c r="E6248" t="str">
        <f>IF(LEN(D6248)=0,"",[1]!i_pq_tradedays($B$3,A6249,A6248)-1)</f>
        <v/>
      </c>
      <c r="G6248" s="16" t="str">
        <f t="shared" si="210"/>
        <v/>
      </c>
      <c r="H6248" s="70" t="str">
        <f t="shared" si="211"/>
        <v/>
      </c>
    </row>
    <row r="6249" spans="1:8">
      <c r="A6249" s="2"/>
      <c r="B6249" s="12"/>
      <c r="C6249" s="12"/>
      <c r="E6249" t="str">
        <f>IF(LEN(D6249)=0,"",[1]!i_pq_tradedays($B$3,A6250,A6249)-1)</f>
        <v/>
      </c>
      <c r="G6249" s="16" t="str">
        <f t="shared" si="210"/>
        <v/>
      </c>
      <c r="H6249" s="70" t="str">
        <f t="shared" si="211"/>
        <v/>
      </c>
    </row>
    <row r="6250" spans="1:8">
      <c r="A6250" s="2"/>
      <c r="B6250" s="12"/>
      <c r="C6250" s="12"/>
      <c r="E6250" t="str">
        <f>IF(LEN(D6250)=0,"",[1]!i_pq_tradedays($B$3,A6251,A6250)-1)</f>
        <v/>
      </c>
      <c r="G6250" s="16" t="str">
        <f t="shared" si="210"/>
        <v/>
      </c>
      <c r="H6250" s="70" t="str">
        <f t="shared" si="211"/>
        <v/>
      </c>
    </row>
    <row r="6251" spans="1:8">
      <c r="A6251" s="2"/>
      <c r="B6251" s="12"/>
      <c r="C6251" s="12"/>
      <c r="E6251" t="str">
        <f>IF(LEN(D6251)=0,"",[1]!i_pq_tradedays($B$3,A6252,A6251)-1)</f>
        <v/>
      </c>
      <c r="G6251" s="16" t="str">
        <f t="shared" si="210"/>
        <v/>
      </c>
      <c r="H6251" s="70" t="str">
        <f t="shared" si="211"/>
        <v/>
      </c>
    </row>
    <row r="6252" spans="1:8">
      <c r="A6252" s="2"/>
      <c r="B6252" s="12"/>
      <c r="C6252" s="12"/>
      <c r="E6252" t="str">
        <f>IF(LEN(D6252)=0,"",[1]!i_pq_tradedays($B$3,A6253,A6252)-1)</f>
        <v/>
      </c>
      <c r="G6252" s="16" t="str">
        <f t="shared" si="210"/>
        <v/>
      </c>
      <c r="H6252" s="70" t="str">
        <f t="shared" si="211"/>
        <v/>
      </c>
    </row>
    <row r="6253" spans="1:8">
      <c r="A6253" s="2"/>
      <c r="B6253" s="12"/>
      <c r="C6253" s="12"/>
      <c r="E6253" t="str">
        <f>IF(LEN(D6253)=0,"",[1]!i_pq_tradedays($B$3,A6254,A6253)-1)</f>
        <v/>
      </c>
      <c r="G6253" s="16" t="str">
        <f t="shared" si="210"/>
        <v/>
      </c>
      <c r="H6253" s="70" t="str">
        <f t="shared" si="211"/>
        <v/>
      </c>
    </row>
    <row r="6254" spans="1:8">
      <c r="A6254" s="2"/>
      <c r="B6254" s="12"/>
      <c r="C6254" s="12"/>
      <c r="E6254" t="str">
        <f>IF(LEN(D6254)=0,"",[1]!i_pq_tradedays($B$3,A6255,A6254)-1)</f>
        <v/>
      </c>
      <c r="G6254" s="16" t="str">
        <f t="shared" si="210"/>
        <v/>
      </c>
      <c r="H6254" s="70" t="str">
        <f t="shared" si="211"/>
        <v/>
      </c>
    </row>
    <row r="6255" spans="1:8">
      <c r="A6255" s="2"/>
      <c r="B6255" s="12"/>
      <c r="C6255" s="12"/>
      <c r="E6255" t="str">
        <f>IF(LEN(D6255)=0,"",[1]!i_pq_tradedays($B$3,A6256,A6255)-1)</f>
        <v/>
      </c>
      <c r="G6255" s="16" t="str">
        <f t="shared" si="210"/>
        <v/>
      </c>
      <c r="H6255" s="70" t="str">
        <f t="shared" si="211"/>
        <v/>
      </c>
    </row>
    <row r="6256" spans="1:8">
      <c r="A6256" s="2"/>
      <c r="B6256" s="12"/>
      <c r="C6256" s="12"/>
      <c r="E6256" t="str">
        <f>IF(LEN(D6256)=0,"",[1]!i_pq_tradedays($B$3,A6257,A6256)-1)</f>
        <v/>
      </c>
      <c r="G6256" s="16" t="str">
        <f t="shared" si="210"/>
        <v/>
      </c>
      <c r="H6256" s="70" t="str">
        <f t="shared" si="211"/>
        <v/>
      </c>
    </row>
    <row r="6257" spans="1:8">
      <c r="A6257" s="2"/>
      <c r="B6257" s="12"/>
      <c r="C6257" s="12"/>
      <c r="E6257" t="str">
        <f>IF(LEN(D6257)=0,"",[1]!i_pq_tradedays($B$3,A6258,A6257)-1)</f>
        <v/>
      </c>
      <c r="G6257" s="16" t="str">
        <f t="shared" si="210"/>
        <v/>
      </c>
      <c r="H6257" s="70" t="str">
        <f t="shared" si="211"/>
        <v/>
      </c>
    </row>
    <row r="6258" spans="1:8">
      <c r="A6258" s="2"/>
      <c r="B6258" s="12"/>
      <c r="C6258" s="12"/>
      <c r="E6258" t="str">
        <f>IF(LEN(D6258)=0,"",[1]!i_pq_tradedays($B$3,A6259,A6258)-1)</f>
        <v/>
      </c>
      <c r="G6258" s="16" t="str">
        <f t="shared" si="210"/>
        <v/>
      </c>
      <c r="H6258" s="70" t="str">
        <f t="shared" si="211"/>
        <v/>
      </c>
    </row>
    <row r="6259" spans="1:8">
      <c r="A6259" s="2"/>
      <c r="B6259" s="12"/>
      <c r="C6259" s="12"/>
      <c r="E6259" t="str">
        <f>IF(LEN(D6259)=0,"",[1]!i_pq_tradedays($B$3,A6260,A6259)-1)</f>
        <v/>
      </c>
      <c r="G6259" s="16" t="str">
        <f t="shared" si="210"/>
        <v/>
      </c>
      <c r="H6259" s="70" t="str">
        <f t="shared" si="211"/>
        <v/>
      </c>
    </row>
    <row r="6260" spans="1:8">
      <c r="A6260" s="2"/>
      <c r="B6260" s="12"/>
      <c r="C6260" s="12"/>
      <c r="E6260" t="str">
        <f>IF(LEN(D6260)=0,"",[1]!i_pq_tradedays($B$3,A6261,A6260)-1)</f>
        <v/>
      </c>
      <c r="G6260" s="16" t="str">
        <f t="shared" si="210"/>
        <v/>
      </c>
      <c r="H6260" s="70" t="str">
        <f t="shared" si="211"/>
        <v/>
      </c>
    </row>
    <row r="6261" spans="1:8">
      <c r="A6261" s="2"/>
      <c r="B6261" s="12"/>
      <c r="C6261" s="12"/>
      <c r="E6261" t="str">
        <f>IF(LEN(D6261)=0,"",[1]!i_pq_tradedays($B$3,A6262,A6261)-1)</f>
        <v/>
      </c>
      <c r="G6261" s="16" t="str">
        <f t="shared" ref="G6261:G6324" si="212">IF(LEN(D6261)=0,"",D6261/E6261)</f>
        <v/>
      </c>
      <c r="H6261" s="70" t="str">
        <f t="shared" ref="H6261:H6324" si="213">IF(LEN(D6261)=0,"",G6261/G6262-1)</f>
        <v/>
      </c>
    </row>
    <row r="6262" spans="1:8">
      <c r="A6262" s="2"/>
      <c r="B6262" s="12"/>
      <c r="C6262" s="12"/>
      <c r="E6262" t="str">
        <f>IF(LEN(D6262)=0,"",[1]!i_pq_tradedays($B$3,A6263,A6262)-1)</f>
        <v/>
      </c>
      <c r="G6262" s="16" t="str">
        <f t="shared" si="212"/>
        <v/>
      </c>
      <c r="H6262" s="70" t="str">
        <f t="shared" si="213"/>
        <v/>
      </c>
    </row>
    <row r="6263" spans="1:8">
      <c r="A6263" s="2"/>
      <c r="B6263" s="12"/>
      <c r="C6263" s="12"/>
      <c r="E6263" t="str">
        <f>IF(LEN(D6263)=0,"",[1]!i_pq_tradedays($B$3,A6264,A6263)-1)</f>
        <v/>
      </c>
      <c r="G6263" s="16" t="str">
        <f t="shared" si="212"/>
        <v/>
      </c>
      <c r="H6263" s="70" t="str">
        <f t="shared" si="213"/>
        <v/>
      </c>
    </row>
    <row r="6264" spans="1:8">
      <c r="A6264" s="2"/>
      <c r="B6264" s="12"/>
      <c r="C6264" s="12"/>
      <c r="E6264" t="str">
        <f>IF(LEN(D6264)=0,"",[1]!i_pq_tradedays($B$3,A6265,A6264)-1)</f>
        <v/>
      </c>
      <c r="G6264" s="16" t="str">
        <f t="shared" si="212"/>
        <v/>
      </c>
      <c r="H6264" s="70" t="str">
        <f t="shared" si="213"/>
        <v/>
      </c>
    </row>
    <row r="6265" spans="1:8">
      <c r="A6265" s="2"/>
      <c r="B6265" s="12"/>
      <c r="C6265" s="12"/>
      <c r="E6265" t="str">
        <f>IF(LEN(D6265)=0,"",[1]!i_pq_tradedays($B$3,A6266,A6265)-1)</f>
        <v/>
      </c>
      <c r="G6265" s="16" t="str">
        <f t="shared" si="212"/>
        <v/>
      </c>
      <c r="H6265" s="70" t="str">
        <f t="shared" si="213"/>
        <v/>
      </c>
    </row>
    <row r="6266" spans="1:8">
      <c r="A6266" s="2"/>
      <c r="B6266" s="12"/>
      <c r="C6266" s="12"/>
      <c r="E6266" t="str">
        <f>IF(LEN(D6266)=0,"",[1]!i_pq_tradedays($B$3,A6267,A6266)-1)</f>
        <v/>
      </c>
      <c r="G6266" s="16" t="str">
        <f t="shared" si="212"/>
        <v/>
      </c>
      <c r="H6266" s="70" t="str">
        <f t="shared" si="213"/>
        <v/>
      </c>
    </row>
    <row r="6267" spans="1:8">
      <c r="A6267" s="2"/>
      <c r="B6267" s="12"/>
      <c r="C6267" s="12"/>
      <c r="E6267" t="str">
        <f>IF(LEN(D6267)=0,"",[1]!i_pq_tradedays($B$3,A6268,A6267)-1)</f>
        <v/>
      </c>
      <c r="G6267" s="16" t="str">
        <f t="shared" si="212"/>
        <v/>
      </c>
      <c r="H6267" s="70" t="str">
        <f t="shared" si="213"/>
        <v/>
      </c>
    </row>
    <row r="6268" spans="1:8">
      <c r="A6268" s="2"/>
      <c r="B6268" s="12"/>
      <c r="C6268" s="12"/>
      <c r="E6268" t="str">
        <f>IF(LEN(D6268)=0,"",[1]!i_pq_tradedays($B$3,A6269,A6268)-1)</f>
        <v/>
      </c>
      <c r="G6268" s="16" t="str">
        <f t="shared" si="212"/>
        <v/>
      </c>
      <c r="H6268" s="70" t="str">
        <f t="shared" si="213"/>
        <v/>
      </c>
    </row>
    <row r="6269" spans="1:8">
      <c r="A6269" s="2"/>
      <c r="B6269" s="12"/>
      <c r="C6269" s="12"/>
      <c r="E6269" t="str">
        <f>IF(LEN(D6269)=0,"",[1]!i_pq_tradedays($B$3,A6270,A6269)-1)</f>
        <v/>
      </c>
      <c r="G6269" s="16" t="str">
        <f t="shared" si="212"/>
        <v/>
      </c>
      <c r="H6269" s="70" t="str">
        <f t="shared" si="213"/>
        <v/>
      </c>
    </row>
    <row r="6270" spans="1:8">
      <c r="A6270" s="2"/>
      <c r="B6270" s="12"/>
      <c r="C6270" s="12"/>
      <c r="E6270" t="str">
        <f>IF(LEN(D6270)=0,"",[1]!i_pq_tradedays($B$3,A6271,A6270)-1)</f>
        <v/>
      </c>
      <c r="G6270" s="16" t="str">
        <f t="shared" si="212"/>
        <v/>
      </c>
      <c r="H6270" s="70" t="str">
        <f t="shared" si="213"/>
        <v/>
      </c>
    </row>
    <row r="6271" spans="1:8">
      <c r="A6271" s="2"/>
      <c r="B6271" s="12"/>
      <c r="C6271" s="12"/>
      <c r="E6271" t="str">
        <f>IF(LEN(D6271)=0,"",[1]!i_pq_tradedays($B$3,A6272,A6271)-1)</f>
        <v/>
      </c>
      <c r="G6271" s="16" t="str">
        <f t="shared" si="212"/>
        <v/>
      </c>
      <c r="H6271" s="70" t="str">
        <f t="shared" si="213"/>
        <v/>
      </c>
    </row>
    <row r="6272" spans="1:8">
      <c r="A6272" s="2"/>
      <c r="B6272" s="12"/>
      <c r="C6272" s="12"/>
      <c r="E6272" t="str">
        <f>IF(LEN(D6272)=0,"",[1]!i_pq_tradedays($B$3,A6273,A6272)-1)</f>
        <v/>
      </c>
      <c r="G6272" s="16" t="str">
        <f t="shared" si="212"/>
        <v/>
      </c>
      <c r="H6272" s="70" t="str">
        <f t="shared" si="213"/>
        <v/>
      </c>
    </row>
    <row r="6273" spans="1:8">
      <c r="A6273" s="2"/>
      <c r="B6273" s="12"/>
      <c r="C6273" s="12"/>
      <c r="E6273" t="str">
        <f>IF(LEN(D6273)=0,"",[1]!i_pq_tradedays($B$3,A6274,A6273)-1)</f>
        <v/>
      </c>
      <c r="G6273" s="16" t="str">
        <f t="shared" si="212"/>
        <v/>
      </c>
      <c r="H6273" s="70" t="str">
        <f t="shared" si="213"/>
        <v/>
      </c>
    </row>
    <row r="6274" spans="1:8">
      <c r="A6274" s="2"/>
      <c r="B6274" s="12"/>
      <c r="C6274" s="12"/>
      <c r="E6274" t="str">
        <f>IF(LEN(D6274)=0,"",[1]!i_pq_tradedays($B$3,A6275,A6274)-1)</f>
        <v/>
      </c>
      <c r="G6274" s="16" t="str">
        <f t="shared" si="212"/>
        <v/>
      </c>
      <c r="H6274" s="70" t="str">
        <f t="shared" si="213"/>
        <v/>
      </c>
    </row>
    <row r="6275" spans="1:8">
      <c r="A6275" s="2"/>
      <c r="B6275" s="12"/>
      <c r="C6275" s="12"/>
      <c r="E6275" t="str">
        <f>IF(LEN(D6275)=0,"",[1]!i_pq_tradedays($B$3,A6276,A6275)-1)</f>
        <v/>
      </c>
      <c r="G6275" s="16" t="str">
        <f t="shared" si="212"/>
        <v/>
      </c>
      <c r="H6275" s="70" t="str">
        <f t="shared" si="213"/>
        <v/>
      </c>
    </row>
    <row r="6276" spans="1:8">
      <c r="A6276" s="2"/>
      <c r="B6276" s="12"/>
      <c r="C6276" s="12"/>
      <c r="E6276" t="str">
        <f>IF(LEN(D6276)=0,"",[1]!i_pq_tradedays($B$3,A6277,A6276)-1)</f>
        <v/>
      </c>
      <c r="G6276" s="16" t="str">
        <f t="shared" si="212"/>
        <v/>
      </c>
      <c r="H6276" s="70" t="str">
        <f t="shared" si="213"/>
        <v/>
      </c>
    </row>
    <row r="6277" spans="1:8">
      <c r="A6277" s="2"/>
      <c r="B6277" s="12"/>
      <c r="C6277" s="12"/>
      <c r="E6277" t="str">
        <f>IF(LEN(D6277)=0,"",[1]!i_pq_tradedays($B$3,A6278,A6277)-1)</f>
        <v/>
      </c>
      <c r="G6277" s="16" t="str">
        <f t="shared" si="212"/>
        <v/>
      </c>
      <c r="H6277" s="70" t="str">
        <f t="shared" si="213"/>
        <v/>
      </c>
    </row>
    <row r="6278" spans="1:8">
      <c r="A6278" s="2"/>
      <c r="B6278" s="12"/>
      <c r="C6278" s="12"/>
      <c r="E6278" t="str">
        <f>IF(LEN(D6278)=0,"",[1]!i_pq_tradedays($B$3,A6279,A6278)-1)</f>
        <v/>
      </c>
      <c r="G6278" s="16" t="str">
        <f t="shared" si="212"/>
        <v/>
      </c>
      <c r="H6278" s="70" t="str">
        <f t="shared" si="213"/>
        <v/>
      </c>
    </row>
    <row r="6279" spans="1:8">
      <c r="A6279" s="2"/>
      <c r="B6279" s="12"/>
      <c r="C6279" s="12"/>
      <c r="E6279" t="str">
        <f>IF(LEN(D6279)=0,"",[1]!i_pq_tradedays($B$3,A6280,A6279)-1)</f>
        <v/>
      </c>
      <c r="G6279" s="16" t="str">
        <f t="shared" si="212"/>
        <v/>
      </c>
      <c r="H6279" s="70" t="str">
        <f t="shared" si="213"/>
        <v/>
      </c>
    </row>
    <row r="6280" spans="1:8">
      <c r="A6280" s="2"/>
      <c r="B6280" s="12"/>
      <c r="C6280" s="12"/>
      <c r="E6280" t="str">
        <f>IF(LEN(D6280)=0,"",[1]!i_pq_tradedays($B$3,A6281,A6280)-1)</f>
        <v/>
      </c>
      <c r="G6280" s="16" t="str">
        <f t="shared" si="212"/>
        <v/>
      </c>
      <c r="H6280" s="70" t="str">
        <f t="shared" si="213"/>
        <v/>
      </c>
    </row>
    <row r="6281" spans="1:8">
      <c r="A6281" s="2"/>
      <c r="B6281" s="12"/>
      <c r="C6281" s="12"/>
      <c r="E6281" t="str">
        <f>IF(LEN(D6281)=0,"",[1]!i_pq_tradedays($B$3,A6282,A6281)-1)</f>
        <v/>
      </c>
      <c r="G6281" s="16" t="str">
        <f t="shared" si="212"/>
        <v/>
      </c>
      <c r="H6281" s="70" t="str">
        <f t="shared" si="213"/>
        <v/>
      </c>
    </row>
    <row r="6282" spans="1:8">
      <c r="A6282" s="2"/>
      <c r="B6282" s="12"/>
      <c r="C6282" s="12"/>
      <c r="E6282" t="str">
        <f>IF(LEN(D6282)=0,"",[1]!i_pq_tradedays($B$3,A6283,A6282)-1)</f>
        <v/>
      </c>
      <c r="G6282" s="16" t="str">
        <f t="shared" si="212"/>
        <v/>
      </c>
      <c r="H6282" s="70" t="str">
        <f t="shared" si="213"/>
        <v/>
      </c>
    </row>
    <row r="6283" spans="1:8">
      <c r="A6283" s="2"/>
      <c r="B6283" s="12"/>
      <c r="C6283" s="12"/>
      <c r="E6283" t="str">
        <f>IF(LEN(D6283)=0,"",[1]!i_pq_tradedays($B$3,A6284,A6283)-1)</f>
        <v/>
      </c>
      <c r="G6283" s="16" t="str">
        <f t="shared" si="212"/>
        <v/>
      </c>
      <c r="H6283" s="70" t="str">
        <f t="shared" si="213"/>
        <v/>
      </c>
    </row>
    <row r="6284" spans="1:8">
      <c r="A6284" s="2"/>
      <c r="B6284" s="12"/>
      <c r="C6284" s="12"/>
      <c r="E6284" t="str">
        <f>IF(LEN(D6284)=0,"",[1]!i_pq_tradedays($B$3,A6285,A6284)-1)</f>
        <v/>
      </c>
      <c r="G6284" s="16" t="str">
        <f t="shared" si="212"/>
        <v/>
      </c>
      <c r="H6284" s="70" t="str">
        <f t="shared" si="213"/>
        <v/>
      </c>
    </row>
    <row r="6285" spans="1:8">
      <c r="A6285" s="2"/>
      <c r="B6285" s="12"/>
      <c r="C6285" s="12"/>
      <c r="E6285" t="str">
        <f>IF(LEN(D6285)=0,"",[1]!i_pq_tradedays($B$3,A6286,A6285)-1)</f>
        <v/>
      </c>
      <c r="G6285" s="16" t="str">
        <f t="shared" si="212"/>
        <v/>
      </c>
      <c r="H6285" s="70" t="str">
        <f t="shared" si="213"/>
        <v/>
      </c>
    </row>
    <row r="6286" spans="1:8">
      <c r="A6286" s="2"/>
      <c r="B6286" s="12"/>
      <c r="C6286" s="12"/>
      <c r="E6286" t="str">
        <f>IF(LEN(D6286)=0,"",[1]!i_pq_tradedays($B$3,A6287,A6286)-1)</f>
        <v/>
      </c>
      <c r="G6286" s="16" t="str">
        <f t="shared" si="212"/>
        <v/>
      </c>
      <c r="H6286" s="70" t="str">
        <f t="shared" si="213"/>
        <v/>
      </c>
    </row>
    <row r="6287" spans="1:8">
      <c r="A6287" s="2"/>
      <c r="B6287" s="12"/>
      <c r="C6287" s="12"/>
      <c r="E6287" t="str">
        <f>IF(LEN(D6287)=0,"",[1]!i_pq_tradedays($B$3,A6288,A6287)-1)</f>
        <v/>
      </c>
      <c r="G6287" s="16" t="str">
        <f t="shared" si="212"/>
        <v/>
      </c>
      <c r="H6287" s="70" t="str">
        <f t="shared" si="213"/>
        <v/>
      </c>
    </row>
    <row r="6288" spans="1:8">
      <c r="A6288" s="2"/>
      <c r="B6288" s="12"/>
      <c r="C6288" s="12"/>
      <c r="E6288" t="str">
        <f>IF(LEN(D6288)=0,"",[1]!i_pq_tradedays($B$3,A6289,A6288)-1)</f>
        <v/>
      </c>
      <c r="G6288" s="16" t="str">
        <f t="shared" si="212"/>
        <v/>
      </c>
      <c r="H6288" s="70" t="str">
        <f t="shared" si="213"/>
        <v/>
      </c>
    </row>
    <row r="6289" spans="1:8">
      <c r="A6289" s="2"/>
      <c r="B6289" s="12"/>
      <c r="C6289" s="12"/>
      <c r="E6289" t="str">
        <f>IF(LEN(D6289)=0,"",[1]!i_pq_tradedays($B$3,A6290,A6289)-1)</f>
        <v/>
      </c>
      <c r="G6289" s="16" t="str">
        <f t="shared" si="212"/>
        <v/>
      </c>
      <c r="H6289" s="70" t="str">
        <f t="shared" si="213"/>
        <v/>
      </c>
    </row>
    <row r="6290" spans="1:8">
      <c r="A6290" s="2"/>
      <c r="B6290" s="12"/>
      <c r="C6290" s="12"/>
      <c r="E6290" t="str">
        <f>IF(LEN(D6290)=0,"",[1]!i_pq_tradedays($B$3,A6291,A6290)-1)</f>
        <v/>
      </c>
      <c r="G6290" s="16" t="str">
        <f t="shared" si="212"/>
        <v/>
      </c>
      <c r="H6290" s="70" t="str">
        <f t="shared" si="213"/>
        <v/>
      </c>
    </row>
    <row r="6291" spans="1:8">
      <c r="A6291" s="2"/>
      <c r="B6291" s="12"/>
      <c r="C6291" s="12"/>
      <c r="E6291" t="str">
        <f>IF(LEN(D6291)=0,"",[1]!i_pq_tradedays($B$3,A6292,A6291)-1)</f>
        <v/>
      </c>
      <c r="G6291" s="16" t="str">
        <f t="shared" si="212"/>
        <v/>
      </c>
      <c r="H6291" s="70" t="str">
        <f t="shared" si="213"/>
        <v/>
      </c>
    </row>
    <row r="6292" spans="1:8">
      <c r="A6292" s="2"/>
      <c r="B6292" s="12"/>
      <c r="C6292" s="12"/>
      <c r="E6292" t="str">
        <f>IF(LEN(D6292)=0,"",[1]!i_pq_tradedays($B$3,A6293,A6292)-1)</f>
        <v/>
      </c>
      <c r="G6292" s="16" t="str">
        <f t="shared" si="212"/>
        <v/>
      </c>
      <c r="H6292" s="70" t="str">
        <f t="shared" si="213"/>
        <v/>
      </c>
    </row>
    <row r="6293" spans="1:8">
      <c r="A6293" s="2"/>
      <c r="B6293" s="12"/>
      <c r="C6293" s="12"/>
      <c r="E6293" t="str">
        <f>IF(LEN(D6293)=0,"",[1]!i_pq_tradedays($B$3,A6294,A6293)-1)</f>
        <v/>
      </c>
      <c r="G6293" s="16" t="str">
        <f t="shared" si="212"/>
        <v/>
      </c>
      <c r="H6293" s="70" t="str">
        <f t="shared" si="213"/>
        <v/>
      </c>
    </row>
    <row r="6294" spans="1:8">
      <c r="A6294" s="2"/>
      <c r="B6294" s="12"/>
      <c r="C6294" s="12"/>
      <c r="E6294" t="str">
        <f>IF(LEN(D6294)=0,"",[1]!i_pq_tradedays($B$3,A6295,A6294)-1)</f>
        <v/>
      </c>
      <c r="G6294" s="16" t="str">
        <f t="shared" si="212"/>
        <v/>
      </c>
      <c r="H6294" s="70" t="str">
        <f t="shared" si="213"/>
        <v/>
      </c>
    </row>
    <row r="6295" spans="1:8">
      <c r="A6295" s="2"/>
      <c r="B6295" s="12"/>
      <c r="C6295" s="12"/>
      <c r="E6295" t="str">
        <f>IF(LEN(D6295)=0,"",[1]!i_pq_tradedays($B$3,A6296,A6295)-1)</f>
        <v/>
      </c>
      <c r="G6295" s="16" t="str">
        <f t="shared" si="212"/>
        <v/>
      </c>
      <c r="H6295" s="70" t="str">
        <f t="shared" si="213"/>
        <v/>
      </c>
    </row>
    <row r="6296" spans="1:8">
      <c r="A6296" s="2"/>
      <c r="B6296" s="12"/>
      <c r="C6296" s="12"/>
      <c r="E6296" t="str">
        <f>IF(LEN(D6296)=0,"",[1]!i_pq_tradedays($B$3,A6297,A6296)-1)</f>
        <v/>
      </c>
      <c r="G6296" s="16" t="str">
        <f t="shared" si="212"/>
        <v/>
      </c>
      <c r="H6296" s="70" t="str">
        <f t="shared" si="213"/>
        <v/>
      </c>
    </row>
    <row r="6297" spans="1:8">
      <c r="A6297" s="2"/>
      <c r="B6297" s="12"/>
      <c r="C6297" s="12"/>
      <c r="E6297" t="str">
        <f>IF(LEN(D6297)=0,"",[1]!i_pq_tradedays($B$3,A6298,A6297)-1)</f>
        <v/>
      </c>
      <c r="G6297" s="16" t="str">
        <f t="shared" si="212"/>
        <v/>
      </c>
      <c r="H6297" s="70" t="str">
        <f t="shared" si="213"/>
        <v/>
      </c>
    </row>
    <row r="6298" spans="1:8">
      <c r="A6298" s="2"/>
      <c r="B6298" s="12"/>
      <c r="C6298" s="12"/>
      <c r="E6298" t="str">
        <f>IF(LEN(D6298)=0,"",[1]!i_pq_tradedays($B$3,A6299,A6298)-1)</f>
        <v/>
      </c>
      <c r="G6298" s="16" t="str">
        <f t="shared" si="212"/>
        <v/>
      </c>
      <c r="H6298" s="70" t="str">
        <f t="shared" si="213"/>
        <v/>
      </c>
    </row>
    <row r="6299" spans="1:8">
      <c r="A6299" s="2"/>
      <c r="B6299" s="12"/>
      <c r="C6299" s="12"/>
      <c r="E6299" t="str">
        <f>IF(LEN(D6299)=0,"",[1]!i_pq_tradedays($B$3,A6300,A6299)-1)</f>
        <v/>
      </c>
      <c r="G6299" s="16" t="str">
        <f t="shared" si="212"/>
        <v/>
      </c>
      <c r="H6299" s="70" t="str">
        <f t="shared" si="213"/>
        <v/>
      </c>
    </row>
    <row r="6300" spans="1:8">
      <c r="A6300" s="2"/>
      <c r="B6300" s="12"/>
      <c r="C6300" s="12"/>
      <c r="E6300" t="str">
        <f>IF(LEN(D6300)=0,"",[1]!i_pq_tradedays($B$3,A6301,A6300)-1)</f>
        <v/>
      </c>
      <c r="G6300" s="16" t="str">
        <f t="shared" si="212"/>
        <v/>
      </c>
      <c r="H6300" s="70" t="str">
        <f t="shared" si="213"/>
        <v/>
      </c>
    </row>
    <row r="6301" spans="1:8">
      <c r="A6301" s="2"/>
      <c r="B6301" s="12"/>
      <c r="C6301" s="12"/>
      <c r="E6301" t="str">
        <f>IF(LEN(D6301)=0,"",[1]!i_pq_tradedays($B$3,A6302,A6301)-1)</f>
        <v/>
      </c>
      <c r="G6301" s="16" t="str">
        <f t="shared" si="212"/>
        <v/>
      </c>
      <c r="H6301" s="70" t="str">
        <f t="shared" si="213"/>
        <v/>
      </c>
    </row>
    <row r="6302" spans="1:8">
      <c r="A6302" s="2"/>
      <c r="B6302" s="12"/>
      <c r="C6302" s="12"/>
      <c r="E6302" t="str">
        <f>IF(LEN(D6302)=0,"",[1]!i_pq_tradedays($B$3,A6303,A6302)-1)</f>
        <v/>
      </c>
      <c r="G6302" s="16" t="str">
        <f t="shared" si="212"/>
        <v/>
      </c>
      <c r="H6302" s="70" t="str">
        <f t="shared" si="213"/>
        <v/>
      </c>
    </row>
    <row r="6303" spans="1:8">
      <c r="A6303" s="2"/>
      <c r="B6303" s="12"/>
      <c r="C6303" s="12"/>
      <c r="E6303" t="str">
        <f>IF(LEN(D6303)=0,"",[1]!i_pq_tradedays($B$3,A6304,A6303)-1)</f>
        <v/>
      </c>
      <c r="G6303" s="16" t="str">
        <f t="shared" si="212"/>
        <v/>
      </c>
      <c r="H6303" s="70" t="str">
        <f t="shared" si="213"/>
        <v/>
      </c>
    </row>
    <row r="6304" spans="1:8">
      <c r="A6304" s="2"/>
      <c r="B6304" s="12"/>
      <c r="C6304" s="12"/>
      <c r="E6304" t="str">
        <f>IF(LEN(D6304)=0,"",[1]!i_pq_tradedays($B$3,A6305,A6304)-1)</f>
        <v/>
      </c>
      <c r="G6304" s="16" t="str">
        <f t="shared" si="212"/>
        <v/>
      </c>
      <c r="H6304" s="70" t="str">
        <f t="shared" si="213"/>
        <v/>
      </c>
    </row>
    <row r="6305" spans="1:8">
      <c r="A6305" s="2"/>
      <c r="B6305" s="12"/>
      <c r="C6305" s="12"/>
      <c r="E6305" t="str">
        <f>IF(LEN(D6305)=0,"",[1]!i_pq_tradedays($B$3,A6306,A6305)-1)</f>
        <v/>
      </c>
      <c r="G6305" s="16" t="str">
        <f t="shared" si="212"/>
        <v/>
      </c>
      <c r="H6305" s="70" t="str">
        <f t="shared" si="213"/>
        <v/>
      </c>
    </row>
    <row r="6306" spans="1:8">
      <c r="A6306" s="2"/>
      <c r="B6306" s="12"/>
      <c r="C6306" s="12"/>
      <c r="E6306" t="str">
        <f>IF(LEN(D6306)=0,"",[1]!i_pq_tradedays($B$3,A6307,A6306)-1)</f>
        <v/>
      </c>
      <c r="G6306" s="16" t="str">
        <f t="shared" si="212"/>
        <v/>
      </c>
      <c r="H6306" s="70" t="str">
        <f t="shared" si="213"/>
        <v/>
      </c>
    </row>
    <row r="6307" spans="1:8">
      <c r="A6307" s="2"/>
      <c r="B6307" s="12"/>
      <c r="C6307" s="12"/>
      <c r="E6307" t="str">
        <f>IF(LEN(D6307)=0,"",[1]!i_pq_tradedays($B$3,A6308,A6307)-1)</f>
        <v/>
      </c>
      <c r="G6307" s="16" t="str">
        <f t="shared" si="212"/>
        <v/>
      </c>
      <c r="H6307" s="70" t="str">
        <f t="shared" si="213"/>
        <v/>
      </c>
    </row>
    <row r="6308" spans="1:8">
      <c r="A6308" s="2"/>
      <c r="B6308" s="12"/>
      <c r="C6308" s="12"/>
      <c r="E6308" t="str">
        <f>IF(LEN(D6308)=0,"",[1]!i_pq_tradedays($B$3,A6309,A6308)-1)</f>
        <v/>
      </c>
      <c r="G6308" s="16" t="str">
        <f t="shared" si="212"/>
        <v/>
      </c>
      <c r="H6308" s="70" t="str">
        <f t="shared" si="213"/>
        <v/>
      </c>
    </row>
    <row r="6309" spans="1:8">
      <c r="A6309" s="2"/>
      <c r="B6309" s="12"/>
      <c r="C6309" s="12"/>
      <c r="E6309" t="str">
        <f>IF(LEN(D6309)=0,"",[1]!i_pq_tradedays($B$3,A6310,A6309)-1)</f>
        <v/>
      </c>
      <c r="G6309" s="16" t="str">
        <f t="shared" si="212"/>
        <v/>
      </c>
      <c r="H6309" s="70" t="str">
        <f t="shared" si="213"/>
        <v/>
      </c>
    </row>
    <row r="6310" spans="1:8">
      <c r="A6310" s="2"/>
      <c r="B6310" s="12"/>
      <c r="C6310" s="12"/>
      <c r="E6310" t="str">
        <f>IF(LEN(D6310)=0,"",[1]!i_pq_tradedays($B$3,A6311,A6310)-1)</f>
        <v/>
      </c>
      <c r="G6310" s="16" t="str">
        <f t="shared" si="212"/>
        <v/>
      </c>
      <c r="H6310" s="70" t="str">
        <f t="shared" si="213"/>
        <v/>
      </c>
    </row>
    <row r="6311" spans="1:8">
      <c r="A6311" s="2"/>
      <c r="B6311" s="12"/>
      <c r="C6311" s="12"/>
      <c r="E6311" t="str">
        <f>IF(LEN(D6311)=0,"",[1]!i_pq_tradedays($B$3,A6312,A6311)-1)</f>
        <v/>
      </c>
      <c r="G6311" s="16" t="str">
        <f t="shared" si="212"/>
        <v/>
      </c>
      <c r="H6311" s="70" t="str">
        <f t="shared" si="213"/>
        <v/>
      </c>
    </row>
    <row r="6312" spans="1:8">
      <c r="A6312" s="2"/>
      <c r="B6312" s="12"/>
      <c r="C6312" s="12"/>
      <c r="E6312" t="str">
        <f>IF(LEN(D6312)=0,"",[1]!i_pq_tradedays($B$3,A6313,A6312)-1)</f>
        <v/>
      </c>
      <c r="G6312" s="16" t="str">
        <f t="shared" si="212"/>
        <v/>
      </c>
      <c r="H6312" s="70" t="str">
        <f t="shared" si="213"/>
        <v/>
      </c>
    </row>
    <row r="6313" spans="1:8">
      <c r="A6313" s="2"/>
      <c r="B6313" s="12"/>
      <c r="C6313" s="12"/>
      <c r="E6313" t="str">
        <f>IF(LEN(D6313)=0,"",[1]!i_pq_tradedays($B$3,A6314,A6313)-1)</f>
        <v/>
      </c>
      <c r="G6313" s="16" t="str">
        <f t="shared" si="212"/>
        <v/>
      </c>
      <c r="H6313" s="70" t="str">
        <f t="shared" si="213"/>
        <v/>
      </c>
    </row>
    <row r="6314" spans="1:8">
      <c r="A6314" s="2"/>
      <c r="B6314" s="12"/>
      <c r="C6314" s="12"/>
      <c r="E6314" t="str">
        <f>IF(LEN(D6314)=0,"",[1]!i_pq_tradedays($B$3,A6315,A6314)-1)</f>
        <v/>
      </c>
      <c r="G6314" s="16" t="str">
        <f t="shared" si="212"/>
        <v/>
      </c>
      <c r="H6314" s="70" t="str">
        <f t="shared" si="213"/>
        <v/>
      </c>
    </row>
    <row r="6315" spans="1:8">
      <c r="A6315" s="2"/>
      <c r="B6315" s="12"/>
      <c r="C6315" s="12"/>
      <c r="E6315" t="str">
        <f>IF(LEN(D6315)=0,"",[1]!i_pq_tradedays($B$3,A6316,A6315)-1)</f>
        <v/>
      </c>
      <c r="G6315" s="16" t="str">
        <f t="shared" si="212"/>
        <v/>
      </c>
      <c r="H6315" s="70" t="str">
        <f t="shared" si="213"/>
        <v/>
      </c>
    </row>
    <row r="6316" spans="1:8">
      <c r="A6316" s="2"/>
      <c r="B6316" s="12"/>
      <c r="C6316" s="12"/>
      <c r="E6316" t="str">
        <f>IF(LEN(D6316)=0,"",[1]!i_pq_tradedays($B$3,A6317,A6316)-1)</f>
        <v/>
      </c>
      <c r="G6316" s="16" t="str">
        <f t="shared" si="212"/>
        <v/>
      </c>
      <c r="H6316" s="70" t="str">
        <f t="shared" si="213"/>
        <v/>
      </c>
    </row>
    <row r="6317" spans="1:8">
      <c r="A6317" s="2"/>
      <c r="B6317" s="12"/>
      <c r="C6317" s="12"/>
      <c r="E6317" t="str">
        <f>IF(LEN(D6317)=0,"",[1]!i_pq_tradedays($B$3,A6318,A6317)-1)</f>
        <v/>
      </c>
      <c r="G6317" s="16" t="str">
        <f t="shared" si="212"/>
        <v/>
      </c>
      <c r="H6317" s="70" t="str">
        <f t="shared" si="213"/>
        <v/>
      </c>
    </row>
    <row r="6318" spans="1:8">
      <c r="A6318" s="2"/>
      <c r="B6318" s="12"/>
      <c r="C6318" s="12"/>
      <c r="E6318" t="str">
        <f>IF(LEN(D6318)=0,"",[1]!i_pq_tradedays($B$3,A6319,A6318)-1)</f>
        <v/>
      </c>
      <c r="G6318" s="16" t="str">
        <f t="shared" si="212"/>
        <v/>
      </c>
      <c r="H6318" s="70" t="str">
        <f t="shared" si="213"/>
        <v/>
      </c>
    </row>
    <row r="6319" spans="1:8">
      <c r="A6319" s="2"/>
      <c r="B6319" s="12"/>
      <c r="C6319" s="12"/>
      <c r="E6319" t="str">
        <f>IF(LEN(D6319)=0,"",[1]!i_pq_tradedays($B$3,A6320,A6319)-1)</f>
        <v/>
      </c>
      <c r="G6319" s="16" t="str">
        <f t="shared" si="212"/>
        <v/>
      </c>
      <c r="H6319" s="70" t="str">
        <f t="shared" si="213"/>
        <v/>
      </c>
    </row>
    <row r="6320" spans="1:8">
      <c r="A6320" s="2"/>
      <c r="B6320" s="12"/>
      <c r="C6320" s="12"/>
      <c r="E6320" t="str">
        <f>IF(LEN(D6320)=0,"",[1]!i_pq_tradedays($B$3,A6321,A6320)-1)</f>
        <v/>
      </c>
      <c r="G6320" s="16" t="str">
        <f t="shared" si="212"/>
        <v/>
      </c>
      <c r="H6320" s="70" t="str">
        <f t="shared" si="213"/>
        <v/>
      </c>
    </row>
    <row r="6321" spans="1:8">
      <c r="A6321" s="2"/>
      <c r="B6321" s="12"/>
      <c r="C6321" s="12"/>
      <c r="E6321" t="str">
        <f>IF(LEN(D6321)=0,"",[1]!i_pq_tradedays($B$3,A6322,A6321)-1)</f>
        <v/>
      </c>
      <c r="G6321" s="16" t="str">
        <f t="shared" si="212"/>
        <v/>
      </c>
      <c r="H6321" s="70" t="str">
        <f t="shared" si="213"/>
        <v/>
      </c>
    </row>
    <row r="6322" spans="1:8">
      <c r="A6322" s="2"/>
      <c r="B6322" s="12"/>
      <c r="C6322" s="12"/>
      <c r="E6322" t="str">
        <f>IF(LEN(D6322)=0,"",[1]!i_pq_tradedays($B$3,A6323,A6322)-1)</f>
        <v/>
      </c>
      <c r="G6322" s="16" t="str">
        <f t="shared" si="212"/>
        <v/>
      </c>
      <c r="H6322" s="70" t="str">
        <f t="shared" si="213"/>
        <v/>
      </c>
    </row>
    <row r="6323" spans="1:8">
      <c r="A6323" s="2"/>
      <c r="B6323" s="12"/>
      <c r="C6323" s="12"/>
      <c r="E6323" t="str">
        <f>IF(LEN(D6323)=0,"",[1]!i_pq_tradedays($B$3,A6324,A6323)-1)</f>
        <v/>
      </c>
      <c r="G6323" s="16" t="str">
        <f t="shared" si="212"/>
        <v/>
      </c>
      <c r="H6323" s="70" t="str">
        <f t="shared" si="213"/>
        <v/>
      </c>
    </row>
    <row r="6324" spans="1:8">
      <c r="A6324" s="2"/>
      <c r="B6324" s="12"/>
      <c r="C6324" s="12"/>
      <c r="E6324" t="str">
        <f>IF(LEN(D6324)=0,"",[1]!i_pq_tradedays($B$3,A6325,A6324)-1)</f>
        <v/>
      </c>
      <c r="G6324" s="16" t="str">
        <f t="shared" si="212"/>
        <v/>
      </c>
      <c r="H6324" s="70" t="str">
        <f t="shared" si="213"/>
        <v/>
      </c>
    </row>
    <row r="6325" spans="1:8">
      <c r="A6325" s="2"/>
      <c r="B6325" s="12"/>
      <c r="C6325" s="12"/>
      <c r="E6325" t="str">
        <f>IF(LEN(D6325)=0,"",[1]!i_pq_tradedays($B$3,A6326,A6325)-1)</f>
        <v/>
      </c>
      <c r="G6325" s="16" t="str">
        <f t="shared" ref="G6325:G6388" si="214">IF(LEN(D6325)=0,"",D6325/E6325)</f>
        <v/>
      </c>
      <c r="H6325" s="70" t="str">
        <f t="shared" ref="H6325:H6388" si="215">IF(LEN(D6325)=0,"",G6325/G6326-1)</f>
        <v/>
      </c>
    </row>
    <row r="6326" spans="1:8">
      <c r="A6326" s="2"/>
      <c r="B6326" s="12"/>
      <c r="C6326" s="12"/>
      <c r="E6326" t="str">
        <f>IF(LEN(D6326)=0,"",[1]!i_pq_tradedays($B$3,A6327,A6326)-1)</f>
        <v/>
      </c>
      <c r="G6326" s="16" t="str">
        <f t="shared" si="214"/>
        <v/>
      </c>
      <c r="H6326" s="70" t="str">
        <f t="shared" si="215"/>
        <v/>
      </c>
    </row>
    <row r="6327" spans="1:8">
      <c r="A6327" s="2"/>
      <c r="B6327" s="12"/>
      <c r="C6327" s="12"/>
      <c r="E6327" t="str">
        <f>IF(LEN(D6327)=0,"",[1]!i_pq_tradedays($B$3,A6328,A6327)-1)</f>
        <v/>
      </c>
      <c r="G6327" s="16" t="str">
        <f t="shared" si="214"/>
        <v/>
      </c>
      <c r="H6327" s="70" t="str">
        <f t="shared" si="215"/>
        <v/>
      </c>
    </row>
    <row r="6328" spans="1:8">
      <c r="A6328" s="2"/>
      <c r="B6328" s="12"/>
      <c r="C6328" s="12"/>
      <c r="E6328" t="str">
        <f>IF(LEN(D6328)=0,"",[1]!i_pq_tradedays($B$3,A6329,A6328)-1)</f>
        <v/>
      </c>
      <c r="G6328" s="16" t="str">
        <f t="shared" si="214"/>
        <v/>
      </c>
      <c r="H6328" s="70" t="str">
        <f t="shared" si="215"/>
        <v/>
      </c>
    </row>
    <row r="6329" spans="1:8">
      <c r="A6329" s="2"/>
      <c r="B6329" s="12"/>
      <c r="C6329" s="12"/>
      <c r="E6329" t="str">
        <f>IF(LEN(D6329)=0,"",[1]!i_pq_tradedays($B$3,A6330,A6329)-1)</f>
        <v/>
      </c>
      <c r="G6329" s="16" t="str">
        <f t="shared" si="214"/>
        <v/>
      </c>
      <c r="H6329" s="70" t="str">
        <f t="shared" si="215"/>
        <v/>
      </c>
    </row>
    <row r="6330" spans="1:8">
      <c r="A6330" s="2"/>
      <c r="B6330" s="12"/>
      <c r="C6330" s="12"/>
      <c r="E6330" t="str">
        <f>IF(LEN(D6330)=0,"",[1]!i_pq_tradedays($B$3,A6331,A6330)-1)</f>
        <v/>
      </c>
      <c r="G6330" s="16" t="str">
        <f t="shared" si="214"/>
        <v/>
      </c>
      <c r="H6330" s="70" t="str">
        <f t="shared" si="215"/>
        <v/>
      </c>
    </row>
    <row r="6331" spans="1:8">
      <c r="A6331" s="2"/>
      <c r="B6331" s="12"/>
      <c r="C6331" s="12"/>
      <c r="E6331" t="str">
        <f>IF(LEN(D6331)=0,"",[1]!i_pq_tradedays($B$3,A6332,A6331)-1)</f>
        <v/>
      </c>
      <c r="G6331" s="16" t="str">
        <f t="shared" si="214"/>
        <v/>
      </c>
      <c r="H6331" s="70" t="str">
        <f t="shared" si="215"/>
        <v/>
      </c>
    </row>
    <row r="6332" spans="1:8">
      <c r="A6332" s="2"/>
      <c r="B6332" s="12"/>
      <c r="C6332" s="12"/>
      <c r="E6332" t="str">
        <f>IF(LEN(D6332)=0,"",[1]!i_pq_tradedays($B$3,A6333,A6332)-1)</f>
        <v/>
      </c>
      <c r="G6332" s="16" t="str">
        <f t="shared" si="214"/>
        <v/>
      </c>
      <c r="H6332" s="70" t="str">
        <f t="shared" si="215"/>
        <v/>
      </c>
    </row>
    <row r="6333" spans="1:8">
      <c r="A6333" s="2"/>
      <c r="B6333" s="12"/>
      <c r="C6333" s="12"/>
      <c r="E6333" t="str">
        <f>IF(LEN(D6333)=0,"",[1]!i_pq_tradedays($B$3,A6334,A6333)-1)</f>
        <v/>
      </c>
      <c r="G6333" s="16" t="str">
        <f t="shared" si="214"/>
        <v/>
      </c>
      <c r="H6333" s="70" t="str">
        <f t="shared" si="215"/>
        <v/>
      </c>
    </row>
    <row r="6334" spans="1:8">
      <c r="A6334" s="2"/>
      <c r="B6334" s="12"/>
      <c r="C6334" s="12"/>
      <c r="E6334" t="str">
        <f>IF(LEN(D6334)=0,"",[1]!i_pq_tradedays($B$3,A6335,A6334)-1)</f>
        <v/>
      </c>
      <c r="G6334" s="16" t="str">
        <f t="shared" si="214"/>
        <v/>
      </c>
      <c r="H6334" s="70" t="str">
        <f t="shared" si="215"/>
        <v/>
      </c>
    </row>
    <row r="6335" spans="1:8">
      <c r="A6335" s="2"/>
      <c r="B6335" s="12"/>
      <c r="C6335" s="12"/>
      <c r="E6335" t="str">
        <f>IF(LEN(D6335)=0,"",[1]!i_pq_tradedays($B$3,A6336,A6335)-1)</f>
        <v/>
      </c>
      <c r="G6335" s="16" t="str">
        <f t="shared" si="214"/>
        <v/>
      </c>
      <c r="H6335" s="70" t="str">
        <f t="shared" si="215"/>
        <v/>
      </c>
    </row>
    <row r="6336" spans="1:8">
      <c r="A6336" s="2"/>
      <c r="B6336" s="12"/>
      <c r="C6336" s="12"/>
      <c r="E6336" t="str">
        <f>IF(LEN(D6336)=0,"",[1]!i_pq_tradedays($B$3,A6337,A6336)-1)</f>
        <v/>
      </c>
      <c r="G6336" s="16" t="str">
        <f t="shared" si="214"/>
        <v/>
      </c>
      <c r="H6336" s="70" t="str">
        <f t="shared" si="215"/>
        <v/>
      </c>
    </row>
    <row r="6337" spans="1:8">
      <c r="A6337" s="2"/>
      <c r="B6337" s="12"/>
      <c r="C6337" s="12"/>
      <c r="E6337" t="str">
        <f>IF(LEN(D6337)=0,"",[1]!i_pq_tradedays($B$3,A6338,A6337)-1)</f>
        <v/>
      </c>
      <c r="G6337" s="16" t="str">
        <f t="shared" si="214"/>
        <v/>
      </c>
      <c r="H6337" s="70" t="str">
        <f t="shared" si="215"/>
        <v/>
      </c>
    </row>
    <row r="6338" spans="1:8">
      <c r="A6338" s="2"/>
      <c r="B6338" s="12"/>
      <c r="C6338" s="12"/>
      <c r="E6338" t="str">
        <f>IF(LEN(D6338)=0,"",[1]!i_pq_tradedays($B$3,A6339,A6338)-1)</f>
        <v/>
      </c>
      <c r="G6338" s="16" t="str">
        <f t="shared" si="214"/>
        <v/>
      </c>
      <c r="H6338" s="70" t="str">
        <f t="shared" si="215"/>
        <v/>
      </c>
    </row>
    <row r="6339" spans="1:8">
      <c r="A6339" s="2"/>
      <c r="B6339" s="12"/>
      <c r="C6339" s="12"/>
      <c r="E6339" t="str">
        <f>IF(LEN(D6339)=0,"",[1]!i_pq_tradedays($B$3,A6340,A6339)-1)</f>
        <v/>
      </c>
      <c r="G6339" s="16" t="str">
        <f t="shared" si="214"/>
        <v/>
      </c>
      <c r="H6339" s="70" t="str">
        <f t="shared" si="215"/>
        <v/>
      </c>
    </row>
    <row r="6340" spans="1:8">
      <c r="A6340" s="2"/>
      <c r="B6340" s="12"/>
      <c r="C6340" s="12"/>
      <c r="E6340" t="str">
        <f>IF(LEN(D6340)=0,"",[1]!i_pq_tradedays($B$3,A6341,A6340)-1)</f>
        <v/>
      </c>
      <c r="G6340" s="16" t="str">
        <f t="shared" si="214"/>
        <v/>
      </c>
      <c r="H6340" s="70" t="str">
        <f t="shared" si="215"/>
        <v/>
      </c>
    </row>
    <row r="6341" spans="1:8">
      <c r="A6341" s="2"/>
      <c r="B6341" s="12"/>
      <c r="C6341" s="12"/>
      <c r="E6341" t="str">
        <f>IF(LEN(D6341)=0,"",[1]!i_pq_tradedays($B$3,A6342,A6341)-1)</f>
        <v/>
      </c>
      <c r="G6341" s="16" t="str">
        <f t="shared" si="214"/>
        <v/>
      </c>
      <c r="H6341" s="70" t="str">
        <f t="shared" si="215"/>
        <v/>
      </c>
    </row>
    <row r="6342" spans="1:8">
      <c r="A6342" s="2"/>
      <c r="B6342" s="12"/>
      <c r="C6342" s="12"/>
      <c r="E6342" t="str">
        <f>IF(LEN(D6342)=0,"",[1]!i_pq_tradedays($B$3,A6343,A6342)-1)</f>
        <v/>
      </c>
      <c r="G6342" s="16" t="str">
        <f t="shared" si="214"/>
        <v/>
      </c>
      <c r="H6342" s="70" t="str">
        <f t="shared" si="215"/>
        <v/>
      </c>
    </row>
    <row r="6343" spans="1:8">
      <c r="A6343" s="2"/>
      <c r="B6343" s="12"/>
      <c r="C6343" s="12"/>
      <c r="E6343" t="str">
        <f>IF(LEN(D6343)=0,"",[1]!i_pq_tradedays($B$3,A6344,A6343)-1)</f>
        <v/>
      </c>
      <c r="G6343" s="16" t="str">
        <f t="shared" si="214"/>
        <v/>
      </c>
      <c r="H6343" s="70" t="str">
        <f t="shared" si="215"/>
        <v/>
      </c>
    </row>
    <row r="6344" spans="1:8">
      <c r="A6344" s="2"/>
      <c r="B6344" s="12"/>
      <c r="C6344" s="12"/>
      <c r="E6344" t="str">
        <f>IF(LEN(D6344)=0,"",[1]!i_pq_tradedays($B$3,A6345,A6344)-1)</f>
        <v/>
      </c>
      <c r="G6344" s="16" t="str">
        <f t="shared" si="214"/>
        <v/>
      </c>
      <c r="H6344" s="70" t="str">
        <f t="shared" si="215"/>
        <v/>
      </c>
    </row>
    <row r="6345" spans="1:8">
      <c r="A6345" s="2"/>
      <c r="B6345" s="12"/>
      <c r="C6345" s="12"/>
      <c r="E6345" t="str">
        <f>IF(LEN(D6345)=0,"",[1]!i_pq_tradedays($B$3,A6346,A6345)-1)</f>
        <v/>
      </c>
      <c r="G6345" s="16" t="str">
        <f t="shared" si="214"/>
        <v/>
      </c>
      <c r="H6345" s="70" t="str">
        <f t="shared" si="215"/>
        <v/>
      </c>
    </row>
    <row r="6346" spans="1:8">
      <c r="A6346" s="2"/>
      <c r="B6346" s="12"/>
      <c r="C6346" s="12"/>
      <c r="E6346" t="str">
        <f>IF(LEN(D6346)=0,"",[1]!i_pq_tradedays($B$3,A6347,A6346)-1)</f>
        <v/>
      </c>
      <c r="G6346" s="16" t="str">
        <f t="shared" si="214"/>
        <v/>
      </c>
      <c r="H6346" s="70" t="str">
        <f t="shared" si="215"/>
        <v/>
      </c>
    </row>
    <row r="6347" spans="1:8">
      <c r="A6347" s="2"/>
      <c r="B6347" s="12"/>
      <c r="C6347" s="12"/>
      <c r="E6347" t="str">
        <f>IF(LEN(D6347)=0,"",[1]!i_pq_tradedays($B$3,A6348,A6347)-1)</f>
        <v/>
      </c>
      <c r="G6347" s="16" t="str">
        <f t="shared" si="214"/>
        <v/>
      </c>
      <c r="H6347" s="70" t="str">
        <f t="shared" si="215"/>
        <v/>
      </c>
    </row>
    <row r="6348" spans="1:8">
      <c r="A6348" s="2"/>
      <c r="B6348" s="12"/>
      <c r="C6348" s="12"/>
      <c r="E6348" t="str">
        <f>IF(LEN(D6348)=0,"",[1]!i_pq_tradedays($B$3,A6349,A6348)-1)</f>
        <v/>
      </c>
      <c r="G6348" s="16" t="str">
        <f t="shared" si="214"/>
        <v/>
      </c>
      <c r="H6348" s="70" t="str">
        <f t="shared" si="215"/>
        <v/>
      </c>
    </row>
    <row r="6349" spans="1:8">
      <c r="A6349" s="2"/>
      <c r="B6349" s="12"/>
      <c r="C6349" s="12"/>
      <c r="E6349" t="str">
        <f>IF(LEN(D6349)=0,"",[1]!i_pq_tradedays($B$3,A6350,A6349)-1)</f>
        <v/>
      </c>
      <c r="G6349" s="16" t="str">
        <f t="shared" si="214"/>
        <v/>
      </c>
      <c r="H6349" s="70" t="str">
        <f t="shared" si="215"/>
        <v/>
      </c>
    </row>
    <row r="6350" spans="1:8">
      <c r="A6350" s="2"/>
      <c r="B6350" s="12"/>
      <c r="C6350" s="12"/>
      <c r="E6350" t="str">
        <f>IF(LEN(D6350)=0,"",[1]!i_pq_tradedays($B$3,A6351,A6350)-1)</f>
        <v/>
      </c>
      <c r="G6350" s="16" t="str">
        <f t="shared" si="214"/>
        <v/>
      </c>
      <c r="H6350" s="70" t="str">
        <f t="shared" si="215"/>
        <v/>
      </c>
    </row>
    <row r="6351" spans="1:8">
      <c r="A6351" s="2"/>
      <c r="B6351" s="12"/>
      <c r="C6351" s="12"/>
      <c r="E6351" t="str">
        <f>IF(LEN(D6351)=0,"",[1]!i_pq_tradedays($B$3,A6352,A6351)-1)</f>
        <v/>
      </c>
      <c r="G6351" s="16" t="str">
        <f t="shared" si="214"/>
        <v/>
      </c>
      <c r="H6351" s="70" t="str">
        <f t="shared" si="215"/>
        <v/>
      </c>
    </row>
    <row r="6352" spans="1:8">
      <c r="A6352" s="2"/>
      <c r="B6352" s="12"/>
      <c r="C6352" s="12"/>
      <c r="E6352" t="str">
        <f>IF(LEN(D6352)=0,"",[1]!i_pq_tradedays($B$3,A6353,A6352)-1)</f>
        <v/>
      </c>
      <c r="G6352" s="16" t="str">
        <f t="shared" si="214"/>
        <v/>
      </c>
      <c r="H6352" s="70" t="str">
        <f t="shared" si="215"/>
        <v/>
      </c>
    </row>
    <row r="6353" spans="1:8">
      <c r="A6353" s="2"/>
      <c r="B6353" s="12"/>
      <c r="C6353" s="12"/>
      <c r="E6353" t="str">
        <f>IF(LEN(D6353)=0,"",[1]!i_pq_tradedays($B$3,A6354,A6353)-1)</f>
        <v/>
      </c>
      <c r="G6353" s="16" t="str">
        <f t="shared" si="214"/>
        <v/>
      </c>
      <c r="H6353" s="70" t="str">
        <f t="shared" si="215"/>
        <v/>
      </c>
    </row>
    <row r="6354" spans="1:8">
      <c r="A6354" s="2"/>
      <c r="B6354" s="12"/>
      <c r="C6354" s="12"/>
      <c r="E6354" t="str">
        <f>IF(LEN(D6354)=0,"",[1]!i_pq_tradedays($B$3,A6355,A6354)-1)</f>
        <v/>
      </c>
      <c r="G6354" s="16" t="str">
        <f t="shared" si="214"/>
        <v/>
      </c>
      <c r="H6354" s="70" t="str">
        <f t="shared" si="215"/>
        <v/>
      </c>
    </row>
    <row r="6355" spans="1:8">
      <c r="A6355" s="2"/>
      <c r="B6355" s="12"/>
      <c r="C6355" s="12"/>
      <c r="E6355" t="str">
        <f>IF(LEN(D6355)=0,"",[1]!i_pq_tradedays($B$3,A6356,A6355)-1)</f>
        <v/>
      </c>
      <c r="G6355" s="16" t="str">
        <f t="shared" si="214"/>
        <v/>
      </c>
      <c r="H6355" s="70" t="str">
        <f t="shared" si="215"/>
        <v/>
      </c>
    </row>
    <row r="6356" spans="1:8">
      <c r="A6356" s="2"/>
      <c r="B6356" s="12"/>
      <c r="C6356" s="12"/>
      <c r="E6356" t="str">
        <f>IF(LEN(D6356)=0,"",[1]!i_pq_tradedays($B$3,A6357,A6356)-1)</f>
        <v/>
      </c>
      <c r="G6356" s="16" t="str">
        <f t="shared" si="214"/>
        <v/>
      </c>
      <c r="H6356" s="70" t="str">
        <f t="shared" si="215"/>
        <v/>
      </c>
    </row>
    <row r="6357" spans="1:8">
      <c r="A6357" s="2"/>
      <c r="B6357" s="12"/>
      <c r="C6357" s="12"/>
      <c r="E6357" t="str">
        <f>IF(LEN(D6357)=0,"",[1]!i_pq_tradedays($B$3,A6358,A6357)-1)</f>
        <v/>
      </c>
      <c r="G6357" s="16" t="str">
        <f t="shared" si="214"/>
        <v/>
      </c>
      <c r="H6357" s="70" t="str">
        <f t="shared" si="215"/>
        <v/>
      </c>
    </row>
    <row r="6358" spans="1:8">
      <c r="A6358" s="2"/>
      <c r="B6358" s="12"/>
      <c r="C6358" s="12"/>
      <c r="E6358" t="str">
        <f>IF(LEN(D6358)=0,"",[1]!i_pq_tradedays($B$3,A6359,A6358)-1)</f>
        <v/>
      </c>
      <c r="G6358" s="16" t="str">
        <f t="shared" si="214"/>
        <v/>
      </c>
      <c r="H6358" s="70" t="str">
        <f t="shared" si="215"/>
        <v/>
      </c>
    </row>
    <row r="6359" spans="1:8">
      <c r="A6359" s="2"/>
      <c r="B6359" s="12"/>
      <c r="C6359" s="12"/>
      <c r="E6359" t="str">
        <f>IF(LEN(D6359)=0,"",[1]!i_pq_tradedays($B$3,A6360,A6359)-1)</f>
        <v/>
      </c>
      <c r="G6359" s="16" t="str">
        <f t="shared" si="214"/>
        <v/>
      </c>
      <c r="H6359" s="70" t="str">
        <f t="shared" si="215"/>
        <v/>
      </c>
    </row>
    <row r="6360" spans="1:8">
      <c r="A6360" s="2"/>
      <c r="B6360" s="12"/>
      <c r="C6360" s="12"/>
      <c r="E6360" t="str">
        <f>IF(LEN(D6360)=0,"",[1]!i_pq_tradedays($B$3,A6361,A6360)-1)</f>
        <v/>
      </c>
      <c r="G6360" s="16" t="str">
        <f t="shared" si="214"/>
        <v/>
      </c>
      <c r="H6360" s="70" t="str">
        <f t="shared" si="215"/>
        <v/>
      </c>
    </row>
    <row r="6361" spans="1:8">
      <c r="A6361" s="2"/>
      <c r="B6361" s="12"/>
      <c r="C6361" s="12"/>
      <c r="E6361" t="str">
        <f>IF(LEN(D6361)=0,"",[1]!i_pq_tradedays($B$3,A6362,A6361)-1)</f>
        <v/>
      </c>
      <c r="G6361" s="16" t="str">
        <f t="shared" si="214"/>
        <v/>
      </c>
      <c r="H6361" s="70" t="str">
        <f t="shared" si="215"/>
        <v/>
      </c>
    </row>
    <row r="6362" spans="1:8">
      <c r="A6362" s="2"/>
      <c r="B6362" s="12"/>
      <c r="C6362" s="12"/>
      <c r="E6362" t="str">
        <f>IF(LEN(D6362)=0,"",[1]!i_pq_tradedays($B$3,A6363,A6362)-1)</f>
        <v/>
      </c>
      <c r="G6362" s="16" t="str">
        <f t="shared" si="214"/>
        <v/>
      </c>
      <c r="H6362" s="70" t="str">
        <f t="shared" si="215"/>
        <v/>
      </c>
    </row>
    <row r="6363" spans="1:8">
      <c r="A6363" s="2"/>
      <c r="B6363" s="12"/>
      <c r="C6363" s="12"/>
      <c r="E6363" t="str">
        <f>IF(LEN(D6363)=0,"",[1]!i_pq_tradedays($B$3,A6364,A6363)-1)</f>
        <v/>
      </c>
      <c r="G6363" s="16" t="str">
        <f t="shared" si="214"/>
        <v/>
      </c>
      <c r="H6363" s="70" t="str">
        <f t="shared" si="215"/>
        <v/>
      </c>
    </row>
    <row r="6364" spans="1:8">
      <c r="A6364" s="2"/>
      <c r="B6364" s="12"/>
      <c r="C6364" s="12"/>
      <c r="E6364" t="str">
        <f>IF(LEN(D6364)=0,"",[1]!i_pq_tradedays($B$3,A6365,A6364)-1)</f>
        <v/>
      </c>
      <c r="G6364" s="16" t="str">
        <f t="shared" si="214"/>
        <v/>
      </c>
      <c r="H6364" s="70" t="str">
        <f t="shared" si="215"/>
        <v/>
      </c>
    </row>
    <row r="6365" spans="1:8">
      <c r="A6365" s="2"/>
      <c r="B6365" s="12"/>
      <c r="C6365" s="12"/>
      <c r="E6365" t="str">
        <f>IF(LEN(D6365)=0,"",[1]!i_pq_tradedays($B$3,A6366,A6365)-1)</f>
        <v/>
      </c>
      <c r="G6365" s="16" t="str">
        <f t="shared" si="214"/>
        <v/>
      </c>
      <c r="H6365" s="70" t="str">
        <f t="shared" si="215"/>
        <v/>
      </c>
    </row>
    <row r="6366" spans="1:8">
      <c r="A6366" s="2"/>
      <c r="B6366" s="12"/>
      <c r="C6366" s="12"/>
      <c r="E6366" t="str">
        <f>IF(LEN(D6366)=0,"",[1]!i_pq_tradedays($B$3,A6367,A6366)-1)</f>
        <v/>
      </c>
      <c r="G6366" s="16" t="str">
        <f t="shared" si="214"/>
        <v/>
      </c>
      <c r="H6366" s="70" t="str">
        <f t="shared" si="215"/>
        <v/>
      </c>
    </row>
    <row r="6367" spans="1:8">
      <c r="A6367" s="2"/>
      <c r="B6367" s="12"/>
      <c r="C6367" s="12"/>
      <c r="E6367" t="str">
        <f>IF(LEN(D6367)=0,"",[1]!i_pq_tradedays($B$3,A6368,A6367)-1)</f>
        <v/>
      </c>
      <c r="G6367" s="16" t="str">
        <f t="shared" si="214"/>
        <v/>
      </c>
      <c r="H6367" s="70" t="str">
        <f t="shared" si="215"/>
        <v/>
      </c>
    </row>
    <row r="6368" spans="1:8">
      <c r="A6368" s="2"/>
      <c r="B6368" s="12"/>
      <c r="C6368" s="12"/>
      <c r="E6368" t="str">
        <f>IF(LEN(D6368)=0,"",[1]!i_pq_tradedays($B$3,A6369,A6368)-1)</f>
        <v/>
      </c>
      <c r="G6368" s="16" t="str">
        <f t="shared" si="214"/>
        <v/>
      </c>
      <c r="H6368" s="70" t="str">
        <f t="shared" si="215"/>
        <v/>
      </c>
    </row>
    <row r="6369" spans="1:8">
      <c r="A6369" s="2"/>
      <c r="B6369" s="12"/>
      <c r="C6369" s="12"/>
      <c r="E6369" t="str">
        <f>IF(LEN(D6369)=0,"",[1]!i_pq_tradedays($B$3,A6370,A6369)-1)</f>
        <v/>
      </c>
      <c r="G6369" s="16" t="str">
        <f t="shared" si="214"/>
        <v/>
      </c>
      <c r="H6369" s="70" t="str">
        <f t="shared" si="215"/>
        <v/>
      </c>
    </row>
    <row r="6370" spans="1:8">
      <c r="A6370" s="2"/>
      <c r="B6370" s="12"/>
      <c r="C6370" s="12"/>
      <c r="E6370" t="str">
        <f>IF(LEN(D6370)=0,"",[1]!i_pq_tradedays($B$3,A6371,A6370)-1)</f>
        <v/>
      </c>
      <c r="G6370" s="16" t="str">
        <f t="shared" si="214"/>
        <v/>
      </c>
      <c r="H6370" s="70" t="str">
        <f t="shared" si="215"/>
        <v/>
      </c>
    </row>
    <row r="6371" spans="1:8">
      <c r="A6371" s="2"/>
      <c r="B6371" s="12"/>
      <c r="C6371" s="12"/>
      <c r="E6371" t="str">
        <f>IF(LEN(D6371)=0,"",[1]!i_pq_tradedays($B$3,A6372,A6371)-1)</f>
        <v/>
      </c>
      <c r="G6371" s="16" t="str">
        <f t="shared" si="214"/>
        <v/>
      </c>
      <c r="H6371" s="70" t="str">
        <f t="shared" si="215"/>
        <v/>
      </c>
    </row>
    <row r="6372" spans="1:8">
      <c r="A6372" s="2"/>
      <c r="B6372" s="12"/>
      <c r="C6372" s="12"/>
      <c r="E6372" t="str">
        <f>IF(LEN(D6372)=0,"",[1]!i_pq_tradedays($B$3,A6373,A6372)-1)</f>
        <v/>
      </c>
      <c r="G6372" s="16" t="str">
        <f t="shared" si="214"/>
        <v/>
      </c>
      <c r="H6372" s="70" t="str">
        <f t="shared" si="215"/>
        <v/>
      </c>
    </row>
    <row r="6373" spans="1:8">
      <c r="A6373" s="2"/>
      <c r="B6373" s="12"/>
      <c r="C6373" s="12"/>
      <c r="E6373" t="str">
        <f>IF(LEN(D6373)=0,"",[1]!i_pq_tradedays($B$3,A6374,A6373)-1)</f>
        <v/>
      </c>
      <c r="G6373" s="16" t="str">
        <f t="shared" si="214"/>
        <v/>
      </c>
      <c r="H6373" s="70" t="str">
        <f t="shared" si="215"/>
        <v/>
      </c>
    </row>
    <row r="6374" spans="1:8">
      <c r="A6374" s="2"/>
      <c r="B6374" s="12"/>
      <c r="C6374" s="12"/>
      <c r="E6374" t="str">
        <f>IF(LEN(D6374)=0,"",[1]!i_pq_tradedays($B$3,A6375,A6374)-1)</f>
        <v/>
      </c>
      <c r="G6374" s="16" t="str">
        <f t="shared" si="214"/>
        <v/>
      </c>
      <c r="H6374" s="70" t="str">
        <f t="shared" si="215"/>
        <v/>
      </c>
    </row>
    <row r="6375" spans="1:8">
      <c r="A6375" s="2"/>
      <c r="B6375" s="12"/>
      <c r="C6375" s="12"/>
      <c r="E6375" t="str">
        <f>IF(LEN(D6375)=0,"",[1]!i_pq_tradedays($B$3,A6376,A6375)-1)</f>
        <v/>
      </c>
      <c r="G6375" s="16" t="str">
        <f t="shared" si="214"/>
        <v/>
      </c>
      <c r="H6375" s="70" t="str">
        <f t="shared" si="215"/>
        <v/>
      </c>
    </row>
    <row r="6376" spans="1:8">
      <c r="A6376" s="2"/>
      <c r="B6376" s="12"/>
      <c r="C6376" s="12"/>
      <c r="E6376" t="str">
        <f>IF(LEN(D6376)=0,"",[1]!i_pq_tradedays($B$3,A6377,A6376)-1)</f>
        <v/>
      </c>
      <c r="G6376" s="16" t="str">
        <f t="shared" si="214"/>
        <v/>
      </c>
      <c r="H6376" s="70" t="str">
        <f t="shared" si="215"/>
        <v/>
      </c>
    </row>
    <row r="6377" spans="1:8">
      <c r="A6377" s="2"/>
      <c r="B6377" s="12"/>
      <c r="C6377" s="12"/>
      <c r="E6377" t="str">
        <f>IF(LEN(D6377)=0,"",[1]!i_pq_tradedays($B$3,A6378,A6377)-1)</f>
        <v/>
      </c>
      <c r="G6377" s="16" t="str">
        <f t="shared" si="214"/>
        <v/>
      </c>
      <c r="H6377" s="70" t="str">
        <f t="shared" si="215"/>
        <v/>
      </c>
    </row>
    <row r="6378" spans="1:8">
      <c r="A6378" s="2"/>
      <c r="B6378" s="12"/>
      <c r="C6378" s="12"/>
      <c r="E6378" t="str">
        <f>IF(LEN(D6378)=0,"",[1]!i_pq_tradedays($B$3,A6379,A6378)-1)</f>
        <v/>
      </c>
      <c r="G6378" s="16" t="str">
        <f t="shared" si="214"/>
        <v/>
      </c>
      <c r="H6378" s="70" t="str">
        <f t="shared" si="215"/>
        <v/>
      </c>
    </row>
    <row r="6379" spans="1:8">
      <c r="A6379" s="2"/>
      <c r="B6379" s="12"/>
      <c r="C6379" s="12"/>
      <c r="E6379" t="str">
        <f>IF(LEN(D6379)=0,"",[1]!i_pq_tradedays($B$3,A6380,A6379)-1)</f>
        <v/>
      </c>
      <c r="G6379" s="16" t="str">
        <f t="shared" si="214"/>
        <v/>
      </c>
      <c r="H6379" s="70" t="str">
        <f t="shared" si="215"/>
        <v/>
      </c>
    </row>
    <row r="6380" spans="1:8">
      <c r="A6380" s="2"/>
      <c r="B6380" s="12"/>
      <c r="C6380" s="12"/>
      <c r="E6380" t="str">
        <f>IF(LEN(D6380)=0,"",[1]!i_pq_tradedays($B$3,A6381,A6380)-1)</f>
        <v/>
      </c>
      <c r="G6380" s="16" t="str">
        <f t="shared" si="214"/>
        <v/>
      </c>
      <c r="H6380" s="70" t="str">
        <f t="shared" si="215"/>
        <v/>
      </c>
    </row>
    <row r="6381" spans="1:8">
      <c r="A6381" s="2"/>
      <c r="B6381" s="12"/>
      <c r="C6381" s="12"/>
      <c r="E6381" t="str">
        <f>IF(LEN(D6381)=0,"",[1]!i_pq_tradedays($B$3,A6382,A6381)-1)</f>
        <v/>
      </c>
      <c r="G6381" s="16" t="str">
        <f t="shared" si="214"/>
        <v/>
      </c>
      <c r="H6381" s="70" t="str">
        <f t="shared" si="215"/>
        <v/>
      </c>
    </row>
    <row r="6382" spans="1:8">
      <c r="A6382" s="2"/>
      <c r="B6382" s="12"/>
      <c r="C6382" s="12"/>
      <c r="E6382" t="str">
        <f>IF(LEN(D6382)=0,"",[1]!i_pq_tradedays($B$3,A6383,A6382)-1)</f>
        <v/>
      </c>
      <c r="G6382" s="16" t="str">
        <f t="shared" si="214"/>
        <v/>
      </c>
      <c r="H6382" s="70" t="str">
        <f t="shared" si="215"/>
        <v/>
      </c>
    </row>
    <row r="6383" spans="1:8">
      <c r="A6383" s="2"/>
      <c r="B6383" s="12"/>
      <c r="C6383" s="12"/>
      <c r="E6383" t="str">
        <f>IF(LEN(D6383)=0,"",[1]!i_pq_tradedays($B$3,A6384,A6383)-1)</f>
        <v/>
      </c>
      <c r="G6383" s="16" t="str">
        <f t="shared" si="214"/>
        <v/>
      </c>
      <c r="H6383" s="70" t="str">
        <f t="shared" si="215"/>
        <v/>
      </c>
    </row>
    <row r="6384" spans="1:8">
      <c r="A6384" s="2"/>
      <c r="B6384" s="12"/>
      <c r="C6384" s="12"/>
      <c r="E6384" t="str">
        <f>IF(LEN(D6384)=0,"",[1]!i_pq_tradedays($B$3,A6385,A6384)-1)</f>
        <v/>
      </c>
      <c r="G6384" s="16" t="str">
        <f t="shared" si="214"/>
        <v/>
      </c>
      <c r="H6384" s="70" t="str">
        <f t="shared" si="215"/>
        <v/>
      </c>
    </row>
    <row r="6385" spans="1:8">
      <c r="A6385" s="2"/>
      <c r="B6385" s="12"/>
      <c r="C6385" s="12"/>
      <c r="E6385" t="str">
        <f>IF(LEN(D6385)=0,"",[1]!i_pq_tradedays($B$3,A6386,A6385)-1)</f>
        <v/>
      </c>
      <c r="G6385" s="16" t="str">
        <f t="shared" si="214"/>
        <v/>
      </c>
      <c r="H6385" s="70" t="str">
        <f t="shared" si="215"/>
        <v/>
      </c>
    </row>
    <row r="6386" spans="1:8">
      <c r="A6386" s="2"/>
      <c r="B6386" s="12"/>
      <c r="C6386" s="12"/>
      <c r="E6386" t="str">
        <f>IF(LEN(D6386)=0,"",[1]!i_pq_tradedays($B$3,A6387,A6386)-1)</f>
        <v/>
      </c>
      <c r="G6386" s="16" t="str">
        <f t="shared" si="214"/>
        <v/>
      </c>
      <c r="H6386" s="70" t="str">
        <f t="shared" si="215"/>
        <v/>
      </c>
    </row>
    <row r="6387" spans="1:8">
      <c r="A6387" s="2"/>
      <c r="B6387" s="12"/>
      <c r="C6387" s="12"/>
      <c r="E6387" t="str">
        <f>IF(LEN(D6387)=0,"",[1]!i_pq_tradedays($B$3,A6388,A6387)-1)</f>
        <v/>
      </c>
      <c r="G6387" s="16" t="str">
        <f t="shared" si="214"/>
        <v/>
      </c>
      <c r="H6387" s="70" t="str">
        <f t="shared" si="215"/>
        <v/>
      </c>
    </row>
    <row r="6388" spans="1:8">
      <c r="A6388" s="2"/>
      <c r="B6388" s="12"/>
      <c r="C6388" s="12"/>
      <c r="E6388" t="str">
        <f>IF(LEN(D6388)=0,"",[1]!i_pq_tradedays($B$3,A6389,A6388)-1)</f>
        <v/>
      </c>
      <c r="G6388" s="16" t="str">
        <f t="shared" si="214"/>
        <v/>
      </c>
      <c r="H6388" s="70" t="str">
        <f t="shared" si="215"/>
        <v/>
      </c>
    </row>
    <row r="6389" spans="1:8">
      <c r="A6389" s="2"/>
      <c r="B6389" s="12"/>
      <c r="C6389" s="12"/>
      <c r="E6389" t="str">
        <f>IF(LEN(D6389)=0,"",[1]!i_pq_tradedays($B$3,A6390,A6389)-1)</f>
        <v/>
      </c>
      <c r="G6389" s="16" t="str">
        <f t="shared" ref="G6389:G6452" si="216">IF(LEN(D6389)=0,"",D6389/E6389)</f>
        <v/>
      </c>
      <c r="H6389" s="70" t="str">
        <f t="shared" ref="H6389:H6452" si="217">IF(LEN(D6389)=0,"",G6389/G6390-1)</f>
        <v/>
      </c>
    </row>
    <row r="6390" spans="1:8">
      <c r="A6390" s="2"/>
      <c r="B6390" s="12"/>
      <c r="C6390" s="12"/>
      <c r="E6390" t="str">
        <f>IF(LEN(D6390)=0,"",[1]!i_pq_tradedays($B$3,A6391,A6390)-1)</f>
        <v/>
      </c>
      <c r="G6390" s="16" t="str">
        <f t="shared" si="216"/>
        <v/>
      </c>
      <c r="H6390" s="70" t="str">
        <f t="shared" si="217"/>
        <v/>
      </c>
    </row>
    <row r="6391" spans="1:8">
      <c r="A6391" s="2"/>
      <c r="B6391" s="12"/>
      <c r="C6391" s="12"/>
      <c r="E6391" t="str">
        <f>IF(LEN(D6391)=0,"",[1]!i_pq_tradedays($B$3,A6392,A6391)-1)</f>
        <v/>
      </c>
      <c r="G6391" s="16" t="str">
        <f t="shared" si="216"/>
        <v/>
      </c>
      <c r="H6391" s="70" t="str">
        <f t="shared" si="217"/>
        <v/>
      </c>
    </row>
    <row r="6392" spans="1:8">
      <c r="A6392" s="2"/>
      <c r="B6392" s="12"/>
      <c r="C6392" s="12"/>
      <c r="E6392" t="str">
        <f>IF(LEN(D6392)=0,"",[1]!i_pq_tradedays($B$3,A6393,A6392)-1)</f>
        <v/>
      </c>
      <c r="G6392" s="16" t="str">
        <f t="shared" si="216"/>
        <v/>
      </c>
      <c r="H6392" s="70" t="str">
        <f t="shared" si="217"/>
        <v/>
      </c>
    </row>
    <row r="6393" spans="1:8">
      <c r="A6393" s="2"/>
      <c r="B6393" s="12"/>
      <c r="C6393" s="12"/>
      <c r="E6393" t="str">
        <f>IF(LEN(D6393)=0,"",[1]!i_pq_tradedays($B$3,A6394,A6393)-1)</f>
        <v/>
      </c>
      <c r="G6393" s="16" t="str">
        <f t="shared" si="216"/>
        <v/>
      </c>
      <c r="H6393" s="70" t="str">
        <f t="shared" si="217"/>
        <v/>
      </c>
    </row>
    <row r="6394" spans="1:8">
      <c r="A6394" s="2"/>
      <c r="B6394" s="12"/>
      <c r="C6394" s="12"/>
      <c r="E6394" t="str">
        <f>IF(LEN(D6394)=0,"",[1]!i_pq_tradedays($B$3,A6395,A6394)-1)</f>
        <v/>
      </c>
      <c r="G6394" s="16" t="str">
        <f t="shared" si="216"/>
        <v/>
      </c>
      <c r="H6394" s="70" t="str">
        <f t="shared" si="217"/>
        <v/>
      </c>
    </row>
    <row r="6395" spans="1:8">
      <c r="A6395" s="2"/>
      <c r="B6395" s="12"/>
      <c r="C6395" s="12"/>
      <c r="E6395" t="str">
        <f>IF(LEN(D6395)=0,"",[1]!i_pq_tradedays($B$3,A6396,A6395)-1)</f>
        <v/>
      </c>
      <c r="G6395" s="16" t="str">
        <f t="shared" si="216"/>
        <v/>
      </c>
      <c r="H6395" s="70" t="str">
        <f t="shared" si="217"/>
        <v/>
      </c>
    </row>
    <row r="6396" spans="1:8">
      <c r="A6396" s="2"/>
      <c r="B6396" s="12"/>
      <c r="C6396" s="12"/>
      <c r="E6396" t="str">
        <f>IF(LEN(D6396)=0,"",[1]!i_pq_tradedays($B$3,A6397,A6396)-1)</f>
        <v/>
      </c>
      <c r="G6396" s="16" t="str">
        <f t="shared" si="216"/>
        <v/>
      </c>
      <c r="H6396" s="70" t="str">
        <f t="shared" si="217"/>
        <v/>
      </c>
    </row>
    <row r="6397" spans="1:8">
      <c r="A6397" s="2"/>
      <c r="B6397" s="12"/>
      <c r="C6397" s="12"/>
      <c r="E6397" t="str">
        <f>IF(LEN(D6397)=0,"",[1]!i_pq_tradedays($B$3,A6398,A6397)-1)</f>
        <v/>
      </c>
      <c r="G6397" s="16" t="str">
        <f t="shared" si="216"/>
        <v/>
      </c>
      <c r="H6397" s="70" t="str">
        <f t="shared" si="217"/>
        <v/>
      </c>
    </row>
    <row r="6398" spans="1:8">
      <c r="A6398" s="2"/>
      <c r="B6398" s="12"/>
      <c r="C6398" s="12"/>
      <c r="E6398" t="str">
        <f>IF(LEN(D6398)=0,"",[1]!i_pq_tradedays($B$3,A6399,A6398)-1)</f>
        <v/>
      </c>
      <c r="G6398" s="16" t="str">
        <f t="shared" si="216"/>
        <v/>
      </c>
      <c r="H6398" s="70" t="str">
        <f t="shared" si="217"/>
        <v/>
      </c>
    </row>
    <row r="6399" spans="1:8">
      <c r="A6399" s="2"/>
      <c r="B6399" s="12"/>
      <c r="C6399" s="12"/>
      <c r="E6399" t="str">
        <f>IF(LEN(D6399)=0,"",[1]!i_pq_tradedays($B$3,A6400,A6399)-1)</f>
        <v/>
      </c>
      <c r="G6399" s="16" t="str">
        <f t="shared" si="216"/>
        <v/>
      </c>
      <c r="H6399" s="70" t="str">
        <f t="shared" si="217"/>
        <v/>
      </c>
    </row>
    <row r="6400" spans="1:8">
      <c r="A6400" s="2"/>
      <c r="B6400" s="12"/>
      <c r="C6400" s="12"/>
      <c r="E6400" t="str">
        <f>IF(LEN(D6400)=0,"",[1]!i_pq_tradedays($B$3,A6401,A6400)-1)</f>
        <v/>
      </c>
      <c r="G6400" s="16" t="str">
        <f t="shared" si="216"/>
        <v/>
      </c>
      <c r="H6400" s="70" t="str">
        <f t="shared" si="217"/>
        <v/>
      </c>
    </row>
    <row r="6401" spans="1:8">
      <c r="A6401" s="2"/>
      <c r="B6401" s="12"/>
      <c r="C6401" s="12"/>
      <c r="E6401" t="str">
        <f>IF(LEN(D6401)=0,"",[1]!i_pq_tradedays($B$3,A6402,A6401)-1)</f>
        <v/>
      </c>
      <c r="G6401" s="16" t="str">
        <f t="shared" si="216"/>
        <v/>
      </c>
      <c r="H6401" s="70" t="str">
        <f t="shared" si="217"/>
        <v/>
      </c>
    </row>
    <row r="6402" spans="1:8">
      <c r="A6402" s="2"/>
      <c r="B6402" s="12"/>
      <c r="C6402" s="12"/>
      <c r="E6402" t="str">
        <f>IF(LEN(D6402)=0,"",[1]!i_pq_tradedays($B$3,A6403,A6402)-1)</f>
        <v/>
      </c>
      <c r="G6402" s="16" t="str">
        <f t="shared" si="216"/>
        <v/>
      </c>
      <c r="H6402" s="70" t="str">
        <f t="shared" si="217"/>
        <v/>
      </c>
    </row>
    <row r="6403" spans="1:8">
      <c r="A6403" s="2"/>
      <c r="B6403" s="12"/>
      <c r="C6403" s="12"/>
      <c r="E6403" t="str">
        <f>IF(LEN(D6403)=0,"",[1]!i_pq_tradedays($B$3,A6404,A6403)-1)</f>
        <v/>
      </c>
      <c r="G6403" s="16" t="str">
        <f t="shared" si="216"/>
        <v/>
      </c>
      <c r="H6403" s="70" t="str">
        <f t="shared" si="217"/>
        <v/>
      </c>
    </row>
    <row r="6404" spans="1:8">
      <c r="A6404" s="2"/>
      <c r="B6404" s="12"/>
      <c r="C6404" s="12"/>
      <c r="E6404" t="str">
        <f>IF(LEN(D6404)=0,"",[1]!i_pq_tradedays($B$3,A6405,A6404)-1)</f>
        <v/>
      </c>
      <c r="G6404" s="16" t="str">
        <f t="shared" si="216"/>
        <v/>
      </c>
      <c r="H6404" s="70" t="str">
        <f t="shared" si="217"/>
        <v/>
      </c>
    </row>
    <row r="6405" spans="1:8">
      <c r="A6405" s="2"/>
      <c r="B6405" s="12"/>
      <c r="C6405" s="12"/>
      <c r="E6405" t="str">
        <f>IF(LEN(D6405)=0,"",[1]!i_pq_tradedays($B$3,A6406,A6405)-1)</f>
        <v/>
      </c>
      <c r="G6405" s="16" t="str">
        <f t="shared" si="216"/>
        <v/>
      </c>
      <c r="H6405" s="70" t="str">
        <f t="shared" si="217"/>
        <v/>
      </c>
    </row>
    <row r="6406" spans="1:8">
      <c r="A6406" s="2"/>
      <c r="B6406" s="12"/>
      <c r="C6406" s="12"/>
      <c r="E6406" t="str">
        <f>IF(LEN(D6406)=0,"",[1]!i_pq_tradedays($B$3,A6407,A6406)-1)</f>
        <v/>
      </c>
      <c r="G6406" s="16" t="str">
        <f t="shared" si="216"/>
        <v/>
      </c>
      <c r="H6406" s="70" t="str">
        <f t="shared" si="217"/>
        <v/>
      </c>
    </row>
    <row r="6407" spans="1:8">
      <c r="A6407" s="2"/>
      <c r="B6407" s="12"/>
      <c r="C6407" s="12"/>
      <c r="E6407" t="str">
        <f>IF(LEN(D6407)=0,"",[1]!i_pq_tradedays($B$3,A6408,A6407)-1)</f>
        <v/>
      </c>
      <c r="G6407" s="16" t="str">
        <f t="shared" si="216"/>
        <v/>
      </c>
      <c r="H6407" s="70" t="str">
        <f t="shared" si="217"/>
        <v/>
      </c>
    </row>
    <row r="6408" spans="1:8">
      <c r="A6408" s="2"/>
      <c r="B6408" s="12"/>
      <c r="C6408" s="12"/>
      <c r="E6408" t="str">
        <f>IF(LEN(D6408)=0,"",[1]!i_pq_tradedays($B$3,A6409,A6408)-1)</f>
        <v/>
      </c>
      <c r="G6408" s="16" t="str">
        <f t="shared" si="216"/>
        <v/>
      </c>
      <c r="H6408" s="70" t="str">
        <f t="shared" si="217"/>
        <v/>
      </c>
    </row>
    <row r="6409" spans="1:8">
      <c r="A6409" s="2"/>
      <c r="B6409" s="12"/>
      <c r="C6409" s="12"/>
      <c r="E6409" t="str">
        <f>IF(LEN(D6409)=0,"",[1]!i_pq_tradedays($B$3,A6410,A6409)-1)</f>
        <v/>
      </c>
      <c r="G6409" s="16" t="str">
        <f t="shared" si="216"/>
        <v/>
      </c>
      <c r="H6409" s="70" t="str">
        <f t="shared" si="217"/>
        <v/>
      </c>
    </row>
    <row r="6410" spans="1:8">
      <c r="A6410" s="2"/>
      <c r="B6410" s="12"/>
      <c r="C6410" s="12"/>
      <c r="E6410" t="str">
        <f>IF(LEN(D6410)=0,"",[1]!i_pq_tradedays($B$3,A6411,A6410)-1)</f>
        <v/>
      </c>
      <c r="G6410" s="16" t="str">
        <f t="shared" si="216"/>
        <v/>
      </c>
      <c r="H6410" s="70" t="str">
        <f t="shared" si="217"/>
        <v/>
      </c>
    </row>
    <row r="6411" spans="1:8">
      <c r="A6411" s="2"/>
      <c r="B6411" s="12"/>
      <c r="C6411" s="12"/>
      <c r="E6411" t="str">
        <f>IF(LEN(D6411)=0,"",[1]!i_pq_tradedays($B$3,A6412,A6411)-1)</f>
        <v/>
      </c>
      <c r="G6411" s="16" t="str">
        <f t="shared" si="216"/>
        <v/>
      </c>
      <c r="H6411" s="70" t="str">
        <f t="shared" si="217"/>
        <v/>
      </c>
    </row>
    <row r="6412" spans="1:8">
      <c r="A6412" s="2"/>
      <c r="B6412" s="12"/>
      <c r="C6412" s="12"/>
      <c r="E6412" t="str">
        <f>IF(LEN(D6412)=0,"",[1]!i_pq_tradedays($B$3,A6413,A6412)-1)</f>
        <v/>
      </c>
      <c r="G6412" s="16" t="str">
        <f t="shared" si="216"/>
        <v/>
      </c>
      <c r="H6412" s="70" t="str">
        <f t="shared" si="217"/>
        <v/>
      </c>
    </row>
    <row r="6413" spans="1:8">
      <c r="A6413" s="2"/>
      <c r="B6413" s="12"/>
      <c r="C6413" s="12"/>
      <c r="E6413" t="str">
        <f>IF(LEN(D6413)=0,"",[1]!i_pq_tradedays($B$3,A6414,A6413)-1)</f>
        <v/>
      </c>
      <c r="G6413" s="16" t="str">
        <f t="shared" si="216"/>
        <v/>
      </c>
      <c r="H6413" s="70" t="str">
        <f t="shared" si="217"/>
        <v/>
      </c>
    </row>
    <row r="6414" spans="1:8">
      <c r="A6414" s="2"/>
      <c r="B6414" s="12"/>
      <c r="C6414" s="12"/>
      <c r="E6414" t="str">
        <f>IF(LEN(D6414)=0,"",[1]!i_pq_tradedays($B$3,A6415,A6414)-1)</f>
        <v/>
      </c>
      <c r="G6414" s="16" t="str">
        <f t="shared" si="216"/>
        <v/>
      </c>
      <c r="H6414" s="70" t="str">
        <f t="shared" si="217"/>
        <v/>
      </c>
    </row>
    <row r="6415" spans="1:8">
      <c r="A6415" s="2"/>
      <c r="B6415" s="12"/>
      <c r="C6415" s="12"/>
      <c r="E6415" t="str">
        <f>IF(LEN(D6415)=0,"",[1]!i_pq_tradedays($B$3,A6416,A6415)-1)</f>
        <v/>
      </c>
      <c r="G6415" s="16" t="str">
        <f t="shared" si="216"/>
        <v/>
      </c>
      <c r="H6415" s="70" t="str">
        <f t="shared" si="217"/>
        <v/>
      </c>
    </row>
    <row r="6416" spans="1:8">
      <c r="A6416" s="2"/>
      <c r="B6416" s="12"/>
      <c r="C6416" s="12"/>
      <c r="E6416" t="str">
        <f>IF(LEN(D6416)=0,"",[1]!i_pq_tradedays($B$3,A6417,A6416)-1)</f>
        <v/>
      </c>
      <c r="G6416" s="16" t="str">
        <f t="shared" si="216"/>
        <v/>
      </c>
      <c r="H6416" s="70" t="str">
        <f t="shared" si="217"/>
        <v/>
      </c>
    </row>
    <row r="6417" spans="1:8">
      <c r="A6417" s="2"/>
      <c r="B6417" s="12"/>
      <c r="C6417" s="12"/>
      <c r="E6417" t="str">
        <f>IF(LEN(D6417)=0,"",[1]!i_pq_tradedays($B$3,A6418,A6417)-1)</f>
        <v/>
      </c>
      <c r="G6417" s="16" t="str">
        <f t="shared" si="216"/>
        <v/>
      </c>
      <c r="H6417" s="70" t="str">
        <f t="shared" si="217"/>
        <v/>
      </c>
    </row>
    <row r="6418" spans="1:8">
      <c r="A6418" s="2"/>
      <c r="B6418" s="12"/>
      <c r="C6418" s="12"/>
      <c r="E6418" t="str">
        <f>IF(LEN(D6418)=0,"",[1]!i_pq_tradedays($B$3,A6419,A6418)-1)</f>
        <v/>
      </c>
      <c r="G6418" s="16" t="str">
        <f t="shared" si="216"/>
        <v/>
      </c>
      <c r="H6418" s="70" t="str">
        <f t="shared" si="217"/>
        <v/>
      </c>
    </row>
    <row r="6419" spans="1:8">
      <c r="A6419" s="2"/>
      <c r="B6419" s="12"/>
      <c r="C6419" s="12"/>
      <c r="E6419" t="str">
        <f>IF(LEN(D6419)=0,"",[1]!i_pq_tradedays($B$3,A6420,A6419)-1)</f>
        <v/>
      </c>
      <c r="G6419" s="16" t="str">
        <f t="shared" si="216"/>
        <v/>
      </c>
      <c r="H6419" s="70" t="str">
        <f t="shared" si="217"/>
        <v/>
      </c>
    </row>
    <row r="6420" spans="1:8">
      <c r="A6420" s="2"/>
      <c r="B6420" s="12"/>
      <c r="C6420" s="12"/>
      <c r="E6420" t="str">
        <f>IF(LEN(D6420)=0,"",[1]!i_pq_tradedays($B$3,A6421,A6420)-1)</f>
        <v/>
      </c>
      <c r="G6420" s="16" t="str">
        <f t="shared" si="216"/>
        <v/>
      </c>
      <c r="H6420" s="70" t="str">
        <f t="shared" si="217"/>
        <v/>
      </c>
    </row>
    <row r="6421" spans="1:8">
      <c r="A6421" s="2"/>
      <c r="B6421" s="12"/>
      <c r="C6421" s="12"/>
      <c r="E6421" t="str">
        <f>IF(LEN(D6421)=0,"",[1]!i_pq_tradedays($B$3,A6422,A6421)-1)</f>
        <v/>
      </c>
      <c r="G6421" s="16" t="str">
        <f t="shared" si="216"/>
        <v/>
      </c>
      <c r="H6421" s="70" t="str">
        <f t="shared" si="217"/>
        <v/>
      </c>
    </row>
    <row r="6422" spans="1:8">
      <c r="A6422" s="2"/>
      <c r="B6422" s="12"/>
      <c r="C6422" s="12"/>
      <c r="E6422" t="str">
        <f>IF(LEN(D6422)=0,"",[1]!i_pq_tradedays($B$3,A6423,A6422)-1)</f>
        <v/>
      </c>
      <c r="G6422" s="16" t="str">
        <f t="shared" si="216"/>
        <v/>
      </c>
      <c r="H6422" s="70" t="str">
        <f t="shared" si="217"/>
        <v/>
      </c>
    </row>
    <row r="6423" spans="1:8">
      <c r="A6423" s="2"/>
      <c r="B6423" s="12"/>
      <c r="C6423" s="12"/>
      <c r="E6423" t="str">
        <f>IF(LEN(D6423)=0,"",[1]!i_pq_tradedays($B$3,A6424,A6423)-1)</f>
        <v/>
      </c>
      <c r="G6423" s="16" t="str">
        <f t="shared" si="216"/>
        <v/>
      </c>
      <c r="H6423" s="70" t="str">
        <f t="shared" si="217"/>
        <v/>
      </c>
    </row>
    <row r="6424" spans="1:8">
      <c r="A6424" s="2"/>
      <c r="B6424" s="12"/>
      <c r="C6424" s="12"/>
      <c r="E6424" t="str">
        <f>IF(LEN(D6424)=0,"",[1]!i_pq_tradedays($B$3,A6425,A6424)-1)</f>
        <v/>
      </c>
      <c r="G6424" s="16" t="str">
        <f t="shared" si="216"/>
        <v/>
      </c>
      <c r="H6424" s="70" t="str">
        <f t="shared" si="217"/>
        <v/>
      </c>
    </row>
    <row r="6425" spans="1:8">
      <c r="A6425" s="2"/>
      <c r="B6425" s="12"/>
      <c r="C6425" s="12"/>
      <c r="E6425" t="str">
        <f>IF(LEN(D6425)=0,"",[1]!i_pq_tradedays($B$3,A6426,A6425)-1)</f>
        <v/>
      </c>
      <c r="G6425" s="16" t="str">
        <f t="shared" si="216"/>
        <v/>
      </c>
      <c r="H6425" s="70" t="str">
        <f t="shared" si="217"/>
        <v/>
      </c>
    </row>
    <row r="6426" spans="1:8">
      <c r="A6426" s="2"/>
      <c r="B6426" s="12"/>
      <c r="C6426" s="12"/>
      <c r="E6426" t="str">
        <f>IF(LEN(D6426)=0,"",[1]!i_pq_tradedays($B$3,A6427,A6426)-1)</f>
        <v/>
      </c>
      <c r="G6426" s="16" t="str">
        <f t="shared" si="216"/>
        <v/>
      </c>
      <c r="H6426" s="70" t="str">
        <f t="shared" si="217"/>
        <v/>
      </c>
    </row>
    <row r="6427" spans="1:8">
      <c r="A6427" s="2"/>
      <c r="B6427" s="12"/>
      <c r="C6427" s="12"/>
      <c r="E6427" t="str">
        <f>IF(LEN(D6427)=0,"",[1]!i_pq_tradedays($B$3,A6428,A6427)-1)</f>
        <v/>
      </c>
      <c r="G6427" s="16" t="str">
        <f t="shared" si="216"/>
        <v/>
      </c>
      <c r="H6427" s="70" t="str">
        <f t="shared" si="217"/>
        <v/>
      </c>
    </row>
    <row r="6428" spans="1:8">
      <c r="A6428" s="2"/>
      <c r="B6428" s="12"/>
      <c r="C6428" s="12"/>
      <c r="E6428" t="str">
        <f>IF(LEN(D6428)=0,"",[1]!i_pq_tradedays($B$3,A6429,A6428)-1)</f>
        <v/>
      </c>
      <c r="G6428" s="16" t="str">
        <f t="shared" si="216"/>
        <v/>
      </c>
      <c r="H6428" s="70" t="str">
        <f t="shared" si="217"/>
        <v/>
      </c>
    </row>
    <row r="6429" spans="1:8">
      <c r="A6429" s="2"/>
      <c r="B6429" s="12"/>
      <c r="C6429" s="12"/>
      <c r="E6429" t="str">
        <f>IF(LEN(D6429)=0,"",[1]!i_pq_tradedays($B$3,A6430,A6429)-1)</f>
        <v/>
      </c>
      <c r="G6429" s="16" t="str">
        <f t="shared" si="216"/>
        <v/>
      </c>
      <c r="H6429" s="70" t="str">
        <f t="shared" si="217"/>
        <v/>
      </c>
    </row>
    <row r="6430" spans="1:8">
      <c r="A6430" s="2"/>
      <c r="B6430" s="12"/>
      <c r="C6430" s="12"/>
      <c r="E6430" t="str">
        <f>IF(LEN(D6430)=0,"",[1]!i_pq_tradedays($B$3,A6431,A6430)-1)</f>
        <v/>
      </c>
      <c r="G6430" s="16" t="str">
        <f t="shared" si="216"/>
        <v/>
      </c>
      <c r="H6430" s="70" t="str">
        <f t="shared" si="217"/>
        <v/>
      </c>
    </row>
    <row r="6431" spans="1:8">
      <c r="A6431" s="2"/>
      <c r="B6431" s="12"/>
      <c r="C6431" s="12"/>
      <c r="E6431" t="str">
        <f>IF(LEN(D6431)=0,"",[1]!i_pq_tradedays($B$3,A6432,A6431)-1)</f>
        <v/>
      </c>
      <c r="G6431" s="16" t="str">
        <f t="shared" si="216"/>
        <v/>
      </c>
      <c r="H6431" s="70" t="str">
        <f t="shared" si="217"/>
        <v/>
      </c>
    </row>
    <row r="6432" spans="1:8">
      <c r="A6432" s="2"/>
      <c r="B6432" s="12"/>
      <c r="C6432" s="12"/>
      <c r="E6432" t="str">
        <f>IF(LEN(D6432)=0,"",[1]!i_pq_tradedays($B$3,A6433,A6432)-1)</f>
        <v/>
      </c>
      <c r="G6432" s="16" t="str">
        <f t="shared" si="216"/>
        <v/>
      </c>
      <c r="H6432" s="70" t="str">
        <f t="shared" si="217"/>
        <v/>
      </c>
    </row>
    <row r="6433" spans="1:8">
      <c r="A6433" s="2"/>
      <c r="B6433" s="12"/>
      <c r="C6433" s="12"/>
      <c r="E6433" t="str">
        <f>IF(LEN(D6433)=0,"",[1]!i_pq_tradedays($B$3,A6434,A6433)-1)</f>
        <v/>
      </c>
      <c r="G6433" s="16" t="str">
        <f t="shared" si="216"/>
        <v/>
      </c>
      <c r="H6433" s="70" t="str">
        <f t="shared" si="217"/>
        <v/>
      </c>
    </row>
    <row r="6434" spans="1:8">
      <c r="A6434" s="2"/>
      <c r="B6434" s="12"/>
      <c r="C6434" s="12"/>
      <c r="E6434" t="str">
        <f>IF(LEN(D6434)=0,"",[1]!i_pq_tradedays($B$3,A6435,A6434)-1)</f>
        <v/>
      </c>
      <c r="G6434" s="16" t="str">
        <f t="shared" si="216"/>
        <v/>
      </c>
      <c r="H6434" s="70" t="str">
        <f t="shared" si="217"/>
        <v/>
      </c>
    </row>
    <row r="6435" spans="1:8">
      <c r="A6435" s="2"/>
      <c r="B6435" s="12"/>
      <c r="C6435" s="12"/>
      <c r="E6435" t="str">
        <f>IF(LEN(D6435)=0,"",[1]!i_pq_tradedays($B$3,A6436,A6435)-1)</f>
        <v/>
      </c>
      <c r="G6435" s="16" t="str">
        <f t="shared" si="216"/>
        <v/>
      </c>
      <c r="H6435" s="70" t="str">
        <f t="shared" si="217"/>
        <v/>
      </c>
    </row>
    <row r="6436" spans="1:8">
      <c r="A6436" s="2"/>
      <c r="B6436" s="12"/>
      <c r="C6436" s="12"/>
      <c r="E6436" t="str">
        <f>IF(LEN(D6436)=0,"",[1]!i_pq_tradedays($B$3,A6437,A6436)-1)</f>
        <v/>
      </c>
      <c r="G6436" s="16" t="str">
        <f t="shared" si="216"/>
        <v/>
      </c>
      <c r="H6436" s="70" t="str">
        <f t="shared" si="217"/>
        <v/>
      </c>
    </row>
    <row r="6437" spans="1:8">
      <c r="A6437" s="2"/>
      <c r="B6437" s="12"/>
      <c r="C6437" s="12"/>
      <c r="E6437" t="str">
        <f>IF(LEN(D6437)=0,"",[1]!i_pq_tradedays($B$3,A6438,A6437)-1)</f>
        <v/>
      </c>
      <c r="G6437" s="16" t="str">
        <f t="shared" si="216"/>
        <v/>
      </c>
      <c r="H6437" s="70" t="str">
        <f t="shared" si="217"/>
        <v/>
      </c>
    </row>
    <row r="6438" spans="1:8">
      <c r="A6438" s="2"/>
      <c r="B6438" s="12"/>
      <c r="C6438" s="12"/>
      <c r="E6438" t="str">
        <f>IF(LEN(D6438)=0,"",[1]!i_pq_tradedays($B$3,A6439,A6438)-1)</f>
        <v/>
      </c>
      <c r="G6438" s="16" t="str">
        <f t="shared" si="216"/>
        <v/>
      </c>
      <c r="H6438" s="70" t="str">
        <f t="shared" si="217"/>
        <v/>
      </c>
    </row>
    <row r="6439" spans="1:8">
      <c r="A6439" s="2"/>
      <c r="B6439" s="12"/>
      <c r="C6439" s="12"/>
      <c r="E6439" t="str">
        <f>IF(LEN(D6439)=0,"",[1]!i_pq_tradedays($B$3,A6440,A6439)-1)</f>
        <v/>
      </c>
      <c r="G6439" s="16" t="str">
        <f t="shared" si="216"/>
        <v/>
      </c>
      <c r="H6439" s="70" t="str">
        <f t="shared" si="217"/>
        <v/>
      </c>
    </row>
    <row r="6440" spans="1:8">
      <c r="A6440" s="2"/>
      <c r="B6440" s="12"/>
      <c r="C6440" s="12"/>
      <c r="E6440" t="str">
        <f>IF(LEN(D6440)=0,"",[1]!i_pq_tradedays($B$3,A6441,A6440)-1)</f>
        <v/>
      </c>
      <c r="G6440" s="16" t="str">
        <f t="shared" si="216"/>
        <v/>
      </c>
      <c r="H6440" s="70" t="str">
        <f t="shared" si="217"/>
        <v/>
      </c>
    </row>
    <row r="6441" spans="1:8">
      <c r="A6441" s="2"/>
      <c r="B6441" s="12"/>
      <c r="C6441" s="12"/>
      <c r="E6441" t="str">
        <f>IF(LEN(D6441)=0,"",[1]!i_pq_tradedays($B$3,A6442,A6441)-1)</f>
        <v/>
      </c>
      <c r="G6441" s="16" t="str">
        <f t="shared" si="216"/>
        <v/>
      </c>
      <c r="H6441" s="70" t="str">
        <f t="shared" si="217"/>
        <v/>
      </c>
    </row>
    <row r="6442" spans="1:8">
      <c r="A6442" s="2"/>
      <c r="B6442" s="12"/>
      <c r="C6442" s="12"/>
      <c r="E6442" t="str">
        <f>IF(LEN(D6442)=0,"",[1]!i_pq_tradedays($B$3,A6443,A6442)-1)</f>
        <v/>
      </c>
      <c r="G6442" s="16" t="str">
        <f t="shared" si="216"/>
        <v/>
      </c>
      <c r="H6442" s="70" t="str">
        <f t="shared" si="217"/>
        <v/>
      </c>
    </row>
    <row r="6443" spans="1:8">
      <c r="A6443" s="2"/>
      <c r="B6443" s="12"/>
      <c r="C6443" s="12"/>
      <c r="E6443" t="str">
        <f>IF(LEN(D6443)=0,"",[1]!i_pq_tradedays($B$3,A6444,A6443)-1)</f>
        <v/>
      </c>
      <c r="G6443" s="16" t="str">
        <f t="shared" si="216"/>
        <v/>
      </c>
      <c r="H6443" s="70" t="str">
        <f t="shared" si="217"/>
        <v/>
      </c>
    </row>
    <row r="6444" spans="1:8">
      <c r="A6444" s="2"/>
      <c r="B6444" s="12"/>
      <c r="C6444" s="12"/>
      <c r="E6444" t="str">
        <f>IF(LEN(D6444)=0,"",[1]!i_pq_tradedays($B$3,A6445,A6444)-1)</f>
        <v/>
      </c>
      <c r="G6444" s="16" t="str">
        <f t="shared" si="216"/>
        <v/>
      </c>
      <c r="H6444" s="70" t="str">
        <f t="shared" si="217"/>
        <v/>
      </c>
    </row>
    <row r="6445" spans="1:8">
      <c r="A6445" s="2"/>
      <c r="B6445" s="12"/>
      <c r="C6445" s="12"/>
      <c r="E6445" t="str">
        <f>IF(LEN(D6445)=0,"",[1]!i_pq_tradedays($B$3,A6446,A6445)-1)</f>
        <v/>
      </c>
      <c r="G6445" s="16" t="str">
        <f t="shared" si="216"/>
        <v/>
      </c>
      <c r="H6445" s="70" t="str">
        <f t="shared" si="217"/>
        <v/>
      </c>
    </row>
    <row r="6446" spans="1:8">
      <c r="A6446" s="2"/>
      <c r="B6446" s="12"/>
      <c r="C6446" s="12"/>
      <c r="E6446" t="str">
        <f>IF(LEN(D6446)=0,"",[1]!i_pq_tradedays($B$3,A6447,A6446)-1)</f>
        <v/>
      </c>
      <c r="G6446" s="16" t="str">
        <f t="shared" si="216"/>
        <v/>
      </c>
      <c r="H6446" s="70" t="str">
        <f t="shared" si="217"/>
        <v/>
      </c>
    </row>
    <row r="6447" spans="1:8">
      <c r="A6447" s="2"/>
      <c r="B6447" s="12"/>
      <c r="C6447" s="12"/>
      <c r="E6447" t="str">
        <f>IF(LEN(D6447)=0,"",[1]!i_pq_tradedays($B$3,A6448,A6447)-1)</f>
        <v/>
      </c>
      <c r="G6447" s="16" t="str">
        <f t="shared" si="216"/>
        <v/>
      </c>
      <c r="H6447" s="70" t="str">
        <f t="shared" si="217"/>
        <v/>
      </c>
    </row>
    <row r="6448" spans="1:8">
      <c r="A6448" s="2"/>
      <c r="B6448" s="12"/>
      <c r="C6448" s="12"/>
      <c r="E6448" t="str">
        <f>IF(LEN(D6448)=0,"",[1]!i_pq_tradedays($B$3,A6449,A6448)-1)</f>
        <v/>
      </c>
      <c r="G6448" s="16" t="str">
        <f t="shared" si="216"/>
        <v/>
      </c>
      <c r="H6448" s="70" t="str">
        <f t="shared" si="217"/>
        <v/>
      </c>
    </row>
    <row r="6449" spans="1:8">
      <c r="A6449" s="2"/>
      <c r="B6449" s="12"/>
      <c r="C6449" s="12"/>
      <c r="E6449" t="str">
        <f>IF(LEN(D6449)=0,"",[1]!i_pq_tradedays($B$3,A6450,A6449)-1)</f>
        <v/>
      </c>
      <c r="G6449" s="16" t="str">
        <f t="shared" si="216"/>
        <v/>
      </c>
      <c r="H6449" s="70" t="str">
        <f t="shared" si="217"/>
        <v/>
      </c>
    </row>
    <row r="6450" spans="1:8">
      <c r="A6450" s="2"/>
      <c r="B6450" s="12"/>
      <c r="C6450" s="12"/>
      <c r="E6450" t="str">
        <f>IF(LEN(D6450)=0,"",[1]!i_pq_tradedays($B$3,A6451,A6450)-1)</f>
        <v/>
      </c>
      <c r="G6450" s="16" t="str">
        <f t="shared" si="216"/>
        <v/>
      </c>
      <c r="H6450" s="70" t="str">
        <f t="shared" si="217"/>
        <v/>
      </c>
    </row>
    <row r="6451" spans="1:8">
      <c r="A6451" s="2"/>
      <c r="B6451" s="12"/>
      <c r="C6451" s="12"/>
      <c r="E6451" t="str">
        <f>IF(LEN(D6451)=0,"",[1]!i_pq_tradedays($B$3,A6452,A6451)-1)</f>
        <v/>
      </c>
      <c r="G6451" s="16" t="str">
        <f t="shared" si="216"/>
        <v/>
      </c>
      <c r="H6451" s="70" t="str">
        <f t="shared" si="217"/>
        <v/>
      </c>
    </row>
    <row r="6452" spans="1:8">
      <c r="A6452" s="2"/>
      <c r="B6452" s="12"/>
      <c r="C6452" s="12"/>
      <c r="E6452" t="str">
        <f>IF(LEN(D6452)=0,"",[1]!i_pq_tradedays($B$3,A6453,A6452)-1)</f>
        <v/>
      </c>
      <c r="G6452" s="16" t="str">
        <f t="shared" si="216"/>
        <v/>
      </c>
      <c r="H6452" s="70" t="str">
        <f t="shared" si="217"/>
        <v/>
      </c>
    </row>
    <row r="6453" spans="1:8">
      <c r="A6453" s="2"/>
      <c r="B6453" s="12"/>
      <c r="C6453" s="12"/>
      <c r="E6453" t="str">
        <f>IF(LEN(D6453)=0,"",[1]!i_pq_tradedays($B$3,A6454,A6453)-1)</f>
        <v/>
      </c>
      <c r="G6453" s="16" t="str">
        <f t="shared" ref="G6453:G6516" si="218">IF(LEN(D6453)=0,"",D6453/E6453)</f>
        <v/>
      </c>
      <c r="H6453" s="70" t="str">
        <f t="shared" ref="H6453:H6516" si="219">IF(LEN(D6453)=0,"",G6453/G6454-1)</f>
        <v/>
      </c>
    </row>
    <row r="6454" spans="1:8">
      <c r="A6454" s="2"/>
      <c r="B6454" s="12"/>
      <c r="C6454" s="12"/>
      <c r="E6454" t="str">
        <f>IF(LEN(D6454)=0,"",[1]!i_pq_tradedays($B$3,A6455,A6454)-1)</f>
        <v/>
      </c>
      <c r="G6454" s="16" t="str">
        <f t="shared" si="218"/>
        <v/>
      </c>
      <c r="H6454" s="70" t="str">
        <f t="shared" si="219"/>
        <v/>
      </c>
    </row>
    <row r="6455" spans="1:8">
      <c r="A6455" s="2"/>
      <c r="B6455" s="12"/>
      <c r="C6455" s="12"/>
      <c r="E6455" t="str">
        <f>IF(LEN(D6455)=0,"",[1]!i_pq_tradedays($B$3,A6456,A6455)-1)</f>
        <v/>
      </c>
      <c r="G6455" s="16" t="str">
        <f t="shared" si="218"/>
        <v/>
      </c>
      <c r="H6455" s="70" t="str">
        <f t="shared" si="219"/>
        <v/>
      </c>
    </row>
    <row r="6456" spans="1:8">
      <c r="A6456" s="2"/>
      <c r="B6456" s="12"/>
      <c r="C6456" s="12"/>
      <c r="E6456" t="str">
        <f>IF(LEN(D6456)=0,"",[1]!i_pq_tradedays($B$3,A6457,A6456)-1)</f>
        <v/>
      </c>
      <c r="G6456" s="16" t="str">
        <f t="shared" si="218"/>
        <v/>
      </c>
      <c r="H6456" s="70" t="str">
        <f t="shared" si="219"/>
        <v/>
      </c>
    </row>
    <row r="6457" spans="1:8">
      <c r="A6457" s="2"/>
      <c r="B6457" s="12"/>
      <c r="C6457" s="12"/>
      <c r="E6457" t="str">
        <f>IF(LEN(D6457)=0,"",[1]!i_pq_tradedays($B$3,A6458,A6457)-1)</f>
        <v/>
      </c>
      <c r="G6457" s="16" t="str">
        <f t="shared" si="218"/>
        <v/>
      </c>
      <c r="H6457" s="70" t="str">
        <f t="shared" si="219"/>
        <v/>
      </c>
    </row>
    <row r="6458" spans="1:8">
      <c r="A6458" s="2"/>
      <c r="B6458" s="12"/>
      <c r="C6458" s="12"/>
      <c r="E6458" t="str">
        <f>IF(LEN(D6458)=0,"",[1]!i_pq_tradedays($B$3,A6459,A6458)-1)</f>
        <v/>
      </c>
      <c r="G6458" s="16" t="str">
        <f t="shared" si="218"/>
        <v/>
      </c>
      <c r="H6458" s="70" t="str">
        <f t="shared" si="219"/>
        <v/>
      </c>
    </row>
    <row r="6459" spans="1:8">
      <c r="A6459" s="2"/>
      <c r="B6459" s="12"/>
      <c r="C6459" s="12"/>
      <c r="E6459" t="str">
        <f>IF(LEN(D6459)=0,"",[1]!i_pq_tradedays($B$3,A6460,A6459)-1)</f>
        <v/>
      </c>
      <c r="G6459" s="16" t="str">
        <f t="shared" si="218"/>
        <v/>
      </c>
      <c r="H6459" s="70" t="str">
        <f t="shared" si="219"/>
        <v/>
      </c>
    </row>
    <row r="6460" spans="1:8">
      <c r="A6460" s="2"/>
      <c r="B6460" s="12"/>
      <c r="C6460" s="12"/>
      <c r="E6460" t="str">
        <f>IF(LEN(D6460)=0,"",[1]!i_pq_tradedays($B$3,A6461,A6460)-1)</f>
        <v/>
      </c>
      <c r="G6460" s="16" t="str">
        <f t="shared" si="218"/>
        <v/>
      </c>
      <c r="H6460" s="70" t="str">
        <f t="shared" si="219"/>
        <v/>
      </c>
    </row>
    <row r="6461" spans="1:8">
      <c r="A6461" s="2"/>
      <c r="B6461" s="12"/>
      <c r="C6461" s="12"/>
      <c r="E6461" t="str">
        <f>IF(LEN(D6461)=0,"",[1]!i_pq_tradedays($B$3,A6462,A6461)-1)</f>
        <v/>
      </c>
      <c r="G6461" s="16" t="str">
        <f t="shared" si="218"/>
        <v/>
      </c>
      <c r="H6461" s="70" t="str">
        <f t="shared" si="219"/>
        <v/>
      </c>
    </row>
    <row r="6462" spans="1:8">
      <c r="A6462" s="2"/>
      <c r="B6462" s="12"/>
      <c r="C6462" s="12"/>
      <c r="E6462" t="str">
        <f>IF(LEN(D6462)=0,"",[1]!i_pq_tradedays($B$3,A6463,A6462)-1)</f>
        <v/>
      </c>
      <c r="G6462" s="16" t="str">
        <f t="shared" si="218"/>
        <v/>
      </c>
      <c r="H6462" s="70" t="str">
        <f t="shared" si="219"/>
        <v/>
      </c>
    </row>
    <row r="6463" spans="1:8">
      <c r="A6463" s="2"/>
      <c r="B6463" s="12"/>
      <c r="C6463" s="12"/>
      <c r="E6463" t="str">
        <f>IF(LEN(D6463)=0,"",[1]!i_pq_tradedays($B$3,A6464,A6463)-1)</f>
        <v/>
      </c>
      <c r="G6463" s="16" t="str">
        <f t="shared" si="218"/>
        <v/>
      </c>
      <c r="H6463" s="70" t="str">
        <f t="shared" si="219"/>
        <v/>
      </c>
    </row>
    <row r="6464" spans="1:8">
      <c r="A6464" s="2"/>
      <c r="B6464" s="12"/>
      <c r="C6464" s="12"/>
      <c r="E6464" t="str">
        <f>IF(LEN(D6464)=0,"",[1]!i_pq_tradedays($B$3,A6465,A6464)-1)</f>
        <v/>
      </c>
      <c r="G6464" s="16" t="str">
        <f t="shared" si="218"/>
        <v/>
      </c>
      <c r="H6464" s="70" t="str">
        <f t="shared" si="219"/>
        <v/>
      </c>
    </row>
    <row r="6465" spans="1:8">
      <c r="A6465" s="2"/>
      <c r="B6465" s="12"/>
      <c r="C6465" s="12"/>
      <c r="E6465" t="str">
        <f>IF(LEN(D6465)=0,"",[1]!i_pq_tradedays($B$3,A6466,A6465)-1)</f>
        <v/>
      </c>
      <c r="G6465" s="16" t="str">
        <f t="shared" si="218"/>
        <v/>
      </c>
      <c r="H6465" s="70" t="str">
        <f t="shared" si="219"/>
        <v/>
      </c>
    </row>
    <row r="6466" spans="1:8">
      <c r="A6466" s="2"/>
      <c r="B6466" s="12"/>
      <c r="C6466" s="12"/>
      <c r="E6466" t="str">
        <f>IF(LEN(D6466)=0,"",[1]!i_pq_tradedays($B$3,A6467,A6466)-1)</f>
        <v/>
      </c>
      <c r="G6466" s="16" t="str">
        <f t="shared" si="218"/>
        <v/>
      </c>
      <c r="H6466" s="70" t="str">
        <f t="shared" si="219"/>
        <v/>
      </c>
    </row>
    <row r="6467" spans="1:8">
      <c r="A6467" s="2"/>
      <c r="B6467" s="12"/>
      <c r="C6467" s="12"/>
      <c r="E6467" t="str">
        <f>IF(LEN(D6467)=0,"",[1]!i_pq_tradedays($B$3,A6468,A6467)-1)</f>
        <v/>
      </c>
      <c r="G6467" s="16" t="str">
        <f t="shared" si="218"/>
        <v/>
      </c>
      <c r="H6467" s="70" t="str">
        <f t="shared" si="219"/>
        <v/>
      </c>
    </row>
    <row r="6468" spans="1:8">
      <c r="A6468" s="2"/>
      <c r="B6468" s="12"/>
      <c r="C6468" s="12"/>
      <c r="E6468" t="str">
        <f>IF(LEN(D6468)=0,"",[1]!i_pq_tradedays($B$3,A6469,A6468)-1)</f>
        <v/>
      </c>
      <c r="G6468" s="16" t="str">
        <f t="shared" si="218"/>
        <v/>
      </c>
      <c r="H6468" s="70" t="str">
        <f t="shared" si="219"/>
        <v/>
      </c>
    </row>
    <row r="6469" spans="1:8">
      <c r="A6469" s="2"/>
      <c r="B6469" s="12"/>
      <c r="C6469" s="12"/>
      <c r="E6469" t="str">
        <f>IF(LEN(D6469)=0,"",[1]!i_pq_tradedays($B$3,A6470,A6469)-1)</f>
        <v/>
      </c>
      <c r="G6469" s="16" t="str">
        <f t="shared" si="218"/>
        <v/>
      </c>
      <c r="H6469" s="70" t="str">
        <f t="shared" si="219"/>
        <v/>
      </c>
    </row>
    <row r="6470" spans="1:8">
      <c r="A6470" s="2"/>
      <c r="B6470" s="12"/>
      <c r="C6470" s="12"/>
      <c r="E6470" t="str">
        <f>IF(LEN(D6470)=0,"",[1]!i_pq_tradedays($B$3,A6471,A6470)-1)</f>
        <v/>
      </c>
      <c r="G6470" s="16" t="str">
        <f t="shared" si="218"/>
        <v/>
      </c>
      <c r="H6470" s="70" t="str">
        <f t="shared" si="219"/>
        <v/>
      </c>
    </row>
    <row r="6471" spans="1:8">
      <c r="A6471" s="2"/>
      <c r="B6471" s="12"/>
      <c r="C6471" s="12"/>
      <c r="E6471" t="str">
        <f>IF(LEN(D6471)=0,"",[1]!i_pq_tradedays($B$3,A6472,A6471)-1)</f>
        <v/>
      </c>
      <c r="G6471" s="16" t="str">
        <f t="shared" si="218"/>
        <v/>
      </c>
      <c r="H6471" s="70" t="str">
        <f t="shared" si="219"/>
        <v/>
      </c>
    </row>
    <row r="6472" spans="1:8">
      <c r="A6472" s="2"/>
      <c r="B6472" s="12"/>
      <c r="C6472" s="12"/>
      <c r="E6472" t="str">
        <f>IF(LEN(D6472)=0,"",[1]!i_pq_tradedays($B$3,A6473,A6472)-1)</f>
        <v/>
      </c>
      <c r="G6472" s="16" t="str">
        <f t="shared" si="218"/>
        <v/>
      </c>
      <c r="H6472" s="70" t="str">
        <f t="shared" si="219"/>
        <v/>
      </c>
    </row>
    <row r="6473" spans="1:8">
      <c r="A6473" s="2"/>
      <c r="B6473" s="12"/>
      <c r="C6473" s="12"/>
      <c r="E6473" t="str">
        <f>IF(LEN(D6473)=0,"",[1]!i_pq_tradedays($B$3,A6474,A6473)-1)</f>
        <v/>
      </c>
      <c r="G6473" s="16" t="str">
        <f t="shared" si="218"/>
        <v/>
      </c>
      <c r="H6473" s="70" t="str">
        <f t="shared" si="219"/>
        <v/>
      </c>
    </row>
    <row r="6474" spans="1:8">
      <c r="A6474" s="2"/>
      <c r="B6474" s="12"/>
      <c r="C6474" s="12"/>
      <c r="E6474" t="str">
        <f>IF(LEN(D6474)=0,"",[1]!i_pq_tradedays($B$3,A6475,A6474)-1)</f>
        <v/>
      </c>
      <c r="G6474" s="16" t="str">
        <f t="shared" si="218"/>
        <v/>
      </c>
      <c r="H6474" s="70" t="str">
        <f t="shared" si="219"/>
        <v/>
      </c>
    </row>
    <row r="6475" spans="1:8">
      <c r="A6475" s="2"/>
      <c r="B6475" s="12"/>
      <c r="C6475" s="12"/>
      <c r="E6475" t="str">
        <f>IF(LEN(D6475)=0,"",[1]!i_pq_tradedays($B$3,A6476,A6475)-1)</f>
        <v/>
      </c>
      <c r="G6475" s="16" t="str">
        <f t="shared" si="218"/>
        <v/>
      </c>
      <c r="H6475" s="70" t="str">
        <f t="shared" si="219"/>
        <v/>
      </c>
    </row>
    <row r="6476" spans="1:8">
      <c r="A6476" s="2"/>
      <c r="B6476" s="12"/>
      <c r="C6476" s="12"/>
      <c r="E6476" t="str">
        <f>IF(LEN(D6476)=0,"",[1]!i_pq_tradedays($B$3,A6477,A6476)-1)</f>
        <v/>
      </c>
      <c r="G6476" s="16" t="str">
        <f t="shared" si="218"/>
        <v/>
      </c>
      <c r="H6476" s="70" t="str">
        <f t="shared" si="219"/>
        <v/>
      </c>
    </row>
    <row r="6477" spans="1:8">
      <c r="A6477" s="2"/>
      <c r="B6477" s="12"/>
      <c r="C6477" s="12"/>
      <c r="E6477" t="str">
        <f>IF(LEN(D6477)=0,"",[1]!i_pq_tradedays($B$3,A6478,A6477)-1)</f>
        <v/>
      </c>
      <c r="G6477" s="16" t="str">
        <f t="shared" si="218"/>
        <v/>
      </c>
      <c r="H6477" s="70" t="str">
        <f t="shared" si="219"/>
        <v/>
      </c>
    </row>
    <row r="6478" spans="1:8">
      <c r="A6478" s="2"/>
      <c r="B6478" s="12"/>
      <c r="C6478" s="12"/>
      <c r="E6478" t="str">
        <f>IF(LEN(D6478)=0,"",[1]!i_pq_tradedays($B$3,A6479,A6478)-1)</f>
        <v/>
      </c>
      <c r="G6478" s="16" t="str">
        <f t="shared" si="218"/>
        <v/>
      </c>
      <c r="H6478" s="70" t="str">
        <f t="shared" si="219"/>
        <v/>
      </c>
    </row>
    <row r="6479" spans="1:8">
      <c r="A6479" s="2"/>
      <c r="B6479" s="12"/>
      <c r="C6479" s="12"/>
      <c r="E6479" t="str">
        <f>IF(LEN(D6479)=0,"",[1]!i_pq_tradedays($B$3,A6480,A6479)-1)</f>
        <v/>
      </c>
      <c r="G6479" s="16" t="str">
        <f t="shared" si="218"/>
        <v/>
      </c>
      <c r="H6479" s="70" t="str">
        <f t="shared" si="219"/>
        <v/>
      </c>
    </row>
    <row r="6480" spans="1:8">
      <c r="A6480" s="2"/>
      <c r="B6480" s="12"/>
      <c r="C6480" s="12"/>
      <c r="E6480" t="str">
        <f>IF(LEN(D6480)=0,"",[1]!i_pq_tradedays($B$3,A6481,A6480)-1)</f>
        <v/>
      </c>
      <c r="G6480" s="16" t="str">
        <f t="shared" si="218"/>
        <v/>
      </c>
      <c r="H6480" s="70" t="str">
        <f t="shared" si="219"/>
        <v/>
      </c>
    </row>
    <row r="6481" spans="1:8">
      <c r="A6481" s="2"/>
      <c r="B6481" s="12"/>
      <c r="C6481" s="12"/>
      <c r="E6481" t="str">
        <f>IF(LEN(D6481)=0,"",[1]!i_pq_tradedays($B$3,A6482,A6481)-1)</f>
        <v/>
      </c>
      <c r="G6481" s="16" t="str">
        <f t="shared" si="218"/>
        <v/>
      </c>
      <c r="H6481" s="70" t="str">
        <f t="shared" si="219"/>
        <v/>
      </c>
    </row>
    <row r="6482" spans="1:8">
      <c r="A6482" s="2"/>
      <c r="B6482" s="12"/>
      <c r="C6482" s="12"/>
      <c r="E6482" t="str">
        <f>IF(LEN(D6482)=0,"",[1]!i_pq_tradedays($B$3,A6483,A6482)-1)</f>
        <v/>
      </c>
      <c r="G6482" s="16" t="str">
        <f t="shared" si="218"/>
        <v/>
      </c>
      <c r="H6482" s="70" t="str">
        <f t="shared" si="219"/>
        <v/>
      </c>
    </row>
    <row r="6483" spans="1:8">
      <c r="A6483" s="2"/>
      <c r="B6483" s="12"/>
      <c r="C6483" s="12"/>
      <c r="E6483" t="str">
        <f>IF(LEN(D6483)=0,"",[1]!i_pq_tradedays($B$3,A6484,A6483)-1)</f>
        <v/>
      </c>
      <c r="G6483" s="16" t="str">
        <f t="shared" si="218"/>
        <v/>
      </c>
      <c r="H6483" s="70" t="str">
        <f t="shared" si="219"/>
        <v/>
      </c>
    </row>
    <row r="6484" spans="1:8">
      <c r="A6484" s="2"/>
      <c r="B6484" s="12"/>
      <c r="C6484" s="12"/>
      <c r="E6484" t="str">
        <f>IF(LEN(D6484)=0,"",[1]!i_pq_tradedays($B$3,A6485,A6484)-1)</f>
        <v/>
      </c>
      <c r="G6484" s="16" t="str">
        <f t="shared" si="218"/>
        <v/>
      </c>
      <c r="H6484" s="70" t="str">
        <f t="shared" si="219"/>
        <v/>
      </c>
    </row>
    <row r="6485" spans="1:8">
      <c r="A6485" s="2"/>
      <c r="B6485" s="12"/>
      <c r="C6485" s="12"/>
      <c r="E6485" t="str">
        <f>IF(LEN(D6485)=0,"",[1]!i_pq_tradedays($B$3,A6486,A6485)-1)</f>
        <v/>
      </c>
      <c r="G6485" s="16" t="str">
        <f t="shared" si="218"/>
        <v/>
      </c>
      <c r="H6485" s="70" t="str">
        <f t="shared" si="219"/>
        <v/>
      </c>
    </row>
    <row r="6486" spans="1:8">
      <c r="A6486" s="2"/>
      <c r="B6486" s="12"/>
      <c r="C6486" s="12"/>
      <c r="E6486" t="str">
        <f>IF(LEN(D6486)=0,"",[1]!i_pq_tradedays($B$3,A6487,A6486)-1)</f>
        <v/>
      </c>
      <c r="G6486" s="16" t="str">
        <f t="shared" si="218"/>
        <v/>
      </c>
      <c r="H6486" s="70" t="str">
        <f t="shared" si="219"/>
        <v/>
      </c>
    </row>
    <row r="6487" spans="1:8">
      <c r="A6487" s="2"/>
      <c r="B6487" s="12"/>
      <c r="C6487" s="12"/>
      <c r="E6487" t="str">
        <f>IF(LEN(D6487)=0,"",[1]!i_pq_tradedays($B$3,A6488,A6487)-1)</f>
        <v/>
      </c>
      <c r="G6487" s="16" t="str">
        <f t="shared" si="218"/>
        <v/>
      </c>
      <c r="H6487" s="70" t="str">
        <f t="shared" si="219"/>
        <v/>
      </c>
    </row>
    <row r="6488" spans="1:8">
      <c r="A6488" s="2"/>
      <c r="B6488" s="12"/>
      <c r="C6488" s="12"/>
      <c r="E6488" t="str">
        <f>IF(LEN(D6488)=0,"",[1]!i_pq_tradedays($B$3,A6489,A6488)-1)</f>
        <v/>
      </c>
      <c r="G6488" s="16" t="str">
        <f t="shared" si="218"/>
        <v/>
      </c>
      <c r="H6488" s="70" t="str">
        <f t="shared" si="219"/>
        <v/>
      </c>
    </row>
    <row r="6489" spans="1:8">
      <c r="A6489" s="2"/>
      <c r="B6489" s="12"/>
      <c r="C6489" s="12"/>
      <c r="E6489" t="str">
        <f>IF(LEN(D6489)=0,"",[1]!i_pq_tradedays($B$3,A6490,A6489)-1)</f>
        <v/>
      </c>
      <c r="G6489" s="16" t="str">
        <f t="shared" si="218"/>
        <v/>
      </c>
      <c r="H6489" s="70" t="str">
        <f t="shared" si="219"/>
        <v/>
      </c>
    </row>
    <row r="6490" spans="1:8">
      <c r="A6490" s="2"/>
      <c r="B6490" s="12"/>
      <c r="C6490" s="12"/>
      <c r="E6490" t="str">
        <f>IF(LEN(D6490)=0,"",[1]!i_pq_tradedays($B$3,A6491,A6490)-1)</f>
        <v/>
      </c>
      <c r="G6490" s="16" t="str">
        <f t="shared" si="218"/>
        <v/>
      </c>
      <c r="H6490" s="70" t="str">
        <f t="shared" si="219"/>
        <v/>
      </c>
    </row>
    <row r="6491" spans="1:8">
      <c r="A6491" s="2"/>
      <c r="B6491" s="12"/>
      <c r="C6491" s="12"/>
      <c r="E6491" t="str">
        <f>IF(LEN(D6491)=0,"",[1]!i_pq_tradedays($B$3,A6492,A6491)-1)</f>
        <v/>
      </c>
      <c r="G6491" s="16" t="str">
        <f t="shared" si="218"/>
        <v/>
      </c>
      <c r="H6491" s="70" t="str">
        <f t="shared" si="219"/>
        <v/>
      </c>
    </row>
    <row r="6492" spans="1:8">
      <c r="A6492" s="2"/>
      <c r="B6492" s="12"/>
      <c r="C6492" s="12"/>
      <c r="E6492" t="str">
        <f>IF(LEN(D6492)=0,"",[1]!i_pq_tradedays($B$3,A6493,A6492)-1)</f>
        <v/>
      </c>
      <c r="G6492" s="16" t="str">
        <f t="shared" si="218"/>
        <v/>
      </c>
      <c r="H6492" s="70" t="str">
        <f t="shared" si="219"/>
        <v/>
      </c>
    </row>
    <row r="6493" spans="1:8">
      <c r="A6493" s="2"/>
      <c r="B6493" s="12"/>
      <c r="C6493" s="12"/>
      <c r="E6493" t="str">
        <f>IF(LEN(D6493)=0,"",[1]!i_pq_tradedays($B$3,A6494,A6493)-1)</f>
        <v/>
      </c>
      <c r="G6493" s="16" t="str">
        <f t="shared" si="218"/>
        <v/>
      </c>
      <c r="H6493" s="70" t="str">
        <f t="shared" si="219"/>
        <v/>
      </c>
    </row>
    <row r="6494" spans="1:8">
      <c r="A6494" s="2"/>
      <c r="B6494" s="12"/>
      <c r="C6494" s="12"/>
      <c r="E6494" t="str">
        <f>IF(LEN(D6494)=0,"",[1]!i_pq_tradedays($B$3,A6495,A6494)-1)</f>
        <v/>
      </c>
      <c r="G6494" s="16" t="str">
        <f t="shared" si="218"/>
        <v/>
      </c>
      <c r="H6494" s="70" t="str">
        <f t="shared" si="219"/>
        <v/>
      </c>
    </row>
    <row r="6495" spans="1:8">
      <c r="A6495" s="2"/>
      <c r="B6495" s="12"/>
      <c r="C6495" s="12"/>
      <c r="E6495" t="str">
        <f>IF(LEN(D6495)=0,"",[1]!i_pq_tradedays($B$3,A6496,A6495)-1)</f>
        <v/>
      </c>
      <c r="G6495" s="16" t="str">
        <f t="shared" si="218"/>
        <v/>
      </c>
      <c r="H6495" s="70" t="str">
        <f t="shared" si="219"/>
        <v/>
      </c>
    </row>
    <row r="6496" spans="1:8">
      <c r="A6496" s="2"/>
      <c r="B6496" s="12"/>
      <c r="C6496" s="12"/>
      <c r="E6496" t="str">
        <f>IF(LEN(D6496)=0,"",[1]!i_pq_tradedays($B$3,A6497,A6496)-1)</f>
        <v/>
      </c>
      <c r="G6496" s="16" t="str">
        <f t="shared" si="218"/>
        <v/>
      </c>
      <c r="H6496" s="70" t="str">
        <f t="shared" si="219"/>
        <v/>
      </c>
    </row>
    <row r="6497" spans="1:8">
      <c r="A6497" s="2"/>
      <c r="B6497" s="12"/>
      <c r="C6497" s="12"/>
      <c r="E6497" t="str">
        <f>IF(LEN(D6497)=0,"",[1]!i_pq_tradedays($B$3,A6498,A6497)-1)</f>
        <v/>
      </c>
      <c r="G6497" s="16" t="str">
        <f t="shared" si="218"/>
        <v/>
      </c>
      <c r="H6497" s="70" t="str">
        <f t="shared" si="219"/>
        <v/>
      </c>
    </row>
    <row r="6498" spans="1:8">
      <c r="A6498" s="2"/>
      <c r="B6498" s="12"/>
      <c r="C6498" s="12"/>
      <c r="E6498" t="str">
        <f>IF(LEN(D6498)=0,"",[1]!i_pq_tradedays($B$3,A6499,A6498)-1)</f>
        <v/>
      </c>
      <c r="G6498" s="16" t="str">
        <f t="shared" si="218"/>
        <v/>
      </c>
      <c r="H6498" s="70" t="str">
        <f t="shared" si="219"/>
        <v/>
      </c>
    </row>
    <row r="6499" spans="1:8">
      <c r="A6499" s="2"/>
      <c r="B6499" s="12"/>
      <c r="C6499" s="12"/>
      <c r="E6499" t="str">
        <f>IF(LEN(D6499)=0,"",[1]!i_pq_tradedays($B$3,A6500,A6499)-1)</f>
        <v/>
      </c>
      <c r="G6499" s="16" t="str">
        <f t="shared" si="218"/>
        <v/>
      </c>
      <c r="H6499" s="70" t="str">
        <f t="shared" si="219"/>
        <v/>
      </c>
    </row>
    <row r="6500" spans="1:8">
      <c r="A6500" s="2"/>
      <c r="B6500" s="12"/>
      <c r="C6500" s="12"/>
      <c r="E6500" t="str">
        <f>IF(LEN(D6500)=0,"",[1]!i_pq_tradedays($B$3,A6501,A6500)-1)</f>
        <v/>
      </c>
      <c r="G6500" s="16" t="str">
        <f t="shared" si="218"/>
        <v/>
      </c>
      <c r="H6500" s="70" t="str">
        <f t="shared" si="219"/>
        <v/>
      </c>
    </row>
    <row r="6501" spans="1:8">
      <c r="A6501" s="2"/>
      <c r="B6501" s="12"/>
      <c r="C6501" s="12"/>
      <c r="E6501" t="str">
        <f>IF(LEN(D6501)=0,"",[1]!i_pq_tradedays($B$3,A6502,A6501)-1)</f>
        <v/>
      </c>
      <c r="G6501" s="16" t="str">
        <f t="shared" si="218"/>
        <v/>
      </c>
      <c r="H6501" s="70" t="str">
        <f t="shared" si="219"/>
        <v/>
      </c>
    </row>
    <row r="6502" spans="1:8">
      <c r="A6502" s="2"/>
      <c r="B6502" s="12"/>
      <c r="C6502" s="12"/>
      <c r="E6502" t="str">
        <f>IF(LEN(D6502)=0,"",[1]!i_pq_tradedays($B$3,A6503,A6502)-1)</f>
        <v/>
      </c>
      <c r="G6502" s="16" t="str">
        <f t="shared" si="218"/>
        <v/>
      </c>
      <c r="H6502" s="70" t="str">
        <f t="shared" si="219"/>
        <v/>
      </c>
    </row>
    <row r="6503" spans="1:8">
      <c r="A6503" s="2"/>
      <c r="B6503" s="12"/>
      <c r="C6503" s="12"/>
      <c r="E6503" t="str">
        <f>IF(LEN(D6503)=0,"",[1]!i_pq_tradedays($B$3,A6504,A6503)-1)</f>
        <v/>
      </c>
      <c r="G6503" s="16" t="str">
        <f t="shared" si="218"/>
        <v/>
      </c>
      <c r="H6503" s="70" t="str">
        <f t="shared" si="219"/>
        <v/>
      </c>
    </row>
    <row r="6504" spans="1:8">
      <c r="A6504" s="2"/>
      <c r="B6504" s="12"/>
      <c r="C6504" s="12"/>
      <c r="E6504" t="str">
        <f>IF(LEN(D6504)=0,"",[1]!i_pq_tradedays($B$3,A6505,A6504)-1)</f>
        <v/>
      </c>
      <c r="G6504" s="16" t="str">
        <f t="shared" si="218"/>
        <v/>
      </c>
      <c r="H6504" s="70" t="str">
        <f t="shared" si="219"/>
        <v/>
      </c>
    </row>
    <row r="6505" spans="1:8">
      <c r="A6505" s="2"/>
      <c r="B6505" s="12"/>
      <c r="C6505" s="12"/>
      <c r="E6505" t="str">
        <f>IF(LEN(D6505)=0,"",[1]!i_pq_tradedays($B$3,A6506,A6505)-1)</f>
        <v/>
      </c>
      <c r="G6505" s="16" t="str">
        <f t="shared" si="218"/>
        <v/>
      </c>
      <c r="H6505" s="70" t="str">
        <f t="shared" si="219"/>
        <v/>
      </c>
    </row>
    <row r="6506" spans="1:8">
      <c r="A6506" s="2"/>
      <c r="B6506" s="12"/>
      <c r="C6506" s="12"/>
      <c r="E6506" t="str">
        <f>IF(LEN(D6506)=0,"",[1]!i_pq_tradedays($B$3,A6507,A6506)-1)</f>
        <v/>
      </c>
      <c r="G6506" s="16" t="str">
        <f t="shared" si="218"/>
        <v/>
      </c>
      <c r="H6506" s="70" t="str">
        <f t="shared" si="219"/>
        <v/>
      </c>
    </row>
    <row r="6507" spans="1:8">
      <c r="A6507" s="2"/>
      <c r="B6507" s="12"/>
      <c r="C6507" s="12"/>
      <c r="E6507" t="str">
        <f>IF(LEN(D6507)=0,"",[1]!i_pq_tradedays($B$3,A6508,A6507)-1)</f>
        <v/>
      </c>
      <c r="G6507" s="16" t="str">
        <f t="shared" si="218"/>
        <v/>
      </c>
      <c r="H6507" s="70" t="str">
        <f t="shared" si="219"/>
        <v/>
      </c>
    </row>
    <row r="6508" spans="1:8">
      <c r="A6508" s="2"/>
      <c r="B6508" s="12"/>
      <c r="C6508" s="12"/>
      <c r="E6508" t="str">
        <f>IF(LEN(D6508)=0,"",[1]!i_pq_tradedays($B$3,A6509,A6508)-1)</f>
        <v/>
      </c>
      <c r="G6508" s="16" t="str">
        <f t="shared" si="218"/>
        <v/>
      </c>
      <c r="H6508" s="70" t="str">
        <f t="shared" si="219"/>
        <v/>
      </c>
    </row>
    <row r="6509" spans="1:8">
      <c r="A6509" s="2"/>
      <c r="B6509" s="12"/>
      <c r="C6509" s="12"/>
      <c r="E6509" t="str">
        <f>IF(LEN(D6509)=0,"",[1]!i_pq_tradedays($B$3,A6510,A6509)-1)</f>
        <v/>
      </c>
      <c r="G6509" s="16" t="str">
        <f t="shared" si="218"/>
        <v/>
      </c>
      <c r="H6509" s="70" t="str">
        <f t="shared" si="219"/>
        <v/>
      </c>
    </row>
    <row r="6510" spans="1:8">
      <c r="A6510" s="2"/>
      <c r="B6510" s="12"/>
      <c r="C6510" s="12"/>
      <c r="E6510" t="str">
        <f>IF(LEN(D6510)=0,"",[1]!i_pq_tradedays($B$3,A6511,A6510)-1)</f>
        <v/>
      </c>
      <c r="G6510" s="16" t="str">
        <f t="shared" si="218"/>
        <v/>
      </c>
      <c r="H6510" s="70" t="str">
        <f t="shared" si="219"/>
        <v/>
      </c>
    </row>
    <row r="6511" spans="1:8">
      <c r="A6511" s="2"/>
      <c r="B6511" s="12"/>
      <c r="C6511" s="12"/>
      <c r="E6511" t="str">
        <f>IF(LEN(D6511)=0,"",[1]!i_pq_tradedays($B$3,A6512,A6511)-1)</f>
        <v/>
      </c>
      <c r="G6511" s="16" t="str">
        <f t="shared" si="218"/>
        <v/>
      </c>
      <c r="H6511" s="70" t="str">
        <f t="shared" si="219"/>
        <v/>
      </c>
    </row>
    <row r="6512" spans="1:8">
      <c r="A6512" s="2"/>
      <c r="B6512" s="12"/>
      <c r="C6512" s="12"/>
      <c r="E6512" t="str">
        <f>IF(LEN(D6512)=0,"",[1]!i_pq_tradedays($B$3,A6513,A6512)-1)</f>
        <v/>
      </c>
      <c r="G6512" s="16" t="str">
        <f t="shared" si="218"/>
        <v/>
      </c>
      <c r="H6512" s="70" t="str">
        <f t="shared" si="219"/>
        <v/>
      </c>
    </row>
    <row r="6513" spans="1:8">
      <c r="A6513" s="2"/>
      <c r="B6513" s="12"/>
      <c r="C6513" s="12"/>
      <c r="E6513" t="str">
        <f>IF(LEN(D6513)=0,"",[1]!i_pq_tradedays($B$3,A6514,A6513)-1)</f>
        <v/>
      </c>
      <c r="G6513" s="16" t="str">
        <f t="shared" si="218"/>
        <v/>
      </c>
      <c r="H6513" s="70" t="str">
        <f t="shared" si="219"/>
        <v/>
      </c>
    </row>
    <row r="6514" spans="1:8">
      <c r="A6514" s="2"/>
      <c r="B6514" s="12"/>
      <c r="C6514" s="12"/>
      <c r="E6514" t="str">
        <f>IF(LEN(D6514)=0,"",[1]!i_pq_tradedays($B$3,A6515,A6514)-1)</f>
        <v/>
      </c>
      <c r="G6514" s="16" t="str">
        <f t="shared" si="218"/>
        <v/>
      </c>
      <c r="H6514" s="70" t="str">
        <f t="shared" si="219"/>
        <v/>
      </c>
    </row>
    <row r="6515" spans="1:8">
      <c r="A6515" s="2"/>
      <c r="B6515" s="12"/>
      <c r="C6515" s="12"/>
      <c r="E6515" t="str">
        <f>IF(LEN(D6515)=0,"",[1]!i_pq_tradedays($B$3,A6516,A6515)-1)</f>
        <v/>
      </c>
      <c r="G6515" s="16" t="str">
        <f t="shared" si="218"/>
        <v/>
      </c>
      <c r="H6515" s="70" t="str">
        <f t="shared" si="219"/>
        <v/>
      </c>
    </row>
    <row r="6516" spans="1:8">
      <c r="A6516" s="2"/>
      <c r="B6516" s="12"/>
      <c r="C6516" s="12"/>
      <c r="E6516" t="str">
        <f>IF(LEN(D6516)=0,"",[1]!i_pq_tradedays($B$3,A6517,A6516)-1)</f>
        <v/>
      </c>
      <c r="G6516" s="16" t="str">
        <f t="shared" si="218"/>
        <v/>
      </c>
      <c r="H6516" s="70" t="str">
        <f t="shared" si="219"/>
        <v/>
      </c>
    </row>
    <row r="6517" spans="1:8">
      <c r="A6517" s="2"/>
      <c r="B6517" s="12"/>
      <c r="C6517" s="12"/>
      <c r="E6517" t="str">
        <f>IF(LEN(D6517)=0,"",[1]!i_pq_tradedays($B$3,A6518,A6517)-1)</f>
        <v/>
      </c>
      <c r="G6517" s="16" t="str">
        <f t="shared" ref="G6517:G6580" si="220">IF(LEN(D6517)=0,"",D6517/E6517)</f>
        <v/>
      </c>
      <c r="H6517" s="70" t="str">
        <f t="shared" ref="H6517:H6580" si="221">IF(LEN(D6517)=0,"",G6517/G6518-1)</f>
        <v/>
      </c>
    </row>
    <row r="6518" spans="1:8">
      <c r="A6518" s="2"/>
      <c r="B6518" s="12"/>
      <c r="C6518" s="12"/>
      <c r="E6518" t="str">
        <f>IF(LEN(D6518)=0,"",[1]!i_pq_tradedays($B$3,A6519,A6518)-1)</f>
        <v/>
      </c>
      <c r="G6518" s="16" t="str">
        <f t="shared" si="220"/>
        <v/>
      </c>
      <c r="H6518" s="70" t="str">
        <f t="shared" si="221"/>
        <v/>
      </c>
    </row>
    <row r="6519" spans="1:8">
      <c r="A6519" s="2"/>
      <c r="B6519" s="12"/>
      <c r="C6519" s="12"/>
      <c r="E6519" t="str">
        <f>IF(LEN(D6519)=0,"",[1]!i_pq_tradedays($B$3,A6520,A6519)-1)</f>
        <v/>
      </c>
      <c r="G6519" s="16" t="str">
        <f t="shared" si="220"/>
        <v/>
      </c>
      <c r="H6519" s="70" t="str">
        <f t="shared" si="221"/>
        <v/>
      </c>
    </row>
    <row r="6520" spans="1:8">
      <c r="A6520" s="2"/>
      <c r="B6520" s="12"/>
      <c r="C6520" s="12"/>
      <c r="E6520" t="str">
        <f>IF(LEN(D6520)=0,"",[1]!i_pq_tradedays($B$3,A6521,A6520)-1)</f>
        <v/>
      </c>
      <c r="G6520" s="16" t="str">
        <f t="shared" si="220"/>
        <v/>
      </c>
      <c r="H6520" s="70" t="str">
        <f t="shared" si="221"/>
        <v/>
      </c>
    </row>
    <row r="6521" spans="1:8">
      <c r="A6521" s="2"/>
      <c r="B6521" s="12"/>
      <c r="C6521" s="12"/>
      <c r="E6521" t="str">
        <f>IF(LEN(D6521)=0,"",[1]!i_pq_tradedays($B$3,A6522,A6521)-1)</f>
        <v/>
      </c>
      <c r="G6521" s="16" t="str">
        <f t="shared" si="220"/>
        <v/>
      </c>
      <c r="H6521" s="70" t="str">
        <f t="shared" si="221"/>
        <v/>
      </c>
    </row>
    <row r="6522" spans="1:8">
      <c r="A6522" s="2"/>
      <c r="B6522" s="12"/>
      <c r="C6522" s="12"/>
      <c r="E6522" t="str">
        <f>IF(LEN(D6522)=0,"",[1]!i_pq_tradedays($B$3,A6523,A6522)-1)</f>
        <v/>
      </c>
      <c r="G6522" s="16" t="str">
        <f t="shared" si="220"/>
        <v/>
      </c>
      <c r="H6522" s="70" t="str">
        <f t="shared" si="221"/>
        <v/>
      </c>
    </row>
    <row r="6523" spans="1:8">
      <c r="A6523" s="2"/>
      <c r="B6523" s="12"/>
      <c r="C6523" s="12"/>
      <c r="E6523" t="str">
        <f>IF(LEN(D6523)=0,"",[1]!i_pq_tradedays($B$3,A6524,A6523)-1)</f>
        <v/>
      </c>
      <c r="G6523" s="16" t="str">
        <f t="shared" si="220"/>
        <v/>
      </c>
      <c r="H6523" s="70" t="str">
        <f t="shared" si="221"/>
        <v/>
      </c>
    </row>
    <row r="6524" spans="1:8">
      <c r="A6524" s="2"/>
      <c r="B6524" s="12"/>
      <c r="C6524" s="12"/>
      <c r="E6524" t="str">
        <f>IF(LEN(D6524)=0,"",[1]!i_pq_tradedays($B$3,A6525,A6524)-1)</f>
        <v/>
      </c>
      <c r="G6524" s="16" t="str">
        <f t="shared" si="220"/>
        <v/>
      </c>
      <c r="H6524" s="70" t="str">
        <f t="shared" si="221"/>
        <v/>
      </c>
    </row>
    <row r="6525" spans="1:8">
      <c r="A6525" s="2"/>
      <c r="B6525" s="12"/>
      <c r="C6525" s="12"/>
      <c r="E6525" t="str">
        <f>IF(LEN(D6525)=0,"",[1]!i_pq_tradedays($B$3,A6526,A6525)-1)</f>
        <v/>
      </c>
      <c r="G6525" s="16" t="str">
        <f t="shared" si="220"/>
        <v/>
      </c>
      <c r="H6525" s="70" t="str">
        <f t="shared" si="221"/>
        <v/>
      </c>
    </row>
    <row r="6526" spans="1:8">
      <c r="A6526" s="2"/>
      <c r="B6526" s="12"/>
      <c r="C6526" s="12"/>
      <c r="E6526" t="str">
        <f>IF(LEN(D6526)=0,"",[1]!i_pq_tradedays($B$3,A6527,A6526)-1)</f>
        <v/>
      </c>
      <c r="G6526" s="16" t="str">
        <f t="shared" si="220"/>
        <v/>
      </c>
      <c r="H6526" s="70" t="str">
        <f t="shared" si="221"/>
        <v/>
      </c>
    </row>
    <row r="6527" spans="1:8">
      <c r="A6527" s="2"/>
      <c r="B6527" s="12"/>
      <c r="C6527" s="12"/>
      <c r="E6527" t="str">
        <f>IF(LEN(D6527)=0,"",[1]!i_pq_tradedays($B$3,A6528,A6527)-1)</f>
        <v/>
      </c>
      <c r="G6527" s="16" t="str">
        <f t="shared" si="220"/>
        <v/>
      </c>
      <c r="H6527" s="70" t="str">
        <f t="shared" si="221"/>
        <v/>
      </c>
    </row>
    <row r="6528" spans="1:8">
      <c r="A6528" s="2"/>
      <c r="B6528" s="12"/>
      <c r="C6528" s="12"/>
      <c r="E6528" t="str">
        <f>IF(LEN(D6528)=0,"",[1]!i_pq_tradedays($B$3,A6529,A6528)-1)</f>
        <v/>
      </c>
      <c r="G6528" s="16" t="str">
        <f t="shared" si="220"/>
        <v/>
      </c>
      <c r="H6528" s="70" t="str">
        <f t="shared" si="221"/>
        <v/>
      </c>
    </row>
    <row r="6529" spans="1:8">
      <c r="A6529" s="2"/>
      <c r="B6529" s="12"/>
      <c r="C6529" s="12"/>
      <c r="E6529" t="str">
        <f>IF(LEN(D6529)=0,"",[1]!i_pq_tradedays($B$3,A6530,A6529)-1)</f>
        <v/>
      </c>
      <c r="G6529" s="16" t="str">
        <f t="shared" si="220"/>
        <v/>
      </c>
      <c r="H6529" s="70" t="str">
        <f t="shared" si="221"/>
        <v/>
      </c>
    </row>
    <row r="6530" spans="1:8">
      <c r="A6530" s="2"/>
      <c r="B6530" s="12"/>
      <c r="C6530" s="12"/>
      <c r="E6530" t="str">
        <f>IF(LEN(D6530)=0,"",[1]!i_pq_tradedays($B$3,A6531,A6530)-1)</f>
        <v/>
      </c>
      <c r="G6530" s="16" t="str">
        <f t="shared" si="220"/>
        <v/>
      </c>
      <c r="H6530" s="70" t="str">
        <f t="shared" si="221"/>
        <v/>
      </c>
    </row>
    <row r="6531" spans="1:8">
      <c r="A6531" s="2"/>
      <c r="B6531" s="12"/>
      <c r="C6531" s="12"/>
      <c r="E6531" t="str">
        <f>IF(LEN(D6531)=0,"",[1]!i_pq_tradedays($B$3,A6532,A6531)-1)</f>
        <v/>
      </c>
      <c r="G6531" s="16" t="str">
        <f t="shared" si="220"/>
        <v/>
      </c>
      <c r="H6531" s="70" t="str">
        <f t="shared" si="221"/>
        <v/>
      </c>
    </row>
    <row r="6532" spans="1:8">
      <c r="A6532" s="2"/>
      <c r="B6532" s="12"/>
      <c r="C6532" s="12"/>
      <c r="E6532" t="str">
        <f>IF(LEN(D6532)=0,"",[1]!i_pq_tradedays($B$3,A6533,A6532)-1)</f>
        <v/>
      </c>
      <c r="G6532" s="16" t="str">
        <f t="shared" si="220"/>
        <v/>
      </c>
      <c r="H6532" s="70" t="str">
        <f t="shared" si="221"/>
        <v/>
      </c>
    </row>
    <row r="6533" spans="1:8">
      <c r="A6533" s="2"/>
      <c r="B6533" s="12"/>
      <c r="C6533" s="12"/>
      <c r="E6533" t="str">
        <f>IF(LEN(D6533)=0,"",[1]!i_pq_tradedays($B$3,A6534,A6533)-1)</f>
        <v/>
      </c>
      <c r="G6533" s="16" t="str">
        <f t="shared" si="220"/>
        <v/>
      </c>
      <c r="H6533" s="70" t="str">
        <f t="shared" si="221"/>
        <v/>
      </c>
    </row>
    <row r="6534" spans="1:8">
      <c r="A6534" s="2"/>
      <c r="B6534" s="12"/>
      <c r="C6534" s="12"/>
      <c r="E6534" t="str">
        <f>IF(LEN(D6534)=0,"",[1]!i_pq_tradedays($B$3,A6535,A6534)-1)</f>
        <v/>
      </c>
      <c r="G6534" s="16" t="str">
        <f t="shared" si="220"/>
        <v/>
      </c>
      <c r="H6534" s="70" t="str">
        <f t="shared" si="221"/>
        <v/>
      </c>
    </row>
    <row r="6535" spans="1:8">
      <c r="A6535" s="2"/>
      <c r="B6535" s="12"/>
      <c r="C6535" s="12"/>
      <c r="E6535" t="str">
        <f>IF(LEN(D6535)=0,"",[1]!i_pq_tradedays($B$3,A6536,A6535)-1)</f>
        <v/>
      </c>
      <c r="G6535" s="16" t="str">
        <f t="shared" si="220"/>
        <v/>
      </c>
      <c r="H6535" s="70" t="str">
        <f t="shared" si="221"/>
        <v/>
      </c>
    </row>
    <row r="6536" spans="1:8">
      <c r="A6536" s="2"/>
      <c r="B6536" s="12"/>
      <c r="C6536" s="12"/>
      <c r="E6536" t="str">
        <f>IF(LEN(D6536)=0,"",[1]!i_pq_tradedays($B$3,A6537,A6536)-1)</f>
        <v/>
      </c>
      <c r="G6536" s="16" t="str">
        <f t="shared" si="220"/>
        <v/>
      </c>
      <c r="H6536" s="70" t="str">
        <f t="shared" si="221"/>
        <v/>
      </c>
    </row>
    <row r="6537" spans="1:8">
      <c r="A6537" s="2"/>
      <c r="B6537" s="12"/>
      <c r="C6537" s="12"/>
      <c r="E6537" t="str">
        <f>IF(LEN(D6537)=0,"",[1]!i_pq_tradedays($B$3,A6538,A6537)-1)</f>
        <v/>
      </c>
      <c r="G6537" s="16" t="str">
        <f t="shared" si="220"/>
        <v/>
      </c>
      <c r="H6537" s="70" t="str">
        <f t="shared" si="221"/>
        <v/>
      </c>
    </row>
    <row r="6538" spans="1:8">
      <c r="A6538" s="2"/>
      <c r="B6538" s="12"/>
      <c r="C6538" s="12"/>
      <c r="E6538" t="str">
        <f>IF(LEN(D6538)=0,"",[1]!i_pq_tradedays($B$3,A6539,A6538)-1)</f>
        <v/>
      </c>
      <c r="G6538" s="16" t="str">
        <f t="shared" si="220"/>
        <v/>
      </c>
      <c r="H6538" s="70" t="str">
        <f t="shared" si="221"/>
        <v/>
      </c>
    </row>
    <row r="6539" spans="1:8">
      <c r="A6539" s="2"/>
      <c r="B6539" s="12"/>
      <c r="C6539" s="12"/>
      <c r="E6539" t="str">
        <f>IF(LEN(D6539)=0,"",[1]!i_pq_tradedays($B$3,A6540,A6539)-1)</f>
        <v/>
      </c>
      <c r="G6539" s="16" t="str">
        <f t="shared" si="220"/>
        <v/>
      </c>
      <c r="H6539" s="70" t="str">
        <f t="shared" si="221"/>
        <v/>
      </c>
    </row>
    <row r="6540" spans="1:8">
      <c r="A6540" s="2"/>
      <c r="B6540" s="12"/>
      <c r="C6540" s="12"/>
      <c r="E6540" t="str">
        <f>IF(LEN(D6540)=0,"",[1]!i_pq_tradedays($B$3,A6541,A6540)-1)</f>
        <v/>
      </c>
      <c r="G6540" s="16" t="str">
        <f t="shared" si="220"/>
        <v/>
      </c>
      <c r="H6540" s="70" t="str">
        <f t="shared" si="221"/>
        <v/>
      </c>
    </row>
    <row r="6541" spans="1:8">
      <c r="A6541" s="2"/>
      <c r="B6541" s="12"/>
      <c r="C6541" s="12"/>
      <c r="E6541" t="str">
        <f>IF(LEN(D6541)=0,"",[1]!i_pq_tradedays($B$3,A6542,A6541)-1)</f>
        <v/>
      </c>
      <c r="G6541" s="16" t="str">
        <f t="shared" si="220"/>
        <v/>
      </c>
      <c r="H6541" s="70" t="str">
        <f t="shared" si="221"/>
        <v/>
      </c>
    </row>
    <row r="6542" spans="1:8">
      <c r="A6542" s="2"/>
      <c r="B6542" s="12"/>
      <c r="C6542" s="12"/>
      <c r="E6542" t="str">
        <f>IF(LEN(D6542)=0,"",[1]!i_pq_tradedays($B$3,A6543,A6542)-1)</f>
        <v/>
      </c>
      <c r="G6542" s="16" t="str">
        <f t="shared" si="220"/>
        <v/>
      </c>
      <c r="H6542" s="70" t="str">
        <f t="shared" si="221"/>
        <v/>
      </c>
    </row>
    <row r="6543" spans="1:8">
      <c r="A6543" s="2"/>
      <c r="B6543" s="12"/>
      <c r="C6543" s="12"/>
      <c r="E6543" t="str">
        <f>IF(LEN(D6543)=0,"",[1]!i_pq_tradedays($B$3,A6544,A6543)-1)</f>
        <v/>
      </c>
      <c r="G6543" s="16" t="str">
        <f t="shared" si="220"/>
        <v/>
      </c>
      <c r="H6543" s="70" t="str">
        <f t="shared" si="221"/>
        <v/>
      </c>
    </row>
    <row r="6544" spans="1:8">
      <c r="A6544" s="2"/>
      <c r="B6544" s="12"/>
      <c r="C6544" s="12"/>
      <c r="E6544" t="str">
        <f>IF(LEN(D6544)=0,"",[1]!i_pq_tradedays($B$3,A6545,A6544)-1)</f>
        <v/>
      </c>
      <c r="G6544" s="16" t="str">
        <f t="shared" si="220"/>
        <v/>
      </c>
      <c r="H6544" s="70" t="str">
        <f t="shared" si="221"/>
        <v/>
      </c>
    </row>
    <row r="6545" spans="1:8">
      <c r="A6545" s="2"/>
      <c r="B6545" s="12"/>
      <c r="C6545" s="12"/>
      <c r="E6545" t="str">
        <f>IF(LEN(D6545)=0,"",[1]!i_pq_tradedays($B$3,A6546,A6545)-1)</f>
        <v/>
      </c>
      <c r="G6545" s="16" t="str">
        <f t="shared" si="220"/>
        <v/>
      </c>
      <c r="H6545" s="70" t="str">
        <f t="shared" si="221"/>
        <v/>
      </c>
    </row>
    <row r="6546" spans="1:8">
      <c r="A6546" s="2"/>
      <c r="B6546" s="12"/>
      <c r="C6546" s="12"/>
      <c r="E6546" t="str">
        <f>IF(LEN(D6546)=0,"",[1]!i_pq_tradedays($B$3,A6547,A6546)-1)</f>
        <v/>
      </c>
      <c r="G6546" s="16" t="str">
        <f t="shared" si="220"/>
        <v/>
      </c>
      <c r="H6546" s="70" t="str">
        <f t="shared" si="221"/>
        <v/>
      </c>
    </row>
    <row r="6547" spans="1:8">
      <c r="A6547" s="2"/>
      <c r="B6547" s="12"/>
      <c r="C6547" s="12"/>
      <c r="E6547" t="str">
        <f>IF(LEN(D6547)=0,"",[1]!i_pq_tradedays($B$3,A6548,A6547)-1)</f>
        <v/>
      </c>
      <c r="G6547" s="16" t="str">
        <f t="shared" si="220"/>
        <v/>
      </c>
      <c r="H6547" s="70" t="str">
        <f t="shared" si="221"/>
        <v/>
      </c>
    </row>
    <row r="6548" spans="1:8">
      <c r="A6548" s="2"/>
      <c r="B6548" s="12"/>
      <c r="C6548" s="12"/>
      <c r="E6548" t="str">
        <f>IF(LEN(D6548)=0,"",[1]!i_pq_tradedays($B$3,A6549,A6548)-1)</f>
        <v/>
      </c>
      <c r="G6548" s="16" t="str">
        <f t="shared" si="220"/>
        <v/>
      </c>
      <c r="H6548" s="70" t="str">
        <f t="shared" si="221"/>
        <v/>
      </c>
    </row>
    <row r="6549" spans="1:8">
      <c r="A6549" s="2"/>
      <c r="B6549" s="12"/>
      <c r="C6549" s="12"/>
      <c r="E6549" t="str">
        <f>IF(LEN(D6549)=0,"",[1]!i_pq_tradedays($B$3,A6550,A6549)-1)</f>
        <v/>
      </c>
      <c r="G6549" s="16" t="str">
        <f t="shared" si="220"/>
        <v/>
      </c>
      <c r="H6549" s="70" t="str">
        <f t="shared" si="221"/>
        <v/>
      </c>
    </row>
    <row r="6550" spans="1:8">
      <c r="A6550" s="2"/>
      <c r="B6550" s="12"/>
      <c r="C6550" s="12"/>
      <c r="E6550" t="str">
        <f>IF(LEN(D6550)=0,"",[1]!i_pq_tradedays($B$3,A6551,A6550)-1)</f>
        <v/>
      </c>
      <c r="G6550" s="16" t="str">
        <f t="shared" si="220"/>
        <v/>
      </c>
      <c r="H6550" s="70" t="str">
        <f t="shared" si="221"/>
        <v/>
      </c>
    </row>
    <row r="6551" spans="1:8">
      <c r="A6551" s="2"/>
      <c r="B6551" s="12"/>
      <c r="C6551" s="12"/>
      <c r="E6551" t="str">
        <f>IF(LEN(D6551)=0,"",[1]!i_pq_tradedays($B$3,A6552,A6551)-1)</f>
        <v/>
      </c>
      <c r="G6551" s="16" t="str">
        <f t="shared" si="220"/>
        <v/>
      </c>
      <c r="H6551" s="70" t="str">
        <f t="shared" si="221"/>
        <v/>
      </c>
    </row>
    <row r="6552" spans="1:8">
      <c r="A6552" s="2"/>
      <c r="B6552" s="12"/>
      <c r="C6552" s="12"/>
      <c r="E6552" t="str">
        <f>IF(LEN(D6552)=0,"",[1]!i_pq_tradedays($B$3,A6553,A6552)-1)</f>
        <v/>
      </c>
      <c r="G6552" s="16" t="str">
        <f t="shared" si="220"/>
        <v/>
      </c>
      <c r="H6552" s="70" t="str">
        <f t="shared" si="221"/>
        <v/>
      </c>
    </row>
    <row r="6553" spans="1:8">
      <c r="A6553" s="2"/>
      <c r="B6553" s="12"/>
      <c r="C6553" s="12"/>
      <c r="E6553" t="str">
        <f>IF(LEN(D6553)=0,"",[1]!i_pq_tradedays($B$3,A6554,A6553)-1)</f>
        <v/>
      </c>
      <c r="G6553" s="16" t="str">
        <f t="shared" si="220"/>
        <v/>
      </c>
      <c r="H6553" s="70" t="str">
        <f t="shared" si="221"/>
        <v/>
      </c>
    </row>
    <row r="6554" spans="1:8">
      <c r="A6554" s="2"/>
      <c r="B6554" s="12"/>
      <c r="C6554" s="12"/>
      <c r="E6554" t="str">
        <f>IF(LEN(D6554)=0,"",[1]!i_pq_tradedays($B$3,A6555,A6554)-1)</f>
        <v/>
      </c>
      <c r="G6554" s="16" t="str">
        <f t="shared" si="220"/>
        <v/>
      </c>
      <c r="H6554" s="70" t="str">
        <f t="shared" si="221"/>
        <v/>
      </c>
    </row>
    <row r="6555" spans="1:8">
      <c r="A6555" s="2"/>
      <c r="B6555" s="12"/>
      <c r="C6555" s="12"/>
      <c r="E6555" t="str">
        <f>IF(LEN(D6555)=0,"",[1]!i_pq_tradedays($B$3,A6556,A6555)-1)</f>
        <v/>
      </c>
      <c r="G6555" s="16" t="str">
        <f t="shared" si="220"/>
        <v/>
      </c>
      <c r="H6555" s="70" t="str">
        <f t="shared" si="221"/>
        <v/>
      </c>
    </row>
    <row r="6556" spans="1:8">
      <c r="A6556" s="2"/>
      <c r="B6556" s="12"/>
      <c r="C6556" s="12"/>
      <c r="E6556" t="str">
        <f>IF(LEN(D6556)=0,"",[1]!i_pq_tradedays($B$3,A6557,A6556)-1)</f>
        <v/>
      </c>
      <c r="G6556" s="16" t="str">
        <f t="shared" si="220"/>
        <v/>
      </c>
      <c r="H6556" s="70" t="str">
        <f t="shared" si="221"/>
        <v/>
      </c>
    </row>
    <row r="6557" spans="1:8">
      <c r="A6557" s="2"/>
      <c r="B6557" s="12"/>
      <c r="C6557" s="12"/>
      <c r="E6557" t="str">
        <f>IF(LEN(D6557)=0,"",[1]!i_pq_tradedays($B$3,A6558,A6557)-1)</f>
        <v/>
      </c>
      <c r="G6557" s="16" t="str">
        <f t="shared" si="220"/>
        <v/>
      </c>
      <c r="H6557" s="70" t="str">
        <f t="shared" si="221"/>
        <v/>
      </c>
    </row>
    <row r="6558" spans="1:8">
      <c r="A6558" s="2"/>
      <c r="B6558" s="12"/>
      <c r="C6558" s="12"/>
      <c r="E6558" t="str">
        <f>IF(LEN(D6558)=0,"",[1]!i_pq_tradedays($B$3,A6559,A6558)-1)</f>
        <v/>
      </c>
      <c r="G6558" s="16" t="str">
        <f t="shared" si="220"/>
        <v/>
      </c>
      <c r="H6558" s="70" t="str">
        <f t="shared" si="221"/>
        <v/>
      </c>
    </row>
    <row r="6559" spans="1:8">
      <c r="A6559" s="2"/>
      <c r="B6559" s="12"/>
      <c r="C6559" s="12"/>
      <c r="E6559" t="str">
        <f>IF(LEN(D6559)=0,"",[1]!i_pq_tradedays($B$3,A6560,A6559)-1)</f>
        <v/>
      </c>
      <c r="G6559" s="16" t="str">
        <f t="shared" si="220"/>
        <v/>
      </c>
      <c r="H6559" s="70" t="str">
        <f t="shared" si="221"/>
        <v/>
      </c>
    </row>
    <row r="6560" spans="1:8">
      <c r="A6560" s="2"/>
      <c r="B6560" s="12"/>
      <c r="C6560" s="12"/>
      <c r="E6560" t="str">
        <f>IF(LEN(D6560)=0,"",[1]!i_pq_tradedays($B$3,A6561,A6560)-1)</f>
        <v/>
      </c>
      <c r="G6560" s="16" t="str">
        <f t="shared" si="220"/>
        <v/>
      </c>
      <c r="H6560" s="70" t="str">
        <f t="shared" si="221"/>
        <v/>
      </c>
    </row>
    <row r="6561" spans="1:8">
      <c r="A6561" s="2"/>
      <c r="B6561" s="12"/>
      <c r="C6561" s="12"/>
      <c r="E6561" t="str">
        <f>IF(LEN(D6561)=0,"",[1]!i_pq_tradedays($B$3,A6562,A6561)-1)</f>
        <v/>
      </c>
      <c r="G6561" s="16" t="str">
        <f t="shared" si="220"/>
        <v/>
      </c>
      <c r="H6561" s="70" t="str">
        <f t="shared" si="221"/>
        <v/>
      </c>
    </row>
    <row r="6562" spans="1:8">
      <c r="A6562" s="2"/>
      <c r="B6562" s="12"/>
      <c r="C6562" s="12"/>
      <c r="E6562" t="str">
        <f>IF(LEN(D6562)=0,"",[1]!i_pq_tradedays($B$3,A6563,A6562)-1)</f>
        <v/>
      </c>
      <c r="G6562" s="16" t="str">
        <f t="shared" si="220"/>
        <v/>
      </c>
      <c r="H6562" s="70" t="str">
        <f t="shared" si="221"/>
        <v/>
      </c>
    </row>
    <row r="6563" spans="1:8">
      <c r="A6563" s="2"/>
      <c r="B6563" s="12"/>
      <c r="C6563" s="12"/>
      <c r="E6563" t="str">
        <f>IF(LEN(D6563)=0,"",[1]!i_pq_tradedays($B$3,A6564,A6563)-1)</f>
        <v/>
      </c>
      <c r="G6563" s="16" t="str">
        <f t="shared" si="220"/>
        <v/>
      </c>
      <c r="H6563" s="70" t="str">
        <f t="shared" si="221"/>
        <v/>
      </c>
    </row>
    <row r="6564" spans="1:8">
      <c r="A6564" s="2"/>
      <c r="B6564" s="12"/>
      <c r="C6564" s="12"/>
      <c r="E6564" t="str">
        <f>IF(LEN(D6564)=0,"",[1]!i_pq_tradedays($B$3,A6565,A6564)-1)</f>
        <v/>
      </c>
      <c r="G6564" s="16" t="str">
        <f t="shared" si="220"/>
        <v/>
      </c>
      <c r="H6564" s="70" t="str">
        <f t="shared" si="221"/>
        <v/>
      </c>
    </row>
    <row r="6565" spans="1:8">
      <c r="A6565" s="2"/>
      <c r="B6565" s="12"/>
      <c r="C6565" s="12"/>
      <c r="E6565" t="str">
        <f>IF(LEN(D6565)=0,"",[1]!i_pq_tradedays($B$3,A6566,A6565)-1)</f>
        <v/>
      </c>
      <c r="G6565" s="16" t="str">
        <f t="shared" si="220"/>
        <v/>
      </c>
      <c r="H6565" s="70" t="str">
        <f t="shared" si="221"/>
        <v/>
      </c>
    </row>
    <row r="6566" spans="1:8">
      <c r="A6566" s="2"/>
      <c r="B6566" s="12"/>
      <c r="C6566" s="12"/>
      <c r="E6566" t="str">
        <f>IF(LEN(D6566)=0,"",[1]!i_pq_tradedays($B$3,A6567,A6566)-1)</f>
        <v/>
      </c>
      <c r="G6566" s="16" t="str">
        <f t="shared" si="220"/>
        <v/>
      </c>
      <c r="H6566" s="70" t="str">
        <f t="shared" si="221"/>
        <v/>
      </c>
    </row>
    <row r="6567" spans="1:8">
      <c r="A6567" s="2"/>
      <c r="B6567" s="12"/>
      <c r="C6567" s="12"/>
      <c r="E6567" t="str">
        <f>IF(LEN(D6567)=0,"",[1]!i_pq_tradedays($B$3,A6568,A6567)-1)</f>
        <v/>
      </c>
      <c r="G6567" s="16" t="str">
        <f t="shared" si="220"/>
        <v/>
      </c>
      <c r="H6567" s="70" t="str">
        <f t="shared" si="221"/>
        <v/>
      </c>
    </row>
    <row r="6568" spans="1:8">
      <c r="A6568" s="2"/>
      <c r="B6568" s="12"/>
      <c r="C6568" s="12"/>
      <c r="E6568" t="str">
        <f>IF(LEN(D6568)=0,"",[1]!i_pq_tradedays($B$3,A6569,A6568)-1)</f>
        <v/>
      </c>
      <c r="G6568" s="16" t="str">
        <f t="shared" si="220"/>
        <v/>
      </c>
      <c r="H6568" s="70" t="str">
        <f t="shared" si="221"/>
        <v/>
      </c>
    </row>
    <row r="6569" spans="1:8">
      <c r="A6569" s="2"/>
      <c r="B6569" s="12"/>
      <c r="C6569" s="12"/>
      <c r="E6569" t="str">
        <f>IF(LEN(D6569)=0,"",[1]!i_pq_tradedays($B$3,A6570,A6569)-1)</f>
        <v/>
      </c>
      <c r="G6569" s="16" t="str">
        <f t="shared" si="220"/>
        <v/>
      </c>
      <c r="H6569" s="70" t="str">
        <f t="shared" si="221"/>
        <v/>
      </c>
    </row>
    <row r="6570" spans="1:8">
      <c r="A6570" s="2"/>
      <c r="B6570" s="12"/>
      <c r="C6570" s="12"/>
      <c r="E6570" t="str">
        <f>IF(LEN(D6570)=0,"",[1]!i_pq_tradedays($B$3,A6571,A6570)-1)</f>
        <v/>
      </c>
      <c r="G6570" s="16" t="str">
        <f t="shared" si="220"/>
        <v/>
      </c>
      <c r="H6570" s="70" t="str">
        <f t="shared" si="221"/>
        <v/>
      </c>
    </row>
    <row r="6571" spans="1:8">
      <c r="A6571" s="2"/>
      <c r="B6571" s="12"/>
      <c r="C6571" s="12"/>
      <c r="E6571" t="str">
        <f>IF(LEN(D6571)=0,"",[1]!i_pq_tradedays($B$3,A6572,A6571)-1)</f>
        <v/>
      </c>
      <c r="G6571" s="16" t="str">
        <f t="shared" si="220"/>
        <v/>
      </c>
      <c r="H6571" s="70" t="str">
        <f t="shared" si="221"/>
        <v/>
      </c>
    </row>
    <row r="6572" spans="1:8">
      <c r="A6572" s="2"/>
      <c r="B6572" s="12"/>
      <c r="C6572" s="12"/>
      <c r="E6572" t="str">
        <f>IF(LEN(D6572)=0,"",[1]!i_pq_tradedays($B$3,A6573,A6572)-1)</f>
        <v/>
      </c>
      <c r="G6572" s="16" t="str">
        <f t="shared" si="220"/>
        <v/>
      </c>
      <c r="H6572" s="70" t="str">
        <f t="shared" si="221"/>
        <v/>
      </c>
    </row>
    <row r="6573" spans="1:8">
      <c r="A6573" s="2"/>
      <c r="B6573" s="12"/>
      <c r="C6573" s="12"/>
      <c r="E6573" t="str">
        <f>IF(LEN(D6573)=0,"",[1]!i_pq_tradedays($B$3,A6574,A6573)-1)</f>
        <v/>
      </c>
      <c r="G6573" s="16" t="str">
        <f t="shared" si="220"/>
        <v/>
      </c>
      <c r="H6573" s="70" t="str">
        <f t="shared" si="221"/>
        <v/>
      </c>
    </row>
    <row r="6574" spans="1:8">
      <c r="A6574" s="2"/>
      <c r="B6574" s="12"/>
      <c r="C6574" s="12"/>
      <c r="E6574" t="str">
        <f>IF(LEN(D6574)=0,"",[1]!i_pq_tradedays($B$3,A6575,A6574)-1)</f>
        <v/>
      </c>
      <c r="G6574" s="16" t="str">
        <f t="shared" si="220"/>
        <v/>
      </c>
      <c r="H6574" s="70" t="str">
        <f t="shared" si="221"/>
        <v/>
      </c>
    </row>
    <row r="6575" spans="1:8">
      <c r="A6575" s="2"/>
      <c r="B6575" s="12"/>
      <c r="C6575" s="12"/>
      <c r="E6575" t="str">
        <f>IF(LEN(D6575)=0,"",[1]!i_pq_tradedays($B$3,A6576,A6575)-1)</f>
        <v/>
      </c>
      <c r="G6575" s="16" t="str">
        <f t="shared" si="220"/>
        <v/>
      </c>
      <c r="H6575" s="70" t="str">
        <f t="shared" si="221"/>
        <v/>
      </c>
    </row>
    <row r="6576" spans="1:8">
      <c r="A6576" s="2"/>
      <c r="B6576" s="12"/>
      <c r="C6576" s="12"/>
      <c r="E6576" t="str">
        <f>IF(LEN(D6576)=0,"",[1]!i_pq_tradedays($B$3,A6577,A6576)-1)</f>
        <v/>
      </c>
      <c r="G6576" s="16" t="str">
        <f t="shared" si="220"/>
        <v/>
      </c>
      <c r="H6576" s="70" t="str">
        <f t="shared" si="221"/>
        <v/>
      </c>
    </row>
    <row r="6577" spans="1:8">
      <c r="A6577" s="2"/>
      <c r="B6577" s="12"/>
      <c r="C6577" s="12"/>
      <c r="E6577" t="str">
        <f>IF(LEN(D6577)=0,"",[1]!i_pq_tradedays($B$3,A6578,A6577)-1)</f>
        <v/>
      </c>
      <c r="G6577" s="16" t="str">
        <f t="shared" si="220"/>
        <v/>
      </c>
      <c r="H6577" s="70" t="str">
        <f t="shared" si="221"/>
        <v/>
      </c>
    </row>
    <row r="6578" spans="1:8">
      <c r="A6578" s="2"/>
      <c r="B6578" s="12"/>
      <c r="C6578" s="12"/>
      <c r="E6578" t="str">
        <f>IF(LEN(D6578)=0,"",[1]!i_pq_tradedays($B$3,A6579,A6578)-1)</f>
        <v/>
      </c>
      <c r="G6578" s="16" t="str">
        <f t="shared" si="220"/>
        <v/>
      </c>
      <c r="H6578" s="70" t="str">
        <f t="shared" si="221"/>
        <v/>
      </c>
    </row>
    <row r="6579" spans="1:8">
      <c r="A6579" s="2"/>
      <c r="B6579" s="12"/>
      <c r="C6579" s="12"/>
      <c r="E6579" t="str">
        <f>IF(LEN(D6579)=0,"",[1]!i_pq_tradedays($B$3,A6580,A6579)-1)</f>
        <v/>
      </c>
      <c r="G6579" s="16" t="str">
        <f t="shared" si="220"/>
        <v/>
      </c>
      <c r="H6579" s="70" t="str">
        <f t="shared" si="221"/>
        <v/>
      </c>
    </row>
    <row r="6580" spans="1:8">
      <c r="A6580" s="2"/>
      <c r="B6580" s="12"/>
      <c r="C6580" s="12"/>
      <c r="E6580" t="str">
        <f>IF(LEN(D6580)=0,"",[1]!i_pq_tradedays($B$3,A6581,A6580)-1)</f>
        <v/>
      </c>
      <c r="G6580" s="16" t="str">
        <f t="shared" si="220"/>
        <v/>
      </c>
      <c r="H6580" s="70" t="str">
        <f t="shared" si="221"/>
        <v/>
      </c>
    </row>
    <row r="6581" spans="1:8">
      <c r="A6581" s="2"/>
      <c r="B6581" s="12"/>
      <c r="C6581" s="12"/>
      <c r="E6581" t="str">
        <f>IF(LEN(D6581)=0,"",[1]!i_pq_tradedays($B$3,A6582,A6581)-1)</f>
        <v/>
      </c>
      <c r="G6581" s="16" t="str">
        <f t="shared" ref="G6581:G6644" si="222">IF(LEN(D6581)=0,"",D6581/E6581)</f>
        <v/>
      </c>
      <c r="H6581" s="70" t="str">
        <f t="shared" ref="H6581:H6644" si="223">IF(LEN(D6581)=0,"",G6581/G6582-1)</f>
        <v/>
      </c>
    </row>
    <row r="6582" spans="1:8">
      <c r="A6582" s="2"/>
      <c r="B6582" s="12"/>
      <c r="C6582" s="12"/>
      <c r="E6582" t="str">
        <f>IF(LEN(D6582)=0,"",[1]!i_pq_tradedays($B$3,A6583,A6582)-1)</f>
        <v/>
      </c>
      <c r="G6582" s="16" t="str">
        <f t="shared" si="222"/>
        <v/>
      </c>
      <c r="H6582" s="70" t="str">
        <f t="shared" si="223"/>
        <v/>
      </c>
    </row>
    <row r="6583" spans="1:8">
      <c r="A6583" s="2"/>
      <c r="B6583" s="12"/>
      <c r="C6583" s="12"/>
      <c r="E6583" t="str">
        <f>IF(LEN(D6583)=0,"",[1]!i_pq_tradedays($B$3,A6584,A6583)-1)</f>
        <v/>
      </c>
      <c r="G6583" s="16" t="str">
        <f t="shared" si="222"/>
        <v/>
      </c>
      <c r="H6583" s="70" t="str">
        <f t="shared" si="223"/>
        <v/>
      </c>
    </row>
    <row r="6584" spans="1:8">
      <c r="A6584" s="2"/>
      <c r="B6584" s="12"/>
      <c r="C6584" s="12"/>
      <c r="E6584" t="str">
        <f>IF(LEN(D6584)=0,"",[1]!i_pq_tradedays($B$3,A6585,A6584)-1)</f>
        <v/>
      </c>
      <c r="G6584" s="16" t="str">
        <f t="shared" si="222"/>
        <v/>
      </c>
      <c r="H6584" s="70" t="str">
        <f t="shared" si="223"/>
        <v/>
      </c>
    </row>
    <row r="6585" spans="1:8">
      <c r="A6585" s="2"/>
      <c r="B6585" s="12"/>
      <c r="C6585" s="12"/>
      <c r="E6585" t="str">
        <f>IF(LEN(D6585)=0,"",[1]!i_pq_tradedays($B$3,A6586,A6585)-1)</f>
        <v/>
      </c>
      <c r="G6585" s="16" t="str">
        <f t="shared" si="222"/>
        <v/>
      </c>
      <c r="H6585" s="70" t="str">
        <f t="shared" si="223"/>
        <v/>
      </c>
    </row>
    <row r="6586" spans="1:8">
      <c r="A6586" s="2"/>
      <c r="B6586" s="12"/>
      <c r="C6586" s="12"/>
      <c r="E6586" t="str">
        <f>IF(LEN(D6586)=0,"",[1]!i_pq_tradedays($B$3,A6587,A6586)-1)</f>
        <v/>
      </c>
      <c r="G6586" s="16" t="str">
        <f t="shared" si="222"/>
        <v/>
      </c>
      <c r="H6586" s="70" t="str">
        <f t="shared" si="223"/>
        <v/>
      </c>
    </row>
    <row r="6587" spans="1:8">
      <c r="A6587" s="2"/>
      <c r="B6587" s="12"/>
      <c r="C6587" s="12"/>
      <c r="E6587" t="str">
        <f>IF(LEN(D6587)=0,"",[1]!i_pq_tradedays($B$3,A6588,A6587)-1)</f>
        <v/>
      </c>
      <c r="G6587" s="16" t="str">
        <f t="shared" si="222"/>
        <v/>
      </c>
      <c r="H6587" s="70" t="str">
        <f t="shared" si="223"/>
        <v/>
      </c>
    </row>
    <row r="6588" spans="1:8">
      <c r="A6588" s="2"/>
      <c r="B6588" s="12"/>
      <c r="C6588" s="12"/>
      <c r="E6588" t="str">
        <f>IF(LEN(D6588)=0,"",[1]!i_pq_tradedays($B$3,A6589,A6588)-1)</f>
        <v/>
      </c>
      <c r="G6588" s="16" t="str">
        <f t="shared" si="222"/>
        <v/>
      </c>
      <c r="H6588" s="70" t="str">
        <f t="shared" si="223"/>
        <v/>
      </c>
    </row>
    <row r="6589" spans="1:8">
      <c r="A6589" s="2"/>
      <c r="B6589" s="12"/>
      <c r="C6589" s="12"/>
      <c r="E6589" t="str">
        <f>IF(LEN(D6589)=0,"",[1]!i_pq_tradedays($B$3,A6590,A6589)-1)</f>
        <v/>
      </c>
      <c r="G6589" s="16" t="str">
        <f t="shared" si="222"/>
        <v/>
      </c>
      <c r="H6589" s="70" t="str">
        <f t="shared" si="223"/>
        <v/>
      </c>
    </row>
    <row r="6590" spans="1:8">
      <c r="A6590" s="2"/>
      <c r="B6590" s="12"/>
      <c r="C6590" s="12"/>
      <c r="E6590" t="str">
        <f>IF(LEN(D6590)=0,"",[1]!i_pq_tradedays($B$3,A6591,A6590)-1)</f>
        <v/>
      </c>
      <c r="G6590" s="16" t="str">
        <f t="shared" si="222"/>
        <v/>
      </c>
      <c r="H6590" s="70" t="str">
        <f t="shared" si="223"/>
        <v/>
      </c>
    </row>
    <row r="6591" spans="1:8">
      <c r="A6591" s="2"/>
      <c r="B6591" s="12"/>
      <c r="C6591" s="12"/>
      <c r="E6591" t="str">
        <f>IF(LEN(D6591)=0,"",[1]!i_pq_tradedays($B$3,A6592,A6591)-1)</f>
        <v/>
      </c>
      <c r="G6591" s="16" t="str">
        <f t="shared" si="222"/>
        <v/>
      </c>
      <c r="H6591" s="70" t="str">
        <f t="shared" si="223"/>
        <v/>
      </c>
    </row>
    <row r="6592" spans="1:8">
      <c r="A6592" s="2"/>
      <c r="B6592" s="12"/>
      <c r="C6592" s="12"/>
      <c r="E6592" t="str">
        <f>IF(LEN(D6592)=0,"",[1]!i_pq_tradedays($B$3,A6593,A6592)-1)</f>
        <v/>
      </c>
      <c r="G6592" s="16" t="str">
        <f t="shared" si="222"/>
        <v/>
      </c>
      <c r="H6592" s="70" t="str">
        <f t="shared" si="223"/>
        <v/>
      </c>
    </row>
    <row r="6593" spans="1:8">
      <c r="A6593" s="2"/>
      <c r="B6593" s="12"/>
      <c r="C6593" s="12"/>
      <c r="E6593" t="str">
        <f>IF(LEN(D6593)=0,"",[1]!i_pq_tradedays($B$3,A6594,A6593)-1)</f>
        <v/>
      </c>
      <c r="G6593" s="16" t="str">
        <f t="shared" si="222"/>
        <v/>
      </c>
      <c r="H6593" s="70" t="str">
        <f t="shared" si="223"/>
        <v/>
      </c>
    </row>
    <row r="6594" spans="1:8">
      <c r="A6594" s="2"/>
      <c r="B6594" s="12"/>
      <c r="C6594" s="12"/>
      <c r="E6594" t="str">
        <f>IF(LEN(D6594)=0,"",[1]!i_pq_tradedays($B$3,A6595,A6594)-1)</f>
        <v/>
      </c>
      <c r="G6594" s="16" t="str">
        <f t="shared" si="222"/>
        <v/>
      </c>
      <c r="H6594" s="70" t="str">
        <f t="shared" si="223"/>
        <v/>
      </c>
    </row>
    <row r="6595" spans="1:8">
      <c r="A6595" s="2"/>
      <c r="B6595" s="12"/>
      <c r="C6595" s="12"/>
      <c r="E6595" t="str">
        <f>IF(LEN(D6595)=0,"",[1]!i_pq_tradedays($B$3,A6596,A6595)-1)</f>
        <v/>
      </c>
      <c r="G6595" s="16" t="str">
        <f t="shared" si="222"/>
        <v/>
      </c>
      <c r="H6595" s="70" t="str">
        <f t="shared" si="223"/>
        <v/>
      </c>
    </row>
    <row r="6596" spans="1:8">
      <c r="A6596" s="2"/>
      <c r="B6596" s="12"/>
      <c r="C6596" s="12"/>
      <c r="E6596" t="str">
        <f>IF(LEN(D6596)=0,"",[1]!i_pq_tradedays($B$3,A6597,A6596)-1)</f>
        <v/>
      </c>
      <c r="G6596" s="16" t="str">
        <f t="shared" si="222"/>
        <v/>
      </c>
      <c r="H6596" s="70" t="str">
        <f t="shared" si="223"/>
        <v/>
      </c>
    </row>
    <row r="6597" spans="1:8">
      <c r="A6597" s="2"/>
      <c r="B6597" s="12"/>
      <c r="C6597" s="12"/>
      <c r="E6597" t="str">
        <f>IF(LEN(D6597)=0,"",[1]!i_pq_tradedays($B$3,A6598,A6597)-1)</f>
        <v/>
      </c>
      <c r="G6597" s="16" t="str">
        <f t="shared" si="222"/>
        <v/>
      </c>
      <c r="H6597" s="70" t="str">
        <f t="shared" si="223"/>
        <v/>
      </c>
    </row>
    <row r="6598" spans="1:8">
      <c r="A6598" s="2"/>
      <c r="B6598" s="12"/>
      <c r="C6598" s="12"/>
      <c r="E6598" t="str">
        <f>IF(LEN(D6598)=0,"",[1]!i_pq_tradedays($B$3,A6599,A6598)-1)</f>
        <v/>
      </c>
      <c r="G6598" s="16" t="str">
        <f t="shared" si="222"/>
        <v/>
      </c>
      <c r="H6598" s="70" t="str">
        <f t="shared" si="223"/>
        <v/>
      </c>
    </row>
    <row r="6599" spans="1:8">
      <c r="A6599" s="2"/>
      <c r="B6599" s="12"/>
      <c r="C6599" s="12"/>
      <c r="E6599" t="str">
        <f>IF(LEN(D6599)=0,"",[1]!i_pq_tradedays($B$3,A6600,A6599)-1)</f>
        <v/>
      </c>
      <c r="G6599" s="16" t="str">
        <f t="shared" si="222"/>
        <v/>
      </c>
      <c r="H6599" s="70" t="str">
        <f t="shared" si="223"/>
        <v/>
      </c>
    </row>
    <row r="6600" spans="1:8">
      <c r="A6600" s="2"/>
      <c r="B6600" s="12"/>
      <c r="C6600" s="12"/>
      <c r="E6600" t="str">
        <f>IF(LEN(D6600)=0,"",[1]!i_pq_tradedays($B$3,A6601,A6600)-1)</f>
        <v/>
      </c>
      <c r="G6600" s="16" t="str">
        <f t="shared" si="222"/>
        <v/>
      </c>
      <c r="H6600" s="70" t="str">
        <f t="shared" si="223"/>
        <v/>
      </c>
    </row>
    <row r="6601" spans="1:8">
      <c r="A6601" s="2"/>
      <c r="B6601" s="12"/>
      <c r="C6601" s="12"/>
      <c r="E6601" t="str">
        <f>IF(LEN(D6601)=0,"",[1]!i_pq_tradedays($B$3,A6602,A6601)-1)</f>
        <v/>
      </c>
      <c r="G6601" s="16" t="str">
        <f t="shared" si="222"/>
        <v/>
      </c>
      <c r="H6601" s="70" t="str">
        <f t="shared" si="223"/>
        <v/>
      </c>
    </row>
    <row r="6602" spans="1:8">
      <c r="A6602" s="2"/>
      <c r="B6602" s="12"/>
      <c r="C6602" s="12"/>
      <c r="E6602" t="str">
        <f>IF(LEN(D6602)=0,"",[1]!i_pq_tradedays($B$3,A6603,A6602)-1)</f>
        <v/>
      </c>
      <c r="G6602" s="16" t="str">
        <f t="shared" si="222"/>
        <v/>
      </c>
      <c r="H6602" s="70" t="str">
        <f t="shared" si="223"/>
        <v/>
      </c>
    </row>
    <row r="6603" spans="1:8">
      <c r="A6603" s="2"/>
      <c r="B6603" s="12"/>
      <c r="C6603" s="12"/>
      <c r="E6603" t="str">
        <f>IF(LEN(D6603)=0,"",[1]!i_pq_tradedays($B$3,A6604,A6603)-1)</f>
        <v/>
      </c>
      <c r="G6603" s="16" t="str">
        <f t="shared" si="222"/>
        <v/>
      </c>
      <c r="H6603" s="70" t="str">
        <f t="shared" si="223"/>
        <v/>
      </c>
    </row>
    <row r="6604" spans="1:8">
      <c r="A6604" s="2"/>
      <c r="B6604" s="12"/>
      <c r="C6604" s="12"/>
      <c r="E6604" t="str">
        <f>IF(LEN(D6604)=0,"",[1]!i_pq_tradedays($B$3,A6605,A6604)-1)</f>
        <v/>
      </c>
      <c r="G6604" s="16" t="str">
        <f t="shared" si="222"/>
        <v/>
      </c>
      <c r="H6604" s="70" t="str">
        <f t="shared" si="223"/>
        <v/>
      </c>
    </row>
    <row r="6605" spans="1:8">
      <c r="A6605" s="2"/>
      <c r="B6605" s="12"/>
      <c r="C6605" s="12"/>
      <c r="E6605" t="str">
        <f>IF(LEN(D6605)=0,"",[1]!i_pq_tradedays($B$3,A6606,A6605)-1)</f>
        <v/>
      </c>
      <c r="G6605" s="16" t="str">
        <f t="shared" si="222"/>
        <v/>
      </c>
      <c r="H6605" s="70" t="str">
        <f t="shared" si="223"/>
        <v/>
      </c>
    </row>
    <row r="6606" spans="1:8">
      <c r="A6606" s="2"/>
      <c r="B6606" s="12"/>
      <c r="C6606" s="12"/>
      <c r="E6606" t="str">
        <f>IF(LEN(D6606)=0,"",[1]!i_pq_tradedays($B$3,A6607,A6606)-1)</f>
        <v/>
      </c>
      <c r="G6606" s="16" t="str">
        <f t="shared" si="222"/>
        <v/>
      </c>
      <c r="H6606" s="70" t="str">
        <f t="shared" si="223"/>
        <v/>
      </c>
    </row>
    <row r="6607" spans="1:8">
      <c r="A6607" s="2"/>
      <c r="B6607" s="12"/>
      <c r="C6607" s="12"/>
      <c r="E6607" t="str">
        <f>IF(LEN(D6607)=0,"",[1]!i_pq_tradedays($B$3,A6608,A6607)-1)</f>
        <v/>
      </c>
      <c r="G6607" s="16" t="str">
        <f t="shared" si="222"/>
        <v/>
      </c>
      <c r="H6607" s="70" t="str">
        <f t="shared" si="223"/>
        <v/>
      </c>
    </row>
    <row r="6608" spans="1:8">
      <c r="A6608" s="2"/>
      <c r="B6608" s="12"/>
      <c r="C6608" s="12"/>
      <c r="E6608" t="str">
        <f>IF(LEN(D6608)=0,"",[1]!i_pq_tradedays($B$3,A6609,A6608)-1)</f>
        <v/>
      </c>
      <c r="G6608" s="16" t="str">
        <f t="shared" si="222"/>
        <v/>
      </c>
      <c r="H6608" s="70" t="str">
        <f t="shared" si="223"/>
        <v/>
      </c>
    </row>
    <row r="6609" spans="1:8">
      <c r="A6609" s="2"/>
      <c r="B6609" s="12"/>
      <c r="C6609" s="12"/>
      <c r="E6609" t="str">
        <f>IF(LEN(D6609)=0,"",[1]!i_pq_tradedays($B$3,A6610,A6609)-1)</f>
        <v/>
      </c>
      <c r="G6609" s="16" t="str">
        <f t="shared" si="222"/>
        <v/>
      </c>
      <c r="H6609" s="70" t="str">
        <f t="shared" si="223"/>
        <v/>
      </c>
    </row>
    <row r="6610" spans="1:8">
      <c r="A6610" s="2"/>
      <c r="B6610" s="12"/>
      <c r="C6610" s="12"/>
      <c r="E6610" t="str">
        <f>IF(LEN(D6610)=0,"",[1]!i_pq_tradedays($B$3,A6611,A6610)-1)</f>
        <v/>
      </c>
      <c r="G6610" s="16" t="str">
        <f t="shared" si="222"/>
        <v/>
      </c>
      <c r="H6610" s="70" t="str">
        <f t="shared" si="223"/>
        <v/>
      </c>
    </row>
    <row r="6611" spans="1:8">
      <c r="A6611" s="2"/>
      <c r="B6611" s="12"/>
      <c r="C6611" s="12"/>
      <c r="E6611" t="str">
        <f>IF(LEN(D6611)=0,"",[1]!i_pq_tradedays($B$3,A6612,A6611)-1)</f>
        <v/>
      </c>
      <c r="G6611" s="16" t="str">
        <f t="shared" si="222"/>
        <v/>
      </c>
      <c r="H6611" s="70" t="str">
        <f t="shared" si="223"/>
        <v/>
      </c>
    </row>
    <row r="6612" spans="1:8">
      <c r="A6612" s="2"/>
      <c r="B6612" s="12"/>
      <c r="C6612" s="12"/>
      <c r="E6612" t="str">
        <f>IF(LEN(D6612)=0,"",[1]!i_pq_tradedays($B$3,A6613,A6612)-1)</f>
        <v/>
      </c>
      <c r="G6612" s="16" t="str">
        <f t="shared" si="222"/>
        <v/>
      </c>
      <c r="H6612" s="70" t="str">
        <f t="shared" si="223"/>
        <v/>
      </c>
    </row>
    <row r="6613" spans="1:8">
      <c r="A6613" s="2"/>
      <c r="B6613" s="12"/>
      <c r="C6613" s="12"/>
      <c r="E6613" t="str">
        <f>IF(LEN(D6613)=0,"",[1]!i_pq_tradedays($B$3,A6614,A6613)-1)</f>
        <v/>
      </c>
      <c r="G6613" s="16" t="str">
        <f t="shared" si="222"/>
        <v/>
      </c>
      <c r="H6613" s="70" t="str">
        <f t="shared" si="223"/>
        <v/>
      </c>
    </row>
    <row r="6614" spans="1:8">
      <c r="A6614" s="2"/>
      <c r="B6614" s="12"/>
      <c r="C6614" s="12"/>
      <c r="E6614" t="str">
        <f>IF(LEN(D6614)=0,"",[1]!i_pq_tradedays($B$3,A6615,A6614)-1)</f>
        <v/>
      </c>
      <c r="G6614" s="16" t="str">
        <f t="shared" si="222"/>
        <v/>
      </c>
      <c r="H6614" s="70" t="str">
        <f t="shared" si="223"/>
        <v/>
      </c>
    </row>
    <row r="6615" spans="1:8">
      <c r="A6615" s="2"/>
      <c r="B6615" s="12"/>
      <c r="C6615" s="12"/>
      <c r="E6615" t="str">
        <f>IF(LEN(D6615)=0,"",[1]!i_pq_tradedays($B$3,A6616,A6615)-1)</f>
        <v/>
      </c>
      <c r="G6615" s="16" t="str">
        <f t="shared" si="222"/>
        <v/>
      </c>
      <c r="H6615" s="70" t="str">
        <f t="shared" si="223"/>
        <v/>
      </c>
    </row>
    <row r="6616" spans="1:8">
      <c r="A6616" s="2"/>
      <c r="B6616" s="12"/>
      <c r="C6616" s="12"/>
      <c r="E6616" t="str">
        <f>IF(LEN(D6616)=0,"",[1]!i_pq_tradedays($B$3,A6617,A6616)-1)</f>
        <v/>
      </c>
      <c r="G6616" s="16" t="str">
        <f t="shared" si="222"/>
        <v/>
      </c>
      <c r="H6616" s="70" t="str">
        <f t="shared" si="223"/>
        <v/>
      </c>
    </row>
    <row r="6617" spans="1:8">
      <c r="A6617" s="2"/>
      <c r="B6617" s="12"/>
      <c r="C6617" s="12"/>
      <c r="E6617" t="str">
        <f>IF(LEN(D6617)=0,"",[1]!i_pq_tradedays($B$3,A6618,A6617)-1)</f>
        <v/>
      </c>
      <c r="G6617" s="16" t="str">
        <f t="shared" si="222"/>
        <v/>
      </c>
      <c r="H6617" s="70" t="str">
        <f t="shared" si="223"/>
        <v/>
      </c>
    </row>
    <row r="6618" spans="1:8">
      <c r="A6618" s="2"/>
      <c r="B6618" s="12"/>
      <c r="C6618" s="12"/>
      <c r="E6618" t="str">
        <f>IF(LEN(D6618)=0,"",[1]!i_pq_tradedays($B$3,A6619,A6618)-1)</f>
        <v/>
      </c>
      <c r="G6618" s="16" t="str">
        <f t="shared" si="222"/>
        <v/>
      </c>
      <c r="H6618" s="70" t="str">
        <f t="shared" si="223"/>
        <v/>
      </c>
    </row>
    <row r="6619" spans="1:8">
      <c r="A6619" s="2"/>
      <c r="B6619" s="12"/>
      <c r="C6619" s="12"/>
      <c r="E6619" t="str">
        <f>IF(LEN(D6619)=0,"",[1]!i_pq_tradedays($B$3,A6620,A6619)-1)</f>
        <v/>
      </c>
      <c r="G6619" s="16" t="str">
        <f t="shared" si="222"/>
        <v/>
      </c>
      <c r="H6619" s="70" t="str">
        <f t="shared" si="223"/>
        <v/>
      </c>
    </row>
    <row r="6620" spans="1:8">
      <c r="A6620" s="2"/>
      <c r="B6620" s="12"/>
      <c r="C6620" s="12"/>
      <c r="E6620" t="str">
        <f>IF(LEN(D6620)=0,"",[1]!i_pq_tradedays($B$3,A6621,A6620)-1)</f>
        <v/>
      </c>
      <c r="G6620" s="16" t="str">
        <f t="shared" si="222"/>
        <v/>
      </c>
      <c r="H6620" s="70" t="str">
        <f t="shared" si="223"/>
        <v/>
      </c>
    </row>
    <row r="6621" spans="1:8">
      <c r="A6621" s="2"/>
      <c r="B6621" s="12"/>
      <c r="C6621" s="12"/>
      <c r="E6621" t="str">
        <f>IF(LEN(D6621)=0,"",[1]!i_pq_tradedays($B$3,A6622,A6621)-1)</f>
        <v/>
      </c>
      <c r="G6621" s="16" t="str">
        <f t="shared" si="222"/>
        <v/>
      </c>
      <c r="H6621" s="70" t="str">
        <f t="shared" si="223"/>
        <v/>
      </c>
    </row>
    <row r="6622" spans="1:8">
      <c r="A6622" s="2"/>
      <c r="B6622" s="12"/>
      <c r="C6622" s="12"/>
      <c r="E6622" t="str">
        <f>IF(LEN(D6622)=0,"",[1]!i_pq_tradedays($B$3,A6623,A6622)-1)</f>
        <v/>
      </c>
      <c r="G6622" s="16" t="str">
        <f t="shared" si="222"/>
        <v/>
      </c>
      <c r="H6622" s="70" t="str">
        <f t="shared" si="223"/>
        <v/>
      </c>
    </row>
    <row r="6623" spans="1:8">
      <c r="A6623" s="2"/>
      <c r="B6623" s="12"/>
      <c r="C6623" s="12"/>
      <c r="E6623" t="str">
        <f>IF(LEN(D6623)=0,"",[1]!i_pq_tradedays($B$3,A6624,A6623)-1)</f>
        <v/>
      </c>
      <c r="G6623" s="16" t="str">
        <f t="shared" si="222"/>
        <v/>
      </c>
      <c r="H6623" s="70" t="str">
        <f t="shared" si="223"/>
        <v/>
      </c>
    </row>
    <row r="6624" spans="1:8">
      <c r="A6624" s="2"/>
      <c r="B6624" s="12"/>
      <c r="C6624" s="12"/>
      <c r="E6624" t="str">
        <f>IF(LEN(D6624)=0,"",[1]!i_pq_tradedays($B$3,A6625,A6624)-1)</f>
        <v/>
      </c>
      <c r="G6624" s="16" t="str">
        <f t="shared" si="222"/>
        <v/>
      </c>
      <c r="H6624" s="70" t="str">
        <f t="shared" si="223"/>
        <v/>
      </c>
    </row>
    <row r="6625" spans="1:8">
      <c r="A6625" s="2"/>
      <c r="B6625" s="12"/>
      <c r="C6625" s="12"/>
      <c r="E6625" t="str">
        <f>IF(LEN(D6625)=0,"",[1]!i_pq_tradedays($B$3,A6626,A6625)-1)</f>
        <v/>
      </c>
      <c r="G6625" s="16" t="str">
        <f t="shared" si="222"/>
        <v/>
      </c>
      <c r="H6625" s="70" t="str">
        <f t="shared" si="223"/>
        <v/>
      </c>
    </row>
    <row r="6626" spans="1:8">
      <c r="A6626" s="2"/>
      <c r="B6626" s="12"/>
      <c r="C6626" s="12"/>
      <c r="E6626" t="str">
        <f>IF(LEN(D6626)=0,"",[1]!i_pq_tradedays($B$3,A6627,A6626)-1)</f>
        <v/>
      </c>
      <c r="G6626" s="16" t="str">
        <f t="shared" si="222"/>
        <v/>
      </c>
      <c r="H6626" s="70" t="str">
        <f t="shared" si="223"/>
        <v/>
      </c>
    </row>
    <row r="6627" spans="1:8">
      <c r="A6627" s="2"/>
      <c r="B6627" s="12"/>
      <c r="C6627" s="12"/>
      <c r="E6627" t="str">
        <f>IF(LEN(D6627)=0,"",[1]!i_pq_tradedays($B$3,A6628,A6627)-1)</f>
        <v/>
      </c>
      <c r="G6627" s="16" t="str">
        <f t="shared" si="222"/>
        <v/>
      </c>
      <c r="H6627" s="70" t="str">
        <f t="shared" si="223"/>
        <v/>
      </c>
    </row>
    <row r="6628" spans="1:8">
      <c r="A6628" s="2"/>
      <c r="B6628" s="12"/>
      <c r="C6628" s="12"/>
      <c r="E6628" t="str">
        <f>IF(LEN(D6628)=0,"",[1]!i_pq_tradedays($B$3,A6629,A6628)-1)</f>
        <v/>
      </c>
      <c r="G6628" s="16" t="str">
        <f t="shared" si="222"/>
        <v/>
      </c>
      <c r="H6628" s="70" t="str">
        <f t="shared" si="223"/>
        <v/>
      </c>
    </row>
    <row r="6629" spans="1:8">
      <c r="A6629" s="2"/>
      <c r="B6629" s="12"/>
      <c r="C6629" s="12"/>
      <c r="E6629" t="str">
        <f>IF(LEN(D6629)=0,"",[1]!i_pq_tradedays($B$3,A6630,A6629)-1)</f>
        <v/>
      </c>
      <c r="G6629" s="16" t="str">
        <f t="shared" si="222"/>
        <v/>
      </c>
      <c r="H6629" s="70" t="str">
        <f t="shared" si="223"/>
        <v/>
      </c>
    </row>
    <row r="6630" spans="1:8">
      <c r="A6630" s="2"/>
      <c r="B6630" s="12"/>
      <c r="C6630" s="12"/>
      <c r="E6630" t="str">
        <f>IF(LEN(D6630)=0,"",[1]!i_pq_tradedays($B$3,A6631,A6630)-1)</f>
        <v/>
      </c>
      <c r="G6630" s="16" t="str">
        <f t="shared" si="222"/>
        <v/>
      </c>
      <c r="H6630" s="70" t="str">
        <f t="shared" si="223"/>
        <v/>
      </c>
    </row>
    <row r="6631" spans="1:8">
      <c r="A6631" s="2"/>
      <c r="B6631" s="12"/>
      <c r="C6631" s="12"/>
      <c r="E6631" t="str">
        <f>IF(LEN(D6631)=0,"",[1]!i_pq_tradedays($B$3,A6632,A6631)-1)</f>
        <v/>
      </c>
      <c r="G6631" s="16" t="str">
        <f t="shared" si="222"/>
        <v/>
      </c>
      <c r="H6631" s="70" t="str">
        <f t="shared" si="223"/>
        <v/>
      </c>
    </row>
    <row r="6632" spans="1:8">
      <c r="A6632" s="2"/>
      <c r="B6632" s="12"/>
      <c r="C6632" s="12"/>
      <c r="E6632" t="str">
        <f>IF(LEN(D6632)=0,"",[1]!i_pq_tradedays($B$3,A6633,A6632)-1)</f>
        <v/>
      </c>
      <c r="G6632" s="16" t="str">
        <f t="shared" si="222"/>
        <v/>
      </c>
      <c r="H6632" s="70" t="str">
        <f t="shared" si="223"/>
        <v/>
      </c>
    </row>
    <row r="6633" spans="1:8">
      <c r="A6633" s="2"/>
      <c r="B6633" s="12"/>
      <c r="C6633" s="12"/>
      <c r="E6633" t="str">
        <f>IF(LEN(D6633)=0,"",[1]!i_pq_tradedays($B$3,A6634,A6633)-1)</f>
        <v/>
      </c>
      <c r="G6633" s="16" t="str">
        <f t="shared" si="222"/>
        <v/>
      </c>
      <c r="H6633" s="70" t="str">
        <f t="shared" si="223"/>
        <v/>
      </c>
    </row>
    <row r="6634" spans="1:8">
      <c r="A6634" s="2"/>
      <c r="B6634" s="12"/>
      <c r="C6634" s="12"/>
      <c r="E6634" t="str">
        <f>IF(LEN(D6634)=0,"",[1]!i_pq_tradedays($B$3,A6635,A6634)-1)</f>
        <v/>
      </c>
      <c r="G6634" s="16" t="str">
        <f t="shared" si="222"/>
        <v/>
      </c>
      <c r="H6634" s="70" t="str">
        <f t="shared" si="223"/>
        <v/>
      </c>
    </row>
    <row r="6635" spans="1:8">
      <c r="A6635" s="2"/>
      <c r="B6635" s="12"/>
      <c r="C6635" s="12"/>
      <c r="E6635" t="str">
        <f>IF(LEN(D6635)=0,"",[1]!i_pq_tradedays($B$3,A6636,A6635)-1)</f>
        <v/>
      </c>
      <c r="G6635" s="16" t="str">
        <f t="shared" si="222"/>
        <v/>
      </c>
      <c r="H6635" s="70" t="str">
        <f t="shared" si="223"/>
        <v/>
      </c>
    </row>
    <row r="6636" spans="1:8">
      <c r="A6636" s="2"/>
      <c r="B6636" s="12"/>
      <c r="C6636" s="12"/>
      <c r="E6636" t="str">
        <f>IF(LEN(D6636)=0,"",[1]!i_pq_tradedays($B$3,A6637,A6636)-1)</f>
        <v/>
      </c>
      <c r="G6636" s="16" t="str">
        <f t="shared" si="222"/>
        <v/>
      </c>
      <c r="H6636" s="70" t="str">
        <f t="shared" si="223"/>
        <v/>
      </c>
    </row>
    <row r="6637" spans="1:8">
      <c r="A6637" s="2"/>
      <c r="B6637" s="12"/>
      <c r="C6637" s="12"/>
      <c r="E6637" t="str">
        <f>IF(LEN(D6637)=0,"",[1]!i_pq_tradedays($B$3,A6638,A6637)-1)</f>
        <v/>
      </c>
      <c r="G6637" s="16" t="str">
        <f t="shared" si="222"/>
        <v/>
      </c>
      <c r="H6637" s="70" t="str">
        <f t="shared" si="223"/>
        <v/>
      </c>
    </row>
    <row r="6638" spans="1:8">
      <c r="A6638" s="2"/>
      <c r="B6638" s="12"/>
      <c r="C6638" s="12"/>
      <c r="E6638" t="str">
        <f>IF(LEN(D6638)=0,"",[1]!i_pq_tradedays($B$3,A6639,A6638)-1)</f>
        <v/>
      </c>
      <c r="G6638" s="16" t="str">
        <f t="shared" si="222"/>
        <v/>
      </c>
      <c r="H6638" s="70" t="str">
        <f t="shared" si="223"/>
        <v/>
      </c>
    </row>
    <row r="6639" spans="1:8">
      <c r="A6639" s="2"/>
      <c r="B6639" s="12"/>
      <c r="C6639" s="12"/>
      <c r="E6639" t="str">
        <f>IF(LEN(D6639)=0,"",[1]!i_pq_tradedays($B$3,A6640,A6639)-1)</f>
        <v/>
      </c>
      <c r="G6639" s="16" t="str">
        <f t="shared" si="222"/>
        <v/>
      </c>
      <c r="H6639" s="70" t="str">
        <f t="shared" si="223"/>
        <v/>
      </c>
    </row>
    <row r="6640" spans="1:8">
      <c r="A6640" s="2"/>
      <c r="B6640" s="12"/>
      <c r="C6640" s="12"/>
      <c r="E6640" t="str">
        <f>IF(LEN(D6640)=0,"",[1]!i_pq_tradedays($B$3,A6641,A6640)-1)</f>
        <v/>
      </c>
      <c r="G6640" s="16" t="str">
        <f t="shared" si="222"/>
        <v/>
      </c>
      <c r="H6640" s="70" t="str">
        <f t="shared" si="223"/>
        <v/>
      </c>
    </row>
    <row r="6641" spans="1:8">
      <c r="A6641" s="2"/>
      <c r="B6641" s="12"/>
      <c r="C6641" s="12"/>
      <c r="E6641" t="str">
        <f>IF(LEN(D6641)=0,"",[1]!i_pq_tradedays($B$3,A6642,A6641)-1)</f>
        <v/>
      </c>
      <c r="G6641" s="16" t="str">
        <f t="shared" si="222"/>
        <v/>
      </c>
      <c r="H6641" s="70" t="str">
        <f t="shared" si="223"/>
        <v/>
      </c>
    </row>
    <row r="6642" spans="1:8">
      <c r="A6642" s="2"/>
      <c r="B6642" s="12"/>
      <c r="C6642" s="12"/>
      <c r="E6642" t="str">
        <f>IF(LEN(D6642)=0,"",[1]!i_pq_tradedays($B$3,A6643,A6642)-1)</f>
        <v/>
      </c>
      <c r="G6642" s="16" t="str">
        <f t="shared" si="222"/>
        <v/>
      </c>
      <c r="H6642" s="70" t="str">
        <f t="shared" si="223"/>
        <v/>
      </c>
    </row>
    <row r="6643" spans="1:8">
      <c r="A6643" s="2"/>
      <c r="B6643" s="12"/>
      <c r="C6643" s="12"/>
      <c r="E6643" t="str">
        <f>IF(LEN(D6643)=0,"",[1]!i_pq_tradedays($B$3,A6644,A6643)-1)</f>
        <v/>
      </c>
      <c r="G6643" s="16" t="str">
        <f t="shared" si="222"/>
        <v/>
      </c>
      <c r="H6643" s="70" t="str">
        <f t="shared" si="223"/>
        <v/>
      </c>
    </row>
    <row r="6644" spans="1:8">
      <c r="A6644" s="2"/>
      <c r="B6644" s="12"/>
      <c r="C6644" s="12"/>
      <c r="E6644" t="str">
        <f>IF(LEN(D6644)=0,"",[1]!i_pq_tradedays($B$3,A6645,A6644)-1)</f>
        <v/>
      </c>
      <c r="G6644" s="16" t="str">
        <f t="shared" si="222"/>
        <v/>
      </c>
      <c r="H6644" s="70" t="str">
        <f t="shared" si="223"/>
        <v/>
      </c>
    </row>
    <row r="6645" spans="1:8">
      <c r="A6645" s="2"/>
      <c r="B6645" s="12"/>
      <c r="C6645" s="12"/>
      <c r="E6645" t="str">
        <f>IF(LEN(D6645)=0,"",[1]!i_pq_tradedays($B$3,A6646,A6645)-1)</f>
        <v/>
      </c>
      <c r="G6645" s="16" t="str">
        <f t="shared" ref="G6645:G6708" si="224">IF(LEN(D6645)=0,"",D6645/E6645)</f>
        <v/>
      </c>
      <c r="H6645" s="70" t="str">
        <f t="shared" ref="H6645:H6708" si="225">IF(LEN(D6645)=0,"",G6645/G6646-1)</f>
        <v/>
      </c>
    </row>
    <row r="6646" spans="1:8">
      <c r="A6646" s="2"/>
      <c r="B6646" s="12"/>
      <c r="C6646" s="12"/>
      <c r="E6646" t="str">
        <f>IF(LEN(D6646)=0,"",[1]!i_pq_tradedays($B$3,A6647,A6646)-1)</f>
        <v/>
      </c>
      <c r="G6646" s="16" t="str">
        <f t="shared" si="224"/>
        <v/>
      </c>
      <c r="H6646" s="70" t="str">
        <f t="shared" si="225"/>
        <v/>
      </c>
    </row>
    <row r="6647" spans="1:8">
      <c r="A6647" s="2"/>
      <c r="B6647" s="12"/>
      <c r="C6647" s="12"/>
      <c r="E6647" t="str">
        <f>IF(LEN(D6647)=0,"",[1]!i_pq_tradedays($B$3,A6648,A6647)-1)</f>
        <v/>
      </c>
      <c r="G6647" s="16" t="str">
        <f t="shared" si="224"/>
        <v/>
      </c>
      <c r="H6647" s="70" t="str">
        <f t="shared" si="225"/>
        <v/>
      </c>
    </row>
    <row r="6648" spans="1:8">
      <c r="A6648" s="2"/>
      <c r="B6648" s="12"/>
      <c r="C6648" s="12"/>
      <c r="E6648" t="str">
        <f>IF(LEN(D6648)=0,"",[1]!i_pq_tradedays($B$3,A6649,A6648)-1)</f>
        <v/>
      </c>
      <c r="G6648" s="16" t="str">
        <f t="shared" si="224"/>
        <v/>
      </c>
      <c r="H6648" s="70" t="str">
        <f t="shared" si="225"/>
        <v/>
      </c>
    </row>
    <row r="6649" spans="1:8">
      <c r="A6649" s="2"/>
      <c r="B6649" s="12"/>
      <c r="C6649" s="12"/>
      <c r="E6649" t="str">
        <f>IF(LEN(D6649)=0,"",[1]!i_pq_tradedays($B$3,A6650,A6649)-1)</f>
        <v/>
      </c>
      <c r="G6649" s="16" t="str">
        <f t="shared" si="224"/>
        <v/>
      </c>
      <c r="H6649" s="70" t="str">
        <f t="shared" si="225"/>
        <v/>
      </c>
    </row>
    <row r="6650" spans="1:8">
      <c r="A6650" s="2"/>
      <c r="B6650" s="12"/>
      <c r="C6650" s="12"/>
      <c r="E6650" t="str">
        <f>IF(LEN(D6650)=0,"",[1]!i_pq_tradedays($B$3,A6651,A6650)-1)</f>
        <v/>
      </c>
      <c r="G6650" s="16" t="str">
        <f t="shared" si="224"/>
        <v/>
      </c>
      <c r="H6650" s="70" t="str">
        <f t="shared" si="225"/>
        <v/>
      </c>
    </row>
    <row r="6651" spans="1:8">
      <c r="A6651" s="2"/>
      <c r="B6651" s="12"/>
      <c r="C6651" s="12"/>
      <c r="E6651" t="str">
        <f>IF(LEN(D6651)=0,"",[1]!i_pq_tradedays($B$3,A6652,A6651)-1)</f>
        <v/>
      </c>
      <c r="G6651" s="16" t="str">
        <f t="shared" si="224"/>
        <v/>
      </c>
      <c r="H6651" s="70" t="str">
        <f t="shared" si="225"/>
        <v/>
      </c>
    </row>
    <row r="6652" spans="1:8">
      <c r="A6652" s="2"/>
      <c r="B6652" s="12"/>
      <c r="C6652" s="12"/>
      <c r="E6652" t="str">
        <f>IF(LEN(D6652)=0,"",[1]!i_pq_tradedays($B$3,A6653,A6652)-1)</f>
        <v/>
      </c>
      <c r="G6652" s="16" t="str">
        <f t="shared" si="224"/>
        <v/>
      </c>
      <c r="H6652" s="70" t="str">
        <f t="shared" si="225"/>
        <v/>
      </c>
    </row>
    <row r="6653" spans="1:8">
      <c r="A6653" s="2"/>
      <c r="B6653" s="12"/>
      <c r="C6653" s="12"/>
      <c r="E6653" t="str">
        <f>IF(LEN(D6653)=0,"",[1]!i_pq_tradedays($B$3,A6654,A6653)-1)</f>
        <v/>
      </c>
      <c r="G6653" s="16" t="str">
        <f t="shared" si="224"/>
        <v/>
      </c>
      <c r="H6653" s="70" t="str">
        <f t="shared" si="225"/>
        <v/>
      </c>
    </row>
    <row r="6654" spans="1:8">
      <c r="A6654" s="2"/>
      <c r="B6654" s="12"/>
      <c r="C6654" s="12"/>
      <c r="E6654" t="str">
        <f>IF(LEN(D6654)=0,"",[1]!i_pq_tradedays($B$3,A6655,A6654)-1)</f>
        <v/>
      </c>
      <c r="G6654" s="16" t="str">
        <f t="shared" si="224"/>
        <v/>
      </c>
      <c r="H6654" s="70" t="str">
        <f t="shared" si="225"/>
        <v/>
      </c>
    </row>
    <row r="6655" spans="1:8">
      <c r="A6655" s="2"/>
      <c r="B6655" s="12"/>
      <c r="C6655" s="12"/>
      <c r="E6655" t="str">
        <f>IF(LEN(D6655)=0,"",[1]!i_pq_tradedays($B$3,A6656,A6655)-1)</f>
        <v/>
      </c>
      <c r="G6655" s="16" t="str">
        <f t="shared" si="224"/>
        <v/>
      </c>
      <c r="H6655" s="70" t="str">
        <f t="shared" si="225"/>
        <v/>
      </c>
    </row>
    <row r="6656" spans="1:8">
      <c r="A6656" s="2"/>
      <c r="B6656" s="12"/>
      <c r="C6656" s="12"/>
      <c r="E6656" t="str">
        <f>IF(LEN(D6656)=0,"",[1]!i_pq_tradedays($B$3,A6657,A6656)-1)</f>
        <v/>
      </c>
      <c r="G6656" s="16" t="str">
        <f t="shared" si="224"/>
        <v/>
      </c>
      <c r="H6656" s="70" t="str">
        <f t="shared" si="225"/>
        <v/>
      </c>
    </row>
    <row r="6657" spans="1:8">
      <c r="A6657" s="2"/>
      <c r="B6657" s="12"/>
      <c r="C6657" s="12"/>
      <c r="E6657" t="str">
        <f>IF(LEN(D6657)=0,"",[1]!i_pq_tradedays($B$3,A6658,A6657)-1)</f>
        <v/>
      </c>
      <c r="G6657" s="16" t="str">
        <f t="shared" si="224"/>
        <v/>
      </c>
      <c r="H6657" s="70" t="str">
        <f t="shared" si="225"/>
        <v/>
      </c>
    </row>
    <row r="6658" spans="1:8">
      <c r="A6658" s="2"/>
      <c r="B6658" s="12"/>
      <c r="C6658" s="12"/>
      <c r="E6658" t="str">
        <f>IF(LEN(D6658)=0,"",[1]!i_pq_tradedays($B$3,A6659,A6658)-1)</f>
        <v/>
      </c>
      <c r="G6658" s="16" t="str">
        <f t="shared" si="224"/>
        <v/>
      </c>
      <c r="H6658" s="70" t="str">
        <f t="shared" si="225"/>
        <v/>
      </c>
    </row>
    <row r="6659" spans="1:8">
      <c r="A6659" s="2"/>
      <c r="B6659" s="12"/>
      <c r="C6659" s="12"/>
      <c r="E6659" t="str">
        <f>IF(LEN(D6659)=0,"",[1]!i_pq_tradedays($B$3,A6660,A6659)-1)</f>
        <v/>
      </c>
      <c r="G6659" s="16" t="str">
        <f t="shared" si="224"/>
        <v/>
      </c>
      <c r="H6659" s="70" t="str">
        <f t="shared" si="225"/>
        <v/>
      </c>
    </row>
    <row r="6660" spans="1:8">
      <c r="A6660" s="2"/>
      <c r="B6660" s="12"/>
      <c r="C6660" s="12"/>
      <c r="E6660" t="str">
        <f>IF(LEN(D6660)=0,"",[1]!i_pq_tradedays($B$3,A6661,A6660)-1)</f>
        <v/>
      </c>
      <c r="G6660" s="16" t="str">
        <f t="shared" si="224"/>
        <v/>
      </c>
      <c r="H6660" s="70" t="str">
        <f t="shared" si="225"/>
        <v/>
      </c>
    </row>
    <row r="6661" spans="1:8">
      <c r="A6661" s="2"/>
      <c r="B6661" s="12"/>
      <c r="C6661" s="12"/>
      <c r="E6661" t="str">
        <f>IF(LEN(D6661)=0,"",[1]!i_pq_tradedays($B$3,A6662,A6661)-1)</f>
        <v/>
      </c>
      <c r="G6661" s="16" t="str">
        <f t="shared" si="224"/>
        <v/>
      </c>
      <c r="H6661" s="70" t="str">
        <f t="shared" si="225"/>
        <v/>
      </c>
    </row>
    <row r="6662" spans="1:8">
      <c r="A6662" s="2"/>
      <c r="B6662" s="12"/>
      <c r="C6662" s="12"/>
      <c r="E6662" t="str">
        <f>IF(LEN(D6662)=0,"",[1]!i_pq_tradedays($B$3,A6663,A6662)-1)</f>
        <v/>
      </c>
      <c r="G6662" s="16" t="str">
        <f t="shared" si="224"/>
        <v/>
      </c>
      <c r="H6662" s="70" t="str">
        <f t="shared" si="225"/>
        <v/>
      </c>
    </row>
    <row r="6663" spans="1:8">
      <c r="A6663" s="2"/>
      <c r="B6663" s="12"/>
      <c r="C6663" s="12"/>
      <c r="E6663" t="str">
        <f>IF(LEN(D6663)=0,"",[1]!i_pq_tradedays($B$3,A6664,A6663)-1)</f>
        <v/>
      </c>
      <c r="G6663" s="16" t="str">
        <f t="shared" si="224"/>
        <v/>
      </c>
      <c r="H6663" s="70" t="str">
        <f t="shared" si="225"/>
        <v/>
      </c>
    </row>
    <row r="6664" spans="1:8">
      <c r="A6664" s="2"/>
      <c r="B6664" s="12"/>
      <c r="C6664" s="12"/>
      <c r="E6664" t="str">
        <f>IF(LEN(D6664)=0,"",[1]!i_pq_tradedays($B$3,A6665,A6664)-1)</f>
        <v/>
      </c>
      <c r="G6664" s="16" t="str">
        <f t="shared" si="224"/>
        <v/>
      </c>
      <c r="H6664" s="70" t="str">
        <f t="shared" si="225"/>
        <v/>
      </c>
    </row>
    <row r="6665" spans="1:8">
      <c r="A6665" s="2"/>
      <c r="B6665" s="12"/>
      <c r="C6665" s="12"/>
      <c r="E6665" t="str">
        <f>IF(LEN(D6665)=0,"",[1]!i_pq_tradedays($B$3,A6666,A6665)-1)</f>
        <v/>
      </c>
      <c r="G6665" s="16" t="str">
        <f t="shared" si="224"/>
        <v/>
      </c>
      <c r="H6665" s="70" t="str">
        <f t="shared" si="225"/>
        <v/>
      </c>
    </row>
    <row r="6666" spans="1:8">
      <c r="A6666" s="2"/>
      <c r="B6666" s="12"/>
      <c r="C6666" s="12"/>
      <c r="E6666" t="str">
        <f>IF(LEN(D6666)=0,"",[1]!i_pq_tradedays($B$3,A6667,A6666)-1)</f>
        <v/>
      </c>
      <c r="G6666" s="16" t="str">
        <f t="shared" si="224"/>
        <v/>
      </c>
      <c r="H6666" s="70" t="str">
        <f t="shared" si="225"/>
        <v/>
      </c>
    </row>
    <row r="6667" spans="1:8">
      <c r="A6667" s="2"/>
      <c r="B6667" s="12"/>
      <c r="C6667" s="12"/>
      <c r="E6667" t="str">
        <f>IF(LEN(D6667)=0,"",[1]!i_pq_tradedays($B$3,A6668,A6667)-1)</f>
        <v/>
      </c>
      <c r="G6667" s="16" t="str">
        <f t="shared" si="224"/>
        <v/>
      </c>
      <c r="H6667" s="70" t="str">
        <f t="shared" si="225"/>
        <v/>
      </c>
    </row>
    <row r="6668" spans="1:8">
      <c r="A6668" s="2"/>
      <c r="B6668" s="12"/>
      <c r="C6668" s="12"/>
      <c r="E6668" t="str">
        <f>IF(LEN(D6668)=0,"",[1]!i_pq_tradedays($B$3,A6669,A6668)-1)</f>
        <v/>
      </c>
      <c r="G6668" s="16" t="str">
        <f t="shared" si="224"/>
        <v/>
      </c>
      <c r="H6668" s="70" t="str">
        <f t="shared" si="225"/>
        <v/>
      </c>
    </row>
    <row r="6669" spans="1:8">
      <c r="A6669" s="2"/>
      <c r="B6669" s="12"/>
      <c r="C6669" s="12"/>
      <c r="E6669" t="str">
        <f>IF(LEN(D6669)=0,"",[1]!i_pq_tradedays($B$3,A6670,A6669)-1)</f>
        <v/>
      </c>
      <c r="G6669" s="16" t="str">
        <f t="shared" si="224"/>
        <v/>
      </c>
      <c r="H6669" s="70" t="str">
        <f t="shared" si="225"/>
        <v/>
      </c>
    </row>
    <row r="6670" spans="1:8">
      <c r="A6670" s="2"/>
      <c r="B6670" s="12"/>
      <c r="C6670" s="12"/>
      <c r="E6670" t="str">
        <f>IF(LEN(D6670)=0,"",[1]!i_pq_tradedays($B$3,A6671,A6670)-1)</f>
        <v/>
      </c>
      <c r="G6670" s="16" t="str">
        <f t="shared" si="224"/>
        <v/>
      </c>
      <c r="H6670" s="70" t="str">
        <f t="shared" si="225"/>
        <v/>
      </c>
    </row>
    <row r="6671" spans="1:8">
      <c r="A6671" s="2"/>
      <c r="B6671" s="12"/>
      <c r="C6671" s="12"/>
      <c r="E6671" t="str">
        <f>IF(LEN(D6671)=0,"",[1]!i_pq_tradedays($B$3,A6672,A6671)-1)</f>
        <v/>
      </c>
      <c r="G6671" s="16" t="str">
        <f t="shared" si="224"/>
        <v/>
      </c>
      <c r="H6671" s="70" t="str">
        <f t="shared" si="225"/>
        <v/>
      </c>
    </row>
    <row r="6672" spans="1:8">
      <c r="A6672" s="2"/>
      <c r="B6672" s="12"/>
      <c r="C6672" s="12"/>
      <c r="E6672" t="str">
        <f>IF(LEN(D6672)=0,"",[1]!i_pq_tradedays($B$3,A6673,A6672)-1)</f>
        <v/>
      </c>
      <c r="G6672" s="16" t="str">
        <f t="shared" si="224"/>
        <v/>
      </c>
      <c r="H6672" s="70" t="str">
        <f t="shared" si="225"/>
        <v/>
      </c>
    </row>
    <row r="6673" spans="1:8">
      <c r="A6673" s="2"/>
      <c r="B6673" s="12"/>
      <c r="C6673" s="12"/>
      <c r="E6673" t="str">
        <f>IF(LEN(D6673)=0,"",[1]!i_pq_tradedays($B$3,A6674,A6673)-1)</f>
        <v/>
      </c>
      <c r="G6673" s="16" t="str">
        <f t="shared" si="224"/>
        <v/>
      </c>
      <c r="H6673" s="70" t="str">
        <f t="shared" si="225"/>
        <v/>
      </c>
    </row>
    <row r="6674" spans="1:8">
      <c r="A6674" s="2"/>
      <c r="B6674" s="12"/>
      <c r="C6674" s="12"/>
      <c r="E6674" t="str">
        <f>IF(LEN(D6674)=0,"",[1]!i_pq_tradedays($B$3,A6675,A6674)-1)</f>
        <v/>
      </c>
      <c r="G6674" s="16" t="str">
        <f t="shared" si="224"/>
        <v/>
      </c>
      <c r="H6674" s="70" t="str">
        <f t="shared" si="225"/>
        <v/>
      </c>
    </row>
    <row r="6675" spans="1:8">
      <c r="A6675" s="2"/>
      <c r="B6675" s="12"/>
      <c r="C6675" s="12"/>
      <c r="E6675" t="str">
        <f>IF(LEN(D6675)=0,"",[1]!i_pq_tradedays($B$3,A6676,A6675)-1)</f>
        <v/>
      </c>
      <c r="G6675" s="16" t="str">
        <f t="shared" si="224"/>
        <v/>
      </c>
      <c r="H6675" s="70" t="str">
        <f t="shared" si="225"/>
        <v/>
      </c>
    </row>
    <row r="6676" spans="1:8">
      <c r="A6676" s="2"/>
      <c r="B6676" s="12"/>
      <c r="C6676" s="12"/>
      <c r="E6676" t="str">
        <f>IF(LEN(D6676)=0,"",[1]!i_pq_tradedays($B$3,A6677,A6676)-1)</f>
        <v/>
      </c>
      <c r="G6676" s="16" t="str">
        <f t="shared" si="224"/>
        <v/>
      </c>
      <c r="H6676" s="70" t="str">
        <f t="shared" si="225"/>
        <v/>
      </c>
    </row>
    <row r="6677" spans="1:8">
      <c r="A6677" s="2"/>
      <c r="B6677" s="12"/>
      <c r="C6677" s="12"/>
      <c r="E6677" t="str">
        <f>IF(LEN(D6677)=0,"",[1]!i_pq_tradedays($B$3,A6678,A6677)-1)</f>
        <v/>
      </c>
      <c r="G6677" s="16" t="str">
        <f t="shared" si="224"/>
        <v/>
      </c>
      <c r="H6677" s="70" t="str">
        <f t="shared" si="225"/>
        <v/>
      </c>
    </row>
    <row r="6678" spans="1:8">
      <c r="A6678" s="2"/>
      <c r="B6678" s="12"/>
      <c r="C6678" s="12"/>
      <c r="E6678" t="str">
        <f>IF(LEN(D6678)=0,"",[1]!i_pq_tradedays($B$3,A6679,A6678)-1)</f>
        <v/>
      </c>
      <c r="G6678" s="16" t="str">
        <f t="shared" si="224"/>
        <v/>
      </c>
      <c r="H6678" s="70" t="str">
        <f t="shared" si="225"/>
        <v/>
      </c>
    </row>
    <row r="6679" spans="1:8">
      <c r="A6679" s="2"/>
      <c r="B6679" s="12"/>
      <c r="C6679" s="12"/>
      <c r="E6679" t="str">
        <f>IF(LEN(D6679)=0,"",[1]!i_pq_tradedays($B$3,A6680,A6679)-1)</f>
        <v/>
      </c>
      <c r="G6679" s="16" t="str">
        <f t="shared" si="224"/>
        <v/>
      </c>
      <c r="H6679" s="70" t="str">
        <f t="shared" si="225"/>
        <v/>
      </c>
    </row>
    <row r="6680" spans="1:8">
      <c r="A6680" s="2"/>
      <c r="B6680" s="12"/>
      <c r="C6680" s="12"/>
      <c r="E6680" t="str">
        <f>IF(LEN(D6680)=0,"",[1]!i_pq_tradedays($B$3,A6681,A6680)-1)</f>
        <v/>
      </c>
      <c r="G6680" s="16" t="str">
        <f t="shared" si="224"/>
        <v/>
      </c>
      <c r="H6680" s="70" t="str">
        <f t="shared" si="225"/>
        <v/>
      </c>
    </row>
    <row r="6681" spans="1:8">
      <c r="A6681" s="2"/>
      <c r="B6681" s="12"/>
      <c r="C6681" s="12"/>
      <c r="E6681" t="str">
        <f>IF(LEN(D6681)=0,"",[1]!i_pq_tradedays($B$3,A6682,A6681)-1)</f>
        <v/>
      </c>
      <c r="G6681" s="16" t="str">
        <f t="shared" si="224"/>
        <v/>
      </c>
      <c r="H6681" s="70" t="str">
        <f t="shared" si="225"/>
        <v/>
      </c>
    </row>
    <row r="6682" spans="1:8">
      <c r="A6682" s="2"/>
      <c r="B6682" s="12"/>
      <c r="C6682" s="12"/>
      <c r="E6682" t="str">
        <f>IF(LEN(D6682)=0,"",[1]!i_pq_tradedays($B$3,A6683,A6682)-1)</f>
        <v/>
      </c>
      <c r="G6682" s="16" t="str">
        <f t="shared" si="224"/>
        <v/>
      </c>
      <c r="H6682" s="70" t="str">
        <f t="shared" si="225"/>
        <v/>
      </c>
    </row>
    <row r="6683" spans="1:8">
      <c r="A6683" s="2"/>
      <c r="B6683" s="12"/>
      <c r="C6683" s="12"/>
      <c r="E6683" t="str">
        <f>IF(LEN(D6683)=0,"",[1]!i_pq_tradedays($B$3,A6684,A6683)-1)</f>
        <v/>
      </c>
      <c r="G6683" s="16" t="str">
        <f t="shared" si="224"/>
        <v/>
      </c>
      <c r="H6683" s="70" t="str">
        <f t="shared" si="225"/>
        <v/>
      </c>
    </row>
    <row r="6684" spans="1:8">
      <c r="A6684" s="2"/>
      <c r="B6684" s="12"/>
      <c r="C6684" s="12"/>
      <c r="E6684" t="str">
        <f>IF(LEN(D6684)=0,"",[1]!i_pq_tradedays($B$3,A6685,A6684)-1)</f>
        <v/>
      </c>
      <c r="G6684" s="16" t="str">
        <f t="shared" si="224"/>
        <v/>
      </c>
      <c r="H6684" s="70" t="str">
        <f t="shared" si="225"/>
        <v/>
      </c>
    </row>
    <row r="6685" spans="1:8">
      <c r="A6685" s="2"/>
      <c r="B6685" s="12"/>
      <c r="C6685" s="12"/>
      <c r="E6685" t="str">
        <f>IF(LEN(D6685)=0,"",[1]!i_pq_tradedays($B$3,A6686,A6685)-1)</f>
        <v/>
      </c>
      <c r="G6685" s="16" t="str">
        <f t="shared" si="224"/>
        <v/>
      </c>
      <c r="H6685" s="70" t="str">
        <f t="shared" si="225"/>
        <v/>
      </c>
    </row>
    <row r="6686" spans="1:8">
      <c r="A6686" s="2"/>
      <c r="B6686" s="12"/>
      <c r="C6686" s="12"/>
      <c r="E6686" t="str">
        <f>IF(LEN(D6686)=0,"",[1]!i_pq_tradedays($B$3,A6687,A6686)-1)</f>
        <v/>
      </c>
      <c r="G6686" s="16" t="str">
        <f t="shared" si="224"/>
        <v/>
      </c>
      <c r="H6686" s="70" t="str">
        <f t="shared" si="225"/>
        <v/>
      </c>
    </row>
    <row r="6687" spans="1:8">
      <c r="A6687" s="2"/>
      <c r="B6687" s="12"/>
      <c r="C6687" s="12"/>
      <c r="E6687" t="str">
        <f>IF(LEN(D6687)=0,"",[1]!i_pq_tradedays($B$3,A6688,A6687)-1)</f>
        <v/>
      </c>
      <c r="G6687" s="16" t="str">
        <f t="shared" si="224"/>
        <v/>
      </c>
      <c r="H6687" s="70" t="str">
        <f t="shared" si="225"/>
        <v/>
      </c>
    </row>
    <row r="6688" spans="1:8">
      <c r="A6688" s="2"/>
      <c r="B6688" s="12"/>
      <c r="C6688" s="12"/>
      <c r="E6688" t="str">
        <f>IF(LEN(D6688)=0,"",[1]!i_pq_tradedays($B$3,A6689,A6688)-1)</f>
        <v/>
      </c>
      <c r="G6688" s="16" t="str">
        <f t="shared" si="224"/>
        <v/>
      </c>
      <c r="H6688" s="70" t="str">
        <f t="shared" si="225"/>
        <v/>
      </c>
    </row>
    <row r="6689" spans="1:8">
      <c r="A6689" s="2"/>
      <c r="B6689" s="12"/>
      <c r="C6689" s="12"/>
      <c r="E6689" t="str">
        <f>IF(LEN(D6689)=0,"",[1]!i_pq_tradedays($B$3,A6690,A6689)-1)</f>
        <v/>
      </c>
      <c r="G6689" s="16" t="str">
        <f t="shared" si="224"/>
        <v/>
      </c>
      <c r="H6689" s="70" t="str">
        <f t="shared" si="225"/>
        <v/>
      </c>
    </row>
    <row r="6690" spans="1:8">
      <c r="A6690" s="2"/>
      <c r="B6690" s="12"/>
      <c r="C6690" s="12"/>
      <c r="E6690" t="str">
        <f>IF(LEN(D6690)=0,"",[1]!i_pq_tradedays($B$3,A6691,A6690)-1)</f>
        <v/>
      </c>
      <c r="G6690" s="16" t="str">
        <f t="shared" si="224"/>
        <v/>
      </c>
      <c r="H6690" s="70" t="str">
        <f t="shared" si="225"/>
        <v/>
      </c>
    </row>
    <row r="6691" spans="1:8">
      <c r="A6691" s="2"/>
      <c r="B6691" s="12"/>
      <c r="C6691" s="12"/>
      <c r="E6691" t="str">
        <f>IF(LEN(D6691)=0,"",[1]!i_pq_tradedays($B$3,A6692,A6691)-1)</f>
        <v/>
      </c>
      <c r="G6691" s="16" t="str">
        <f t="shared" si="224"/>
        <v/>
      </c>
      <c r="H6691" s="70" t="str">
        <f t="shared" si="225"/>
        <v/>
      </c>
    </row>
    <row r="6692" spans="1:8">
      <c r="A6692" s="2"/>
      <c r="B6692" s="12"/>
      <c r="C6692" s="12"/>
      <c r="E6692" t="str">
        <f>IF(LEN(D6692)=0,"",[1]!i_pq_tradedays($B$3,A6693,A6692)-1)</f>
        <v/>
      </c>
      <c r="G6692" s="16" t="str">
        <f t="shared" si="224"/>
        <v/>
      </c>
      <c r="H6692" s="70" t="str">
        <f t="shared" si="225"/>
        <v/>
      </c>
    </row>
    <row r="6693" spans="1:8">
      <c r="A6693" s="2"/>
      <c r="B6693" s="12"/>
      <c r="C6693" s="12"/>
      <c r="E6693" t="str">
        <f>IF(LEN(D6693)=0,"",[1]!i_pq_tradedays($B$3,A6694,A6693)-1)</f>
        <v/>
      </c>
      <c r="G6693" s="16" t="str">
        <f t="shared" si="224"/>
        <v/>
      </c>
      <c r="H6693" s="70" t="str">
        <f t="shared" si="225"/>
        <v/>
      </c>
    </row>
    <row r="6694" spans="1:8">
      <c r="A6694" s="2"/>
      <c r="B6694" s="12"/>
      <c r="C6694" s="12"/>
      <c r="E6694" t="str">
        <f>IF(LEN(D6694)=0,"",[1]!i_pq_tradedays($B$3,A6695,A6694)-1)</f>
        <v/>
      </c>
      <c r="G6694" s="16" t="str">
        <f t="shared" si="224"/>
        <v/>
      </c>
      <c r="H6694" s="70" t="str">
        <f t="shared" si="225"/>
        <v/>
      </c>
    </row>
    <row r="6695" spans="1:8">
      <c r="A6695" s="2"/>
      <c r="B6695" s="12"/>
      <c r="C6695" s="12"/>
      <c r="E6695" t="str">
        <f>IF(LEN(D6695)=0,"",[1]!i_pq_tradedays($B$3,A6696,A6695)-1)</f>
        <v/>
      </c>
      <c r="G6695" s="16" t="str">
        <f t="shared" si="224"/>
        <v/>
      </c>
      <c r="H6695" s="70" t="str">
        <f t="shared" si="225"/>
        <v/>
      </c>
    </row>
    <row r="6696" spans="1:8">
      <c r="A6696" s="2"/>
      <c r="B6696" s="12"/>
      <c r="C6696" s="12"/>
      <c r="E6696" t="str">
        <f>IF(LEN(D6696)=0,"",[1]!i_pq_tradedays($B$3,A6697,A6696)-1)</f>
        <v/>
      </c>
      <c r="G6696" s="16" t="str">
        <f t="shared" si="224"/>
        <v/>
      </c>
      <c r="H6696" s="70" t="str">
        <f t="shared" si="225"/>
        <v/>
      </c>
    </row>
    <row r="6697" spans="1:8">
      <c r="A6697" s="2"/>
      <c r="B6697" s="12"/>
      <c r="C6697" s="12"/>
      <c r="E6697" t="str">
        <f>IF(LEN(D6697)=0,"",[1]!i_pq_tradedays($B$3,A6698,A6697)-1)</f>
        <v/>
      </c>
      <c r="G6697" s="16" t="str">
        <f t="shared" si="224"/>
        <v/>
      </c>
      <c r="H6697" s="70" t="str">
        <f t="shared" si="225"/>
        <v/>
      </c>
    </row>
    <row r="6698" spans="1:8">
      <c r="A6698" s="2"/>
      <c r="B6698" s="12"/>
      <c r="C6698" s="12"/>
      <c r="E6698" t="str">
        <f>IF(LEN(D6698)=0,"",[1]!i_pq_tradedays($B$3,A6699,A6698)-1)</f>
        <v/>
      </c>
      <c r="G6698" s="16" t="str">
        <f t="shared" si="224"/>
        <v/>
      </c>
      <c r="H6698" s="70" t="str">
        <f t="shared" si="225"/>
        <v/>
      </c>
    </row>
    <row r="6699" spans="1:8">
      <c r="A6699" s="2"/>
      <c r="B6699" s="12"/>
      <c r="C6699" s="12"/>
      <c r="E6699" t="str">
        <f>IF(LEN(D6699)=0,"",[1]!i_pq_tradedays($B$3,A6700,A6699)-1)</f>
        <v/>
      </c>
      <c r="G6699" s="16" t="str">
        <f t="shared" si="224"/>
        <v/>
      </c>
      <c r="H6699" s="70" t="str">
        <f t="shared" si="225"/>
        <v/>
      </c>
    </row>
    <row r="6700" spans="1:8">
      <c r="A6700" s="2"/>
      <c r="B6700" s="12"/>
      <c r="C6700" s="12"/>
      <c r="E6700" t="str">
        <f>IF(LEN(D6700)=0,"",[1]!i_pq_tradedays($B$3,A6701,A6700)-1)</f>
        <v/>
      </c>
      <c r="G6700" s="16" t="str">
        <f t="shared" si="224"/>
        <v/>
      </c>
      <c r="H6700" s="70" t="str">
        <f t="shared" si="225"/>
        <v/>
      </c>
    </row>
    <row r="6701" spans="1:8">
      <c r="A6701" s="2"/>
      <c r="B6701" s="12"/>
      <c r="C6701" s="12"/>
      <c r="E6701" t="str">
        <f>IF(LEN(D6701)=0,"",[1]!i_pq_tradedays($B$3,A6702,A6701)-1)</f>
        <v/>
      </c>
      <c r="G6701" s="16" t="str">
        <f t="shared" si="224"/>
        <v/>
      </c>
      <c r="H6701" s="70" t="str">
        <f t="shared" si="225"/>
        <v/>
      </c>
    </row>
    <row r="6702" spans="1:8">
      <c r="A6702" s="2"/>
      <c r="B6702" s="12"/>
      <c r="C6702" s="12"/>
      <c r="E6702" t="str">
        <f>IF(LEN(D6702)=0,"",[1]!i_pq_tradedays($B$3,A6703,A6702)-1)</f>
        <v/>
      </c>
      <c r="G6702" s="16" t="str">
        <f t="shared" si="224"/>
        <v/>
      </c>
      <c r="H6702" s="70" t="str">
        <f t="shared" si="225"/>
        <v/>
      </c>
    </row>
    <row r="6703" spans="1:8">
      <c r="A6703" s="2"/>
      <c r="B6703" s="12"/>
      <c r="C6703" s="12"/>
      <c r="E6703" t="str">
        <f>IF(LEN(D6703)=0,"",[1]!i_pq_tradedays($B$3,A6704,A6703)-1)</f>
        <v/>
      </c>
      <c r="G6703" s="16" t="str">
        <f t="shared" si="224"/>
        <v/>
      </c>
      <c r="H6703" s="70" t="str">
        <f t="shared" si="225"/>
        <v/>
      </c>
    </row>
    <row r="6704" spans="1:8">
      <c r="A6704" s="2"/>
      <c r="B6704" s="12"/>
      <c r="C6704" s="12"/>
      <c r="E6704" t="str">
        <f>IF(LEN(D6704)=0,"",[1]!i_pq_tradedays($B$3,A6705,A6704)-1)</f>
        <v/>
      </c>
      <c r="G6704" s="16" t="str">
        <f t="shared" si="224"/>
        <v/>
      </c>
      <c r="H6704" s="70" t="str">
        <f t="shared" si="225"/>
        <v/>
      </c>
    </row>
    <row r="6705" spans="1:8">
      <c r="A6705" s="2"/>
      <c r="B6705" s="12"/>
      <c r="C6705" s="12"/>
      <c r="E6705" t="str">
        <f>IF(LEN(D6705)=0,"",[1]!i_pq_tradedays($B$3,A6706,A6705)-1)</f>
        <v/>
      </c>
      <c r="G6705" s="16" t="str">
        <f t="shared" si="224"/>
        <v/>
      </c>
      <c r="H6705" s="70" t="str">
        <f t="shared" si="225"/>
        <v/>
      </c>
    </row>
    <row r="6706" spans="1:8">
      <c r="A6706" s="2"/>
      <c r="B6706" s="12"/>
      <c r="C6706" s="12"/>
      <c r="E6706" t="str">
        <f>IF(LEN(D6706)=0,"",[1]!i_pq_tradedays($B$3,A6707,A6706)-1)</f>
        <v/>
      </c>
      <c r="G6706" s="16" t="str">
        <f t="shared" si="224"/>
        <v/>
      </c>
      <c r="H6706" s="70" t="str">
        <f t="shared" si="225"/>
        <v/>
      </c>
    </row>
    <row r="6707" spans="1:8">
      <c r="A6707" s="2"/>
      <c r="B6707" s="12"/>
      <c r="C6707" s="12"/>
      <c r="E6707" t="str">
        <f>IF(LEN(D6707)=0,"",[1]!i_pq_tradedays($B$3,A6708,A6707)-1)</f>
        <v/>
      </c>
      <c r="G6707" s="16" t="str">
        <f t="shared" si="224"/>
        <v/>
      </c>
      <c r="H6707" s="70" t="str">
        <f t="shared" si="225"/>
        <v/>
      </c>
    </row>
    <row r="6708" spans="1:8">
      <c r="A6708" s="2"/>
      <c r="B6708" s="12"/>
      <c r="C6708" s="12"/>
      <c r="E6708" t="str">
        <f>IF(LEN(D6708)=0,"",[1]!i_pq_tradedays($B$3,A6709,A6708)-1)</f>
        <v/>
      </c>
      <c r="G6708" s="16" t="str">
        <f t="shared" si="224"/>
        <v/>
      </c>
      <c r="H6708" s="70" t="str">
        <f t="shared" si="225"/>
        <v/>
      </c>
    </row>
    <row r="6709" spans="1:8">
      <c r="A6709" s="2"/>
      <c r="B6709" s="12"/>
      <c r="C6709" s="12"/>
      <c r="E6709" t="str">
        <f>IF(LEN(D6709)=0,"",[1]!i_pq_tradedays($B$3,A6710,A6709)-1)</f>
        <v/>
      </c>
      <c r="G6709" s="16" t="str">
        <f t="shared" ref="G6709:G6772" si="226">IF(LEN(D6709)=0,"",D6709/E6709)</f>
        <v/>
      </c>
      <c r="H6709" s="70" t="str">
        <f t="shared" ref="H6709:H6772" si="227">IF(LEN(D6709)=0,"",G6709/G6710-1)</f>
        <v/>
      </c>
    </row>
    <row r="6710" spans="1:8">
      <c r="A6710" s="2"/>
      <c r="B6710" s="12"/>
      <c r="C6710" s="12"/>
      <c r="E6710" t="str">
        <f>IF(LEN(D6710)=0,"",[1]!i_pq_tradedays($B$3,A6711,A6710)-1)</f>
        <v/>
      </c>
      <c r="G6710" s="16" t="str">
        <f t="shared" si="226"/>
        <v/>
      </c>
      <c r="H6710" s="70" t="str">
        <f t="shared" si="227"/>
        <v/>
      </c>
    </row>
    <row r="6711" spans="1:8">
      <c r="A6711" s="2"/>
      <c r="B6711" s="12"/>
      <c r="C6711" s="12"/>
      <c r="E6711" t="str">
        <f>IF(LEN(D6711)=0,"",[1]!i_pq_tradedays($B$3,A6712,A6711)-1)</f>
        <v/>
      </c>
      <c r="G6711" s="16" t="str">
        <f t="shared" si="226"/>
        <v/>
      </c>
      <c r="H6711" s="70" t="str">
        <f t="shared" si="227"/>
        <v/>
      </c>
    </row>
    <row r="6712" spans="1:8">
      <c r="A6712" s="2"/>
      <c r="B6712" s="12"/>
      <c r="C6712" s="12"/>
      <c r="E6712" t="str">
        <f>IF(LEN(D6712)=0,"",[1]!i_pq_tradedays($B$3,A6713,A6712)-1)</f>
        <v/>
      </c>
      <c r="G6712" s="16" t="str">
        <f t="shared" si="226"/>
        <v/>
      </c>
      <c r="H6712" s="70" t="str">
        <f t="shared" si="227"/>
        <v/>
      </c>
    </row>
    <row r="6713" spans="1:8">
      <c r="A6713" s="2"/>
      <c r="B6713" s="12"/>
      <c r="C6713" s="12"/>
      <c r="E6713" t="str">
        <f>IF(LEN(D6713)=0,"",[1]!i_pq_tradedays($B$3,A6714,A6713)-1)</f>
        <v/>
      </c>
      <c r="G6713" s="16" t="str">
        <f t="shared" si="226"/>
        <v/>
      </c>
      <c r="H6713" s="70" t="str">
        <f t="shared" si="227"/>
        <v/>
      </c>
    </row>
    <row r="6714" spans="1:8">
      <c r="A6714" s="2"/>
      <c r="B6714" s="12"/>
      <c r="C6714" s="12"/>
      <c r="E6714" t="str">
        <f>IF(LEN(D6714)=0,"",[1]!i_pq_tradedays($B$3,A6715,A6714)-1)</f>
        <v/>
      </c>
      <c r="G6714" s="16" t="str">
        <f t="shared" si="226"/>
        <v/>
      </c>
      <c r="H6714" s="70" t="str">
        <f t="shared" si="227"/>
        <v/>
      </c>
    </row>
    <row r="6715" spans="1:8">
      <c r="A6715" s="2"/>
      <c r="B6715" s="12"/>
      <c r="C6715" s="12"/>
      <c r="E6715" t="str">
        <f>IF(LEN(D6715)=0,"",[1]!i_pq_tradedays($B$3,A6716,A6715)-1)</f>
        <v/>
      </c>
      <c r="G6715" s="16" t="str">
        <f t="shared" si="226"/>
        <v/>
      </c>
      <c r="H6715" s="70" t="str">
        <f t="shared" si="227"/>
        <v/>
      </c>
    </row>
    <row r="6716" spans="1:8">
      <c r="A6716" s="2"/>
      <c r="B6716" s="12"/>
      <c r="C6716" s="12"/>
      <c r="E6716" t="str">
        <f>IF(LEN(D6716)=0,"",[1]!i_pq_tradedays($B$3,A6717,A6716)-1)</f>
        <v/>
      </c>
      <c r="G6716" s="16" t="str">
        <f t="shared" si="226"/>
        <v/>
      </c>
      <c r="H6716" s="70" t="str">
        <f t="shared" si="227"/>
        <v/>
      </c>
    </row>
    <row r="6717" spans="1:8">
      <c r="A6717" s="2"/>
      <c r="B6717" s="12"/>
      <c r="C6717" s="12"/>
      <c r="E6717" t="str">
        <f>IF(LEN(D6717)=0,"",[1]!i_pq_tradedays($B$3,A6718,A6717)-1)</f>
        <v/>
      </c>
      <c r="G6717" s="16" t="str">
        <f t="shared" si="226"/>
        <v/>
      </c>
      <c r="H6717" s="70" t="str">
        <f t="shared" si="227"/>
        <v/>
      </c>
    </row>
    <row r="6718" spans="1:8">
      <c r="A6718" s="2"/>
      <c r="B6718" s="12"/>
      <c r="C6718" s="12"/>
      <c r="E6718" t="str">
        <f>IF(LEN(D6718)=0,"",[1]!i_pq_tradedays($B$3,A6719,A6718)-1)</f>
        <v/>
      </c>
      <c r="G6718" s="16" t="str">
        <f t="shared" si="226"/>
        <v/>
      </c>
      <c r="H6718" s="70" t="str">
        <f t="shared" si="227"/>
        <v/>
      </c>
    </row>
    <row r="6719" spans="1:8">
      <c r="A6719" s="2"/>
      <c r="B6719" s="12"/>
      <c r="C6719" s="12"/>
      <c r="E6719" t="str">
        <f>IF(LEN(D6719)=0,"",[1]!i_pq_tradedays($B$3,A6720,A6719)-1)</f>
        <v/>
      </c>
      <c r="G6719" s="16" t="str">
        <f t="shared" si="226"/>
        <v/>
      </c>
      <c r="H6719" s="70" t="str">
        <f t="shared" si="227"/>
        <v/>
      </c>
    </row>
    <row r="6720" spans="1:8">
      <c r="A6720" s="2"/>
      <c r="B6720" s="12"/>
      <c r="C6720" s="12"/>
      <c r="E6720" t="str">
        <f>IF(LEN(D6720)=0,"",[1]!i_pq_tradedays($B$3,A6721,A6720)-1)</f>
        <v/>
      </c>
      <c r="G6720" s="16" t="str">
        <f t="shared" si="226"/>
        <v/>
      </c>
      <c r="H6720" s="70" t="str">
        <f t="shared" si="227"/>
        <v/>
      </c>
    </row>
    <row r="6721" spans="1:8">
      <c r="A6721" s="2"/>
      <c r="B6721" s="12"/>
      <c r="C6721" s="12"/>
      <c r="E6721" t="str">
        <f>IF(LEN(D6721)=0,"",[1]!i_pq_tradedays($B$3,A6722,A6721)-1)</f>
        <v/>
      </c>
      <c r="G6721" s="16" t="str">
        <f t="shared" si="226"/>
        <v/>
      </c>
      <c r="H6721" s="70" t="str">
        <f t="shared" si="227"/>
        <v/>
      </c>
    </row>
    <row r="6722" spans="1:8">
      <c r="A6722" s="2"/>
      <c r="B6722" s="12"/>
      <c r="C6722" s="12"/>
      <c r="E6722" t="str">
        <f>IF(LEN(D6722)=0,"",[1]!i_pq_tradedays($B$3,A6723,A6722)-1)</f>
        <v/>
      </c>
      <c r="G6722" s="16" t="str">
        <f t="shared" si="226"/>
        <v/>
      </c>
      <c r="H6722" s="70" t="str">
        <f t="shared" si="227"/>
        <v/>
      </c>
    </row>
    <row r="6723" spans="1:8">
      <c r="A6723" s="2"/>
      <c r="B6723" s="12"/>
      <c r="C6723" s="12"/>
      <c r="E6723" t="str">
        <f>IF(LEN(D6723)=0,"",[1]!i_pq_tradedays($B$3,A6724,A6723)-1)</f>
        <v/>
      </c>
      <c r="G6723" s="16" t="str">
        <f t="shared" si="226"/>
        <v/>
      </c>
      <c r="H6723" s="70" t="str">
        <f t="shared" si="227"/>
        <v/>
      </c>
    </row>
    <row r="6724" spans="1:8">
      <c r="A6724" s="2"/>
      <c r="B6724" s="12"/>
      <c r="C6724" s="12"/>
      <c r="E6724" t="str">
        <f>IF(LEN(D6724)=0,"",[1]!i_pq_tradedays($B$3,A6725,A6724)-1)</f>
        <v/>
      </c>
      <c r="G6724" s="16" t="str">
        <f t="shared" si="226"/>
        <v/>
      </c>
      <c r="H6724" s="70" t="str">
        <f t="shared" si="227"/>
        <v/>
      </c>
    </row>
    <row r="6725" spans="1:8">
      <c r="A6725" s="2"/>
      <c r="B6725" s="12"/>
      <c r="C6725" s="12"/>
      <c r="E6725" t="str">
        <f>IF(LEN(D6725)=0,"",[1]!i_pq_tradedays($B$3,A6726,A6725)-1)</f>
        <v/>
      </c>
      <c r="G6725" s="16" t="str">
        <f t="shared" si="226"/>
        <v/>
      </c>
      <c r="H6725" s="70" t="str">
        <f t="shared" si="227"/>
        <v/>
      </c>
    </row>
    <row r="6726" spans="1:8">
      <c r="A6726" s="2"/>
      <c r="B6726" s="12"/>
      <c r="C6726" s="12"/>
      <c r="E6726" t="str">
        <f>IF(LEN(D6726)=0,"",[1]!i_pq_tradedays($B$3,A6727,A6726)-1)</f>
        <v/>
      </c>
      <c r="G6726" s="16" t="str">
        <f t="shared" si="226"/>
        <v/>
      </c>
      <c r="H6726" s="70" t="str">
        <f t="shared" si="227"/>
        <v/>
      </c>
    </row>
    <row r="6727" spans="1:8">
      <c r="A6727" s="2"/>
      <c r="B6727" s="12"/>
      <c r="C6727" s="12"/>
      <c r="E6727" t="str">
        <f>IF(LEN(D6727)=0,"",[1]!i_pq_tradedays($B$3,A6728,A6727)-1)</f>
        <v/>
      </c>
      <c r="G6727" s="16" t="str">
        <f t="shared" si="226"/>
        <v/>
      </c>
      <c r="H6727" s="70" t="str">
        <f t="shared" si="227"/>
        <v/>
      </c>
    </row>
    <row r="6728" spans="1:8">
      <c r="A6728" s="2"/>
      <c r="B6728" s="12"/>
      <c r="C6728" s="12"/>
      <c r="E6728" t="str">
        <f>IF(LEN(D6728)=0,"",[1]!i_pq_tradedays($B$3,A6729,A6728)-1)</f>
        <v/>
      </c>
      <c r="G6728" s="16" t="str">
        <f t="shared" si="226"/>
        <v/>
      </c>
      <c r="H6728" s="70" t="str">
        <f t="shared" si="227"/>
        <v/>
      </c>
    </row>
    <row r="6729" spans="1:8">
      <c r="A6729" s="2"/>
      <c r="B6729" s="12"/>
      <c r="C6729" s="12"/>
      <c r="E6729" t="str">
        <f>IF(LEN(D6729)=0,"",[1]!i_pq_tradedays($B$3,A6730,A6729)-1)</f>
        <v/>
      </c>
      <c r="G6729" s="16" t="str">
        <f t="shared" si="226"/>
        <v/>
      </c>
      <c r="H6729" s="70" t="str">
        <f t="shared" si="227"/>
        <v/>
      </c>
    </row>
    <row r="6730" spans="1:8">
      <c r="A6730" s="2"/>
      <c r="B6730" s="12"/>
      <c r="C6730" s="12"/>
      <c r="E6730" t="str">
        <f>IF(LEN(D6730)=0,"",[1]!i_pq_tradedays($B$3,A6731,A6730)-1)</f>
        <v/>
      </c>
      <c r="G6730" s="16" t="str">
        <f t="shared" si="226"/>
        <v/>
      </c>
      <c r="H6730" s="70" t="str">
        <f t="shared" si="227"/>
        <v/>
      </c>
    </row>
    <row r="6731" spans="1:8">
      <c r="A6731" s="2"/>
      <c r="B6731" s="12"/>
      <c r="C6731" s="12"/>
      <c r="E6731" t="str">
        <f>IF(LEN(D6731)=0,"",[1]!i_pq_tradedays($B$3,A6732,A6731)-1)</f>
        <v/>
      </c>
      <c r="G6731" s="16" t="str">
        <f t="shared" si="226"/>
        <v/>
      </c>
      <c r="H6731" s="70" t="str">
        <f t="shared" si="227"/>
        <v/>
      </c>
    </row>
    <row r="6732" spans="1:8">
      <c r="A6732" s="2"/>
      <c r="B6732" s="12"/>
      <c r="C6732" s="12"/>
      <c r="E6732" t="str">
        <f>IF(LEN(D6732)=0,"",[1]!i_pq_tradedays($B$3,A6733,A6732)-1)</f>
        <v/>
      </c>
      <c r="G6732" s="16" t="str">
        <f t="shared" si="226"/>
        <v/>
      </c>
      <c r="H6732" s="70" t="str">
        <f t="shared" si="227"/>
        <v/>
      </c>
    </row>
    <row r="6733" spans="1:8">
      <c r="A6733" s="2"/>
      <c r="B6733" s="12"/>
      <c r="C6733" s="12"/>
      <c r="E6733" t="str">
        <f>IF(LEN(D6733)=0,"",[1]!i_pq_tradedays($B$3,A6734,A6733)-1)</f>
        <v/>
      </c>
      <c r="G6733" s="16" t="str">
        <f t="shared" si="226"/>
        <v/>
      </c>
      <c r="H6733" s="70" t="str">
        <f t="shared" si="227"/>
        <v/>
      </c>
    </row>
    <row r="6734" spans="1:8">
      <c r="A6734" s="2"/>
      <c r="B6734" s="12"/>
      <c r="C6734" s="12"/>
      <c r="E6734" t="str">
        <f>IF(LEN(D6734)=0,"",[1]!i_pq_tradedays($B$3,A6735,A6734)-1)</f>
        <v/>
      </c>
      <c r="G6734" s="16" t="str">
        <f t="shared" si="226"/>
        <v/>
      </c>
      <c r="H6734" s="70" t="str">
        <f t="shared" si="227"/>
        <v/>
      </c>
    </row>
    <row r="6735" spans="1:8">
      <c r="A6735" s="2"/>
      <c r="B6735" s="12"/>
      <c r="C6735" s="12"/>
      <c r="E6735" t="str">
        <f>IF(LEN(D6735)=0,"",[1]!i_pq_tradedays($B$3,A6736,A6735)-1)</f>
        <v/>
      </c>
      <c r="G6735" s="16" t="str">
        <f t="shared" si="226"/>
        <v/>
      </c>
      <c r="H6735" s="70" t="str">
        <f t="shared" si="227"/>
        <v/>
      </c>
    </row>
    <row r="6736" spans="1:8">
      <c r="A6736" s="2"/>
      <c r="B6736" s="12"/>
      <c r="C6736" s="12"/>
      <c r="E6736" t="str">
        <f>IF(LEN(D6736)=0,"",[1]!i_pq_tradedays($B$3,A6737,A6736)-1)</f>
        <v/>
      </c>
      <c r="G6736" s="16" t="str">
        <f t="shared" si="226"/>
        <v/>
      </c>
      <c r="H6736" s="70" t="str">
        <f t="shared" si="227"/>
        <v/>
      </c>
    </row>
    <row r="6737" spans="1:8">
      <c r="A6737" s="2"/>
      <c r="B6737" s="12"/>
      <c r="C6737" s="12"/>
      <c r="E6737" t="str">
        <f>IF(LEN(D6737)=0,"",[1]!i_pq_tradedays($B$3,A6738,A6737)-1)</f>
        <v/>
      </c>
      <c r="G6737" s="16" t="str">
        <f t="shared" si="226"/>
        <v/>
      </c>
      <c r="H6737" s="70" t="str">
        <f t="shared" si="227"/>
        <v/>
      </c>
    </row>
    <row r="6738" spans="1:8">
      <c r="A6738" s="2"/>
      <c r="B6738" s="12"/>
      <c r="C6738" s="12"/>
      <c r="E6738" t="str">
        <f>IF(LEN(D6738)=0,"",[1]!i_pq_tradedays($B$3,A6739,A6738)-1)</f>
        <v/>
      </c>
      <c r="G6738" s="16" t="str">
        <f t="shared" si="226"/>
        <v/>
      </c>
      <c r="H6738" s="70" t="str">
        <f t="shared" si="227"/>
        <v/>
      </c>
    </row>
    <row r="6739" spans="1:8">
      <c r="A6739" s="2"/>
      <c r="B6739" s="12"/>
      <c r="C6739" s="12"/>
      <c r="E6739" t="str">
        <f>IF(LEN(D6739)=0,"",[1]!i_pq_tradedays($B$3,A6740,A6739)-1)</f>
        <v/>
      </c>
      <c r="G6739" s="16" t="str">
        <f t="shared" si="226"/>
        <v/>
      </c>
      <c r="H6739" s="70" t="str">
        <f t="shared" si="227"/>
        <v/>
      </c>
    </row>
    <row r="6740" spans="1:8">
      <c r="A6740" s="2"/>
      <c r="B6740" s="12"/>
      <c r="C6740" s="12"/>
      <c r="E6740" t="str">
        <f>IF(LEN(D6740)=0,"",[1]!i_pq_tradedays($B$3,A6741,A6740)-1)</f>
        <v/>
      </c>
      <c r="G6740" s="16" t="str">
        <f t="shared" si="226"/>
        <v/>
      </c>
      <c r="H6740" s="70" t="str">
        <f t="shared" si="227"/>
        <v/>
      </c>
    </row>
    <row r="6741" spans="1:8">
      <c r="A6741" s="2"/>
      <c r="B6741" s="12"/>
      <c r="C6741" s="12"/>
      <c r="E6741" t="str">
        <f>IF(LEN(D6741)=0,"",[1]!i_pq_tradedays($B$3,A6742,A6741)-1)</f>
        <v/>
      </c>
      <c r="G6741" s="16" t="str">
        <f t="shared" si="226"/>
        <v/>
      </c>
      <c r="H6741" s="70" t="str">
        <f t="shared" si="227"/>
        <v/>
      </c>
    </row>
    <row r="6742" spans="1:8">
      <c r="A6742" s="2"/>
      <c r="B6742" s="12"/>
      <c r="C6742" s="12"/>
      <c r="E6742" t="str">
        <f>IF(LEN(D6742)=0,"",[1]!i_pq_tradedays($B$3,A6743,A6742)-1)</f>
        <v/>
      </c>
      <c r="G6742" s="16" t="str">
        <f t="shared" si="226"/>
        <v/>
      </c>
      <c r="H6742" s="70" t="str">
        <f t="shared" si="227"/>
        <v/>
      </c>
    </row>
    <row r="6743" spans="1:8">
      <c r="A6743" s="2"/>
      <c r="B6743" s="12"/>
      <c r="C6743" s="12"/>
      <c r="E6743" t="str">
        <f>IF(LEN(D6743)=0,"",[1]!i_pq_tradedays($B$3,A6744,A6743)-1)</f>
        <v/>
      </c>
      <c r="G6743" s="16" t="str">
        <f t="shared" si="226"/>
        <v/>
      </c>
      <c r="H6743" s="70" t="str">
        <f t="shared" si="227"/>
        <v/>
      </c>
    </row>
    <row r="6744" spans="1:8">
      <c r="A6744" s="2"/>
      <c r="B6744" s="12"/>
      <c r="C6744" s="12"/>
      <c r="E6744" t="str">
        <f>IF(LEN(D6744)=0,"",[1]!i_pq_tradedays($B$3,A6745,A6744)-1)</f>
        <v/>
      </c>
      <c r="G6744" s="16" t="str">
        <f t="shared" si="226"/>
        <v/>
      </c>
      <c r="H6744" s="70" t="str">
        <f t="shared" si="227"/>
        <v/>
      </c>
    </row>
    <row r="6745" spans="1:8">
      <c r="A6745" s="2"/>
      <c r="B6745" s="12"/>
      <c r="C6745" s="12"/>
      <c r="E6745" t="str">
        <f>IF(LEN(D6745)=0,"",[1]!i_pq_tradedays($B$3,A6746,A6745)-1)</f>
        <v/>
      </c>
      <c r="G6745" s="16" t="str">
        <f t="shared" si="226"/>
        <v/>
      </c>
      <c r="H6745" s="70" t="str">
        <f t="shared" si="227"/>
        <v/>
      </c>
    </row>
    <row r="6746" spans="1:8">
      <c r="A6746" s="2"/>
      <c r="B6746" s="12"/>
      <c r="C6746" s="12"/>
      <c r="E6746" t="str">
        <f>IF(LEN(D6746)=0,"",[1]!i_pq_tradedays($B$3,A6747,A6746)-1)</f>
        <v/>
      </c>
      <c r="G6746" s="16" t="str">
        <f t="shared" si="226"/>
        <v/>
      </c>
      <c r="H6746" s="70" t="str">
        <f t="shared" si="227"/>
        <v/>
      </c>
    </row>
    <row r="6747" spans="1:8">
      <c r="A6747" s="2"/>
      <c r="B6747" s="12"/>
      <c r="C6747" s="12"/>
      <c r="E6747" t="str">
        <f>IF(LEN(D6747)=0,"",[1]!i_pq_tradedays($B$3,A6748,A6747)-1)</f>
        <v/>
      </c>
      <c r="G6747" s="16" t="str">
        <f t="shared" si="226"/>
        <v/>
      </c>
      <c r="H6747" s="70" t="str">
        <f t="shared" si="227"/>
        <v/>
      </c>
    </row>
    <row r="6748" spans="1:8">
      <c r="A6748" s="2"/>
      <c r="B6748" s="12"/>
      <c r="C6748" s="12"/>
      <c r="E6748" t="str">
        <f>IF(LEN(D6748)=0,"",[1]!i_pq_tradedays($B$3,A6749,A6748)-1)</f>
        <v/>
      </c>
      <c r="G6748" s="16" t="str">
        <f t="shared" si="226"/>
        <v/>
      </c>
      <c r="H6748" s="70" t="str">
        <f t="shared" si="227"/>
        <v/>
      </c>
    </row>
    <row r="6749" spans="1:8">
      <c r="A6749" s="2"/>
      <c r="B6749" s="12"/>
      <c r="C6749" s="12"/>
      <c r="E6749" t="str">
        <f>IF(LEN(D6749)=0,"",[1]!i_pq_tradedays($B$3,A6750,A6749)-1)</f>
        <v/>
      </c>
      <c r="G6749" s="16" t="str">
        <f t="shared" si="226"/>
        <v/>
      </c>
      <c r="H6749" s="70" t="str">
        <f t="shared" si="227"/>
        <v/>
      </c>
    </row>
    <row r="6750" spans="1:8">
      <c r="A6750" s="2"/>
      <c r="B6750" s="12"/>
      <c r="C6750" s="12"/>
      <c r="E6750" t="str">
        <f>IF(LEN(D6750)=0,"",[1]!i_pq_tradedays($B$3,A6751,A6750)-1)</f>
        <v/>
      </c>
      <c r="G6750" s="16" t="str">
        <f t="shared" si="226"/>
        <v/>
      </c>
      <c r="H6750" s="70" t="str">
        <f t="shared" si="227"/>
        <v/>
      </c>
    </row>
    <row r="6751" spans="1:8">
      <c r="A6751" s="2"/>
      <c r="B6751" s="12"/>
      <c r="C6751" s="12"/>
      <c r="E6751" t="str">
        <f>IF(LEN(D6751)=0,"",[1]!i_pq_tradedays($B$3,A6752,A6751)-1)</f>
        <v/>
      </c>
      <c r="G6751" s="16" t="str">
        <f t="shared" si="226"/>
        <v/>
      </c>
      <c r="H6751" s="70" t="str">
        <f t="shared" si="227"/>
        <v/>
      </c>
    </row>
    <row r="6752" spans="1:8">
      <c r="A6752" s="2"/>
      <c r="B6752" s="12"/>
      <c r="C6752" s="12"/>
      <c r="E6752" t="str">
        <f>IF(LEN(D6752)=0,"",[1]!i_pq_tradedays($B$3,A6753,A6752)-1)</f>
        <v/>
      </c>
      <c r="G6752" s="16" t="str">
        <f t="shared" si="226"/>
        <v/>
      </c>
      <c r="H6752" s="70" t="str">
        <f t="shared" si="227"/>
        <v/>
      </c>
    </row>
    <row r="6753" spans="1:8">
      <c r="A6753" s="2"/>
      <c r="B6753" s="12"/>
      <c r="C6753" s="12"/>
      <c r="E6753" t="str">
        <f>IF(LEN(D6753)=0,"",[1]!i_pq_tradedays($B$3,A6754,A6753)-1)</f>
        <v/>
      </c>
      <c r="G6753" s="16" t="str">
        <f t="shared" si="226"/>
        <v/>
      </c>
      <c r="H6753" s="70" t="str">
        <f t="shared" si="227"/>
        <v/>
      </c>
    </row>
    <row r="6754" spans="1:8">
      <c r="A6754" s="2"/>
      <c r="B6754" s="12"/>
      <c r="C6754" s="12"/>
      <c r="E6754" t="str">
        <f>IF(LEN(D6754)=0,"",[1]!i_pq_tradedays($B$3,A6755,A6754)-1)</f>
        <v/>
      </c>
      <c r="G6754" s="16" t="str">
        <f t="shared" si="226"/>
        <v/>
      </c>
      <c r="H6754" s="70" t="str">
        <f t="shared" si="227"/>
        <v/>
      </c>
    </row>
    <row r="6755" spans="1:8">
      <c r="A6755" s="2"/>
      <c r="B6755" s="12"/>
      <c r="C6755" s="12"/>
      <c r="E6755" t="str">
        <f>IF(LEN(D6755)=0,"",[1]!i_pq_tradedays($B$3,A6756,A6755)-1)</f>
        <v/>
      </c>
      <c r="G6755" s="16" t="str">
        <f t="shared" si="226"/>
        <v/>
      </c>
      <c r="H6755" s="70" t="str">
        <f t="shared" si="227"/>
        <v/>
      </c>
    </row>
    <row r="6756" spans="1:8">
      <c r="A6756" s="2"/>
      <c r="B6756" s="12"/>
      <c r="C6756" s="12"/>
      <c r="E6756" t="str">
        <f>IF(LEN(D6756)=0,"",[1]!i_pq_tradedays($B$3,A6757,A6756)-1)</f>
        <v/>
      </c>
      <c r="G6756" s="16" t="str">
        <f t="shared" si="226"/>
        <v/>
      </c>
      <c r="H6756" s="70" t="str">
        <f t="shared" si="227"/>
        <v/>
      </c>
    </row>
    <row r="6757" spans="1:8">
      <c r="A6757" s="2"/>
      <c r="B6757" s="12"/>
      <c r="C6757" s="12"/>
      <c r="E6757" t="str">
        <f>IF(LEN(D6757)=0,"",[1]!i_pq_tradedays($B$3,A6758,A6757)-1)</f>
        <v/>
      </c>
      <c r="G6757" s="16" t="str">
        <f t="shared" si="226"/>
        <v/>
      </c>
      <c r="H6757" s="70" t="str">
        <f t="shared" si="227"/>
        <v/>
      </c>
    </row>
    <row r="6758" spans="1:8">
      <c r="A6758" s="2"/>
      <c r="B6758" s="12"/>
      <c r="C6758" s="12"/>
      <c r="E6758" t="str">
        <f>IF(LEN(D6758)=0,"",[1]!i_pq_tradedays($B$3,A6759,A6758)-1)</f>
        <v/>
      </c>
      <c r="G6758" s="16" t="str">
        <f t="shared" si="226"/>
        <v/>
      </c>
      <c r="H6758" s="70" t="str">
        <f t="shared" si="227"/>
        <v/>
      </c>
    </row>
    <row r="6759" spans="1:8">
      <c r="A6759" s="2"/>
      <c r="B6759" s="12"/>
      <c r="C6759" s="12"/>
      <c r="E6759" t="str">
        <f>IF(LEN(D6759)=0,"",[1]!i_pq_tradedays($B$3,A6760,A6759)-1)</f>
        <v/>
      </c>
      <c r="G6759" s="16" t="str">
        <f t="shared" si="226"/>
        <v/>
      </c>
      <c r="H6759" s="70" t="str">
        <f t="shared" si="227"/>
        <v/>
      </c>
    </row>
    <row r="6760" spans="1:8">
      <c r="A6760" s="2"/>
      <c r="B6760" s="12"/>
      <c r="C6760" s="12"/>
      <c r="E6760" t="str">
        <f>IF(LEN(D6760)=0,"",[1]!i_pq_tradedays($B$3,A6761,A6760)-1)</f>
        <v/>
      </c>
      <c r="G6760" s="16" t="str">
        <f t="shared" si="226"/>
        <v/>
      </c>
      <c r="H6760" s="70" t="str">
        <f t="shared" si="227"/>
        <v/>
      </c>
    </row>
    <row r="6761" spans="1:8">
      <c r="A6761" s="2"/>
      <c r="B6761" s="12"/>
      <c r="C6761" s="12"/>
      <c r="E6761" t="str">
        <f>IF(LEN(D6761)=0,"",[1]!i_pq_tradedays($B$3,A6762,A6761)-1)</f>
        <v/>
      </c>
      <c r="G6761" s="16" t="str">
        <f t="shared" si="226"/>
        <v/>
      </c>
      <c r="H6761" s="70" t="str">
        <f t="shared" si="227"/>
        <v/>
      </c>
    </row>
    <row r="6762" spans="1:8">
      <c r="A6762" s="2"/>
      <c r="B6762" s="12"/>
      <c r="C6762" s="12"/>
      <c r="E6762" t="str">
        <f>IF(LEN(D6762)=0,"",[1]!i_pq_tradedays($B$3,A6763,A6762)-1)</f>
        <v/>
      </c>
      <c r="G6762" s="16" t="str">
        <f t="shared" si="226"/>
        <v/>
      </c>
      <c r="H6762" s="70" t="str">
        <f t="shared" si="227"/>
        <v/>
      </c>
    </row>
    <row r="6763" spans="1:8">
      <c r="A6763" s="2"/>
      <c r="B6763" s="12"/>
      <c r="C6763" s="12"/>
      <c r="E6763" t="str">
        <f>IF(LEN(D6763)=0,"",[1]!i_pq_tradedays($B$3,A6764,A6763)-1)</f>
        <v/>
      </c>
      <c r="G6763" s="16" t="str">
        <f t="shared" si="226"/>
        <v/>
      </c>
      <c r="H6763" s="70" t="str">
        <f t="shared" si="227"/>
        <v/>
      </c>
    </row>
    <row r="6764" spans="1:8">
      <c r="A6764" s="2"/>
      <c r="B6764" s="12"/>
      <c r="C6764" s="12"/>
      <c r="E6764" t="str">
        <f>IF(LEN(D6764)=0,"",[1]!i_pq_tradedays($B$3,A6765,A6764)-1)</f>
        <v/>
      </c>
      <c r="G6764" s="16" t="str">
        <f t="shared" si="226"/>
        <v/>
      </c>
      <c r="H6764" s="70" t="str">
        <f t="shared" si="227"/>
        <v/>
      </c>
    </row>
    <row r="6765" spans="1:8">
      <c r="A6765" s="2"/>
      <c r="B6765" s="12"/>
      <c r="C6765" s="12"/>
      <c r="E6765" t="str">
        <f>IF(LEN(D6765)=0,"",[1]!i_pq_tradedays($B$3,A6766,A6765)-1)</f>
        <v/>
      </c>
      <c r="G6765" s="16" t="str">
        <f t="shared" si="226"/>
        <v/>
      </c>
      <c r="H6765" s="70" t="str">
        <f t="shared" si="227"/>
        <v/>
      </c>
    </row>
    <row r="6766" spans="1:8">
      <c r="A6766" s="2"/>
      <c r="B6766" s="12"/>
      <c r="C6766" s="12"/>
      <c r="E6766" t="str">
        <f>IF(LEN(D6766)=0,"",[1]!i_pq_tradedays($B$3,A6767,A6766)-1)</f>
        <v/>
      </c>
      <c r="G6766" s="16" t="str">
        <f t="shared" si="226"/>
        <v/>
      </c>
      <c r="H6766" s="70" t="str">
        <f t="shared" si="227"/>
        <v/>
      </c>
    </row>
    <row r="6767" spans="1:8">
      <c r="A6767" s="2"/>
      <c r="B6767" s="12"/>
      <c r="C6767" s="12"/>
      <c r="E6767" t="str">
        <f>IF(LEN(D6767)=0,"",[1]!i_pq_tradedays($B$3,A6768,A6767)-1)</f>
        <v/>
      </c>
      <c r="G6767" s="16" t="str">
        <f t="shared" si="226"/>
        <v/>
      </c>
      <c r="H6767" s="70" t="str">
        <f t="shared" si="227"/>
        <v/>
      </c>
    </row>
    <row r="6768" spans="1:8">
      <c r="A6768" s="2"/>
      <c r="B6768" s="12"/>
      <c r="C6768" s="12"/>
      <c r="E6768" t="str">
        <f>IF(LEN(D6768)=0,"",[1]!i_pq_tradedays($B$3,A6769,A6768)-1)</f>
        <v/>
      </c>
      <c r="G6768" s="16" t="str">
        <f t="shared" si="226"/>
        <v/>
      </c>
      <c r="H6768" s="70" t="str">
        <f t="shared" si="227"/>
        <v/>
      </c>
    </row>
    <row r="6769" spans="1:8">
      <c r="A6769" s="2"/>
      <c r="B6769" s="12"/>
      <c r="C6769" s="12"/>
      <c r="E6769" t="str">
        <f>IF(LEN(D6769)=0,"",[1]!i_pq_tradedays($B$3,A6770,A6769)-1)</f>
        <v/>
      </c>
      <c r="G6769" s="16" t="str">
        <f t="shared" si="226"/>
        <v/>
      </c>
      <c r="H6769" s="70" t="str">
        <f t="shared" si="227"/>
        <v/>
      </c>
    </row>
    <row r="6770" spans="1:8">
      <c r="A6770" s="2"/>
      <c r="B6770" s="12"/>
      <c r="C6770" s="12"/>
      <c r="E6770" t="str">
        <f>IF(LEN(D6770)=0,"",[1]!i_pq_tradedays($B$3,A6771,A6770)-1)</f>
        <v/>
      </c>
      <c r="G6770" s="16" t="str">
        <f t="shared" si="226"/>
        <v/>
      </c>
      <c r="H6770" s="70" t="str">
        <f t="shared" si="227"/>
        <v/>
      </c>
    </row>
    <row r="6771" spans="1:8">
      <c r="A6771" s="2"/>
      <c r="B6771" s="12"/>
      <c r="C6771" s="12"/>
      <c r="E6771" t="str">
        <f>IF(LEN(D6771)=0,"",[1]!i_pq_tradedays($B$3,A6772,A6771)-1)</f>
        <v/>
      </c>
      <c r="G6771" s="16" t="str">
        <f t="shared" si="226"/>
        <v/>
      </c>
      <c r="H6771" s="70" t="str">
        <f t="shared" si="227"/>
        <v/>
      </c>
    </row>
    <row r="6772" spans="1:8">
      <c r="A6772" s="2"/>
      <c r="B6772" s="12"/>
      <c r="C6772" s="12"/>
      <c r="E6772" t="str">
        <f>IF(LEN(D6772)=0,"",[1]!i_pq_tradedays($B$3,A6773,A6772)-1)</f>
        <v/>
      </c>
      <c r="G6772" s="16" t="str">
        <f t="shared" si="226"/>
        <v/>
      </c>
      <c r="H6772" s="70" t="str">
        <f t="shared" si="227"/>
        <v/>
      </c>
    </row>
    <row r="6773" spans="1:8">
      <c r="A6773" s="2"/>
      <c r="B6773" s="12"/>
      <c r="C6773" s="12"/>
      <c r="E6773" t="str">
        <f>IF(LEN(D6773)=0,"",[1]!i_pq_tradedays($B$3,A6774,A6773)-1)</f>
        <v/>
      </c>
      <c r="G6773" s="16" t="str">
        <f t="shared" ref="G6773:G6836" si="228">IF(LEN(D6773)=0,"",D6773/E6773)</f>
        <v/>
      </c>
      <c r="H6773" s="70" t="str">
        <f t="shared" ref="H6773:H6836" si="229">IF(LEN(D6773)=0,"",G6773/G6774-1)</f>
        <v/>
      </c>
    </row>
    <row r="6774" spans="1:8">
      <c r="A6774" s="2"/>
      <c r="B6774" s="12"/>
      <c r="C6774" s="12"/>
      <c r="E6774" t="str">
        <f>IF(LEN(D6774)=0,"",[1]!i_pq_tradedays($B$3,A6775,A6774)-1)</f>
        <v/>
      </c>
      <c r="G6774" s="16" t="str">
        <f t="shared" si="228"/>
        <v/>
      </c>
      <c r="H6774" s="70" t="str">
        <f t="shared" si="229"/>
        <v/>
      </c>
    </row>
    <row r="6775" spans="1:8">
      <c r="A6775" s="2"/>
      <c r="B6775" s="12"/>
      <c r="C6775" s="12"/>
      <c r="E6775" t="str">
        <f>IF(LEN(D6775)=0,"",[1]!i_pq_tradedays($B$3,A6776,A6775)-1)</f>
        <v/>
      </c>
      <c r="G6775" s="16" t="str">
        <f t="shared" si="228"/>
        <v/>
      </c>
      <c r="H6775" s="70" t="str">
        <f t="shared" si="229"/>
        <v/>
      </c>
    </row>
    <row r="6776" spans="1:8">
      <c r="A6776" s="2"/>
      <c r="B6776" s="12"/>
      <c r="C6776" s="12"/>
      <c r="E6776" t="str">
        <f>IF(LEN(D6776)=0,"",[1]!i_pq_tradedays($B$3,A6777,A6776)-1)</f>
        <v/>
      </c>
      <c r="G6776" s="16" t="str">
        <f t="shared" si="228"/>
        <v/>
      </c>
      <c r="H6776" s="70" t="str">
        <f t="shared" si="229"/>
        <v/>
      </c>
    </row>
    <row r="6777" spans="1:8">
      <c r="A6777" s="2"/>
      <c r="B6777" s="12"/>
      <c r="C6777" s="12"/>
      <c r="E6777" t="str">
        <f>IF(LEN(D6777)=0,"",[1]!i_pq_tradedays($B$3,A6778,A6777)-1)</f>
        <v/>
      </c>
      <c r="G6777" s="16" t="str">
        <f t="shared" si="228"/>
        <v/>
      </c>
      <c r="H6777" s="70" t="str">
        <f t="shared" si="229"/>
        <v/>
      </c>
    </row>
    <row r="6778" spans="1:8">
      <c r="A6778" s="2"/>
      <c r="B6778" s="12"/>
      <c r="C6778" s="12"/>
      <c r="E6778" t="str">
        <f>IF(LEN(D6778)=0,"",[1]!i_pq_tradedays($B$3,A6779,A6778)-1)</f>
        <v/>
      </c>
      <c r="G6778" s="16" t="str">
        <f t="shared" si="228"/>
        <v/>
      </c>
      <c r="H6778" s="70" t="str">
        <f t="shared" si="229"/>
        <v/>
      </c>
    </row>
    <row r="6779" spans="1:8">
      <c r="A6779" s="2"/>
      <c r="B6779" s="12"/>
      <c r="C6779" s="12"/>
      <c r="E6779" t="str">
        <f>IF(LEN(D6779)=0,"",[1]!i_pq_tradedays($B$3,A6780,A6779)-1)</f>
        <v/>
      </c>
      <c r="G6779" s="16" t="str">
        <f t="shared" si="228"/>
        <v/>
      </c>
      <c r="H6779" s="70" t="str">
        <f t="shared" si="229"/>
        <v/>
      </c>
    </row>
    <row r="6780" spans="1:8">
      <c r="A6780" s="2"/>
      <c r="B6780" s="12"/>
      <c r="C6780" s="12"/>
      <c r="E6780" t="str">
        <f>IF(LEN(D6780)=0,"",[1]!i_pq_tradedays($B$3,A6781,A6780)-1)</f>
        <v/>
      </c>
      <c r="G6780" s="16" t="str">
        <f t="shared" si="228"/>
        <v/>
      </c>
      <c r="H6780" s="70" t="str">
        <f t="shared" si="229"/>
        <v/>
      </c>
    </row>
    <row r="6781" spans="1:8">
      <c r="A6781" s="2"/>
      <c r="B6781" s="12"/>
      <c r="C6781" s="12"/>
      <c r="E6781" t="str">
        <f>IF(LEN(D6781)=0,"",[1]!i_pq_tradedays($B$3,A6782,A6781)-1)</f>
        <v/>
      </c>
      <c r="G6781" s="16" t="str">
        <f t="shared" si="228"/>
        <v/>
      </c>
      <c r="H6781" s="70" t="str">
        <f t="shared" si="229"/>
        <v/>
      </c>
    </row>
    <row r="6782" spans="1:8">
      <c r="A6782" s="2"/>
      <c r="B6782" s="12"/>
      <c r="C6782" s="12"/>
      <c r="E6782" t="str">
        <f>IF(LEN(D6782)=0,"",[1]!i_pq_tradedays($B$3,A6783,A6782)-1)</f>
        <v/>
      </c>
      <c r="G6782" s="16" t="str">
        <f t="shared" si="228"/>
        <v/>
      </c>
      <c r="H6782" s="70" t="str">
        <f t="shared" si="229"/>
        <v/>
      </c>
    </row>
    <row r="6783" spans="1:8">
      <c r="A6783" s="2"/>
      <c r="B6783" s="12"/>
      <c r="C6783" s="12"/>
      <c r="E6783" t="str">
        <f>IF(LEN(D6783)=0,"",[1]!i_pq_tradedays($B$3,A6784,A6783)-1)</f>
        <v/>
      </c>
      <c r="G6783" s="16" t="str">
        <f t="shared" si="228"/>
        <v/>
      </c>
      <c r="H6783" s="70" t="str">
        <f t="shared" si="229"/>
        <v/>
      </c>
    </row>
    <row r="6784" spans="1:8">
      <c r="A6784" s="2"/>
      <c r="B6784" s="12"/>
      <c r="C6784" s="12"/>
      <c r="E6784" t="str">
        <f>IF(LEN(D6784)=0,"",[1]!i_pq_tradedays($B$3,A6785,A6784)-1)</f>
        <v/>
      </c>
      <c r="G6784" s="16" t="str">
        <f t="shared" si="228"/>
        <v/>
      </c>
      <c r="H6784" s="70" t="str">
        <f t="shared" si="229"/>
        <v/>
      </c>
    </row>
    <row r="6785" spans="1:8">
      <c r="A6785" s="2"/>
      <c r="B6785" s="12"/>
      <c r="C6785" s="12"/>
      <c r="E6785" t="str">
        <f>IF(LEN(D6785)=0,"",[1]!i_pq_tradedays($B$3,A6786,A6785)-1)</f>
        <v/>
      </c>
      <c r="G6785" s="16" t="str">
        <f t="shared" si="228"/>
        <v/>
      </c>
      <c r="H6785" s="70" t="str">
        <f t="shared" si="229"/>
        <v/>
      </c>
    </row>
    <row r="6786" spans="1:8">
      <c r="A6786" s="2"/>
      <c r="B6786" s="12"/>
      <c r="C6786" s="12"/>
      <c r="E6786" t="str">
        <f>IF(LEN(D6786)=0,"",[1]!i_pq_tradedays($B$3,A6787,A6786)-1)</f>
        <v/>
      </c>
      <c r="G6786" s="16" t="str">
        <f t="shared" si="228"/>
        <v/>
      </c>
      <c r="H6786" s="70" t="str">
        <f t="shared" si="229"/>
        <v/>
      </c>
    </row>
    <row r="6787" spans="1:8">
      <c r="A6787" s="2"/>
      <c r="B6787" s="12"/>
      <c r="C6787" s="12"/>
      <c r="E6787" t="str">
        <f>IF(LEN(D6787)=0,"",[1]!i_pq_tradedays($B$3,A6788,A6787)-1)</f>
        <v/>
      </c>
      <c r="G6787" s="16" t="str">
        <f t="shared" si="228"/>
        <v/>
      </c>
      <c r="H6787" s="70" t="str">
        <f t="shared" si="229"/>
        <v/>
      </c>
    </row>
    <row r="6788" spans="1:8">
      <c r="A6788" s="2"/>
      <c r="B6788" s="12"/>
      <c r="C6788" s="12"/>
      <c r="E6788" t="str">
        <f>IF(LEN(D6788)=0,"",[1]!i_pq_tradedays($B$3,A6789,A6788)-1)</f>
        <v/>
      </c>
      <c r="G6788" s="16" t="str">
        <f t="shared" si="228"/>
        <v/>
      </c>
      <c r="H6788" s="70" t="str">
        <f t="shared" si="229"/>
        <v/>
      </c>
    </row>
    <row r="6789" spans="1:8">
      <c r="A6789" s="2"/>
      <c r="B6789" s="12"/>
      <c r="C6789" s="12"/>
      <c r="E6789" t="str">
        <f>IF(LEN(D6789)=0,"",[1]!i_pq_tradedays($B$3,A6790,A6789)-1)</f>
        <v/>
      </c>
      <c r="G6789" s="16" t="str">
        <f t="shared" si="228"/>
        <v/>
      </c>
      <c r="H6789" s="70" t="str">
        <f t="shared" si="229"/>
        <v/>
      </c>
    </row>
    <row r="6790" spans="1:8">
      <c r="A6790" s="2"/>
      <c r="B6790" s="12"/>
      <c r="C6790" s="12"/>
      <c r="E6790" t="str">
        <f>IF(LEN(D6790)=0,"",[1]!i_pq_tradedays($B$3,A6791,A6790)-1)</f>
        <v/>
      </c>
      <c r="G6790" s="16" t="str">
        <f t="shared" si="228"/>
        <v/>
      </c>
      <c r="H6790" s="70" t="str">
        <f t="shared" si="229"/>
        <v/>
      </c>
    </row>
    <row r="6791" spans="1:8">
      <c r="A6791" s="2"/>
      <c r="B6791" s="12"/>
      <c r="C6791" s="12"/>
      <c r="E6791" t="str">
        <f>IF(LEN(D6791)=0,"",[1]!i_pq_tradedays($B$3,A6792,A6791)-1)</f>
        <v/>
      </c>
      <c r="G6791" s="16" t="str">
        <f t="shared" si="228"/>
        <v/>
      </c>
      <c r="H6791" s="70" t="str">
        <f t="shared" si="229"/>
        <v/>
      </c>
    </row>
    <row r="6792" spans="1:8">
      <c r="A6792" s="2"/>
      <c r="B6792" s="12"/>
      <c r="C6792" s="12"/>
      <c r="E6792" t="str">
        <f>IF(LEN(D6792)=0,"",[1]!i_pq_tradedays($B$3,A6793,A6792)-1)</f>
        <v/>
      </c>
      <c r="G6792" s="16" t="str">
        <f t="shared" si="228"/>
        <v/>
      </c>
      <c r="H6792" s="70" t="str">
        <f t="shared" si="229"/>
        <v/>
      </c>
    </row>
    <row r="6793" spans="1:8">
      <c r="A6793" s="2"/>
      <c r="B6793" s="12"/>
      <c r="C6793" s="12"/>
      <c r="E6793" t="str">
        <f>IF(LEN(D6793)=0,"",[1]!i_pq_tradedays($B$3,A6794,A6793)-1)</f>
        <v/>
      </c>
      <c r="G6793" s="16" t="str">
        <f t="shared" si="228"/>
        <v/>
      </c>
      <c r="H6793" s="70" t="str">
        <f t="shared" si="229"/>
        <v/>
      </c>
    </row>
    <row r="6794" spans="1:8">
      <c r="A6794" s="2"/>
      <c r="B6794" s="12"/>
      <c r="C6794" s="12"/>
      <c r="E6794" t="str">
        <f>IF(LEN(D6794)=0,"",[1]!i_pq_tradedays($B$3,A6795,A6794)-1)</f>
        <v/>
      </c>
      <c r="G6794" s="16" t="str">
        <f t="shared" si="228"/>
        <v/>
      </c>
      <c r="H6794" s="70" t="str">
        <f t="shared" si="229"/>
        <v/>
      </c>
    </row>
    <row r="6795" spans="1:8">
      <c r="A6795" s="2"/>
      <c r="B6795" s="12"/>
      <c r="C6795" s="12"/>
      <c r="E6795" t="str">
        <f>IF(LEN(D6795)=0,"",[1]!i_pq_tradedays($B$3,A6796,A6795)-1)</f>
        <v/>
      </c>
      <c r="G6795" s="16" t="str">
        <f t="shared" si="228"/>
        <v/>
      </c>
      <c r="H6795" s="70" t="str">
        <f t="shared" si="229"/>
        <v/>
      </c>
    </row>
    <row r="6796" spans="1:8">
      <c r="A6796" s="2"/>
      <c r="B6796" s="12"/>
      <c r="C6796" s="12"/>
      <c r="E6796" t="str">
        <f>IF(LEN(D6796)=0,"",[1]!i_pq_tradedays($B$3,A6797,A6796)-1)</f>
        <v/>
      </c>
      <c r="G6796" s="16" t="str">
        <f t="shared" si="228"/>
        <v/>
      </c>
      <c r="H6796" s="70" t="str">
        <f t="shared" si="229"/>
        <v/>
      </c>
    </row>
    <row r="6797" spans="1:8">
      <c r="A6797" s="2"/>
      <c r="B6797" s="12"/>
      <c r="C6797" s="12"/>
      <c r="E6797" t="str">
        <f>IF(LEN(D6797)=0,"",[1]!i_pq_tradedays($B$3,A6798,A6797)-1)</f>
        <v/>
      </c>
      <c r="G6797" s="16" t="str">
        <f t="shared" si="228"/>
        <v/>
      </c>
      <c r="H6797" s="70" t="str">
        <f t="shared" si="229"/>
        <v/>
      </c>
    </row>
    <row r="6798" spans="1:8">
      <c r="A6798" s="2"/>
      <c r="B6798" s="12"/>
      <c r="C6798" s="12"/>
      <c r="E6798" t="str">
        <f>IF(LEN(D6798)=0,"",[1]!i_pq_tradedays($B$3,A6799,A6798)-1)</f>
        <v/>
      </c>
      <c r="G6798" s="16" t="str">
        <f t="shared" si="228"/>
        <v/>
      </c>
      <c r="H6798" s="70" t="str">
        <f t="shared" si="229"/>
        <v/>
      </c>
    </row>
    <row r="6799" spans="1:8">
      <c r="A6799" s="2"/>
      <c r="B6799" s="12"/>
      <c r="C6799" s="12"/>
      <c r="E6799" t="str">
        <f>IF(LEN(D6799)=0,"",[1]!i_pq_tradedays($B$3,A6800,A6799)-1)</f>
        <v/>
      </c>
      <c r="G6799" s="16" t="str">
        <f t="shared" si="228"/>
        <v/>
      </c>
      <c r="H6799" s="70" t="str">
        <f t="shared" si="229"/>
        <v/>
      </c>
    </row>
    <row r="6800" spans="1:8">
      <c r="A6800" s="2"/>
      <c r="B6800" s="12"/>
      <c r="C6800" s="12"/>
      <c r="E6800" t="str">
        <f>IF(LEN(D6800)=0,"",[1]!i_pq_tradedays($B$3,A6801,A6800)-1)</f>
        <v/>
      </c>
      <c r="G6800" s="16" t="str">
        <f t="shared" si="228"/>
        <v/>
      </c>
      <c r="H6800" s="70" t="str">
        <f t="shared" si="229"/>
        <v/>
      </c>
    </row>
    <row r="6801" spans="1:8">
      <c r="A6801" s="2"/>
      <c r="B6801" s="12"/>
      <c r="C6801" s="12"/>
      <c r="E6801" t="str">
        <f>IF(LEN(D6801)=0,"",[1]!i_pq_tradedays($B$3,A6802,A6801)-1)</f>
        <v/>
      </c>
      <c r="G6801" s="16" t="str">
        <f t="shared" si="228"/>
        <v/>
      </c>
      <c r="H6801" s="70" t="str">
        <f t="shared" si="229"/>
        <v/>
      </c>
    </row>
    <row r="6802" spans="1:8">
      <c r="A6802" s="2"/>
      <c r="B6802" s="12"/>
      <c r="C6802" s="12"/>
      <c r="E6802" t="str">
        <f>IF(LEN(D6802)=0,"",[1]!i_pq_tradedays($B$3,A6803,A6802)-1)</f>
        <v/>
      </c>
      <c r="G6802" s="16" t="str">
        <f t="shared" si="228"/>
        <v/>
      </c>
      <c r="H6802" s="70" t="str">
        <f t="shared" si="229"/>
        <v/>
      </c>
    </row>
    <row r="6803" spans="1:8">
      <c r="A6803" s="2"/>
      <c r="B6803" s="12"/>
      <c r="C6803" s="12"/>
      <c r="E6803" t="str">
        <f>IF(LEN(D6803)=0,"",[1]!i_pq_tradedays($B$3,A6804,A6803)-1)</f>
        <v/>
      </c>
      <c r="G6803" s="16" t="str">
        <f t="shared" si="228"/>
        <v/>
      </c>
      <c r="H6803" s="70" t="str">
        <f t="shared" si="229"/>
        <v/>
      </c>
    </row>
    <row r="6804" spans="1:8">
      <c r="A6804" s="2"/>
      <c r="B6804" s="12"/>
      <c r="C6804" s="12"/>
      <c r="E6804" t="str">
        <f>IF(LEN(D6804)=0,"",[1]!i_pq_tradedays($B$3,A6805,A6804)-1)</f>
        <v/>
      </c>
      <c r="G6804" s="16" t="str">
        <f t="shared" si="228"/>
        <v/>
      </c>
      <c r="H6804" s="70" t="str">
        <f t="shared" si="229"/>
        <v/>
      </c>
    </row>
    <row r="6805" spans="1:8">
      <c r="A6805" s="2"/>
      <c r="B6805" s="12"/>
      <c r="C6805" s="12"/>
      <c r="E6805" t="str">
        <f>IF(LEN(D6805)=0,"",[1]!i_pq_tradedays($B$3,A6806,A6805)-1)</f>
        <v/>
      </c>
      <c r="G6805" s="16" t="str">
        <f t="shared" si="228"/>
        <v/>
      </c>
      <c r="H6805" s="70" t="str">
        <f t="shared" si="229"/>
        <v/>
      </c>
    </row>
    <row r="6806" spans="1:8">
      <c r="A6806" s="2"/>
      <c r="B6806" s="12"/>
      <c r="C6806" s="12"/>
      <c r="E6806" t="str">
        <f>IF(LEN(D6806)=0,"",[1]!i_pq_tradedays($B$3,A6807,A6806)-1)</f>
        <v/>
      </c>
      <c r="G6806" s="16" t="str">
        <f t="shared" si="228"/>
        <v/>
      </c>
      <c r="H6806" s="70" t="str">
        <f t="shared" si="229"/>
        <v/>
      </c>
    </row>
    <row r="6807" spans="1:8">
      <c r="A6807" s="2"/>
      <c r="B6807" s="12"/>
      <c r="C6807" s="12"/>
      <c r="E6807" t="str">
        <f>IF(LEN(D6807)=0,"",[1]!i_pq_tradedays($B$3,A6808,A6807)-1)</f>
        <v/>
      </c>
      <c r="G6807" s="16" t="str">
        <f t="shared" si="228"/>
        <v/>
      </c>
      <c r="H6807" s="70" t="str">
        <f t="shared" si="229"/>
        <v/>
      </c>
    </row>
    <row r="6808" spans="1:8">
      <c r="A6808" s="2"/>
      <c r="B6808" s="12"/>
      <c r="C6808" s="12"/>
      <c r="E6808" t="str">
        <f>IF(LEN(D6808)=0,"",[1]!i_pq_tradedays($B$3,A6809,A6808)-1)</f>
        <v/>
      </c>
      <c r="G6808" s="16" t="str">
        <f t="shared" si="228"/>
        <v/>
      </c>
      <c r="H6808" s="70" t="str">
        <f t="shared" si="229"/>
        <v/>
      </c>
    </row>
    <row r="6809" spans="1:8">
      <c r="A6809" s="2"/>
      <c r="B6809" s="12"/>
      <c r="C6809" s="12"/>
      <c r="E6809" t="str">
        <f>IF(LEN(D6809)=0,"",[1]!i_pq_tradedays($B$3,A6810,A6809)-1)</f>
        <v/>
      </c>
      <c r="G6809" s="16" t="str">
        <f t="shared" si="228"/>
        <v/>
      </c>
      <c r="H6809" s="70" t="str">
        <f t="shared" si="229"/>
        <v/>
      </c>
    </row>
    <row r="6810" spans="1:8">
      <c r="A6810" s="2"/>
      <c r="B6810" s="12"/>
      <c r="C6810" s="12"/>
      <c r="E6810" t="str">
        <f>IF(LEN(D6810)=0,"",[1]!i_pq_tradedays($B$3,A6811,A6810)-1)</f>
        <v/>
      </c>
      <c r="G6810" s="16" t="str">
        <f t="shared" si="228"/>
        <v/>
      </c>
      <c r="H6810" s="70" t="str">
        <f t="shared" si="229"/>
        <v/>
      </c>
    </row>
    <row r="6811" spans="1:8">
      <c r="A6811" s="2"/>
      <c r="B6811" s="12"/>
      <c r="C6811" s="12"/>
      <c r="E6811" t="str">
        <f>IF(LEN(D6811)=0,"",[1]!i_pq_tradedays($B$3,A6812,A6811)-1)</f>
        <v/>
      </c>
      <c r="G6811" s="16" t="str">
        <f t="shared" si="228"/>
        <v/>
      </c>
      <c r="H6811" s="70" t="str">
        <f t="shared" si="229"/>
        <v/>
      </c>
    </row>
    <row r="6812" spans="1:8">
      <c r="A6812" s="2"/>
      <c r="B6812" s="12"/>
      <c r="C6812" s="12"/>
      <c r="E6812" t="str">
        <f>IF(LEN(D6812)=0,"",[1]!i_pq_tradedays($B$3,A6813,A6812)-1)</f>
        <v/>
      </c>
      <c r="G6812" s="16" t="str">
        <f t="shared" si="228"/>
        <v/>
      </c>
      <c r="H6812" s="70" t="str">
        <f t="shared" si="229"/>
        <v/>
      </c>
    </row>
    <row r="6813" spans="1:8">
      <c r="A6813" s="2"/>
      <c r="B6813" s="12"/>
      <c r="C6813" s="12"/>
      <c r="E6813" t="str">
        <f>IF(LEN(D6813)=0,"",[1]!i_pq_tradedays($B$3,A6814,A6813)-1)</f>
        <v/>
      </c>
      <c r="G6813" s="16" t="str">
        <f t="shared" si="228"/>
        <v/>
      </c>
      <c r="H6813" s="70" t="str">
        <f t="shared" si="229"/>
        <v/>
      </c>
    </row>
    <row r="6814" spans="1:8">
      <c r="A6814" s="2"/>
      <c r="B6814" s="12"/>
      <c r="C6814" s="12"/>
      <c r="E6814" t="str">
        <f>IF(LEN(D6814)=0,"",[1]!i_pq_tradedays($B$3,A6815,A6814)-1)</f>
        <v/>
      </c>
      <c r="G6814" s="16" t="str">
        <f t="shared" si="228"/>
        <v/>
      </c>
      <c r="H6814" s="70" t="str">
        <f t="shared" si="229"/>
        <v/>
      </c>
    </row>
    <row r="6815" spans="1:8">
      <c r="A6815" s="2"/>
      <c r="B6815" s="12"/>
      <c r="C6815" s="12"/>
      <c r="E6815" t="str">
        <f>IF(LEN(D6815)=0,"",[1]!i_pq_tradedays($B$3,A6816,A6815)-1)</f>
        <v/>
      </c>
      <c r="G6815" s="16" t="str">
        <f t="shared" si="228"/>
        <v/>
      </c>
      <c r="H6815" s="70" t="str">
        <f t="shared" si="229"/>
        <v/>
      </c>
    </row>
    <row r="6816" spans="1:8">
      <c r="A6816" s="2"/>
      <c r="B6816" s="12"/>
      <c r="C6816" s="12"/>
      <c r="E6816" t="str">
        <f>IF(LEN(D6816)=0,"",[1]!i_pq_tradedays($B$3,A6817,A6816)-1)</f>
        <v/>
      </c>
      <c r="G6816" s="16" t="str">
        <f t="shared" si="228"/>
        <v/>
      </c>
      <c r="H6816" s="70" t="str">
        <f t="shared" si="229"/>
        <v/>
      </c>
    </row>
    <row r="6817" spans="1:8">
      <c r="A6817" s="2"/>
      <c r="B6817" s="12"/>
      <c r="C6817" s="12"/>
      <c r="E6817" t="str">
        <f>IF(LEN(D6817)=0,"",[1]!i_pq_tradedays($B$3,A6818,A6817)-1)</f>
        <v/>
      </c>
      <c r="G6817" s="16" t="str">
        <f t="shared" si="228"/>
        <v/>
      </c>
      <c r="H6817" s="70" t="str">
        <f t="shared" si="229"/>
        <v/>
      </c>
    </row>
    <row r="6818" spans="1:8">
      <c r="A6818" s="2"/>
      <c r="B6818" s="12"/>
      <c r="C6818" s="12"/>
      <c r="E6818" t="str">
        <f>IF(LEN(D6818)=0,"",[1]!i_pq_tradedays($B$3,A6819,A6818)-1)</f>
        <v/>
      </c>
      <c r="G6818" s="16" t="str">
        <f t="shared" si="228"/>
        <v/>
      </c>
      <c r="H6818" s="70" t="str">
        <f t="shared" si="229"/>
        <v/>
      </c>
    </row>
    <row r="6819" spans="1:8">
      <c r="A6819" s="2"/>
      <c r="B6819" s="12"/>
      <c r="C6819" s="12"/>
      <c r="E6819" t="str">
        <f>IF(LEN(D6819)=0,"",[1]!i_pq_tradedays($B$3,A6820,A6819)-1)</f>
        <v/>
      </c>
      <c r="G6819" s="16" t="str">
        <f t="shared" si="228"/>
        <v/>
      </c>
      <c r="H6819" s="70" t="str">
        <f t="shared" si="229"/>
        <v/>
      </c>
    </row>
    <row r="6820" spans="1:8">
      <c r="A6820" s="2"/>
      <c r="B6820" s="12"/>
      <c r="C6820" s="12"/>
      <c r="E6820" t="str">
        <f>IF(LEN(D6820)=0,"",[1]!i_pq_tradedays($B$3,A6821,A6820)-1)</f>
        <v/>
      </c>
      <c r="G6820" s="16" t="str">
        <f t="shared" si="228"/>
        <v/>
      </c>
      <c r="H6820" s="70" t="str">
        <f t="shared" si="229"/>
        <v/>
      </c>
    </row>
    <row r="6821" spans="1:8">
      <c r="A6821" s="2"/>
      <c r="B6821" s="12"/>
      <c r="C6821" s="12"/>
      <c r="E6821" t="str">
        <f>IF(LEN(D6821)=0,"",[1]!i_pq_tradedays($B$3,A6822,A6821)-1)</f>
        <v/>
      </c>
      <c r="G6821" s="16" t="str">
        <f t="shared" si="228"/>
        <v/>
      </c>
      <c r="H6821" s="70" t="str">
        <f t="shared" si="229"/>
        <v/>
      </c>
    </row>
    <row r="6822" spans="1:8">
      <c r="A6822" s="2"/>
      <c r="B6822" s="12"/>
      <c r="C6822" s="12"/>
      <c r="E6822" t="str">
        <f>IF(LEN(D6822)=0,"",[1]!i_pq_tradedays($B$3,A6823,A6822)-1)</f>
        <v/>
      </c>
      <c r="G6822" s="16" t="str">
        <f t="shared" si="228"/>
        <v/>
      </c>
      <c r="H6822" s="70" t="str">
        <f t="shared" si="229"/>
        <v/>
      </c>
    </row>
    <row r="6823" spans="1:8">
      <c r="A6823" s="2"/>
      <c r="B6823" s="12"/>
      <c r="C6823" s="12"/>
      <c r="E6823" t="str">
        <f>IF(LEN(D6823)=0,"",[1]!i_pq_tradedays($B$3,A6824,A6823)-1)</f>
        <v/>
      </c>
      <c r="G6823" s="16" t="str">
        <f t="shared" si="228"/>
        <v/>
      </c>
      <c r="H6823" s="70" t="str">
        <f t="shared" si="229"/>
        <v/>
      </c>
    </row>
    <row r="6824" spans="1:8">
      <c r="A6824" s="2"/>
      <c r="B6824" s="12"/>
      <c r="C6824" s="12"/>
      <c r="E6824" t="str">
        <f>IF(LEN(D6824)=0,"",[1]!i_pq_tradedays($B$3,A6825,A6824)-1)</f>
        <v/>
      </c>
      <c r="G6824" s="16" t="str">
        <f t="shared" si="228"/>
        <v/>
      </c>
      <c r="H6824" s="70" t="str">
        <f t="shared" si="229"/>
        <v/>
      </c>
    </row>
    <row r="6825" spans="1:8">
      <c r="A6825" s="2"/>
      <c r="B6825" s="12"/>
      <c r="C6825" s="12"/>
      <c r="E6825" t="str">
        <f>IF(LEN(D6825)=0,"",[1]!i_pq_tradedays($B$3,A6826,A6825)-1)</f>
        <v/>
      </c>
      <c r="G6825" s="16" t="str">
        <f t="shared" si="228"/>
        <v/>
      </c>
      <c r="H6825" s="70" t="str">
        <f t="shared" si="229"/>
        <v/>
      </c>
    </row>
    <row r="6826" spans="1:8">
      <c r="A6826" s="2"/>
      <c r="B6826" s="12"/>
      <c r="C6826" s="12"/>
      <c r="E6826" t="str">
        <f>IF(LEN(D6826)=0,"",[1]!i_pq_tradedays($B$3,A6827,A6826)-1)</f>
        <v/>
      </c>
      <c r="G6826" s="16" t="str">
        <f t="shared" si="228"/>
        <v/>
      </c>
      <c r="H6826" s="70" t="str">
        <f t="shared" si="229"/>
        <v/>
      </c>
    </row>
    <row r="6827" spans="1:8">
      <c r="A6827" s="2"/>
      <c r="B6827" s="12"/>
      <c r="C6827" s="12"/>
      <c r="E6827" t="str">
        <f>IF(LEN(D6827)=0,"",[1]!i_pq_tradedays($B$3,A6828,A6827)-1)</f>
        <v/>
      </c>
      <c r="G6827" s="16" t="str">
        <f t="shared" si="228"/>
        <v/>
      </c>
      <c r="H6827" s="70" t="str">
        <f t="shared" si="229"/>
        <v/>
      </c>
    </row>
    <row r="6828" spans="1:8">
      <c r="A6828" s="2"/>
      <c r="B6828" s="12"/>
      <c r="C6828" s="12"/>
      <c r="E6828" t="str">
        <f>IF(LEN(D6828)=0,"",[1]!i_pq_tradedays($B$3,A6829,A6828)-1)</f>
        <v/>
      </c>
      <c r="G6828" s="16" t="str">
        <f t="shared" si="228"/>
        <v/>
      </c>
      <c r="H6828" s="70" t="str">
        <f t="shared" si="229"/>
        <v/>
      </c>
    </row>
    <row r="6829" spans="1:8">
      <c r="A6829" s="2"/>
      <c r="B6829" s="12"/>
      <c r="C6829" s="12"/>
      <c r="E6829" t="str">
        <f>IF(LEN(D6829)=0,"",[1]!i_pq_tradedays($B$3,A6830,A6829)-1)</f>
        <v/>
      </c>
      <c r="G6829" s="16" t="str">
        <f t="shared" si="228"/>
        <v/>
      </c>
      <c r="H6829" s="70" t="str">
        <f t="shared" si="229"/>
        <v/>
      </c>
    </row>
    <row r="6830" spans="1:8">
      <c r="A6830" s="2"/>
      <c r="B6830" s="12"/>
      <c r="C6830" s="12"/>
      <c r="E6830" t="str">
        <f>IF(LEN(D6830)=0,"",[1]!i_pq_tradedays($B$3,A6831,A6830)-1)</f>
        <v/>
      </c>
      <c r="G6830" s="16" t="str">
        <f t="shared" si="228"/>
        <v/>
      </c>
      <c r="H6830" s="70" t="str">
        <f t="shared" si="229"/>
        <v/>
      </c>
    </row>
    <row r="6831" spans="1:8">
      <c r="A6831" s="2"/>
      <c r="B6831" s="12"/>
      <c r="C6831" s="12"/>
      <c r="E6831" t="str">
        <f>IF(LEN(D6831)=0,"",[1]!i_pq_tradedays($B$3,A6832,A6831)-1)</f>
        <v/>
      </c>
      <c r="G6831" s="16" t="str">
        <f t="shared" si="228"/>
        <v/>
      </c>
      <c r="H6831" s="70" t="str">
        <f t="shared" si="229"/>
        <v/>
      </c>
    </row>
    <row r="6832" spans="1:8">
      <c r="A6832" s="2"/>
      <c r="B6832" s="12"/>
      <c r="C6832" s="12"/>
      <c r="E6832" t="str">
        <f>IF(LEN(D6832)=0,"",[1]!i_pq_tradedays($B$3,A6833,A6832)-1)</f>
        <v/>
      </c>
      <c r="G6832" s="16" t="str">
        <f t="shared" si="228"/>
        <v/>
      </c>
      <c r="H6832" s="70" t="str">
        <f t="shared" si="229"/>
        <v/>
      </c>
    </row>
    <row r="6833" spans="1:8">
      <c r="A6833" s="2"/>
      <c r="B6833" s="12"/>
      <c r="C6833" s="12"/>
      <c r="E6833" t="str">
        <f>IF(LEN(D6833)=0,"",[1]!i_pq_tradedays($B$3,A6834,A6833)-1)</f>
        <v/>
      </c>
      <c r="G6833" s="16" t="str">
        <f t="shared" si="228"/>
        <v/>
      </c>
      <c r="H6833" s="70" t="str">
        <f t="shared" si="229"/>
        <v/>
      </c>
    </row>
    <row r="6834" spans="1:8">
      <c r="A6834" s="2"/>
      <c r="B6834" s="12"/>
      <c r="C6834" s="12"/>
      <c r="E6834" t="str">
        <f>IF(LEN(D6834)=0,"",[1]!i_pq_tradedays($B$3,A6835,A6834)-1)</f>
        <v/>
      </c>
      <c r="G6834" s="16" t="str">
        <f t="shared" si="228"/>
        <v/>
      </c>
      <c r="H6834" s="70" t="str">
        <f t="shared" si="229"/>
        <v/>
      </c>
    </row>
    <row r="6835" spans="1:8">
      <c r="A6835" s="2"/>
      <c r="B6835" s="12"/>
      <c r="C6835" s="12"/>
      <c r="E6835" t="str">
        <f>IF(LEN(D6835)=0,"",[1]!i_pq_tradedays($B$3,A6836,A6835)-1)</f>
        <v/>
      </c>
      <c r="G6835" s="16" t="str">
        <f t="shared" si="228"/>
        <v/>
      </c>
      <c r="H6835" s="70" t="str">
        <f t="shared" si="229"/>
        <v/>
      </c>
    </row>
    <row r="6836" spans="1:8">
      <c r="A6836" s="2"/>
      <c r="B6836" s="12"/>
      <c r="C6836" s="12"/>
      <c r="E6836" t="str">
        <f>IF(LEN(D6836)=0,"",[1]!i_pq_tradedays($B$3,A6837,A6836)-1)</f>
        <v/>
      </c>
      <c r="G6836" s="16" t="str">
        <f t="shared" si="228"/>
        <v/>
      </c>
      <c r="H6836" s="70" t="str">
        <f t="shared" si="229"/>
        <v/>
      </c>
    </row>
    <row r="6837" spans="1:8">
      <c r="A6837" s="2"/>
      <c r="B6837" s="12"/>
      <c r="C6837" s="12"/>
      <c r="E6837" t="str">
        <f>IF(LEN(D6837)=0,"",[1]!i_pq_tradedays($B$3,A6838,A6837)-1)</f>
        <v/>
      </c>
      <c r="G6837" s="16" t="str">
        <f t="shared" ref="G6837:G6900" si="230">IF(LEN(D6837)=0,"",D6837/E6837)</f>
        <v/>
      </c>
      <c r="H6837" s="70" t="str">
        <f t="shared" ref="H6837:H6900" si="231">IF(LEN(D6837)=0,"",G6837/G6838-1)</f>
        <v/>
      </c>
    </row>
    <row r="6838" spans="1:8">
      <c r="A6838" s="2"/>
      <c r="B6838" s="12"/>
      <c r="C6838" s="12"/>
      <c r="E6838" t="str">
        <f>IF(LEN(D6838)=0,"",[1]!i_pq_tradedays($B$3,A6839,A6838)-1)</f>
        <v/>
      </c>
      <c r="G6838" s="16" t="str">
        <f t="shared" si="230"/>
        <v/>
      </c>
      <c r="H6838" s="70" t="str">
        <f t="shared" si="231"/>
        <v/>
      </c>
    </row>
    <row r="6839" spans="1:8">
      <c r="A6839" s="2"/>
      <c r="B6839" s="12"/>
      <c r="C6839" s="12"/>
      <c r="E6839" t="str">
        <f>IF(LEN(D6839)=0,"",[1]!i_pq_tradedays($B$3,A6840,A6839)-1)</f>
        <v/>
      </c>
      <c r="G6839" s="16" t="str">
        <f t="shared" si="230"/>
        <v/>
      </c>
      <c r="H6839" s="70" t="str">
        <f t="shared" si="231"/>
        <v/>
      </c>
    </row>
    <row r="6840" spans="1:8">
      <c r="A6840" s="2"/>
      <c r="B6840" s="12"/>
      <c r="C6840" s="12"/>
      <c r="E6840" t="str">
        <f>IF(LEN(D6840)=0,"",[1]!i_pq_tradedays($B$3,A6841,A6840)-1)</f>
        <v/>
      </c>
      <c r="G6840" s="16" t="str">
        <f t="shared" si="230"/>
        <v/>
      </c>
      <c r="H6840" s="70" t="str">
        <f t="shared" si="231"/>
        <v/>
      </c>
    </row>
    <row r="6841" spans="1:8">
      <c r="A6841" s="2"/>
      <c r="B6841" s="12"/>
      <c r="C6841" s="12"/>
      <c r="E6841" t="str">
        <f>IF(LEN(D6841)=0,"",[1]!i_pq_tradedays($B$3,A6842,A6841)-1)</f>
        <v/>
      </c>
      <c r="G6841" s="16" t="str">
        <f t="shared" si="230"/>
        <v/>
      </c>
      <c r="H6841" s="70" t="str">
        <f t="shared" si="231"/>
        <v/>
      </c>
    </row>
    <row r="6842" spans="1:8">
      <c r="A6842" s="2"/>
      <c r="B6842" s="12"/>
      <c r="C6842" s="12"/>
      <c r="E6842" t="str">
        <f>IF(LEN(D6842)=0,"",[1]!i_pq_tradedays($B$3,A6843,A6842)-1)</f>
        <v/>
      </c>
      <c r="G6842" s="16" t="str">
        <f t="shared" si="230"/>
        <v/>
      </c>
      <c r="H6842" s="70" t="str">
        <f t="shared" si="231"/>
        <v/>
      </c>
    </row>
    <row r="6843" spans="1:8">
      <c r="A6843" s="2"/>
      <c r="B6843" s="12"/>
      <c r="C6843" s="12"/>
      <c r="E6843" t="str">
        <f>IF(LEN(D6843)=0,"",[1]!i_pq_tradedays($B$3,A6844,A6843)-1)</f>
        <v/>
      </c>
      <c r="G6843" s="16" t="str">
        <f t="shared" si="230"/>
        <v/>
      </c>
      <c r="H6843" s="70" t="str">
        <f t="shared" si="231"/>
        <v/>
      </c>
    </row>
    <row r="6844" spans="1:8">
      <c r="A6844" s="2"/>
      <c r="B6844" s="12"/>
      <c r="C6844" s="12"/>
      <c r="E6844" t="str">
        <f>IF(LEN(D6844)=0,"",[1]!i_pq_tradedays($B$3,A6845,A6844)-1)</f>
        <v/>
      </c>
      <c r="G6844" s="16" t="str">
        <f t="shared" si="230"/>
        <v/>
      </c>
      <c r="H6844" s="70" t="str">
        <f t="shared" si="231"/>
        <v/>
      </c>
    </row>
    <row r="6845" spans="1:8">
      <c r="A6845" s="2"/>
      <c r="B6845" s="12"/>
      <c r="C6845" s="12"/>
      <c r="E6845" t="str">
        <f>IF(LEN(D6845)=0,"",[1]!i_pq_tradedays($B$3,A6846,A6845)-1)</f>
        <v/>
      </c>
      <c r="G6845" s="16" t="str">
        <f t="shared" si="230"/>
        <v/>
      </c>
      <c r="H6845" s="70" t="str">
        <f t="shared" si="231"/>
        <v/>
      </c>
    </row>
    <row r="6846" spans="1:8">
      <c r="A6846" s="2"/>
      <c r="B6846" s="12"/>
      <c r="C6846" s="12"/>
      <c r="E6846" t="str">
        <f>IF(LEN(D6846)=0,"",[1]!i_pq_tradedays($B$3,A6847,A6846)-1)</f>
        <v/>
      </c>
      <c r="G6846" s="16" t="str">
        <f t="shared" si="230"/>
        <v/>
      </c>
      <c r="H6846" s="70" t="str">
        <f t="shared" si="231"/>
        <v/>
      </c>
    </row>
    <row r="6847" spans="1:8">
      <c r="A6847" s="2"/>
      <c r="B6847" s="12"/>
      <c r="C6847" s="12"/>
      <c r="E6847" t="str">
        <f>IF(LEN(D6847)=0,"",[1]!i_pq_tradedays($B$3,A6848,A6847)-1)</f>
        <v/>
      </c>
      <c r="G6847" s="16" t="str">
        <f t="shared" si="230"/>
        <v/>
      </c>
      <c r="H6847" s="70" t="str">
        <f t="shared" si="231"/>
        <v/>
      </c>
    </row>
    <row r="6848" spans="1:8">
      <c r="A6848" s="2"/>
      <c r="B6848" s="12"/>
      <c r="C6848" s="12"/>
      <c r="E6848" t="str">
        <f>IF(LEN(D6848)=0,"",[1]!i_pq_tradedays($B$3,A6849,A6848)-1)</f>
        <v/>
      </c>
      <c r="G6848" s="16" t="str">
        <f t="shared" si="230"/>
        <v/>
      </c>
      <c r="H6848" s="70" t="str">
        <f t="shared" si="231"/>
        <v/>
      </c>
    </row>
    <row r="6849" spans="1:8">
      <c r="A6849" s="2"/>
      <c r="B6849" s="12"/>
      <c r="C6849" s="12"/>
      <c r="E6849" t="str">
        <f>IF(LEN(D6849)=0,"",[1]!i_pq_tradedays($B$3,A6850,A6849)-1)</f>
        <v/>
      </c>
      <c r="G6849" s="16" t="str">
        <f t="shared" si="230"/>
        <v/>
      </c>
      <c r="H6849" s="70" t="str">
        <f t="shared" si="231"/>
        <v/>
      </c>
    </row>
    <row r="6850" spans="1:8">
      <c r="A6850" s="2"/>
      <c r="B6850" s="12"/>
      <c r="C6850" s="12"/>
      <c r="E6850" t="str">
        <f>IF(LEN(D6850)=0,"",[1]!i_pq_tradedays($B$3,A6851,A6850)-1)</f>
        <v/>
      </c>
      <c r="G6850" s="16" t="str">
        <f t="shared" si="230"/>
        <v/>
      </c>
      <c r="H6850" s="70" t="str">
        <f t="shared" si="231"/>
        <v/>
      </c>
    </row>
    <row r="6851" spans="1:8">
      <c r="A6851" s="2"/>
      <c r="B6851" s="12"/>
      <c r="C6851" s="12"/>
      <c r="E6851" t="str">
        <f>IF(LEN(D6851)=0,"",[1]!i_pq_tradedays($B$3,A6852,A6851)-1)</f>
        <v/>
      </c>
      <c r="G6851" s="16" t="str">
        <f t="shared" si="230"/>
        <v/>
      </c>
      <c r="H6851" s="70" t="str">
        <f t="shared" si="231"/>
        <v/>
      </c>
    </row>
    <row r="6852" spans="1:8">
      <c r="A6852" s="2"/>
      <c r="B6852" s="12"/>
      <c r="C6852" s="12"/>
      <c r="E6852" t="str">
        <f>IF(LEN(D6852)=0,"",[1]!i_pq_tradedays($B$3,A6853,A6852)-1)</f>
        <v/>
      </c>
      <c r="G6852" s="16" t="str">
        <f t="shared" si="230"/>
        <v/>
      </c>
      <c r="H6852" s="70" t="str">
        <f t="shared" si="231"/>
        <v/>
      </c>
    </row>
    <row r="6853" spans="1:8">
      <c r="A6853" s="2"/>
      <c r="B6853" s="12"/>
      <c r="C6853" s="12"/>
      <c r="E6853" t="str">
        <f>IF(LEN(D6853)=0,"",[1]!i_pq_tradedays($B$3,A6854,A6853)-1)</f>
        <v/>
      </c>
      <c r="G6853" s="16" t="str">
        <f t="shared" si="230"/>
        <v/>
      </c>
      <c r="H6853" s="70" t="str">
        <f t="shared" si="231"/>
        <v/>
      </c>
    </row>
    <row r="6854" spans="1:8">
      <c r="A6854" s="2"/>
      <c r="B6854" s="12"/>
      <c r="C6854" s="12"/>
      <c r="E6854" t="str">
        <f>IF(LEN(D6854)=0,"",[1]!i_pq_tradedays($B$3,A6855,A6854)-1)</f>
        <v/>
      </c>
      <c r="G6854" s="16" t="str">
        <f t="shared" si="230"/>
        <v/>
      </c>
      <c r="H6854" s="70" t="str">
        <f t="shared" si="231"/>
        <v/>
      </c>
    </row>
    <row r="6855" spans="1:8">
      <c r="A6855" s="2"/>
      <c r="B6855" s="12"/>
      <c r="C6855" s="12"/>
      <c r="E6855" t="str">
        <f>IF(LEN(D6855)=0,"",[1]!i_pq_tradedays($B$3,A6856,A6855)-1)</f>
        <v/>
      </c>
      <c r="G6855" s="16" t="str">
        <f t="shared" si="230"/>
        <v/>
      </c>
      <c r="H6855" s="70" t="str">
        <f t="shared" si="231"/>
        <v/>
      </c>
    </row>
    <row r="6856" spans="1:8">
      <c r="A6856" s="2"/>
      <c r="B6856" s="12"/>
      <c r="C6856" s="12"/>
      <c r="E6856" t="str">
        <f>IF(LEN(D6856)=0,"",[1]!i_pq_tradedays($B$3,A6857,A6856)-1)</f>
        <v/>
      </c>
      <c r="G6856" s="16" t="str">
        <f t="shared" si="230"/>
        <v/>
      </c>
      <c r="H6856" s="70" t="str">
        <f t="shared" si="231"/>
        <v/>
      </c>
    </row>
    <row r="6857" spans="1:8">
      <c r="A6857" s="2"/>
      <c r="B6857" s="12"/>
      <c r="C6857" s="12"/>
      <c r="E6857" t="str">
        <f>IF(LEN(D6857)=0,"",[1]!i_pq_tradedays($B$3,A6858,A6857)-1)</f>
        <v/>
      </c>
      <c r="G6857" s="16" t="str">
        <f t="shared" si="230"/>
        <v/>
      </c>
      <c r="H6857" s="70" t="str">
        <f t="shared" si="231"/>
        <v/>
      </c>
    </row>
    <row r="6858" spans="1:8">
      <c r="A6858" s="2"/>
      <c r="B6858" s="12"/>
      <c r="C6858" s="12"/>
      <c r="E6858" t="str">
        <f>IF(LEN(D6858)=0,"",[1]!i_pq_tradedays($B$3,A6859,A6858)-1)</f>
        <v/>
      </c>
      <c r="G6858" s="16" t="str">
        <f t="shared" si="230"/>
        <v/>
      </c>
      <c r="H6858" s="70" t="str">
        <f t="shared" si="231"/>
        <v/>
      </c>
    </row>
    <row r="6859" spans="1:8">
      <c r="A6859" s="2"/>
      <c r="B6859" s="12"/>
      <c r="C6859" s="12"/>
      <c r="E6859" t="str">
        <f>IF(LEN(D6859)=0,"",[1]!i_pq_tradedays($B$3,A6860,A6859)-1)</f>
        <v/>
      </c>
      <c r="G6859" s="16" t="str">
        <f t="shared" si="230"/>
        <v/>
      </c>
      <c r="H6859" s="70" t="str">
        <f t="shared" si="231"/>
        <v/>
      </c>
    </row>
    <row r="6860" spans="1:8">
      <c r="A6860" s="2"/>
      <c r="B6860" s="12"/>
      <c r="C6860" s="12"/>
      <c r="E6860" t="str">
        <f>IF(LEN(D6860)=0,"",[1]!i_pq_tradedays($B$3,A6861,A6860)-1)</f>
        <v/>
      </c>
      <c r="G6860" s="16" t="str">
        <f t="shared" si="230"/>
        <v/>
      </c>
      <c r="H6860" s="70" t="str">
        <f t="shared" si="231"/>
        <v/>
      </c>
    </row>
    <row r="6861" spans="1:8">
      <c r="A6861" s="2"/>
      <c r="B6861" s="12"/>
      <c r="C6861" s="12"/>
      <c r="E6861" t="str">
        <f>IF(LEN(D6861)=0,"",[1]!i_pq_tradedays($B$3,A6862,A6861)-1)</f>
        <v/>
      </c>
      <c r="G6861" s="16" t="str">
        <f t="shared" si="230"/>
        <v/>
      </c>
      <c r="H6861" s="70" t="str">
        <f t="shared" si="231"/>
        <v/>
      </c>
    </row>
    <row r="6862" spans="1:8">
      <c r="A6862" s="2"/>
      <c r="B6862" s="12"/>
      <c r="C6862" s="12"/>
      <c r="E6862" t="str">
        <f>IF(LEN(D6862)=0,"",[1]!i_pq_tradedays($B$3,A6863,A6862)-1)</f>
        <v/>
      </c>
      <c r="G6862" s="16" t="str">
        <f t="shared" si="230"/>
        <v/>
      </c>
      <c r="H6862" s="70" t="str">
        <f t="shared" si="231"/>
        <v/>
      </c>
    </row>
    <row r="6863" spans="1:8">
      <c r="A6863" s="2"/>
      <c r="B6863" s="12"/>
      <c r="C6863" s="12"/>
      <c r="E6863" t="str">
        <f>IF(LEN(D6863)=0,"",[1]!i_pq_tradedays($B$3,A6864,A6863)-1)</f>
        <v/>
      </c>
      <c r="G6863" s="16" t="str">
        <f t="shared" si="230"/>
        <v/>
      </c>
      <c r="H6863" s="70" t="str">
        <f t="shared" si="231"/>
        <v/>
      </c>
    </row>
    <row r="6864" spans="1:8">
      <c r="A6864" s="2"/>
      <c r="B6864" s="12"/>
      <c r="C6864" s="12"/>
      <c r="E6864" t="str">
        <f>IF(LEN(D6864)=0,"",[1]!i_pq_tradedays($B$3,A6865,A6864)-1)</f>
        <v/>
      </c>
      <c r="G6864" s="16" t="str">
        <f t="shared" si="230"/>
        <v/>
      </c>
      <c r="H6864" s="70" t="str">
        <f t="shared" si="231"/>
        <v/>
      </c>
    </row>
    <row r="6865" spans="1:8">
      <c r="A6865" s="2"/>
      <c r="B6865" s="12"/>
      <c r="C6865" s="12"/>
      <c r="E6865" t="str">
        <f>IF(LEN(D6865)=0,"",[1]!i_pq_tradedays($B$3,A6866,A6865)-1)</f>
        <v/>
      </c>
      <c r="G6865" s="16" t="str">
        <f t="shared" si="230"/>
        <v/>
      </c>
      <c r="H6865" s="70" t="str">
        <f t="shared" si="231"/>
        <v/>
      </c>
    </row>
    <row r="6866" spans="1:8">
      <c r="A6866" s="2"/>
      <c r="B6866" s="12"/>
      <c r="C6866" s="12"/>
      <c r="E6866" t="str">
        <f>IF(LEN(D6866)=0,"",[1]!i_pq_tradedays($B$3,A6867,A6866)-1)</f>
        <v/>
      </c>
      <c r="G6866" s="16" t="str">
        <f t="shared" si="230"/>
        <v/>
      </c>
      <c r="H6866" s="70" t="str">
        <f t="shared" si="231"/>
        <v/>
      </c>
    </row>
    <row r="6867" spans="1:8">
      <c r="A6867" s="2"/>
      <c r="B6867" s="12"/>
      <c r="C6867" s="12"/>
      <c r="E6867" t="str">
        <f>IF(LEN(D6867)=0,"",[1]!i_pq_tradedays($B$3,A6868,A6867)-1)</f>
        <v/>
      </c>
      <c r="G6867" s="16" t="str">
        <f t="shared" si="230"/>
        <v/>
      </c>
      <c r="H6867" s="70" t="str">
        <f t="shared" si="231"/>
        <v/>
      </c>
    </row>
    <row r="6868" spans="1:8">
      <c r="A6868" s="2"/>
      <c r="B6868" s="12"/>
      <c r="C6868" s="12"/>
      <c r="E6868" t="str">
        <f>IF(LEN(D6868)=0,"",[1]!i_pq_tradedays($B$3,A6869,A6868)-1)</f>
        <v/>
      </c>
      <c r="G6868" s="16" t="str">
        <f t="shared" si="230"/>
        <v/>
      </c>
      <c r="H6868" s="70" t="str">
        <f t="shared" si="231"/>
        <v/>
      </c>
    </row>
    <row r="6869" spans="1:8">
      <c r="A6869" s="2"/>
      <c r="B6869" s="12"/>
      <c r="C6869" s="12"/>
      <c r="E6869" t="str">
        <f>IF(LEN(D6869)=0,"",[1]!i_pq_tradedays($B$3,A6870,A6869)-1)</f>
        <v/>
      </c>
      <c r="G6869" s="16" t="str">
        <f t="shared" si="230"/>
        <v/>
      </c>
      <c r="H6869" s="70" t="str">
        <f t="shared" si="231"/>
        <v/>
      </c>
    </row>
    <row r="6870" spans="1:8">
      <c r="A6870" s="2"/>
      <c r="B6870" s="12"/>
      <c r="C6870" s="12"/>
      <c r="E6870" t="str">
        <f>IF(LEN(D6870)=0,"",[1]!i_pq_tradedays($B$3,A6871,A6870)-1)</f>
        <v/>
      </c>
      <c r="G6870" s="16" t="str">
        <f t="shared" si="230"/>
        <v/>
      </c>
      <c r="H6870" s="70" t="str">
        <f t="shared" si="231"/>
        <v/>
      </c>
    </row>
    <row r="6871" spans="1:8">
      <c r="A6871" s="2"/>
      <c r="B6871" s="12"/>
      <c r="C6871" s="12"/>
      <c r="E6871" t="str">
        <f>IF(LEN(D6871)=0,"",[1]!i_pq_tradedays($B$3,A6872,A6871)-1)</f>
        <v/>
      </c>
      <c r="G6871" s="16" t="str">
        <f t="shared" si="230"/>
        <v/>
      </c>
      <c r="H6871" s="70" t="str">
        <f t="shared" si="231"/>
        <v/>
      </c>
    </row>
    <row r="6872" spans="1:8">
      <c r="A6872" s="2"/>
      <c r="B6872" s="12"/>
      <c r="C6872" s="12"/>
      <c r="E6872" t="str">
        <f>IF(LEN(D6872)=0,"",[1]!i_pq_tradedays($B$3,A6873,A6872)-1)</f>
        <v/>
      </c>
      <c r="G6872" s="16" t="str">
        <f t="shared" si="230"/>
        <v/>
      </c>
      <c r="H6872" s="70" t="str">
        <f t="shared" si="231"/>
        <v/>
      </c>
    </row>
    <row r="6873" spans="1:8">
      <c r="A6873" s="2"/>
      <c r="B6873" s="12"/>
      <c r="C6873" s="12"/>
      <c r="E6873" t="str">
        <f>IF(LEN(D6873)=0,"",[1]!i_pq_tradedays($B$3,A6874,A6873)-1)</f>
        <v/>
      </c>
      <c r="G6873" s="16" t="str">
        <f t="shared" si="230"/>
        <v/>
      </c>
      <c r="H6873" s="70" t="str">
        <f t="shared" si="231"/>
        <v/>
      </c>
    </row>
    <row r="6874" spans="1:8">
      <c r="A6874" s="2"/>
      <c r="B6874" s="12"/>
      <c r="C6874" s="12"/>
      <c r="E6874" t="str">
        <f>IF(LEN(D6874)=0,"",[1]!i_pq_tradedays($B$3,A6875,A6874)-1)</f>
        <v/>
      </c>
      <c r="G6874" s="16" t="str">
        <f t="shared" si="230"/>
        <v/>
      </c>
      <c r="H6874" s="70" t="str">
        <f t="shared" si="231"/>
        <v/>
      </c>
    </row>
    <row r="6875" spans="1:8">
      <c r="A6875" s="2"/>
      <c r="B6875" s="12"/>
      <c r="C6875" s="12"/>
      <c r="E6875" t="str">
        <f>IF(LEN(D6875)=0,"",[1]!i_pq_tradedays($B$3,A6876,A6875)-1)</f>
        <v/>
      </c>
      <c r="G6875" s="16" t="str">
        <f t="shared" si="230"/>
        <v/>
      </c>
      <c r="H6875" s="70" t="str">
        <f t="shared" si="231"/>
        <v/>
      </c>
    </row>
    <row r="6876" spans="1:8">
      <c r="A6876" s="2"/>
      <c r="B6876" s="12"/>
      <c r="C6876" s="12"/>
      <c r="E6876" t="str">
        <f>IF(LEN(D6876)=0,"",[1]!i_pq_tradedays($B$3,A6877,A6876)-1)</f>
        <v/>
      </c>
      <c r="G6876" s="16" t="str">
        <f t="shared" si="230"/>
        <v/>
      </c>
      <c r="H6876" s="70" t="str">
        <f t="shared" si="231"/>
        <v/>
      </c>
    </row>
    <row r="6877" spans="1:8">
      <c r="A6877" s="2"/>
      <c r="B6877" s="12"/>
      <c r="C6877" s="12"/>
      <c r="E6877" t="str">
        <f>IF(LEN(D6877)=0,"",[1]!i_pq_tradedays($B$3,A6878,A6877)-1)</f>
        <v/>
      </c>
      <c r="G6877" s="16" t="str">
        <f t="shared" si="230"/>
        <v/>
      </c>
      <c r="H6877" s="70" t="str">
        <f t="shared" si="231"/>
        <v/>
      </c>
    </row>
    <row r="6878" spans="1:8">
      <c r="A6878" s="2"/>
      <c r="B6878" s="12"/>
      <c r="C6878" s="12"/>
      <c r="E6878" t="str">
        <f>IF(LEN(D6878)=0,"",[1]!i_pq_tradedays($B$3,A6879,A6878)-1)</f>
        <v/>
      </c>
      <c r="G6878" s="16" t="str">
        <f t="shared" si="230"/>
        <v/>
      </c>
      <c r="H6878" s="70" t="str">
        <f t="shared" si="231"/>
        <v/>
      </c>
    </row>
    <row r="6879" spans="1:8">
      <c r="A6879" s="2"/>
      <c r="B6879" s="12"/>
      <c r="C6879" s="12"/>
      <c r="E6879" t="str">
        <f>IF(LEN(D6879)=0,"",[1]!i_pq_tradedays($B$3,A6880,A6879)-1)</f>
        <v/>
      </c>
      <c r="G6879" s="16" t="str">
        <f t="shared" si="230"/>
        <v/>
      </c>
      <c r="H6879" s="70" t="str">
        <f t="shared" si="231"/>
        <v/>
      </c>
    </row>
    <row r="6880" spans="1:8">
      <c r="A6880" s="2"/>
      <c r="B6880" s="12"/>
      <c r="C6880" s="12"/>
      <c r="E6880" t="str">
        <f>IF(LEN(D6880)=0,"",[1]!i_pq_tradedays($B$3,A6881,A6880)-1)</f>
        <v/>
      </c>
      <c r="G6880" s="16" t="str">
        <f t="shared" si="230"/>
        <v/>
      </c>
      <c r="H6880" s="70" t="str">
        <f t="shared" si="231"/>
        <v/>
      </c>
    </row>
    <row r="6881" spans="1:8">
      <c r="A6881" s="2"/>
      <c r="B6881" s="12"/>
      <c r="C6881" s="12"/>
      <c r="E6881" t="str">
        <f>IF(LEN(D6881)=0,"",[1]!i_pq_tradedays($B$3,A6882,A6881)-1)</f>
        <v/>
      </c>
      <c r="G6881" s="16" t="str">
        <f t="shared" si="230"/>
        <v/>
      </c>
      <c r="H6881" s="70" t="str">
        <f t="shared" si="231"/>
        <v/>
      </c>
    </row>
    <row r="6882" spans="1:8">
      <c r="A6882" s="2"/>
      <c r="B6882" s="12"/>
      <c r="C6882" s="12"/>
      <c r="E6882" t="str">
        <f>IF(LEN(D6882)=0,"",[1]!i_pq_tradedays($B$3,A6883,A6882)-1)</f>
        <v/>
      </c>
      <c r="G6882" s="16" t="str">
        <f t="shared" si="230"/>
        <v/>
      </c>
      <c r="H6882" s="70" t="str">
        <f t="shared" si="231"/>
        <v/>
      </c>
    </row>
    <row r="6883" spans="1:8">
      <c r="A6883" s="2"/>
      <c r="B6883" s="12"/>
      <c r="C6883" s="12"/>
      <c r="E6883" t="str">
        <f>IF(LEN(D6883)=0,"",[1]!i_pq_tradedays($B$3,A6884,A6883)-1)</f>
        <v/>
      </c>
      <c r="G6883" s="16" t="str">
        <f t="shared" si="230"/>
        <v/>
      </c>
      <c r="H6883" s="70" t="str">
        <f t="shared" si="231"/>
        <v/>
      </c>
    </row>
    <row r="6884" spans="1:8">
      <c r="A6884" s="2"/>
      <c r="B6884" s="12"/>
      <c r="C6884" s="12"/>
      <c r="E6884" t="str">
        <f>IF(LEN(D6884)=0,"",[1]!i_pq_tradedays($B$3,A6885,A6884)-1)</f>
        <v/>
      </c>
      <c r="G6884" s="16" t="str">
        <f t="shared" si="230"/>
        <v/>
      </c>
      <c r="H6884" s="70" t="str">
        <f t="shared" si="231"/>
        <v/>
      </c>
    </row>
    <row r="6885" spans="1:8">
      <c r="A6885" s="2"/>
      <c r="B6885" s="12"/>
      <c r="C6885" s="12"/>
      <c r="E6885" t="str">
        <f>IF(LEN(D6885)=0,"",[1]!i_pq_tradedays($B$3,A6886,A6885)-1)</f>
        <v/>
      </c>
      <c r="G6885" s="16" t="str">
        <f t="shared" si="230"/>
        <v/>
      </c>
      <c r="H6885" s="70" t="str">
        <f t="shared" si="231"/>
        <v/>
      </c>
    </row>
    <row r="6886" spans="1:8">
      <c r="A6886" s="2"/>
      <c r="B6886" s="12"/>
      <c r="C6886" s="12"/>
      <c r="E6886" t="str">
        <f>IF(LEN(D6886)=0,"",[1]!i_pq_tradedays($B$3,A6887,A6886)-1)</f>
        <v/>
      </c>
      <c r="G6886" s="16" t="str">
        <f t="shared" si="230"/>
        <v/>
      </c>
      <c r="H6886" s="70" t="str">
        <f t="shared" si="231"/>
        <v/>
      </c>
    </row>
    <row r="6887" spans="1:8">
      <c r="A6887" s="2"/>
      <c r="B6887" s="12"/>
      <c r="C6887" s="12"/>
      <c r="E6887" t="str">
        <f>IF(LEN(D6887)=0,"",[1]!i_pq_tradedays($B$3,A6888,A6887)-1)</f>
        <v/>
      </c>
      <c r="G6887" s="16" t="str">
        <f t="shared" si="230"/>
        <v/>
      </c>
      <c r="H6887" s="70" t="str">
        <f t="shared" si="231"/>
        <v/>
      </c>
    </row>
    <row r="6888" spans="1:8">
      <c r="A6888" s="2"/>
      <c r="B6888" s="12"/>
      <c r="C6888" s="12"/>
      <c r="E6888" t="str">
        <f>IF(LEN(D6888)=0,"",[1]!i_pq_tradedays($B$3,A6889,A6888)-1)</f>
        <v/>
      </c>
      <c r="G6888" s="16" t="str">
        <f t="shared" si="230"/>
        <v/>
      </c>
      <c r="H6888" s="70" t="str">
        <f t="shared" si="231"/>
        <v/>
      </c>
    </row>
    <row r="6889" spans="1:8">
      <c r="A6889" s="2"/>
      <c r="B6889" s="12"/>
      <c r="C6889" s="12"/>
      <c r="E6889" t="str">
        <f>IF(LEN(D6889)=0,"",[1]!i_pq_tradedays($B$3,A6890,A6889)-1)</f>
        <v/>
      </c>
      <c r="G6889" s="16" t="str">
        <f t="shared" si="230"/>
        <v/>
      </c>
      <c r="H6889" s="70" t="str">
        <f t="shared" si="231"/>
        <v/>
      </c>
    </row>
    <row r="6890" spans="1:8">
      <c r="A6890" s="2"/>
      <c r="B6890" s="12"/>
      <c r="C6890" s="12"/>
      <c r="E6890" t="str">
        <f>IF(LEN(D6890)=0,"",[1]!i_pq_tradedays($B$3,A6891,A6890)-1)</f>
        <v/>
      </c>
      <c r="G6890" s="16" t="str">
        <f t="shared" si="230"/>
        <v/>
      </c>
      <c r="H6890" s="70" t="str">
        <f t="shared" si="231"/>
        <v/>
      </c>
    </row>
    <row r="6891" spans="1:8">
      <c r="A6891" s="2"/>
      <c r="B6891" s="12"/>
      <c r="C6891" s="12"/>
      <c r="E6891" t="str">
        <f>IF(LEN(D6891)=0,"",[1]!i_pq_tradedays($B$3,A6892,A6891)-1)</f>
        <v/>
      </c>
      <c r="G6891" s="16" t="str">
        <f t="shared" si="230"/>
        <v/>
      </c>
      <c r="H6891" s="70" t="str">
        <f t="shared" si="231"/>
        <v/>
      </c>
    </row>
    <row r="6892" spans="1:8">
      <c r="A6892" s="2"/>
      <c r="B6892" s="12"/>
      <c r="C6892" s="12"/>
      <c r="E6892" t="str">
        <f>IF(LEN(D6892)=0,"",[1]!i_pq_tradedays($B$3,A6893,A6892)-1)</f>
        <v/>
      </c>
      <c r="G6892" s="16" t="str">
        <f t="shared" si="230"/>
        <v/>
      </c>
      <c r="H6892" s="70" t="str">
        <f t="shared" si="231"/>
        <v/>
      </c>
    </row>
    <row r="6893" spans="1:8">
      <c r="A6893" s="2"/>
      <c r="B6893" s="12"/>
      <c r="C6893" s="12"/>
      <c r="E6893" t="str">
        <f>IF(LEN(D6893)=0,"",[1]!i_pq_tradedays($B$3,A6894,A6893)-1)</f>
        <v/>
      </c>
      <c r="G6893" s="16" t="str">
        <f t="shared" si="230"/>
        <v/>
      </c>
      <c r="H6893" s="70" t="str">
        <f t="shared" si="231"/>
        <v/>
      </c>
    </row>
    <row r="6894" spans="1:8">
      <c r="A6894" s="2"/>
      <c r="B6894" s="12"/>
      <c r="C6894" s="12"/>
      <c r="E6894" t="str">
        <f>IF(LEN(D6894)=0,"",[1]!i_pq_tradedays($B$3,A6895,A6894)-1)</f>
        <v/>
      </c>
      <c r="G6894" s="16" t="str">
        <f t="shared" si="230"/>
        <v/>
      </c>
      <c r="H6894" s="70" t="str">
        <f t="shared" si="231"/>
        <v/>
      </c>
    </row>
    <row r="6895" spans="1:8">
      <c r="A6895" s="2"/>
      <c r="B6895" s="12"/>
      <c r="C6895" s="12"/>
      <c r="E6895" t="str">
        <f>IF(LEN(D6895)=0,"",[1]!i_pq_tradedays($B$3,A6896,A6895)-1)</f>
        <v/>
      </c>
      <c r="G6895" s="16" t="str">
        <f t="shared" si="230"/>
        <v/>
      </c>
      <c r="H6895" s="70" t="str">
        <f t="shared" si="231"/>
        <v/>
      </c>
    </row>
    <row r="6896" spans="1:8">
      <c r="A6896" s="2"/>
      <c r="B6896" s="12"/>
      <c r="C6896" s="12"/>
      <c r="E6896" t="str">
        <f>IF(LEN(D6896)=0,"",[1]!i_pq_tradedays($B$3,A6897,A6896)-1)</f>
        <v/>
      </c>
      <c r="G6896" s="16" t="str">
        <f t="shared" si="230"/>
        <v/>
      </c>
      <c r="H6896" s="70" t="str">
        <f t="shared" si="231"/>
        <v/>
      </c>
    </row>
    <row r="6897" spans="1:8">
      <c r="A6897" s="2"/>
      <c r="B6897" s="12"/>
      <c r="C6897" s="12"/>
      <c r="E6897" t="str">
        <f>IF(LEN(D6897)=0,"",[1]!i_pq_tradedays($B$3,A6898,A6897)-1)</f>
        <v/>
      </c>
      <c r="G6897" s="16" t="str">
        <f t="shared" si="230"/>
        <v/>
      </c>
      <c r="H6897" s="70" t="str">
        <f t="shared" si="231"/>
        <v/>
      </c>
    </row>
    <row r="6898" spans="1:8">
      <c r="A6898" s="2"/>
      <c r="B6898" s="12"/>
      <c r="C6898" s="12"/>
      <c r="E6898" t="str">
        <f>IF(LEN(D6898)=0,"",[1]!i_pq_tradedays($B$3,A6899,A6898)-1)</f>
        <v/>
      </c>
      <c r="G6898" s="16" t="str">
        <f t="shared" si="230"/>
        <v/>
      </c>
      <c r="H6898" s="70" t="str">
        <f t="shared" si="231"/>
        <v/>
      </c>
    </row>
    <row r="6899" spans="1:8">
      <c r="A6899" s="2"/>
      <c r="B6899" s="12"/>
      <c r="C6899" s="12"/>
      <c r="E6899" t="str">
        <f>IF(LEN(D6899)=0,"",[1]!i_pq_tradedays($B$3,A6900,A6899)-1)</f>
        <v/>
      </c>
      <c r="G6899" s="16" t="str">
        <f t="shared" si="230"/>
        <v/>
      </c>
      <c r="H6899" s="70" t="str">
        <f t="shared" si="231"/>
        <v/>
      </c>
    </row>
    <row r="6900" spans="1:8">
      <c r="A6900" s="2"/>
      <c r="B6900" s="12"/>
      <c r="C6900" s="12"/>
      <c r="E6900" t="str">
        <f>IF(LEN(D6900)=0,"",[1]!i_pq_tradedays($B$3,A6901,A6900)-1)</f>
        <v/>
      </c>
      <c r="G6900" s="16" t="str">
        <f t="shared" si="230"/>
        <v/>
      </c>
      <c r="H6900" s="70" t="str">
        <f t="shared" si="231"/>
        <v/>
      </c>
    </row>
    <row r="6901" spans="1:8">
      <c r="A6901" s="2"/>
      <c r="B6901" s="12"/>
      <c r="C6901" s="12"/>
      <c r="E6901" t="str">
        <f>IF(LEN(D6901)=0,"",[1]!i_pq_tradedays($B$3,A6902,A6901)-1)</f>
        <v/>
      </c>
      <c r="G6901" s="16" t="str">
        <f t="shared" ref="G6901:G6964" si="232">IF(LEN(D6901)=0,"",D6901/E6901)</f>
        <v/>
      </c>
      <c r="H6901" s="70" t="str">
        <f t="shared" ref="H6901:H6964" si="233">IF(LEN(D6901)=0,"",G6901/G6902-1)</f>
        <v/>
      </c>
    </row>
    <row r="6902" spans="1:8">
      <c r="A6902" s="2"/>
      <c r="B6902" s="12"/>
      <c r="C6902" s="12"/>
      <c r="E6902" t="str">
        <f>IF(LEN(D6902)=0,"",[1]!i_pq_tradedays($B$3,A6903,A6902)-1)</f>
        <v/>
      </c>
      <c r="G6902" s="16" t="str">
        <f t="shared" si="232"/>
        <v/>
      </c>
      <c r="H6902" s="70" t="str">
        <f t="shared" si="233"/>
        <v/>
      </c>
    </row>
    <row r="6903" spans="1:8">
      <c r="A6903" s="2"/>
      <c r="B6903" s="12"/>
      <c r="C6903" s="12"/>
      <c r="E6903" t="str">
        <f>IF(LEN(D6903)=0,"",[1]!i_pq_tradedays($B$3,A6904,A6903)-1)</f>
        <v/>
      </c>
      <c r="G6903" s="16" t="str">
        <f t="shared" si="232"/>
        <v/>
      </c>
      <c r="H6903" s="70" t="str">
        <f t="shared" si="233"/>
        <v/>
      </c>
    </row>
    <row r="6904" spans="1:8">
      <c r="A6904" s="2"/>
      <c r="B6904" s="12"/>
      <c r="C6904" s="12"/>
      <c r="E6904" t="str">
        <f>IF(LEN(D6904)=0,"",[1]!i_pq_tradedays($B$3,A6905,A6904)-1)</f>
        <v/>
      </c>
      <c r="G6904" s="16" t="str">
        <f t="shared" si="232"/>
        <v/>
      </c>
      <c r="H6904" s="70" t="str">
        <f t="shared" si="233"/>
        <v/>
      </c>
    </row>
    <row r="6905" spans="1:8">
      <c r="A6905" s="2"/>
      <c r="B6905" s="12"/>
      <c r="C6905" s="12"/>
      <c r="E6905" t="str">
        <f>IF(LEN(D6905)=0,"",[1]!i_pq_tradedays($B$3,A6906,A6905)-1)</f>
        <v/>
      </c>
      <c r="G6905" s="16" t="str">
        <f t="shared" si="232"/>
        <v/>
      </c>
      <c r="H6905" s="70" t="str">
        <f t="shared" si="233"/>
        <v/>
      </c>
    </row>
    <row r="6906" spans="1:8">
      <c r="A6906" s="2"/>
      <c r="B6906" s="12"/>
      <c r="C6906" s="12"/>
      <c r="E6906" t="str">
        <f>IF(LEN(D6906)=0,"",[1]!i_pq_tradedays($B$3,A6907,A6906)-1)</f>
        <v/>
      </c>
      <c r="G6906" s="16" t="str">
        <f t="shared" si="232"/>
        <v/>
      </c>
      <c r="H6906" s="70" t="str">
        <f t="shared" si="233"/>
        <v/>
      </c>
    </row>
    <row r="6907" spans="1:8">
      <c r="A6907" s="2"/>
      <c r="B6907" s="12"/>
      <c r="C6907" s="12"/>
      <c r="E6907" t="str">
        <f>IF(LEN(D6907)=0,"",[1]!i_pq_tradedays($B$3,A6908,A6907)-1)</f>
        <v/>
      </c>
      <c r="G6907" s="16" t="str">
        <f t="shared" si="232"/>
        <v/>
      </c>
      <c r="H6907" s="70" t="str">
        <f t="shared" si="233"/>
        <v/>
      </c>
    </row>
    <row r="6908" spans="1:8">
      <c r="A6908" s="2"/>
      <c r="B6908" s="12"/>
      <c r="C6908" s="12"/>
      <c r="E6908" t="str">
        <f>IF(LEN(D6908)=0,"",[1]!i_pq_tradedays($B$3,A6909,A6908)-1)</f>
        <v/>
      </c>
      <c r="G6908" s="16" t="str">
        <f t="shared" si="232"/>
        <v/>
      </c>
      <c r="H6908" s="70" t="str">
        <f t="shared" si="233"/>
        <v/>
      </c>
    </row>
    <row r="6909" spans="1:8">
      <c r="A6909" s="2"/>
      <c r="B6909" s="12"/>
      <c r="C6909" s="12"/>
      <c r="E6909" t="str">
        <f>IF(LEN(D6909)=0,"",[1]!i_pq_tradedays($B$3,A6910,A6909)-1)</f>
        <v/>
      </c>
      <c r="G6909" s="16" t="str">
        <f t="shared" si="232"/>
        <v/>
      </c>
      <c r="H6909" s="70" t="str">
        <f t="shared" si="233"/>
        <v/>
      </c>
    </row>
    <row r="6910" spans="1:8">
      <c r="A6910" s="2"/>
      <c r="B6910" s="12"/>
      <c r="C6910" s="12"/>
      <c r="E6910" t="str">
        <f>IF(LEN(D6910)=0,"",[1]!i_pq_tradedays($B$3,A6911,A6910)-1)</f>
        <v/>
      </c>
      <c r="G6910" s="16" t="str">
        <f t="shared" si="232"/>
        <v/>
      </c>
      <c r="H6910" s="70" t="str">
        <f t="shared" si="233"/>
        <v/>
      </c>
    </row>
    <row r="6911" spans="1:8">
      <c r="A6911" s="2"/>
      <c r="B6911" s="12"/>
      <c r="C6911" s="12"/>
      <c r="E6911" t="str">
        <f>IF(LEN(D6911)=0,"",[1]!i_pq_tradedays($B$3,A6912,A6911)-1)</f>
        <v/>
      </c>
      <c r="G6911" s="16" t="str">
        <f t="shared" si="232"/>
        <v/>
      </c>
      <c r="H6911" s="70" t="str">
        <f t="shared" si="233"/>
        <v/>
      </c>
    </row>
    <row r="6912" spans="1:8">
      <c r="A6912" s="2"/>
      <c r="B6912" s="12"/>
      <c r="C6912" s="12"/>
      <c r="E6912" t="str">
        <f>IF(LEN(D6912)=0,"",[1]!i_pq_tradedays($B$3,A6913,A6912)-1)</f>
        <v/>
      </c>
      <c r="G6912" s="16" t="str">
        <f t="shared" si="232"/>
        <v/>
      </c>
      <c r="H6912" s="70" t="str">
        <f t="shared" si="233"/>
        <v/>
      </c>
    </row>
    <row r="6913" spans="1:8">
      <c r="A6913" s="2"/>
      <c r="B6913" s="12"/>
      <c r="C6913" s="12"/>
      <c r="E6913" t="str">
        <f>IF(LEN(D6913)=0,"",[1]!i_pq_tradedays($B$3,A6914,A6913)-1)</f>
        <v/>
      </c>
      <c r="G6913" s="16" t="str">
        <f t="shared" si="232"/>
        <v/>
      </c>
      <c r="H6913" s="70" t="str">
        <f t="shared" si="233"/>
        <v/>
      </c>
    </row>
    <row r="6914" spans="1:8">
      <c r="A6914" s="2"/>
      <c r="B6914" s="12"/>
      <c r="C6914" s="12"/>
      <c r="E6914" t="str">
        <f>IF(LEN(D6914)=0,"",[1]!i_pq_tradedays($B$3,A6915,A6914)-1)</f>
        <v/>
      </c>
      <c r="G6914" s="16" t="str">
        <f t="shared" si="232"/>
        <v/>
      </c>
      <c r="H6914" s="70" t="str">
        <f t="shared" si="233"/>
        <v/>
      </c>
    </row>
    <row r="6915" spans="1:8">
      <c r="A6915" s="2"/>
      <c r="B6915" s="12"/>
      <c r="C6915" s="12"/>
      <c r="E6915" t="str">
        <f>IF(LEN(D6915)=0,"",[1]!i_pq_tradedays($B$3,A6916,A6915)-1)</f>
        <v/>
      </c>
      <c r="G6915" s="16" t="str">
        <f t="shared" si="232"/>
        <v/>
      </c>
      <c r="H6915" s="70" t="str">
        <f t="shared" si="233"/>
        <v/>
      </c>
    </row>
    <row r="6916" spans="1:8">
      <c r="A6916" s="2"/>
      <c r="B6916" s="12"/>
      <c r="C6916" s="12"/>
      <c r="E6916" t="str">
        <f>IF(LEN(D6916)=0,"",[1]!i_pq_tradedays($B$3,A6917,A6916)-1)</f>
        <v/>
      </c>
      <c r="G6916" s="16" t="str">
        <f t="shared" si="232"/>
        <v/>
      </c>
      <c r="H6916" s="70" t="str">
        <f t="shared" si="233"/>
        <v/>
      </c>
    </row>
    <row r="6917" spans="1:8">
      <c r="A6917" s="2"/>
      <c r="B6917" s="12"/>
      <c r="C6917" s="12"/>
      <c r="E6917" t="str">
        <f>IF(LEN(D6917)=0,"",[1]!i_pq_tradedays($B$3,A6918,A6917)-1)</f>
        <v/>
      </c>
      <c r="G6917" s="16" t="str">
        <f t="shared" si="232"/>
        <v/>
      </c>
      <c r="H6917" s="70" t="str">
        <f t="shared" si="233"/>
        <v/>
      </c>
    </row>
    <row r="6918" spans="1:8">
      <c r="A6918" s="2"/>
      <c r="B6918" s="12"/>
      <c r="C6918" s="12"/>
      <c r="E6918" t="str">
        <f>IF(LEN(D6918)=0,"",[1]!i_pq_tradedays($B$3,A6919,A6918)-1)</f>
        <v/>
      </c>
      <c r="G6918" s="16" t="str">
        <f t="shared" si="232"/>
        <v/>
      </c>
      <c r="H6918" s="70" t="str">
        <f t="shared" si="233"/>
        <v/>
      </c>
    </row>
    <row r="6919" spans="1:8">
      <c r="A6919" s="2"/>
      <c r="B6919" s="12"/>
      <c r="C6919" s="12"/>
      <c r="E6919" t="str">
        <f>IF(LEN(D6919)=0,"",[1]!i_pq_tradedays($B$3,A6920,A6919)-1)</f>
        <v/>
      </c>
      <c r="G6919" s="16" t="str">
        <f t="shared" si="232"/>
        <v/>
      </c>
      <c r="H6919" s="70" t="str">
        <f t="shared" si="233"/>
        <v/>
      </c>
    </row>
    <row r="6920" spans="1:8">
      <c r="A6920" s="2"/>
      <c r="B6920" s="12"/>
      <c r="C6920" s="12"/>
      <c r="E6920" t="str">
        <f>IF(LEN(D6920)=0,"",[1]!i_pq_tradedays($B$3,A6921,A6920)-1)</f>
        <v/>
      </c>
      <c r="G6920" s="16" t="str">
        <f t="shared" si="232"/>
        <v/>
      </c>
      <c r="H6920" s="70" t="str">
        <f t="shared" si="233"/>
        <v/>
      </c>
    </row>
    <row r="6921" spans="1:8">
      <c r="A6921" s="2"/>
      <c r="B6921" s="12"/>
      <c r="C6921" s="12"/>
      <c r="E6921" t="str">
        <f>IF(LEN(D6921)=0,"",[1]!i_pq_tradedays($B$3,A6922,A6921)-1)</f>
        <v/>
      </c>
      <c r="G6921" s="16" t="str">
        <f t="shared" si="232"/>
        <v/>
      </c>
      <c r="H6921" s="70" t="str">
        <f t="shared" si="233"/>
        <v/>
      </c>
    </row>
    <row r="6922" spans="1:8">
      <c r="A6922" s="2"/>
      <c r="B6922" s="12"/>
      <c r="C6922" s="12"/>
      <c r="E6922" t="str">
        <f>IF(LEN(D6922)=0,"",[1]!i_pq_tradedays($B$3,A6923,A6922)-1)</f>
        <v/>
      </c>
      <c r="G6922" s="16" t="str">
        <f t="shared" si="232"/>
        <v/>
      </c>
      <c r="H6922" s="70" t="str">
        <f t="shared" si="233"/>
        <v/>
      </c>
    </row>
    <row r="6923" spans="1:8">
      <c r="A6923" s="2"/>
      <c r="B6923" s="12"/>
      <c r="C6923" s="12"/>
      <c r="E6923" t="str">
        <f>IF(LEN(D6923)=0,"",[1]!i_pq_tradedays($B$3,A6924,A6923)-1)</f>
        <v/>
      </c>
      <c r="G6923" s="16" t="str">
        <f t="shared" si="232"/>
        <v/>
      </c>
      <c r="H6923" s="70" t="str">
        <f t="shared" si="233"/>
        <v/>
      </c>
    </row>
    <row r="6924" spans="1:8">
      <c r="A6924" s="2"/>
      <c r="B6924" s="12"/>
      <c r="C6924" s="12"/>
      <c r="E6924" t="str">
        <f>IF(LEN(D6924)=0,"",[1]!i_pq_tradedays($B$3,A6925,A6924)-1)</f>
        <v/>
      </c>
      <c r="G6924" s="16" t="str">
        <f t="shared" si="232"/>
        <v/>
      </c>
      <c r="H6924" s="70" t="str">
        <f t="shared" si="233"/>
        <v/>
      </c>
    </row>
    <row r="6925" spans="1:8">
      <c r="A6925" s="2"/>
      <c r="B6925" s="12"/>
      <c r="C6925" s="12"/>
      <c r="E6925" t="str">
        <f>IF(LEN(D6925)=0,"",[1]!i_pq_tradedays($B$3,A6926,A6925)-1)</f>
        <v/>
      </c>
      <c r="G6925" s="16" t="str">
        <f t="shared" si="232"/>
        <v/>
      </c>
      <c r="H6925" s="70" t="str">
        <f t="shared" si="233"/>
        <v/>
      </c>
    </row>
    <row r="6926" spans="1:8">
      <c r="A6926" s="2"/>
      <c r="B6926" s="12"/>
      <c r="C6926" s="12"/>
      <c r="E6926" t="str">
        <f>IF(LEN(D6926)=0,"",[1]!i_pq_tradedays($B$3,A6927,A6926)-1)</f>
        <v/>
      </c>
      <c r="G6926" s="16" t="str">
        <f t="shared" si="232"/>
        <v/>
      </c>
      <c r="H6926" s="70" t="str">
        <f t="shared" si="233"/>
        <v/>
      </c>
    </row>
    <row r="6927" spans="1:8">
      <c r="A6927" s="2"/>
      <c r="B6927" s="12"/>
      <c r="C6927" s="12"/>
      <c r="E6927" t="str">
        <f>IF(LEN(D6927)=0,"",[1]!i_pq_tradedays($B$3,A6928,A6927)-1)</f>
        <v/>
      </c>
      <c r="G6927" s="16" t="str">
        <f t="shared" si="232"/>
        <v/>
      </c>
      <c r="H6927" s="70" t="str">
        <f t="shared" si="233"/>
        <v/>
      </c>
    </row>
    <row r="6928" spans="1:8">
      <c r="A6928" s="2"/>
      <c r="B6928" s="12"/>
      <c r="C6928" s="12"/>
      <c r="E6928" t="str">
        <f>IF(LEN(D6928)=0,"",[1]!i_pq_tradedays($B$3,A6929,A6928)-1)</f>
        <v/>
      </c>
      <c r="G6928" s="16" t="str">
        <f t="shared" si="232"/>
        <v/>
      </c>
      <c r="H6928" s="70" t="str">
        <f t="shared" si="233"/>
        <v/>
      </c>
    </row>
    <row r="6929" spans="1:8">
      <c r="A6929" s="2"/>
      <c r="B6929" s="12"/>
      <c r="C6929" s="12"/>
      <c r="E6929" t="str">
        <f>IF(LEN(D6929)=0,"",[1]!i_pq_tradedays($B$3,A6930,A6929)-1)</f>
        <v/>
      </c>
      <c r="G6929" s="16" t="str">
        <f t="shared" si="232"/>
        <v/>
      </c>
      <c r="H6929" s="70" t="str">
        <f t="shared" si="233"/>
        <v/>
      </c>
    </row>
    <row r="6930" spans="1:8">
      <c r="A6930" s="2"/>
      <c r="B6930" s="12"/>
      <c r="C6930" s="12"/>
      <c r="E6930" t="str">
        <f>IF(LEN(D6930)=0,"",[1]!i_pq_tradedays($B$3,A6931,A6930)-1)</f>
        <v/>
      </c>
      <c r="G6930" s="16" t="str">
        <f t="shared" si="232"/>
        <v/>
      </c>
      <c r="H6930" s="70" t="str">
        <f t="shared" si="233"/>
        <v/>
      </c>
    </row>
    <row r="6931" spans="1:8">
      <c r="A6931" s="2"/>
      <c r="B6931" s="12"/>
      <c r="C6931" s="12"/>
      <c r="E6931" t="str">
        <f>IF(LEN(D6931)=0,"",[1]!i_pq_tradedays($B$3,A6932,A6931)-1)</f>
        <v/>
      </c>
      <c r="G6931" s="16" t="str">
        <f t="shared" si="232"/>
        <v/>
      </c>
      <c r="H6931" s="70" t="str">
        <f t="shared" si="233"/>
        <v/>
      </c>
    </row>
    <row r="6932" spans="1:8">
      <c r="A6932" s="2"/>
      <c r="B6932" s="12"/>
      <c r="C6932" s="12"/>
      <c r="E6932" t="str">
        <f>IF(LEN(D6932)=0,"",[1]!i_pq_tradedays($B$3,A6933,A6932)-1)</f>
        <v/>
      </c>
      <c r="G6932" s="16" t="str">
        <f t="shared" si="232"/>
        <v/>
      </c>
      <c r="H6932" s="70" t="str">
        <f t="shared" si="233"/>
        <v/>
      </c>
    </row>
    <row r="6933" spans="1:8">
      <c r="A6933" s="2"/>
      <c r="B6933" s="12"/>
      <c r="C6933" s="12"/>
      <c r="E6933" t="str">
        <f>IF(LEN(D6933)=0,"",[1]!i_pq_tradedays($B$3,A6934,A6933)-1)</f>
        <v/>
      </c>
      <c r="G6933" s="16" t="str">
        <f t="shared" si="232"/>
        <v/>
      </c>
      <c r="H6933" s="70" t="str">
        <f t="shared" si="233"/>
        <v/>
      </c>
    </row>
    <row r="6934" spans="1:8">
      <c r="A6934" s="2"/>
      <c r="B6934" s="12"/>
      <c r="C6934" s="12"/>
      <c r="E6934" t="str">
        <f>IF(LEN(D6934)=0,"",[1]!i_pq_tradedays($B$3,A6935,A6934)-1)</f>
        <v/>
      </c>
      <c r="G6934" s="16" t="str">
        <f t="shared" si="232"/>
        <v/>
      </c>
      <c r="H6934" s="70" t="str">
        <f t="shared" si="233"/>
        <v/>
      </c>
    </row>
    <row r="6935" spans="1:8">
      <c r="A6935" s="2"/>
      <c r="B6935" s="12"/>
      <c r="C6935" s="12"/>
      <c r="E6935" t="str">
        <f>IF(LEN(D6935)=0,"",[1]!i_pq_tradedays($B$3,A6936,A6935)-1)</f>
        <v/>
      </c>
      <c r="G6935" s="16" t="str">
        <f t="shared" si="232"/>
        <v/>
      </c>
      <c r="H6935" s="70" t="str">
        <f t="shared" si="233"/>
        <v/>
      </c>
    </row>
    <row r="6936" spans="1:8">
      <c r="A6936" s="2"/>
      <c r="B6936" s="12"/>
      <c r="C6936" s="12"/>
      <c r="E6936" t="str">
        <f>IF(LEN(D6936)=0,"",[1]!i_pq_tradedays($B$3,A6937,A6936)-1)</f>
        <v/>
      </c>
      <c r="G6936" s="16" t="str">
        <f t="shared" si="232"/>
        <v/>
      </c>
      <c r="H6936" s="70" t="str">
        <f t="shared" si="233"/>
        <v/>
      </c>
    </row>
    <row r="6937" spans="1:8">
      <c r="A6937" s="2"/>
      <c r="B6937" s="12"/>
      <c r="C6937" s="12"/>
      <c r="E6937" t="str">
        <f>IF(LEN(D6937)=0,"",[1]!i_pq_tradedays($B$3,A6938,A6937)-1)</f>
        <v/>
      </c>
      <c r="G6937" s="16" t="str">
        <f t="shared" si="232"/>
        <v/>
      </c>
      <c r="H6937" s="70" t="str">
        <f t="shared" si="233"/>
        <v/>
      </c>
    </row>
    <row r="6938" spans="1:8">
      <c r="A6938" s="2"/>
      <c r="B6938" s="12"/>
      <c r="C6938" s="12"/>
      <c r="E6938" t="str">
        <f>IF(LEN(D6938)=0,"",[1]!i_pq_tradedays($B$3,A6939,A6938)-1)</f>
        <v/>
      </c>
      <c r="G6938" s="16" t="str">
        <f t="shared" si="232"/>
        <v/>
      </c>
      <c r="H6938" s="70" t="str">
        <f t="shared" si="233"/>
        <v/>
      </c>
    </row>
    <row r="6939" spans="1:8">
      <c r="A6939" s="2"/>
      <c r="B6939" s="12"/>
      <c r="C6939" s="12"/>
      <c r="E6939" t="str">
        <f>IF(LEN(D6939)=0,"",[1]!i_pq_tradedays($B$3,A6940,A6939)-1)</f>
        <v/>
      </c>
      <c r="G6939" s="16" t="str">
        <f t="shared" si="232"/>
        <v/>
      </c>
      <c r="H6939" s="70" t="str">
        <f t="shared" si="233"/>
        <v/>
      </c>
    </row>
    <row r="6940" spans="1:8">
      <c r="A6940" s="2"/>
      <c r="B6940" s="12"/>
      <c r="C6940" s="12"/>
      <c r="E6940" t="str">
        <f>IF(LEN(D6940)=0,"",[1]!i_pq_tradedays($B$3,A6941,A6940)-1)</f>
        <v/>
      </c>
      <c r="G6940" s="16" t="str">
        <f t="shared" si="232"/>
        <v/>
      </c>
      <c r="H6940" s="70" t="str">
        <f t="shared" si="233"/>
        <v/>
      </c>
    </row>
    <row r="6941" spans="1:8">
      <c r="A6941" s="2"/>
      <c r="B6941" s="12"/>
      <c r="C6941" s="12"/>
      <c r="E6941" t="str">
        <f>IF(LEN(D6941)=0,"",[1]!i_pq_tradedays($B$3,A6942,A6941)-1)</f>
        <v/>
      </c>
      <c r="G6941" s="16" t="str">
        <f t="shared" si="232"/>
        <v/>
      </c>
      <c r="H6941" s="70" t="str">
        <f t="shared" si="233"/>
        <v/>
      </c>
    </row>
    <row r="6942" spans="1:8">
      <c r="A6942" s="2"/>
      <c r="B6942" s="12"/>
      <c r="C6942" s="12"/>
      <c r="E6942" t="str">
        <f>IF(LEN(D6942)=0,"",[1]!i_pq_tradedays($B$3,A6943,A6942)-1)</f>
        <v/>
      </c>
      <c r="G6942" s="16" t="str">
        <f t="shared" si="232"/>
        <v/>
      </c>
      <c r="H6942" s="70" t="str">
        <f t="shared" si="233"/>
        <v/>
      </c>
    </row>
    <row r="6943" spans="1:8">
      <c r="A6943" s="2"/>
      <c r="B6943" s="12"/>
      <c r="C6943" s="12"/>
      <c r="E6943" t="str">
        <f>IF(LEN(D6943)=0,"",[1]!i_pq_tradedays($B$3,A6944,A6943)-1)</f>
        <v/>
      </c>
      <c r="G6943" s="16" t="str">
        <f t="shared" si="232"/>
        <v/>
      </c>
      <c r="H6943" s="70" t="str">
        <f t="shared" si="233"/>
        <v/>
      </c>
    </row>
    <row r="6944" spans="1:8">
      <c r="A6944" s="2"/>
      <c r="B6944" s="12"/>
      <c r="C6944" s="12"/>
      <c r="E6944" t="str">
        <f>IF(LEN(D6944)=0,"",[1]!i_pq_tradedays($B$3,A6945,A6944)-1)</f>
        <v/>
      </c>
      <c r="G6944" s="16" t="str">
        <f t="shared" si="232"/>
        <v/>
      </c>
      <c r="H6944" s="70" t="str">
        <f t="shared" si="233"/>
        <v/>
      </c>
    </row>
    <row r="6945" spans="1:8">
      <c r="A6945" s="2"/>
      <c r="B6945" s="12"/>
      <c r="C6945" s="12"/>
      <c r="E6945" t="str">
        <f>IF(LEN(D6945)=0,"",[1]!i_pq_tradedays($B$3,A6946,A6945)-1)</f>
        <v/>
      </c>
      <c r="G6945" s="16" t="str">
        <f t="shared" si="232"/>
        <v/>
      </c>
      <c r="H6945" s="70" t="str">
        <f t="shared" si="233"/>
        <v/>
      </c>
    </row>
    <row r="6946" spans="1:8">
      <c r="A6946" s="2"/>
      <c r="B6946" s="12"/>
      <c r="C6946" s="12"/>
      <c r="E6946" t="str">
        <f>IF(LEN(D6946)=0,"",[1]!i_pq_tradedays($B$3,A6947,A6946)-1)</f>
        <v/>
      </c>
      <c r="G6946" s="16" t="str">
        <f t="shared" si="232"/>
        <v/>
      </c>
      <c r="H6946" s="70" t="str">
        <f t="shared" si="233"/>
        <v/>
      </c>
    </row>
    <row r="6947" spans="1:8">
      <c r="A6947" s="2"/>
      <c r="B6947" s="12"/>
      <c r="C6947" s="12"/>
      <c r="E6947" t="str">
        <f>IF(LEN(D6947)=0,"",[1]!i_pq_tradedays($B$3,A6948,A6947)-1)</f>
        <v/>
      </c>
      <c r="G6947" s="16" t="str">
        <f t="shared" si="232"/>
        <v/>
      </c>
      <c r="H6947" s="70" t="str">
        <f t="shared" si="233"/>
        <v/>
      </c>
    </row>
    <row r="6948" spans="1:8">
      <c r="A6948" s="2"/>
      <c r="B6948" s="12"/>
      <c r="C6948" s="12"/>
      <c r="E6948" t="str">
        <f>IF(LEN(D6948)=0,"",[1]!i_pq_tradedays($B$3,A6949,A6948)-1)</f>
        <v/>
      </c>
      <c r="G6948" s="16" t="str">
        <f t="shared" si="232"/>
        <v/>
      </c>
      <c r="H6948" s="70" t="str">
        <f t="shared" si="233"/>
        <v/>
      </c>
    </row>
    <row r="6949" spans="1:8">
      <c r="A6949" s="2"/>
      <c r="B6949" s="12"/>
      <c r="C6949" s="12"/>
      <c r="E6949" t="str">
        <f>IF(LEN(D6949)=0,"",[1]!i_pq_tradedays($B$3,A6950,A6949)-1)</f>
        <v/>
      </c>
      <c r="G6949" s="16" t="str">
        <f t="shared" si="232"/>
        <v/>
      </c>
      <c r="H6949" s="70" t="str">
        <f t="shared" si="233"/>
        <v/>
      </c>
    </row>
    <row r="6950" spans="1:8">
      <c r="A6950" s="2"/>
      <c r="B6950" s="12"/>
      <c r="C6950" s="12"/>
      <c r="E6950" t="str">
        <f>IF(LEN(D6950)=0,"",[1]!i_pq_tradedays($B$3,A6951,A6950)-1)</f>
        <v/>
      </c>
      <c r="G6950" s="16" t="str">
        <f t="shared" si="232"/>
        <v/>
      </c>
      <c r="H6950" s="70" t="str">
        <f t="shared" si="233"/>
        <v/>
      </c>
    </row>
    <row r="6951" spans="1:8">
      <c r="A6951" s="2"/>
      <c r="B6951" s="12"/>
      <c r="C6951" s="12"/>
      <c r="E6951" t="str">
        <f>IF(LEN(D6951)=0,"",[1]!i_pq_tradedays($B$3,A6952,A6951)-1)</f>
        <v/>
      </c>
      <c r="G6951" s="16" t="str">
        <f t="shared" si="232"/>
        <v/>
      </c>
      <c r="H6951" s="70" t="str">
        <f t="shared" si="233"/>
        <v/>
      </c>
    </row>
    <row r="6952" spans="1:8">
      <c r="A6952" s="2"/>
      <c r="B6952" s="12"/>
      <c r="C6952" s="12"/>
      <c r="E6952" t="str">
        <f>IF(LEN(D6952)=0,"",[1]!i_pq_tradedays($B$3,A6953,A6952)-1)</f>
        <v/>
      </c>
      <c r="G6952" s="16" t="str">
        <f t="shared" si="232"/>
        <v/>
      </c>
      <c r="H6952" s="70" t="str">
        <f t="shared" si="233"/>
        <v/>
      </c>
    </row>
    <row r="6953" spans="1:8">
      <c r="A6953" s="2"/>
      <c r="B6953" s="12"/>
      <c r="C6953" s="12"/>
      <c r="E6953" t="str">
        <f>IF(LEN(D6953)=0,"",[1]!i_pq_tradedays($B$3,A6954,A6953)-1)</f>
        <v/>
      </c>
      <c r="G6953" s="16" t="str">
        <f t="shared" si="232"/>
        <v/>
      </c>
      <c r="H6953" s="70" t="str">
        <f t="shared" si="233"/>
        <v/>
      </c>
    </row>
    <row r="6954" spans="1:8">
      <c r="A6954" s="2"/>
      <c r="B6954" s="12"/>
      <c r="C6954" s="12"/>
      <c r="E6954" t="str">
        <f>IF(LEN(D6954)=0,"",[1]!i_pq_tradedays($B$3,A6955,A6954)-1)</f>
        <v/>
      </c>
      <c r="G6954" s="16" t="str">
        <f t="shared" si="232"/>
        <v/>
      </c>
      <c r="H6954" s="70" t="str">
        <f t="shared" si="233"/>
        <v/>
      </c>
    </row>
    <row r="6955" spans="1:8">
      <c r="A6955" s="2"/>
      <c r="B6955" s="12"/>
      <c r="C6955" s="12"/>
      <c r="E6955" t="str">
        <f>IF(LEN(D6955)=0,"",[1]!i_pq_tradedays($B$3,A6956,A6955)-1)</f>
        <v/>
      </c>
      <c r="G6955" s="16" t="str">
        <f t="shared" si="232"/>
        <v/>
      </c>
      <c r="H6955" s="70" t="str">
        <f t="shared" si="233"/>
        <v/>
      </c>
    </row>
    <row r="6956" spans="1:8">
      <c r="A6956" s="2"/>
      <c r="B6956" s="12"/>
      <c r="C6956" s="12"/>
      <c r="E6956" t="str">
        <f>IF(LEN(D6956)=0,"",[1]!i_pq_tradedays($B$3,A6957,A6956)-1)</f>
        <v/>
      </c>
      <c r="G6956" s="16" t="str">
        <f t="shared" si="232"/>
        <v/>
      </c>
      <c r="H6956" s="70" t="str">
        <f t="shared" si="233"/>
        <v/>
      </c>
    </row>
    <row r="6957" spans="1:8">
      <c r="A6957" s="2"/>
      <c r="B6957" s="12"/>
      <c r="C6957" s="12"/>
      <c r="E6957" t="str">
        <f>IF(LEN(D6957)=0,"",[1]!i_pq_tradedays($B$3,A6958,A6957)-1)</f>
        <v/>
      </c>
      <c r="G6957" s="16" t="str">
        <f t="shared" si="232"/>
        <v/>
      </c>
      <c r="H6957" s="70" t="str">
        <f t="shared" si="233"/>
        <v/>
      </c>
    </row>
    <row r="6958" spans="1:8">
      <c r="A6958" s="2"/>
      <c r="B6958" s="12"/>
      <c r="C6958" s="12"/>
      <c r="E6958" t="str">
        <f>IF(LEN(D6958)=0,"",[1]!i_pq_tradedays($B$3,A6959,A6958)-1)</f>
        <v/>
      </c>
      <c r="G6958" s="16" t="str">
        <f t="shared" si="232"/>
        <v/>
      </c>
      <c r="H6958" s="70" t="str">
        <f t="shared" si="233"/>
        <v/>
      </c>
    </row>
    <row r="6959" spans="1:8">
      <c r="A6959" s="2"/>
      <c r="B6959" s="12"/>
      <c r="C6959" s="12"/>
      <c r="E6959" t="str">
        <f>IF(LEN(D6959)=0,"",[1]!i_pq_tradedays($B$3,A6960,A6959)-1)</f>
        <v/>
      </c>
      <c r="G6959" s="16" t="str">
        <f t="shared" si="232"/>
        <v/>
      </c>
      <c r="H6959" s="70" t="str">
        <f t="shared" si="233"/>
        <v/>
      </c>
    </row>
    <row r="6960" spans="1:8">
      <c r="A6960" s="2"/>
      <c r="B6960" s="12"/>
      <c r="C6960" s="12"/>
      <c r="E6960" t="str">
        <f>IF(LEN(D6960)=0,"",[1]!i_pq_tradedays($B$3,A6961,A6960)-1)</f>
        <v/>
      </c>
      <c r="G6960" s="16" t="str">
        <f t="shared" si="232"/>
        <v/>
      </c>
      <c r="H6960" s="70" t="str">
        <f t="shared" si="233"/>
        <v/>
      </c>
    </row>
    <row r="6961" spans="1:8">
      <c r="A6961" s="2"/>
      <c r="B6961" s="12"/>
      <c r="C6961" s="12"/>
      <c r="E6961" t="str">
        <f>IF(LEN(D6961)=0,"",[1]!i_pq_tradedays($B$3,A6962,A6961)-1)</f>
        <v/>
      </c>
      <c r="G6961" s="16" t="str">
        <f t="shared" si="232"/>
        <v/>
      </c>
      <c r="H6961" s="70" t="str">
        <f t="shared" si="233"/>
        <v/>
      </c>
    </row>
    <row r="6962" spans="1:8">
      <c r="A6962" s="2"/>
      <c r="B6962" s="12"/>
      <c r="C6962" s="12"/>
      <c r="E6962" t="str">
        <f>IF(LEN(D6962)=0,"",[1]!i_pq_tradedays($B$3,A6963,A6962)-1)</f>
        <v/>
      </c>
      <c r="G6962" s="16" t="str">
        <f t="shared" si="232"/>
        <v/>
      </c>
      <c r="H6962" s="70" t="str">
        <f t="shared" si="233"/>
        <v/>
      </c>
    </row>
    <row r="6963" spans="1:8">
      <c r="A6963" s="2"/>
      <c r="B6963" s="12"/>
      <c r="C6963" s="12"/>
      <c r="E6963" t="str">
        <f>IF(LEN(D6963)=0,"",[1]!i_pq_tradedays($B$3,A6964,A6963)-1)</f>
        <v/>
      </c>
      <c r="G6963" s="16" t="str">
        <f t="shared" si="232"/>
        <v/>
      </c>
      <c r="H6963" s="70" t="str">
        <f t="shared" si="233"/>
        <v/>
      </c>
    </row>
    <row r="6964" spans="1:8">
      <c r="A6964" s="2"/>
      <c r="B6964" s="12"/>
      <c r="C6964" s="12"/>
      <c r="E6964" t="str">
        <f>IF(LEN(D6964)=0,"",[1]!i_pq_tradedays($B$3,A6965,A6964)-1)</f>
        <v/>
      </c>
      <c r="G6964" s="16" t="str">
        <f t="shared" si="232"/>
        <v/>
      </c>
      <c r="H6964" s="70" t="str">
        <f t="shared" si="233"/>
        <v/>
      </c>
    </row>
    <row r="6965" spans="1:8">
      <c r="A6965" s="2"/>
      <c r="B6965" s="12"/>
      <c r="C6965" s="12"/>
      <c r="E6965" t="str">
        <f>IF(LEN(D6965)=0,"",[1]!i_pq_tradedays($B$3,A6966,A6965)-1)</f>
        <v/>
      </c>
      <c r="G6965" s="16" t="str">
        <f t="shared" ref="G6965:G7028" si="234">IF(LEN(D6965)=0,"",D6965/E6965)</f>
        <v/>
      </c>
      <c r="H6965" s="70" t="str">
        <f t="shared" ref="H6965:H7028" si="235">IF(LEN(D6965)=0,"",G6965/G6966-1)</f>
        <v/>
      </c>
    </row>
    <row r="6966" spans="1:8">
      <c r="A6966" s="2"/>
      <c r="B6966" s="12"/>
      <c r="C6966" s="12"/>
      <c r="E6966" t="str">
        <f>IF(LEN(D6966)=0,"",[1]!i_pq_tradedays($B$3,A6967,A6966)-1)</f>
        <v/>
      </c>
      <c r="G6966" s="16" t="str">
        <f t="shared" si="234"/>
        <v/>
      </c>
      <c r="H6966" s="70" t="str">
        <f t="shared" si="235"/>
        <v/>
      </c>
    </row>
    <row r="6967" spans="1:8">
      <c r="A6967" s="2"/>
      <c r="B6967" s="12"/>
      <c r="C6967" s="12"/>
      <c r="E6967" t="str">
        <f>IF(LEN(D6967)=0,"",[1]!i_pq_tradedays($B$3,A6968,A6967)-1)</f>
        <v/>
      </c>
      <c r="G6967" s="16" t="str">
        <f t="shared" si="234"/>
        <v/>
      </c>
      <c r="H6967" s="70" t="str">
        <f t="shared" si="235"/>
        <v/>
      </c>
    </row>
    <row r="6968" spans="1:8">
      <c r="A6968" s="2"/>
      <c r="B6968" s="12"/>
      <c r="C6968" s="12"/>
      <c r="E6968" t="str">
        <f>IF(LEN(D6968)=0,"",[1]!i_pq_tradedays($B$3,A6969,A6968)-1)</f>
        <v/>
      </c>
      <c r="G6968" s="16" t="str">
        <f t="shared" si="234"/>
        <v/>
      </c>
      <c r="H6968" s="70" t="str">
        <f t="shared" si="235"/>
        <v/>
      </c>
    </row>
    <row r="6969" spans="1:8">
      <c r="A6969" s="2"/>
      <c r="B6969" s="12"/>
      <c r="C6969" s="12"/>
      <c r="E6969" t="str">
        <f>IF(LEN(D6969)=0,"",[1]!i_pq_tradedays($B$3,A6970,A6969)-1)</f>
        <v/>
      </c>
      <c r="G6969" s="16" t="str">
        <f t="shared" si="234"/>
        <v/>
      </c>
      <c r="H6969" s="70" t="str">
        <f t="shared" si="235"/>
        <v/>
      </c>
    </row>
    <row r="6970" spans="1:8">
      <c r="A6970" s="2"/>
      <c r="B6970" s="12"/>
      <c r="C6970" s="12"/>
      <c r="E6970" t="str">
        <f>IF(LEN(D6970)=0,"",[1]!i_pq_tradedays($B$3,A6971,A6970)-1)</f>
        <v/>
      </c>
      <c r="G6970" s="16" t="str">
        <f t="shared" si="234"/>
        <v/>
      </c>
      <c r="H6970" s="70" t="str">
        <f t="shared" si="235"/>
        <v/>
      </c>
    </row>
    <row r="6971" spans="1:8">
      <c r="A6971" s="2"/>
      <c r="B6971" s="12"/>
      <c r="C6971" s="12"/>
      <c r="E6971" t="str">
        <f>IF(LEN(D6971)=0,"",[1]!i_pq_tradedays($B$3,A6972,A6971)-1)</f>
        <v/>
      </c>
      <c r="G6971" s="16" t="str">
        <f t="shared" si="234"/>
        <v/>
      </c>
      <c r="H6971" s="70" t="str">
        <f t="shared" si="235"/>
        <v/>
      </c>
    </row>
    <row r="6972" spans="1:8">
      <c r="A6972" s="2"/>
      <c r="B6972" s="12"/>
      <c r="C6972" s="12"/>
      <c r="E6972" t="str">
        <f>IF(LEN(D6972)=0,"",[1]!i_pq_tradedays($B$3,A6973,A6972)-1)</f>
        <v/>
      </c>
      <c r="G6972" s="16" t="str">
        <f t="shared" si="234"/>
        <v/>
      </c>
      <c r="H6972" s="70" t="str">
        <f t="shared" si="235"/>
        <v/>
      </c>
    </row>
    <row r="6973" spans="1:8">
      <c r="A6973" s="2"/>
      <c r="B6973" s="12"/>
      <c r="C6973" s="12"/>
      <c r="E6973" t="str">
        <f>IF(LEN(D6973)=0,"",[1]!i_pq_tradedays($B$3,A6974,A6973)-1)</f>
        <v/>
      </c>
      <c r="G6973" s="16" t="str">
        <f t="shared" si="234"/>
        <v/>
      </c>
      <c r="H6973" s="70" t="str">
        <f t="shared" si="235"/>
        <v/>
      </c>
    </row>
    <row r="6974" spans="1:8">
      <c r="A6974" s="2"/>
      <c r="B6974" s="12"/>
      <c r="C6974" s="12"/>
      <c r="E6974" t="str">
        <f>IF(LEN(D6974)=0,"",[1]!i_pq_tradedays($B$3,A6975,A6974)-1)</f>
        <v/>
      </c>
      <c r="G6974" s="16" t="str">
        <f t="shared" si="234"/>
        <v/>
      </c>
      <c r="H6974" s="70" t="str">
        <f t="shared" si="235"/>
        <v/>
      </c>
    </row>
    <row r="6975" spans="1:8">
      <c r="A6975" s="2"/>
      <c r="B6975" s="12"/>
      <c r="C6975" s="12"/>
      <c r="E6975" t="str">
        <f>IF(LEN(D6975)=0,"",[1]!i_pq_tradedays($B$3,A6976,A6975)-1)</f>
        <v/>
      </c>
      <c r="G6975" s="16" t="str">
        <f t="shared" si="234"/>
        <v/>
      </c>
      <c r="H6975" s="70" t="str">
        <f t="shared" si="235"/>
        <v/>
      </c>
    </row>
    <row r="6976" spans="1:8">
      <c r="A6976" s="2"/>
      <c r="B6976" s="12"/>
      <c r="C6976" s="12"/>
      <c r="E6976" t="str">
        <f>IF(LEN(D6976)=0,"",[1]!i_pq_tradedays($B$3,A6977,A6976)-1)</f>
        <v/>
      </c>
      <c r="G6976" s="16" t="str">
        <f t="shared" si="234"/>
        <v/>
      </c>
      <c r="H6976" s="70" t="str">
        <f t="shared" si="235"/>
        <v/>
      </c>
    </row>
    <row r="6977" spans="1:8">
      <c r="A6977" s="2"/>
      <c r="B6977" s="12"/>
      <c r="C6977" s="12"/>
      <c r="E6977" t="str">
        <f>IF(LEN(D6977)=0,"",[1]!i_pq_tradedays($B$3,A6978,A6977)-1)</f>
        <v/>
      </c>
      <c r="G6977" s="16" t="str">
        <f t="shared" si="234"/>
        <v/>
      </c>
      <c r="H6977" s="70" t="str">
        <f t="shared" si="235"/>
        <v/>
      </c>
    </row>
    <row r="6978" spans="1:8">
      <c r="A6978" s="2"/>
      <c r="B6978" s="12"/>
      <c r="C6978" s="12"/>
      <c r="E6978" t="str">
        <f>IF(LEN(D6978)=0,"",[1]!i_pq_tradedays($B$3,A6979,A6978)-1)</f>
        <v/>
      </c>
      <c r="G6978" s="16" t="str">
        <f t="shared" si="234"/>
        <v/>
      </c>
      <c r="H6978" s="70" t="str">
        <f t="shared" si="235"/>
        <v/>
      </c>
    </row>
    <row r="6979" spans="1:8">
      <c r="A6979" s="2"/>
      <c r="B6979" s="12"/>
      <c r="C6979" s="12"/>
      <c r="E6979" t="str">
        <f>IF(LEN(D6979)=0,"",[1]!i_pq_tradedays($B$3,A6980,A6979)-1)</f>
        <v/>
      </c>
      <c r="G6979" s="16" t="str">
        <f t="shared" si="234"/>
        <v/>
      </c>
      <c r="H6979" s="70" t="str">
        <f t="shared" si="235"/>
        <v/>
      </c>
    </row>
    <row r="6980" spans="1:8">
      <c r="A6980" s="2"/>
      <c r="B6980" s="12"/>
      <c r="C6980" s="12"/>
      <c r="E6980" t="str">
        <f>IF(LEN(D6980)=0,"",[1]!i_pq_tradedays($B$3,A6981,A6980)-1)</f>
        <v/>
      </c>
      <c r="G6980" s="16" t="str">
        <f t="shared" si="234"/>
        <v/>
      </c>
      <c r="H6980" s="70" t="str">
        <f t="shared" si="235"/>
        <v/>
      </c>
    </row>
    <row r="6981" spans="1:8">
      <c r="A6981" s="2"/>
      <c r="B6981" s="12"/>
      <c r="C6981" s="12"/>
      <c r="E6981" t="str">
        <f>IF(LEN(D6981)=0,"",[1]!i_pq_tradedays($B$3,A6982,A6981)-1)</f>
        <v/>
      </c>
      <c r="G6981" s="16" t="str">
        <f t="shared" si="234"/>
        <v/>
      </c>
      <c r="H6981" s="70" t="str">
        <f t="shared" si="235"/>
        <v/>
      </c>
    </row>
    <row r="6982" spans="1:8">
      <c r="A6982" s="2"/>
      <c r="B6982" s="12"/>
      <c r="C6982" s="12"/>
      <c r="E6982" t="str">
        <f>IF(LEN(D6982)=0,"",[1]!i_pq_tradedays($B$3,A6983,A6982)-1)</f>
        <v/>
      </c>
      <c r="G6982" s="16" t="str">
        <f t="shared" si="234"/>
        <v/>
      </c>
      <c r="H6982" s="70" t="str">
        <f t="shared" si="235"/>
        <v/>
      </c>
    </row>
    <row r="6983" spans="1:8">
      <c r="A6983" s="2"/>
      <c r="B6983" s="12"/>
      <c r="C6983" s="12"/>
      <c r="E6983" t="str">
        <f>IF(LEN(D6983)=0,"",[1]!i_pq_tradedays($B$3,A6984,A6983)-1)</f>
        <v/>
      </c>
      <c r="G6983" s="16" t="str">
        <f t="shared" si="234"/>
        <v/>
      </c>
      <c r="H6983" s="70" t="str">
        <f t="shared" si="235"/>
        <v/>
      </c>
    </row>
    <row r="6984" spans="1:8">
      <c r="A6984" s="2"/>
      <c r="B6984" s="12"/>
      <c r="C6984" s="12"/>
      <c r="E6984" t="str">
        <f>IF(LEN(D6984)=0,"",[1]!i_pq_tradedays($B$3,A6985,A6984)-1)</f>
        <v/>
      </c>
      <c r="G6984" s="16" t="str">
        <f t="shared" si="234"/>
        <v/>
      </c>
      <c r="H6984" s="70" t="str">
        <f t="shared" si="235"/>
        <v/>
      </c>
    </row>
    <row r="6985" spans="1:8">
      <c r="A6985" s="2"/>
      <c r="B6985" s="12"/>
      <c r="C6985" s="12"/>
      <c r="E6985" t="str">
        <f>IF(LEN(D6985)=0,"",[1]!i_pq_tradedays($B$3,A6986,A6985)-1)</f>
        <v/>
      </c>
      <c r="G6985" s="16" t="str">
        <f t="shared" si="234"/>
        <v/>
      </c>
      <c r="H6985" s="70" t="str">
        <f t="shared" si="235"/>
        <v/>
      </c>
    </row>
    <row r="6986" spans="1:8">
      <c r="A6986" s="2"/>
      <c r="B6986" s="12"/>
      <c r="C6986" s="12"/>
      <c r="E6986" t="str">
        <f>IF(LEN(D6986)=0,"",[1]!i_pq_tradedays($B$3,A6987,A6986)-1)</f>
        <v/>
      </c>
      <c r="G6986" s="16" t="str">
        <f t="shared" si="234"/>
        <v/>
      </c>
      <c r="H6986" s="70" t="str">
        <f t="shared" si="235"/>
        <v/>
      </c>
    </row>
    <row r="6987" spans="1:8">
      <c r="A6987" s="2"/>
      <c r="B6987" s="12"/>
      <c r="C6987" s="12"/>
      <c r="E6987" t="str">
        <f>IF(LEN(D6987)=0,"",[1]!i_pq_tradedays($B$3,A6988,A6987)-1)</f>
        <v/>
      </c>
      <c r="G6987" s="16" t="str">
        <f t="shared" si="234"/>
        <v/>
      </c>
      <c r="H6987" s="70" t="str">
        <f t="shared" si="235"/>
        <v/>
      </c>
    </row>
    <row r="6988" spans="1:8">
      <c r="A6988" s="2"/>
      <c r="B6988" s="12"/>
      <c r="C6988" s="12"/>
      <c r="E6988" t="str">
        <f>IF(LEN(D6988)=0,"",[1]!i_pq_tradedays($B$3,A6989,A6988)-1)</f>
        <v/>
      </c>
      <c r="G6988" s="16" t="str">
        <f t="shared" si="234"/>
        <v/>
      </c>
      <c r="H6988" s="70" t="str">
        <f t="shared" si="235"/>
        <v/>
      </c>
    </row>
    <row r="6989" spans="1:8">
      <c r="A6989" s="2"/>
      <c r="B6989" s="12"/>
      <c r="C6989" s="12"/>
      <c r="E6989" t="str">
        <f>IF(LEN(D6989)=0,"",[1]!i_pq_tradedays($B$3,A6990,A6989)-1)</f>
        <v/>
      </c>
      <c r="G6989" s="16" t="str">
        <f t="shared" si="234"/>
        <v/>
      </c>
      <c r="H6989" s="70" t="str">
        <f t="shared" si="235"/>
        <v/>
      </c>
    </row>
    <row r="6990" spans="1:8">
      <c r="A6990" s="2"/>
      <c r="B6990" s="12"/>
      <c r="C6990" s="12"/>
      <c r="E6990" t="str">
        <f>IF(LEN(D6990)=0,"",[1]!i_pq_tradedays($B$3,A6991,A6990)-1)</f>
        <v/>
      </c>
      <c r="G6990" s="16" t="str">
        <f t="shared" si="234"/>
        <v/>
      </c>
      <c r="H6990" s="70" t="str">
        <f t="shared" si="235"/>
        <v/>
      </c>
    </row>
    <row r="6991" spans="1:8">
      <c r="A6991" s="2"/>
      <c r="B6991" s="12"/>
      <c r="C6991" s="12"/>
      <c r="E6991" t="str">
        <f>IF(LEN(D6991)=0,"",[1]!i_pq_tradedays($B$3,A6992,A6991)-1)</f>
        <v/>
      </c>
      <c r="G6991" s="16" t="str">
        <f t="shared" si="234"/>
        <v/>
      </c>
      <c r="H6991" s="70" t="str">
        <f t="shared" si="235"/>
        <v/>
      </c>
    </row>
    <row r="6992" spans="1:8">
      <c r="A6992" s="2"/>
      <c r="B6992" s="12"/>
      <c r="C6992" s="12"/>
      <c r="E6992" t="str">
        <f>IF(LEN(D6992)=0,"",[1]!i_pq_tradedays($B$3,A6993,A6992)-1)</f>
        <v/>
      </c>
      <c r="G6992" s="16" t="str">
        <f t="shared" si="234"/>
        <v/>
      </c>
      <c r="H6992" s="70" t="str">
        <f t="shared" si="235"/>
        <v/>
      </c>
    </row>
    <row r="6993" spans="1:8">
      <c r="A6993" s="2"/>
      <c r="B6993" s="12"/>
      <c r="C6993" s="12"/>
      <c r="E6993" t="str">
        <f>IF(LEN(D6993)=0,"",[1]!i_pq_tradedays($B$3,A6994,A6993)-1)</f>
        <v/>
      </c>
      <c r="G6993" s="16" t="str">
        <f t="shared" si="234"/>
        <v/>
      </c>
      <c r="H6993" s="70" t="str">
        <f t="shared" si="235"/>
        <v/>
      </c>
    </row>
    <row r="6994" spans="1:8">
      <c r="A6994" s="2"/>
      <c r="B6994" s="12"/>
      <c r="C6994" s="12"/>
      <c r="E6994" t="str">
        <f>IF(LEN(D6994)=0,"",[1]!i_pq_tradedays($B$3,A6995,A6994)-1)</f>
        <v/>
      </c>
      <c r="G6994" s="16" t="str">
        <f t="shared" si="234"/>
        <v/>
      </c>
      <c r="H6994" s="70" t="str">
        <f t="shared" si="235"/>
        <v/>
      </c>
    </row>
    <row r="6995" spans="1:8">
      <c r="A6995" s="2"/>
      <c r="B6995" s="12"/>
      <c r="C6995" s="12"/>
      <c r="E6995" t="str">
        <f>IF(LEN(D6995)=0,"",[1]!i_pq_tradedays($B$3,A6996,A6995)-1)</f>
        <v/>
      </c>
      <c r="G6995" s="16" t="str">
        <f t="shared" si="234"/>
        <v/>
      </c>
      <c r="H6995" s="70" t="str">
        <f t="shared" si="235"/>
        <v/>
      </c>
    </row>
    <row r="6996" spans="1:8">
      <c r="A6996" s="2"/>
      <c r="B6996" s="12"/>
      <c r="C6996" s="12"/>
      <c r="E6996" t="str">
        <f>IF(LEN(D6996)=0,"",[1]!i_pq_tradedays($B$3,A6997,A6996)-1)</f>
        <v/>
      </c>
      <c r="G6996" s="16" t="str">
        <f t="shared" si="234"/>
        <v/>
      </c>
      <c r="H6996" s="70" t="str">
        <f t="shared" si="235"/>
        <v/>
      </c>
    </row>
    <row r="6997" spans="1:8">
      <c r="A6997" s="2"/>
      <c r="B6997" s="12"/>
      <c r="C6997" s="12"/>
      <c r="E6997" t="str">
        <f>IF(LEN(D6997)=0,"",[1]!i_pq_tradedays($B$3,A6998,A6997)-1)</f>
        <v/>
      </c>
      <c r="G6997" s="16" t="str">
        <f t="shared" si="234"/>
        <v/>
      </c>
      <c r="H6997" s="70" t="str">
        <f t="shared" si="235"/>
        <v/>
      </c>
    </row>
    <row r="6998" spans="1:8">
      <c r="A6998" s="2"/>
      <c r="B6998" s="12"/>
      <c r="C6998" s="12"/>
      <c r="E6998" t="str">
        <f>IF(LEN(D6998)=0,"",[1]!i_pq_tradedays($B$3,A6999,A6998)-1)</f>
        <v/>
      </c>
      <c r="G6998" s="16" t="str">
        <f t="shared" si="234"/>
        <v/>
      </c>
      <c r="H6998" s="70" t="str">
        <f t="shared" si="235"/>
        <v/>
      </c>
    </row>
    <row r="6999" spans="1:8">
      <c r="A6999" s="2"/>
      <c r="B6999" s="12"/>
      <c r="C6999" s="12"/>
      <c r="E6999" t="str">
        <f>IF(LEN(D6999)=0,"",[1]!i_pq_tradedays($B$3,A7000,A6999)-1)</f>
        <v/>
      </c>
      <c r="G6999" s="16" t="str">
        <f t="shared" si="234"/>
        <v/>
      </c>
      <c r="H6999" s="70" t="str">
        <f t="shared" si="235"/>
        <v/>
      </c>
    </row>
    <row r="7000" spans="1:8">
      <c r="A7000" s="2"/>
      <c r="B7000" s="12"/>
      <c r="C7000" s="12"/>
      <c r="E7000" t="str">
        <f>IF(LEN(D7000)=0,"",[1]!i_pq_tradedays($B$3,A7001,A7000)-1)</f>
        <v/>
      </c>
      <c r="G7000" s="16" t="str">
        <f t="shared" si="234"/>
        <v/>
      </c>
      <c r="H7000" s="70" t="str">
        <f t="shared" si="235"/>
        <v/>
      </c>
    </row>
    <row r="7001" spans="1:8">
      <c r="A7001" s="2"/>
      <c r="B7001" s="12"/>
      <c r="C7001" s="12"/>
      <c r="E7001" t="str">
        <f>IF(LEN(D7001)=0,"",[1]!i_pq_tradedays($B$3,A7002,A7001)-1)</f>
        <v/>
      </c>
      <c r="G7001" s="16" t="str">
        <f t="shared" si="234"/>
        <v/>
      </c>
      <c r="H7001" s="70" t="str">
        <f t="shared" si="235"/>
        <v/>
      </c>
    </row>
    <row r="7002" spans="1:8">
      <c r="A7002" s="2"/>
      <c r="B7002" s="12"/>
      <c r="C7002" s="12"/>
      <c r="E7002" t="str">
        <f>IF(LEN(D7002)=0,"",[1]!i_pq_tradedays($B$3,A7003,A7002)-1)</f>
        <v/>
      </c>
      <c r="G7002" s="16" t="str">
        <f t="shared" si="234"/>
        <v/>
      </c>
      <c r="H7002" s="70" t="str">
        <f t="shared" si="235"/>
        <v/>
      </c>
    </row>
    <row r="7003" spans="1:8">
      <c r="A7003" s="2"/>
      <c r="B7003" s="12"/>
      <c r="C7003" s="12"/>
      <c r="E7003" t="str">
        <f>IF(LEN(D7003)=0,"",[1]!i_pq_tradedays($B$3,A7004,A7003)-1)</f>
        <v/>
      </c>
      <c r="G7003" s="16" t="str">
        <f t="shared" si="234"/>
        <v/>
      </c>
      <c r="H7003" s="70" t="str">
        <f t="shared" si="235"/>
        <v/>
      </c>
    </row>
    <row r="7004" spans="1:8">
      <c r="A7004" s="2"/>
      <c r="B7004" s="12"/>
      <c r="C7004" s="12"/>
      <c r="E7004" t="str">
        <f>IF(LEN(D7004)=0,"",[1]!i_pq_tradedays($B$3,A7005,A7004)-1)</f>
        <v/>
      </c>
      <c r="G7004" s="16" t="str">
        <f t="shared" si="234"/>
        <v/>
      </c>
      <c r="H7004" s="70" t="str">
        <f t="shared" si="235"/>
        <v/>
      </c>
    </row>
    <row r="7005" spans="1:8">
      <c r="A7005" s="2"/>
      <c r="B7005" s="12"/>
      <c r="C7005" s="12"/>
      <c r="E7005" t="str">
        <f>IF(LEN(D7005)=0,"",[1]!i_pq_tradedays($B$3,A7006,A7005)-1)</f>
        <v/>
      </c>
      <c r="G7005" s="16" t="str">
        <f t="shared" si="234"/>
        <v/>
      </c>
      <c r="H7005" s="70" t="str">
        <f t="shared" si="235"/>
        <v/>
      </c>
    </row>
    <row r="7006" spans="1:8">
      <c r="A7006" s="2"/>
      <c r="B7006" s="12"/>
      <c r="C7006" s="12"/>
      <c r="E7006" t="str">
        <f>IF(LEN(D7006)=0,"",[1]!i_pq_tradedays($B$3,A7007,A7006)-1)</f>
        <v/>
      </c>
      <c r="G7006" s="16" t="str">
        <f t="shared" si="234"/>
        <v/>
      </c>
      <c r="H7006" s="70" t="str">
        <f t="shared" si="235"/>
        <v/>
      </c>
    </row>
    <row r="7007" spans="1:8">
      <c r="A7007" s="2"/>
      <c r="B7007" s="12"/>
      <c r="C7007" s="12"/>
      <c r="E7007" t="str">
        <f>IF(LEN(D7007)=0,"",[1]!i_pq_tradedays($B$3,A7008,A7007)-1)</f>
        <v/>
      </c>
      <c r="G7007" s="16" t="str">
        <f t="shared" si="234"/>
        <v/>
      </c>
      <c r="H7007" s="70" t="str">
        <f t="shared" si="235"/>
        <v/>
      </c>
    </row>
    <row r="7008" spans="1:8">
      <c r="A7008" s="2"/>
      <c r="B7008" s="12"/>
      <c r="C7008" s="12"/>
      <c r="E7008" t="str">
        <f>IF(LEN(D7008)=0,"",[1]!i_pq_tradedays($B$3,A7009,A7008)-1)</f>
        <v/>
      </c>
      <c r="G7008" s="16" t="str">
        <f t="shared" si="234"/>
        <v/>
      </c>
      <c r="H7008" s="70" t="str">
        <f t="shared" si="235"/>
        <v/>
      </c>
    </row>
    <row r="7009" spans="1:8">
      <c r="A7009" s="2"/>
      <c r="B7009" s="12"/>
      <c r="C7009" s="12"/>
      <c r="E7009" t="str">
        <f>IF(LEN(D7009)=0,"",[1]!i_pq_tradedays($B$3,A7010,A7009)-1)</f>
        <v/>
      </c>
      <c r="G7009" s="16" t="str">
        <f t="shared" si="234"/>
        <v/>
      </c>
      <c r="H7009" s="70" t="str">
        <f t="shared" si="235"/>
        <v/>
      </c>
    </row>
    <row r="7010" spans="1:8">
      <c r="A7010" s="2"/>
      <c r="B7010" s="12"/>
      <c r="C7010" s="12"/>
      <c r="E7010" t="str">
        <f>IF(LEN(D7010)=0,"",[1]!i_pq_tradedays($B$3,A7011,A7010)-1)</f>
        <v/>
      </c>
      <c r="G7010" s="16" t="str">
        <f t="shared" si="234"/>
        <v/>
      </c>
      <c r="H7010" s="70" t="str">
        <f t="shared" si="235"/>
        <v/>
      </c>
    </row>
    <row r="7011" spans="1:8">
      <c r="A7011" s="2"/>
      <c r="B7011" s="12"/>
      <c r="C7011" s="12"/>
      <c r="E7011" t="str">
        <f>IF(LEN(D7011)=0,"",[1]!i_pq_tradedays($B$3,A7012,A7011)-1)</f>
        <v/>
      </c>
      <c r="G7011" s="16" t="str">
        <f t="shared" si="234"/>
        <v/>
      </c>
      <c r="H7011" s="70" t="str">
        <f t="shared" si="235"/>
        <v/>
      </c>
    </row>
    <row r="7012" spans="1:8">
      <c r="A7012" s="2"/>
      <c r="B7012" s="12"/>
      <c r="C7012" s="12"/>
      <c r="E7012" t="str">
        <f>IF(LEN(D7012)=0,"",[1]!i_pq_tradedays($B$3,A7013,A7012)-1)</f>
        <v/>
      </c>
      <c r="G7012" s="16" t="str">
        <f t="shared" si="234"/>
        <v/>
      </c>
      <c r="H7012" s="70" t="str">
        <f t="shared" si="235"/>
        <v/>
      </c>
    </row>
    <row r="7013" spans="1:8">
      <c r="A7013" s="2"/>
      <c r="B7013" s="12"/>
      <c r="C7013" s="12"/>
      <c r="E7013" t="str">
        <f>IF(LEN(D7013)=0,"",[1]!i_pq_tradedays($B$3,A7014,A7013)-1)</f>
        <v/>
      </c>
      <c r="G7013" s="16" t="str">
        <f t="shared" si="234"/>
        <v/>
      </c>
      <c r="H7013" s="70" t="str">
        <f t="shared" si="235"/>
        <v/>
      </c>
    </row>
    <row r="7014" spans="1:8">
      <c r="A7014" s="2"/>
      <c r="B7014" s="12"/>
      <c r="C7014" s="12"/>
      <c r="E7014" t="str">
        <f>IF(LEN(D7014)=0,"",[1]!i_pq_tradedays($B$3,A7015,A7014)-1)</f>
        <v/>
      </c>
      <c r="G7014" s="16" t="str">
        <f t="shared" si="234"/>
        <v/>
      </c>
      <c r="H7014" s="70" t="str">
        <f t="shared" si="235"/>
        <v/>
      </c>
    </row>
    <row r="7015" spans="1:8">
      <c r="A7015" s="2"/>
      <c r="B7015" s="12"/>
      <c r="C7015" s="12"/>
      <c r="E7015" t="str">
        <f>IF(LEN(D7015)=0,"",[1]!i_pq_tradedays($B$3,A7016,A7015)-1)</f>
        <v/>
      </c>
      <c r="G7015" s="16" t="str">
        <f t="shared" si="234"/>
        <v/>
      </c>
      <c r="H7015" s="70" t="str">
        <f t="shared" si="235"/>
        <v/>
      </c>
    </row>
    <row r="7016" spans="1:8">
      <c r="A7016" s="2"/>
      <c r="B7016" s="12"/>
      <c r="C7016" s="12"/>
      <c r="E7016" t="str">
        <f>IF(LEN(D7016)=0,"",[1]!i_pq_tradedays($B$3,A7017,A7016)-1)</f>
        <v/>
      </c>
      <c r="G7016" s="16" t="str">
        <f t="shared" si="234"/>
        <v/>
      </c>
      <c r="H7016" s="70" t="str">
        <f t="shared" si="235"/>
        <v/>
      </c>
    </row>
    <row r="7017" spans="1:8">
      <c r="A7017" s="2"/>
      <c r="B7017" s="12"/>
      <c r="C7017" s="12"/>
      <c r="E7017" t="str">
        <f>IF(LEN(D7017)=0,"",[1]!i_pq_tradedays($B$3,A7018,A7017)-1)</f>
        <v/>
      </c>
      <c r="G7017" s="16" t="str">
        <f t="shared" si="234"/>
        <v/>
      </c>
      <c r="H7017" s="70" t="str">
        <f t="shared" si="235"/>
        <v/>
      </c>
    </row>
    <row r="7018" spans="1:8">
      <c r="A7018" s="2"/>
      <c r="B7018" s="12"/>
      <c r="C7018" s="12"/>
      <c r="E7018" t="str">
        <f>IF(LEN(D7018)=0,"",[1]!i_pq_tradedays($B$3,A7019,A7018)-1)</f>
        <v/>
      </c>
      <c r="G7018" s="16" t="str">
        <f t="shared" si="234"/>
        <v/>
      </c>
      <c r="H7018" s="70" t="str">
        <f t="shared" si="235"/>
        <v/>
      </c>
    </row>
    <row r="7019" spans="1:8">
      <c r="A7019" s="2"/>
      <c r="B7019" s="12"/>
      <c r="C7019" s="12"/>
      <c r="E7019" t="str">
        <f>IF(LEN(D7019)=0,"",[1]!i_pq_tradedays($B$3,A7020,A7019)-1)</f>
        <v/>
      </c>
      <c r="G7019" s="16" t="str">
        <f t="shared" si="234"/>
        <v/>
      </c>
      <c r="H7019" s="70" t="str">
        <f t="shared" si="235"/>
        <v/>
      </c>
    </row>
    <row r="7020" spans="1:8">
      <c r="A7020" s="2"/>
      <c r="B7020" s="12"/>
      <c r="C7020" s="12"/>
      <c r="E7020" t="str">
        <f>IF(LEN(D7020)=0,"",[1]!i_pq_tradedays($B$3,A7021,A7020)-1)</f>
        <v/>
      </c>
      <c r="G7020" s="16" t="str">
        <f t="shared" si="234"/>
        <v/>
      </c>
      <c r="H7020" s="70" t="str">
        <f t="shared" si="235"/>
        <v/>
      </c>
    </row>
    <row r="7021" spans="1:8">
      <c r="A7021" s="2"/>
      <c r="B7021" s="12"/>
      <c r="C7021" s="12"/>
      <c r="E7021" t="str">
        <f>IF(LEN(D7021)=0,"",[1]!i_pq_tradedays($B$3,A7022,A7021)-1)</f>
        <v/>
      </c>
      <c r="G7021" s="16" t="str">
        <f t="shared" si="234"/>
        <v/>
      </c>
      <c r="H7021" s="70" t="str">
        <f t="shared" si="235"/>
        <v/>
      </c>
    </row>
    <row r="7022" spans="1:8">
      <c r="A7022" s="2"/>
      <c r="B7022" s="12"/>
      <c r="C7022" s="12"/>
      <c r="E7022" t="str">
        <f>IF(LEN(D7022)=0,"",[1]!i_pq_tradedays($B$3,A7023,A7022)-1)</f>
        <v/>
      </c>
      <c r="G7022" s="16" t="str">
        <f t="shared" si="234"/>
        <v/>
      </c>
      <c r="H7022" s="70" t="str">
        <f t="shared" si="235"/>
        <v/>
      </c>
    </row>
    <row r="7023" spans="1:8">
      <c r="A7023" s="2"/>
      <c r="B7023" s="12"/>
      <c r="C7023" s="12"/>
      <c r="E7023" t="str">
        <f>IF(LEN(D7023)=0,"",[1]!i_pq_tradedays($B$3,A7024,A7023)-1)</f>
        <v/>
      </c>
      <c r="G7023" s="16" t="str">
        <f t="shared" si="234"/>
        <v/>
      </c>
      <c r="H7023" s="70" t="str">
        <f t="shared" si="235"/>
        <v/>
      </c>
    </row>
    <row r="7024" spans="1:8">
      <c r="A7024" s="2"/>
      <c r="B7024" s="12"/>
      <c r="C7024" s="12"/>
      <c r="E7024" t="str">
        <f>IF(LEN(D7024)=0,"",[1]!i_pq_tradedays($B$3,A7025,A7024)-1)</f>
        <v/>
      </c>
      <c r="G7024" s="16" t="str">
        <f t="shared" si="234"/>
        <v/>
      </c>
      <c r="H7024" s="70" t="str">
        <f t="shared" si="235"/>
        <v/>
      </c>
    </row>
    <row r="7025" spans="1:8">
      <c r="A7025" s="2"/>
      <c r="B7025" s="12"/>
      <c r="C7025" s="12"/>
      <c r="E7025" t="str">
        <f>IF(LEN(D7025)=0,"",[1]!i_pq_tradedays($B$3,A7026,A7025)-1)</f>
        <v/>
      </c>
      <c r="G7025" s="16" t="str">
        <f t="shared" si="234"/>
        <v/>
      </c>
      <c r="H7025" s="70" t="str">
        <f t="shared" si="235"/>
        <v/>
      </c>
    </row>
    <row r="7026" spans="1:8">
      <c r="A7026" s="2"/>
      <c r="B7026" s="12"/>
      <c r="C7026" s="12"/>
      <c r="E7026" t="str">
        <f>IF(LEN(D7026)=0,"",[1]!i_pq_tradedays($B$3,A7027,A7026)-1)</f>
        <v/>
      </c>
      <c r="G7026" s="16" t="str">
        <f t="shared" si="234"/>
        <v/>
      </c>
      <c r="H7026" s="70" t="str">
        <f t="shared" si="235"/>
        <v/>
      </c>
    </row>
    <row r="7027" spans="1:8">
      <c r="A7027" s="2"/>
      <c r="B7027" s="12"/>
      <c r="C7027" s="12"/>
      <c r="E7027" t="str">
        <f>IF(LEN(D7027)=0,"",[1]!i_pq_tradedays($B$3,A7028,A7027)-1)</f>
        <v/>
      </c>
      <c r="G7027" s="16" t="str">
        <f t="shared" si="234"/>
        <v/>
      </c>
      <c r="H7027" s="70" t="str">
        <f t="shared" si="235"/>
        <v/>
      </c>
    </row>
    <row r="7028" spans="1:8">
      <c r="A7028" s="2"/>
      <c r="B7028" s="12"/>
      <c r="C7028" s="12"/>
      <c r="E7028" t="str">
        <f>IF(LEN(D7028)=0,"",[1]!i_pq_tradedays($B$3,A7029,A7028)-1)</f>
        <v/>
      </c>
      <c r="G7028" s="16" t="str">
        <f t="shared" si="234"/>
        <v/>
      </c>
      <c r="H7028" s="70" t="str">
        <f t="shared" si="235"/>
        <v/>
      </c>
    </row>
    <row r="7029" spans="1:8">
      <c r="A7029" s="2"/>
      <c r="B7029" s="12"/>
      <c r="C7029" s="12"/>
      <c r="E7029" t="str">
        <f>IF(LEN(D7029)=0,"",[1]!i_pq_tradedays($B$3,A7030,A7029)-1)</f>
        <v/>
      </c>
      <c r="G7029" s="16" t="str">
        <f t="shared" ref="G7029:G7092" si="236">IF(LEN(D7029)=0,"",D7029/E7029)</f>
        <v/>
      </c>
      <c r="H7029" s="70" t="str">
        <f t="shared" ref="H7029:H7092" si="237">IF(LEN(D7029)=0,"",G7029/G7030-1)</f>
        <v/>
      </c>
    </row>
    <row r="7030" spans="1:8">
      <c r="A7030" s="2"/>
      <c r="B7030" s="12"/>
      <c r="C7030" s="12"/>
      <c r="E7030" t="str">
        <f>IF(LEN(D7030)=0,"",[1]!i_pq_tradedays($B$3,A7031,A7030)-1)</f>
        <v/>
      </c>
      <c r="G7030" s="16" t="str">
        <f t="shared" si="236"/>
        <v/>
      </c>
      <c r="H7030" s="70" t="str">
        <f t="shared" si="237"/>
        <v/>
      </c>
    </row>
    <row r="7031" spans="1:8">
      <c r="A7031" s="2"/>
      <c r="B7031" s="12"/>
      <c r="C7031" s="12"/>
      <c r="E7031" t="str">
        <f>IF(LEN(D7031)=0,"",[1]!i_pq_tradedays($B$3,A7032,A7031)-1)</f>
        <v/>
      </c>
      <c r="G7031" s="16" t="str">
        <f t="shared" si="236"/>
        <v/>
      </c>
      <c r="H7031" s="70" t="str">
        <f t="shared" si="237"/>
        <v/>
      </c>
    </row>
    <row r="7032" spans="1:8">
      <c r="A7032" s="2"/>
      <c r="B7032" s="12"/>
      <c r="C7032" s="12"/>
      <c r="E7032" t="str">
        <f>IF(LEN(D7032)=0,"",[1]!i_pq_tradedays($B$3,A7033,A7032)-1)</f>
        <v/>
      </c>
      <c r="G7032" s="16" t="str">
        <f t="shared" si="236"/>
        <v/>
      </c>
      <c r="H7032" s="70" t="str">
        <f t="shared" si="237"/>
        <v/>
      </c>
    </row>
    <row r="7033" spans="1:8">
      <c r="A7033" s="2"/>
      <c r="B7033" s="12"/>
      <c r="C7033" s="12"/>
      <c r="E7033" t="str">
        <f>IF(LEN(D7033)=0,"",[1]!i_pq_tradedays($B$3,A7034,A7033)-1)</f>
        <v/>
      </c>
      <c r="G7033" s="16" t="str">
        <f t="shared" si="236"/>
        <v/>
      </c>
      <c r="H7033" s="70" t="str">
        <f t="shared" si="237"/>
        <v/>
      </c>
    </row>
    <row r="7034" spans="1:8">
      <c r="A7034" s="2"/>
      <c r="B7034" s="12"/>
      <c r="C7034" s="12"/>
      <c r="E7034" t="str">
        <f>IF(LEN(D7034)=0,"",[1]!i_pq_tradedays($B$3,A7035,A7034)-1)</f>
        <v/>
      </c>
      <c r="G7034" s="16" t="str">
        <f t="shared" si="236"/>
        <v/>
      </c>
      <c r="H7034" s="70" t="str">
        <f t="shared" si="237"/>
        <v/>
      </c>
    </row>
    <row r="7035" spans="1:8">
      <c r="A7035" s="2"/>
      <c r="B7035" s="12"/>
      <c r="C7035" s="12"/>
      <c r="E7035" t="str">
        <f>IF(LEN(D7035)=0,"",[1]!i_pq_tradedays($B$3,A7036,A7035)-1)</f>
        <v/>
      </c>
      <c r="G7035" s="16" t="str">
        <f t="shared" si="236"/>
        <v/>
      </c>
      <c r="H7035" s="70" t="str">
        <f t="shared" si="237"/>
        <v/>
      </c>
    </row>
    <row r="7036" spans="1:8">
      <c r="A7036" s="2"/>
      <c r="B7036" s="12"/>
      <c r="C7036" s="12"/>
      <c r="E7036" t="str">
        <f>IF(LEN(D7036)=0,"",[1]!i_pq_tradedays($B$3,A7037,A7036)-1)</f>
        <v/>
      </c>
      <c r="G7036" s="16" t="str">
        <f t="shared" si="236"/>
        <v/>
      </c>
      <c r="H7036" s="70" t="str">
        <f t="shared" si="237"/>
        <v/>
      </c>
    </row>
    <row r="7037" spans="1:8">
      <c r="A7037" s="2"/>
      <c r="B7037" s="12"/>
      <c r="C7037" s="12"/>
      <c r="E7037" t="str">
        <f>IF(LEN(D7037)=0,"",[1]!i_pq_tradedays($B$3,A7038,A7037)-1)</f>
        <v/>
      </c>
      <c r="G7037" s="16" t="str">
        <f t="shared" si="236"/>
        <v/>
      </c>
      <c r="H7037" s="70" t="str">
        <f t="shared" si="237"/>
        <v/>
      </c>
    </row>
    <row r="7038" spans="1:8">
      <c r="A7038" s="2"/>
      <c r="B7038" s="12"/>
      <c r="C7038" s="12"/>
      <c r="E7038" t="str">
        <f>IF(LEN(D7038)=0,"",[1]!i_pq_tradedays($B$3,A7039,A7038)-1)</f>
        <v/>
      </c>
      <c r="G7038" s="16" t="str">
        <f t="shared" si="236"/>
        <v/>
      </c>
      <c r="H7038" s="70" t="str">
        <f t="shared" si="237"/>
        <v/>
      </c>
    </row>
    <row r="7039" spans="1:8">
      <c r="A7039" s="2"/>
      <c r="B7039" s="12"/>
      <c r="C7039" s="12"/>
      <c r="E7039" t="str">
        <f>IF(LEN(D7039)=0,"",[1]!i_pq_tradedays($B$3,A7040,A7039)-1)</f>
        <v/>
      </c>
      <c r="G7039" s="16" t="str">
        <f t="shared" si="236"/>
        <v/>
      </c>
      <c r="H7039" s="70" t="str">
        <f t="shared" si="237"/>
        <v/>
      </c>
    </row>
    <row r="7040" spans="1:8">
      <c r="A7040" s="2"/>
      <c r="B7040" s="12"/>
      <c r="C7040" s="12"/>
      <c r="E7040" t="str">
        <f>IF(LEN(D7040)=0,"",[1]!i_pq_tradedays($B$3,A7041,A7040)-1)</f>
        <v/>
      </c>
      <c r="G7040" s="16" t="str">
        <f t="shared" si="236"/>
        <v/>
      </c>
      <c r="H7040" s="70" t="str">
        <f t="shared" si="237"/>
        <v/>
      </c>
    </row>
    <row r="7041" spans="1:8">
      <c r="A7041" s="2"/>
      <c r="B7041" s="12"/>
      <c r="C7041" s="12"/>
      <c r="E7041" t="str">
        <f>IF(LEN(D7041)=0,"",[1]!i_pq_tradedays($B$3,A7042,A7041)-1)</f>
        <v/>
      </c>
      <c r="G7041" s="16" t="str">
        <f t="shared" si="236"/>
        <v/>
      </c>
      <c r="H7041" s="70" t="str">
        <f t="shared" si="237"/>
        <v/>
      </c>
    </row>
    <row r="7042" spans="1:8">
      <c r="A7042" s="2"/>
      <c r="B7042" s="12"/>
      <c r="C7042" s="12"/>
      <c r="E7042" t="str">
        <f>IF(LEN(D7042)=0,"",[1]!i_pq_tradedays($B$3,A7043,A7042)-1)</f>
        <v/>
      </c>
      <c r="G7042" s="16" t="str">
        <f t="shared" si="236"/>
        <v/>
      </c>
      <c r="H7042" s="70" t="str">
        <f t="shared" si="237"/>
        <v/>
      </c>
    </row>
    <row r="7043" spans="1:8">
      <c r="A7043" s="2"/>
      <c r="B7043" s="12"/>
      <c r="C7043" s="12"/>
      <c r="E7043" t="str">
        <f>IF(LEN(D7043)=0,"",[1]!i_pq_tradedays($B$3,A7044,A7043)-1)</f>
        <v/>
      </c>
      <c r="G7043" s="16" t="str">
        <f t="shared" si="236"/>
        <v/>
      </c>
      <c r="H7043" s="70" t="str">
        <f t="shared" si="237"/>
        <v/>
      </c>
    </row>
    <row r="7044" spans="1:8">
      <c r="A7044" s="2"/>
      <c r="B7044" s="12"/>
      <c r="C7044" s="12"/>
      <c r="E7044" t="str">
        <f>IF(LEN(D7044)=0,"",[1]!i_pq_tradedays($B$3,A7045,A7044)-1)</f>
        <v/>
      </c>
      <c r="G7044" s="16" t="str">
        <f t="shared" si="236"/>
        <v/>
      </c>
      <c r="H7044" s="70" t="str">
        <f t="shared" si="237"/>
        <v/>
      </c>
    </row>
    <row r="7045" spans="1:8">
      <c r="A7045" s="2"/>
      <c r="B7045" s="12"/>
      <c r="C7045" s="12"/>
      <c r="E7045" t="str">
        <f>IF(LEN(D7045)=0,"",[1]!i_pq_tradedays($B$3,A7046,A7045)-1)</f>
        <v/>
      </c>
      <c r="G7045" s="16" t="str">
        <f t="shared" si="236"/>
        <v/>
      </c>
      <c r="H7045" s="70" t="str">
        <f t="shared" si="237"/>
        <v/>
      </c>
    </row>
    <row r="7046" spans="1:8">
      <c r="A7046" s="2"/>
      <c r="B7046" s="12"/>
      <c r="C7046" s="12"/>
      <c r="E7046" t="str">
        <f>IF(LEN(D7046)=0,"",[1]!i_pq_tradedays($B$3,A7047,A7046)-1)</f>
        <v/>
      </c>
      <c r="G7046" s="16" t="str">
        <f t="shared" si="236"/>
        <v/>
      </c>
      <c r="H7046" s="70" t="str">
        <f t="shared" si="237"/>
        <v/>
      </c>
    </row>
    <row r="7047" spans="1:8">
      <c r="A7047" s="2"/>
      <c r="B7047" s="12"/>
      <c r="C7047" s="12"/>
      <c r="E7047" t="str">
        <f>IF(LEN(D7047)=0,"",[1]!i_pq_tradedays($B$3,A7048,A7047)-1)</f>
        <v/>
      </c>
      <c r="G7047" s="16" t="str">
        <f t="shared" si="236"/>
        <v/>
      </c>
      <c r="H7047" s="70" t="str">
        <f t="shared" si="237"/>
        <v/>
      </c>
    </row>
    <row r="7048" spans="1:8">
      <c r="A7048" s="2"/>
      <c r="B7048" s="12"/>
      <c r="C7048" s="12"/>
      <c r="E7048" t="str">
        <f>IF(LEN(D7048)=0,"",[1]!i_pq_tradedays($B$3,A7049,A7048)-1)</f>
        <v/>
      </c>
      <c r="G7048" s="16" t="str">
        <f t="shared" si="236"/>
        <v/>
      </c>
      <c r="H7048" s="70" t="str">
        <f t="shared" si="237"/>
        <v/>
      </c>
    </row>
    <row r="7049" spans="1:8">
      <c r="A7049" s="2"/>
      <c r="B7049" s="12"/>
      <c r="C7049" s="12"/>
      <c r="E7049" t="str">
        <f>IF(LEN(D7049)=0,"",[1]!i_pq_tradedays($B$3,A7050,A7049)-1)</f>
        <v/>
      </c>
      <c r="G7049" s="16" t="str">
        <f t="shared" si="236"/>
        <v/>
      </c>
      <c r="H7049" s="70" t="str">
        <f t="shared" si="237"/>
        <v/>
      </c>
    </row>
    <row r="7050" spans="1:8">
      <c r="A7050" s="2"/>
      <c r="B7050" s="12"/>
      <c r="C7050" s="12"/>
      <c r="E7050" t="str">
        <f>IF(LEN(D7050)=0,"",[1]!i_pq_tradedays($B$3,A7051,A7050)-1)</f>
        <v/>
      </c>
      <c r="G7050" s="16" t="str">
        <f t="shared" si="236"/>
        <v/>
      </c>
      <c r="H7050" s="70" t="str">
        <f t="shared" si="237"/>
        <v/>
      </c>
    </row>
    <row r="7051" spans="1:8">
      <c r="A7051" s="2"/>
      <c r="B7051" s="12"/>
      <c r="C7051" s="12"/>
      <c r="E7051" t="str">
        <f>IF(LEN(D7051)=0,"",[1]!i_pq_tradedays($B$3,A7052,A7051)-1)</f>
        <v/>
      </c>
      <c r="G7051" s="16" t="str">
        <f t="shared" si="236"/>
        <v/>
      </c>
      <c r="H7051" s="70" t="str">
        <f t="shared" si="237"/>
        <v/>
      </c>
    </row>
    <row r="7052" spans="1:8">
      <c r="A7052" s="2"/>
      <c r="B7052" s="12"/>
      <c r="C7052" s="12"/>
      <c r="E7052" t="str">
        <f>IF(LEN(D7052)=0,"",[1]!i_pq_tradedays($B$3,A7053,A7052)-1)</f>
        <v/>
      </c>
      <c r="G7052" s="16" t="str">
        <f t="shared" si="236"/>
        <v/>
      </c>
      <c r="H7052" s="70" t="str">
        <f t="shared" si="237"/>
        <v/>
      </c>
    </row>
    <row r="7053" spans="1:8">
      <c r="A7053" s="2"/>
      <c r="B7053" s="12"/>
      <c r="C7053" s="12"/>
      <c r="E7053" t="str">
        <f>IF(LEN(D7053)=0,"",[1]!i_pq_tradedays($B$3,A7054,A7053)-1)</f>
        <v/>
      </c>
      <c r="G7053" s="16" t="str">
        <f t="shared" si="236"/>
        <v/>
      </c>
      <c r="H7053" s="70" t="str">
        <f t="shared" si="237"/>
        <v/>
      </c>
    </row>
    <row r="7054" spans="1:8">
      <c r="A7054" s="2"/>
      <c r="B7054" s="12"/>
      <c r="C7054" s="12"/>
      <c r="E7054" t="str">
        <f>IF(LEN(D7054)=0,"",[1]!i_pq_tradedays($B$3,A7055,A7054)-1)</f>
        <v/>
      </c>
      <c r="G7054" s="16" t="str">
        <f t="shared" si="236"/>
        <v/>
      </c>
      <c r="H7054" s="70" t="str">
        <f t="shared" si="237"/>
        <v/>
      </c>
    </row>
    <row r="7055" spans="1:8">
      <c r="A7055" s="2"/>
      <c r="B7055" s="12"/>
      <c r="C7055" s="12"/>
      <c r="E7055" t="str">
        <f>IF(LEN(D7055)=0,"",[1]!i_pq_tradedays($B$3,A7056,A7055)-1)</f>
        <v/>
      </c>
      <c r="G7055" s="16" t="str">
        <f t="shared" si="236"/>
        <v/>
      </c>
      <c r="H7055" s="70" t="str">
        <f t="shared" si="237"/>
        <v/>
      </c>
    </row>
    <row r="7056" spans="1:8">
      <c r="A7056" s="2"/>
      <c r="B7056" s="12"/>
      <c r="C7056" s="12"/>
      <c r="E7056" t="str">
        <f>IF(LEN(D7056)=0,"",[1]!i_pq_tradedays($B$3,A7057,A7056)-1)</f>
        <v/>
      </c>
      <c r="G7056" s="16" t="str">
        <f t="shared" si="236"/>
        <v/>
      </c>
      <c r="H7056" s="70" t="str">
        <f t="shared" si="237"/>
        <v/>
      </c>
    </row>
    <row r="7057" spans="1:8">
      <c r="A7057" s="2"/>
      <c r="B7057" s="12"/>
      <c r="C7057" s="12"/>
      <c r="E7057" t="str">
        <f>IF(LEN(D7057)=0,"",[1]!i_pq_tradedays($B$3,A7058,A7057)-1)</f>
        <v/>
      </c>
      <c r="G7057" s="16" t="str">
        <f t="shared" si="236"/>
        <v/>
      </c>
      <c r="H7057" s="70" t="str">
        <f t="shared" si="237"/>
        <v/>
      </c>
    </row>
    <row r="7058" spans="1:8">
      <c r="A7058" s="2"/>
      <c r="B7058" s="12"/>
      <c r="C7058" s="12"/>
      <c r="E7058" t="str">
        <f>IF(LEN(D7058)=0,"",[1]!i_pq_tradedays($B$3,A7059,A7058)-1)</f>
        <v/>
      </c>
      <c r="G7058" s="16" t="str">
        <f t="shared" si="236"/>
        <v/>
      </c>
      <c r="H7058" s="70" t="str">
        <f t="shared" si="237"/>
        <v/>
      </c>
    </row>
    <row r="7059" spans="1:8">
      <c r="A7059" s="2"/>
      <c r="B7059" s="12"/>
      <c r="C7059" s="12"/>
      <c r="E7059" t="str">
        <f>IF(LEN(D7059)=0,"",[1]!i_pq_tradedays($B$3,A7060,A7059)-1)</f>
        <v/>
      </c>
      <c r="G7059" s="16" t="str">
        <f t="shared" si="236"/>
        <v/>
      </c>
      <c r="H7059" s="70" t="str">
        <f t="shared" si="237"/>
        <v/>
      </c>
    </row>
    <row r="7060" spans="1:8">
      <c r="A7060" s="2"/>
      <c r="B7060" s="12"/>
      <c r="C7060" s="12"/>
      <c r="E7060" t="str">
        <f>IF(LEN(D7060)=0,"",[1]!i_pq_tradedays($B$3,A7061,A7060)-1)</f>
        <v/>
      </c>
      <c r="G7060" s="16" t="str">
        <f t="shared" si="236"/>
        <v/>
      </c>
      <c r="H7060" s="70" t="str">
        <f t="shared" si="237"/>
        <v/>
      </c>
    </row>
    <row r="7061" spans="1:8">
      <c r="A7061" s="2"/>
      <c r="B7061" s="12"/>
      <c r="C7061" s="12"/>
      <c r="E7061" t="str">
        <f>IF(LEN(D7061)=0,"",[1]!i_pq_tradedays($B$3,A7062,A7061)-1)</f>
        <v/>
      </c>
      <c r="G7061" s="16" t="str">
        <f t="shared" si="236"/>
        <v/>
      </c>
      <c r="H7061" s="70" t="str">
        <f t="shared" si="237"/>
        <v/>
      </c>
    </row>
    <row r="7062" spans="1:8">
      <c r="A7062" s="2"/>
      <c r="B7062" s="12"/>
      <c r="C7062" s="12"/>
      <c r="E7062" t="str">
        <f>IF(LEN(D7062)=0,"",[1]!i_pq_tradedays($B$3,A7063,A7062)-1)</f>
        <v/>
      </c>
      <c r="G7062" s="16" t="str">
        <f t="shared" si="236"/>
        <v/>
      </c>
      <c r="H7062" s="70" t="str">
        <f t="shared" si="237"/>
        <v/>
      </c>
    </row>
    <row r="7063" spans="1:8">
      <c r="A7063" s="2"/>
      <c r="B7063" s="12"/>
      <c r="C7063" s="12"/>
      <c r="E7063" t="str">
        <f>IF(LEN(D7063)=0,"",[1]!i_pq_tradedays($B$3,A7064,A7063)-1)</f>
        <v/>
      </c>
      <c r="G7063" s="16" t="str">
        <f t="shared" si="236"/>
        <v/>
      </c>
      <c r="H7063" s="70" t="str">
        <f t="shared" si="237"/>
        <v/>
      </c>
    </row>
    <row r="7064" spans="1:8">
      <c r="A7064" s="2"/>
      <c r="B7064" s="12"/>
      <c r="C7064" s="12"/>
      <c r="E7064" t="str">
        <f>IF(LEN(D7064)=0,"",[1]!i_pq_tradedays($B$3,A7065,A7064)-1)</f>
        <v/>
      </c>
      <c r="G7064" s="16" t="str">
        <f t="shared" si="236"/>
        <v/>
      </c>
      <c r="H7064" s="70" t="str">
        <f t="shared" si="237"/>
        <v/>
      </c>
    </row>
    <row r="7065" spans="1:8">
      <c r="A7065" s="2"/>
      <c r="B7065" s="12"/>
      <c r="C7065" s="12"/>
      <c r="E7065" t="str">
        <f>IF(LEN(D7065)=0,"",[1]!i_pq_tradedays($B$3,A7066,A7065)-1)</f>
        <v/>
      </c>
      <c r="G7065" s="16" t="str">
        <f t="shared" si="236"/>
        <v/>
      </c>
      <c r="H7065" s="70" t="str">
        <f t="shared" si="237"/>
        <v/>
      </c>
    </row>
    <row r="7066" spans="1:8">
      <c r="A7066" s="2"/>
      <c r="B7066" s="12"/>
      <c r="C7066" s="12"/>
      <c r="E7066" t="str">
        <f>IF(LEN(D7066)=0,"",[1]!i_pq_tradedays($B$3,A7067,A7066)-1)</f>
        <v/>
      </c>
      <c r="G7066" s="16" t="str">
        <f t="shared" si="236"/>
        <v/>
      </c>
      <c r="H7066" s="70" t="str">
        <f t="shared" si="237"/>
        <v/>
      </c>
    </row>
    <row r="7067" spans="1:8">
      <c r="A7067" s="2"/>
      <c r="B7067" s="12"/>
      <c r="C7067" s="12"/>
      <c r="E7067" t="str">
        <f>IF(LEN(D7067)=0,"",[1]!i_pq_tradedays($B$3,A7068,A7067)-1)</f>
        <v/>
      </c>
      <c r="G7067" s="16" t="str">
        <f t="shared" si="236"/>
        <v/>
      </c>
      <c r="H7067" s="70" t="str">
        <f t="shared" si="237"/>
        <v/>
      </c>
    </row>
    <row r="7068" spans="1:8">
      <c r="A7068" s="2"/>
      <c r="B7068" s="12"/>
      <c r="C7068" s="12"/>
      <c r="E7068" t="str">
        <f>IF(LEN(D7068)=0,"",[1]!i_pq_tradedays($B$3,A7069,A7068)-1)</f>
        <v/>
      </c>
      <c r="G7068" s="16" t="str">
        <f t="shared" si="236"/>
        <v/>
      </c>
      <c r="H7068" s="70" t="str">
        <f t="shared" si="237"/>
        <v/>
      </c>
    </row>
    <row r="7069" spans="1:8">
      <c r="A7069" s="2"/>
      <c r="B7069" s="12"/>
      <c r="C7069" s="12"/>
      <c r="E7069" t="str">
        <f>IF(LEN(D7069)=0,"",[1]!i_pq_tradedays($B$3,A7070,A7069)-1)</f>
        <v/>
      </c>
      <c r="G7069" s="16" t="str">
        <f t="shared" si="236"/>
        <v/>
      </c>
      <c r="H7069" s="70" t="str">
        <f t="shared" si="237"/>
        <v/>
      </c>
    </row>
    <row r="7070" spans="1:8">
      <c r="A7070" s="2"/>
      <c r="B7070" s="12"/>
      <c r="C7070" s="12"/>
      <c r="E7070" t="str">
        <f>IF(LEN(D7070)=0,"",[1]!i_pq_tradedays($B$3,A7071,A7070)-1)</f>
        <v/>
      </c>
      <c r="G7070" s="16" t="str">
        <f t="shared" si="236"/>
        <v/>
      </c>
      <c r="H7070" s="70" t="str">
        <f t="shared" si="237"/>
        <v/>
      </c>
    </row>
    <row r="7071" spans="1:8">
      <c r="A7071" s="2"/>
      <c r="B7071" s="12"/>
      <c r="C7071" s="12"/>
      <c r="E7071" t="str">
        <f>IF(LEN(D7071)=0,"",[1]!i_pq_tradedays($B$3,A7072,A7071)-1)</f>
        <v/>
      </c>
      <c r="G7071" s="16" t="str">
        <f t="shared" si="236"/>
        <v/>
      </c>
      <c r="H7071" s="70" t="str">
        <f t="shared" si="237"/>
        <v/>
      </c>
    </row>
    <row r="7072" spans="1:8">
      <c r="A7072" s="2"/>
      <c r="B7072" s="12"/>
      <c r="C7072" s="12"/>
      <c r="E7072" t="str">
        <f>IF(LEN(D7072)=0,"",[1]!i_pq_tradedays($B$3,A7073,A7072)-1)</f>
        <v/>
      </c>
      <c r="G7072" s="16" t="str">
        <f t="shared" si="236"/>
        <v/>
      </c>
      <c r="H7072" s="70" t="str">
        <f t="shared" si="237"/>
        <v/>
      </c>
    </row>
    <row r="7073" spans="1:8">
      <c r="A7073" s="2"/>
      <c r="B7073" s="12"/>
      <c r="C7073" s="12"/>
      <c r="E7073" t="str">
        <f>IF(LEN(D7073)=0,"",[1]!i_pq_tradedays($B$3,A7074,A7073)-1)</f>
        <v/>
      </c>
      <c r="G7073" s="16" t="str">
        <f t="shared" si="236"/>
        <v/>
      </c>
      <c r="H7073" s="70" t="str">
        <f t="shared" si="237"/>
        <v/>
      </c>
    </row>
    <row r="7074" spans="1:8">
      <c r="A7074" s="2"/>
      <c r="B7074" s="12"/>
      <c r="C7074" s="12"/>
      <c r="E7074" t="str">
        <f>IF(LEN(D7074)=0,"",[1]!i_pq_tradedays($B$3,A7075,A7074)-1)</f>
        <v/>
      </c>
      <c r="G7074" s="16" t="str">
        <f t="shared" si="236"/>
        <v/>
      </c>
      <c r="H7074" s="70" t="str">
        <f t="shared" si="237"/>
        <v/>
      </c>
    </row>
    <row r="7075" spans="1:8">
      <c r="A7075" s="2"/>
      <c r="B7075" s="12"/>
      <c r="C7075" s="12"/>
      <c r="E7075" t="str">
        <f>IF(LEN(D7075)=0,"",[1]!i_pq_tradedays($B$3,A7076,A7075)-1)</f>
        <v/>
      </c>
      <c r="G7075" s="16" t="str">
        <f t="shared" si="236"/>
        <v/>
      </c>
      <c r="H7075" s="70" t="str">
        <f t="shared" si="237"/>
        <v/>
      </c>
    </row>
    <row r="7076" spans="1:8">
      <c r="A7076" s="2"/>
      <c r="B7076" s="12"/>
      <c r="C7076" s="12"/>
      <c r="E7076" t="str">
        <f>IF(LEN(D7076)=0,"",[1]!i_pq_tradedays($B$3,A7077,A7076)-1)</f>
        <v/>
      </c>
      <c r="G7076" s="16" t="str">
        <f t="shared" si="236"/>
        <v/>
      </c>
      <c r="H7076" s="70" t="str">
        <f t="shared" si="237"/>
        <v/>
      </c>
    </row>
    <row r="7077" spans="1:8">
      <c r="A7077" s="2"/>
      <c r="B7077" s="12"/>
      <c r="C7077" s="12"/>
      <c r="E7077" t="str">
        <f>IF(LEN(D7077)=0,"",[1]!i_pq_tradedays($B$3,A7078,A7077)-1)</f>
        <v/>
      </c>
      <c r="G7077" s="16" t="str">
        <f t="shared" si="236"/>
        <v/>
      </c>
      <c r="H7077" s="70" t="str">
        <f t="shared" si="237"/>
        <v/>
      </c>
    </row>
    <row r="7078" spans="1:8">
      <c r="A7078" s="2"/>
      <c r="B7078" s="12"/>
      <c r="C7078" s="12"/>
      <c r="E7078" t="str">
        <f>IF(LEN(D7078)=0,"",[1]!i_pq_tradedays($B$3,A7079,A7078)-1)</f>
        <v/>
      </c>
      <c r="G7078" s="16" t="str">
        <f t="shared" si="236"/>
        <v/>
      </c>
      <c r="H7078" s="70" t="str">
        <f t="shared" si="237"/>
        <v/>
      </c>
    </row>
    <row r="7079" spans="1:8">
      <c r="A7079" s="2"/>
      <c r="B7079" s="12"/>
      <c r="C7079" s="12"/>
      <c r="E7079" t="str">
        <f>IF(LEN(D7079)=0,"",[1]!i_pq_tradedays($B$3,A7080,A7079)-1)</f>
        <v/>
      </c>
      <c r="G7079" s="16" t="str">
        <f t="shared" si="236"/>
        <v/>
      </c>
      <c r="H7079" s="70" t="str">
        <f t="shared" si="237"/>
        <v/>
      </c>
    </row>
    <row r="7080" spans="1:8">
      <c r="A7080" s="2"/>
      <c r="B7080" s="12"/>
      <c r="C7080" s="12"/>
      <c r="E7080" t="str">
        <f>IF(LEN(D7080)=0,"",[1]!i_pq_tradedays($B$3,A7081,A7080)-1)</f>
        <v/>
      </c>
      <c r="G7080" s="16" t="str">
        <f t="shared" si="236"/>
        <v/>
      </c>
      <c r="H7080" s="70" t="str">
        <f t="shared" si="237"/>
        <v/>
      </c>
    </row>
    <row r="7081" spans="1:8">
      <c r="A7081" s="2"/>
      <c r="B7081" s="12"/>
      <c r="C7081" s="12"/>
      <c r="E7081" t="str">
        <f>IF(LEN(D7081)=0,"",[1]!i_pq_tradedays($B$3,A7082,A7081)-1)</f>
        <v/>
      </c>
      <c r="G7081" s="16" t="str">
        <f t="shared" si="236"/>
        <v/>
      </c>
      <c r="H7081" s="70" t="str">
        <f t="shared" si="237"/>
        <v/>
      </c>
    </row>
    <row r="7082" spans="1:8">
      <c r="A7082" s="2"/>
      <c r="B7082" s="12"/>
      <c r="C7082" s="12"/>
      <c r="E7082" t="str">
        <f>IF(LEN(D7082)=0,"",[1]!i_pq_tradedays($B$3,A7083,A7082)-1)</f>
        <v/>
      </c>
      <c r="G7082" s="16" t="str">
        <f t="shared" si="236"/>
        <v/>
      </c>
      <c r="H7082" s="70" t="str">
        <f t="shared" si="237"/>
        <v/>
      </c>
    </row>
    <row r="7083" spans="1:8">
      <c r="A7083" s="2"/>
      <c r="B7083" s="12"/>
      <c r="C7083" s="12"/>
      <c r="E7083" t="str">
        <f>IF(LEN(D7083)=0,"",[1]!i_pq_tradedays($B$3,A7084,A7083)-1)</f>
        <v/>
      </c>
      <c r="G7083" s="16" t="str">
        <f t="shared" si="236"/>
        <v/>
      </c>
      <c r="H7083" s="70" t="str">
        <f t="shared" si="237"/>
        <v/>
      </c>
    </row>
    <row r="7084" spans="1:8">
      <c r="A7084" s="2"/>
      <c r="B7084" s="12"/>
      <c r="C7084" s="12"/>
      <c r="E7084" t="str">
        <f>IF(LEN(D7084)=0,"",[1]!i_pq_tradedays($B$3,A7085,A7084)-1)</f>
        <v/>
      </c>
      <c r="G7084" s="16" t="str">
        <f t="shared" si="236"/>
        <v/>
      </c>
      <c r="H7084" s="70" t="str">
        <f t="shared" si="237"/>
        <v/>
      </c>
    </row>
    <row r="7085" spans="1:8">
      <c r="A7085" s="2"/>
      <c r="B7085" s="12"/>
      <c r="C7085" s="12"/>
      <c r="E7085" t="str">
        <f>IF(LEN(D7085)=0,"",[1]!i_pq_tradedays($B$3,A7086,A7085)-1)</f>
        <v/>
      </c>
      <c r="G7085" s="16" t="str">
        <f t="shared" si="236"/>
        <v/>
      </c>
      <c r="H7085" s="70" t="str">
        <f t="shared" si="237"/>
        <v/>
      </c>
    </row>
    <row r="7086" spans="1:8">
      <c r="A7086" s="2"/>
      <c r="B7086" s="12"/>
      <c r="C7086" s="12"/>
      <c r="E7086" t="str">
        <f>IF(LEN(D7086)=0,"",[1]!i_pq_tradedays($B$3,A7087,A7086)-1)</f>
        <v/>
      </c>
      <c r="G7086" s="16" t="str">
        <f t="shared" si="236"/>
        <v/>
      </c>
      <c r="H7086" s="70" t="str">
        <f t="shared" si="237"/>
        <v/>
      </c>
    </row>
    <row r="7087" spans="1:8">
      <c r="A7087" s="2"/>
      <c r="B7087" s="12"/>
      <c r="C7087" s="12"/>
      <c r="E7087" t="str">
        <f>IF(LEN(D7087)=0,"",[1]!i_pq_tradedays($B$3,A7088,A7087)-1)</f>
        <v/>
      </c>
      <c r="G7087" s="16" t="str">
        <f t="shared" si="236"/>
        <v/>
      </c>
      <c r="H7087" s="70" t="str">
        <f t="shared" si="237"/>
        <v/>
      </c>
    </row>
    <row r="7088" spans="1:8">
      <c r="A7088" s="2"/>
      <c r="B7088" s="12"/>
      <c r="C7088" s="12"/>
      <c r="E7088" t="str">
        <f>IF(LEN(D7088)=0,"",[1]!i_pq_tradedays($B$3,A7089,A7088)-1)</f>
        <v/>
      </c>
      <c r="G7088" s="16" t="str">
        <f t="shared" si="236"/>
        <v/>
      </c>
      <c r="H7088" s="70" t="str">
        <f t="shared" si="237"/>
        <v/>
      </c>
    </row>
    <row r="7089" spans="1:8">
      <c r="A7089" s="2"/>
      <c r="B7089" s="12"/>
      <c r="C7089" s="12"/>
      <c r="E7089" t="str">
        <f>IF(LEN(D7089)=0,"",[1]!i_pq_tradedays($B$3,A7090,A7089)-1)</f>
        <v/>
      </c>
      <c r="G7089" s="16" t="str">
        <f t="shared" si="236"/>
        <v/>
      </c>
      <c r="H7089" s="70" t="str">
        <f t="shared" si="237"/>
        <v/>
      </c>
    </row>
    <row r="7090" spans="1:8">
      <c r="A7090" s="2"/>
      <c r="B7090" s="12"/>
      <c r="C7090" s="12"/>
      <c r="E7090" t="str">
        <f>IF(LEN(D7090)=0,"",[1]!i_pq_tradedays($B$3,A7091,A7090)-1)</f>
        <v/>
      </c>
      <c r="G7090" s="16" t="str">
        <f t="shared" si="236"/>
        <v/>
      </c>
      <c r="H7090" s="70" t="str">
        <f t="shared" si="237"/>
        <v/>
      </c>
    </row>
    <row r="7091" spans="1:8">
      <c r="A7091" s="2"/>
      <c r="B7091" s="12"/>
      <c r="C7091" s="12"/>
      <c r="E7091" t="str">
        <f>IF(LEN(D7091)=0,"",[1]!i_pq_tradedays($B$3,A7092,A7091)-1)</f>
        <v/>
      </c>
      <c r="G7091" s="16" t="str">
        <f t="shared" si="236"/>
        <v/>
      </c>
      <c r="H7091" s="70" t="str">
        <f t="shared" si="237"/>
        <v/>
      </c>
    </row>
    <row r="7092" spans="1:8">
      <c r="A7092" s="2"/>
      <c r="B7092" s="12"/>
      <c r="C7092" s="12"/>
      <c r="E7092" t="str">
        <f>IF(LEN(D7092)=0,"",[1]!i_pq_tradedays($B$3,A7093,A7092)-1)</f>
        <v/>
      </c>
      <c r="G7092" s="16" t="str">
        <f t="shared" si="236"/>
        <v/>
      </c>
      <c r="H7092" s="70" t="str">
        <f t="shared" si="237"/>
        <v/>
      </c>
    </row>
    <row r="7093" spans="1:8">
      <c r="A7093" s="2"/>
      <c r="B7093" s="12"/>
      <c r="C7093" s="12"/>
      <c r="E7093" t="str">
        <f>IF(LEN(D7093)=0,"",[1]!i_pq_tradedays($B$3,A7094,A7093)-1)</f>
        <v/>
      </c>
      <c r="G7093" s="16" t="str">
        <f t="shared" ref="G7093:G7156" si="238">IF(LEN(D7093)=0,"",D7093/E7093)</f>
        <v/>
      </c>
      <c r="H7093" s="70" t="str">
        <f t="shared" ref="H7093:H7156" si="239">IF(LEN(D7093)=0,"",G7093/G7094-1)</f>
        <v/>
      </c>
    </row>
    <row r="7094" spans="1:8">
      <c r="A7094" s="2"/>
      <c r="B7094" s="12"/>
      <c r="C7094" s="12"/>
      <c r="E7094" t="str">
        <f>IF(LEN(D7094)=0,"",[1]!i_pq_tradedays($B$3,A7095,A7094)-1)</f>
        <v/>
      </c>
      <c r="G7094" s="16" t="str">
        <f t="shared" si="238"/>
        <v/>
      </c>
      <c r="H7094" s="70" t="str">
        <f t="shared" si="239"/>
        <v/>
      </c>
    </row>
    <row r="7095" spans="1:8">
      <c r="A7095" s="2"/>
      <c r="B7095" s="12"/>
      <c r="C7095" s="12"/>
      <c r="E7095" t="str">
        <f>IF(LEN(D7095)=0,"",[1]!i_pq_tradedays($B$3,A7096,A7095)-1)</f>
        <v/>
      </c>
      <c r="G7095" s="16" t="str">
        <f t="shared" si="238"/>
        <v/>
      </c>
      <c r="H7095" s="70" t="str">
        <f t="shared" si="239"/>
        <v/>
      </c>
    </row>
    <row r="7096" spans="1:8">
      <c r="A7096" s="2"/>
      <c r="B7096" s="12"/>
      <c r="C7096" s="12"/>
      <c r="E7096" t="str">
        <f>IF(LEN(D7096)=0,"",[1]!i_pq_tradedays($B$3,A7097,A7096)-1)</f>
        <v/>
      </c>
      <c r="G7096" s="16" t="str">
        <f t="shared" si="238"/>
        <v/>
      </c>
      <c r="H7096" s="70" t="str">
        <f t="shared" si="239"/>
        <v/>
      </c>
    </row>
    <row r="7097" spans="1:8">
      <c r="A7097" s="2"/>
      <c r="B7097" s="12"/>
      <c r="C7097" s="12"/>
      <c r="E7097" t="str">
        <f>IF(LEN(D7097)=0,"",[1]!i_pq_tradedays($B$3,A7098,A7097)-1)</f>
        <v/>
      </c>
      <c r="G7097" s="16" t="str">
        <f t="shared" si="238"/>
        <v/>
      </c>
      <c r="H7097" s="70" t="str">
        <f t="shared" si="239"/>
        <v/>
      </c>
    </row>
    <row r="7098" spans="1:8">
      <c r="A7098" s="2"/>
      <c r="B7098" s="12"/>
      <c r="C7098" s="12"/>
      <c r="E7098" t="str">
        <f>IF(LEN(D7098)=0,"",[1]!i_pq_tradedays($B$3,A7099,A7098)-1)</f>
        <v/>
      </c>
      <c r="G7098" s="16" t="str">
        <f t="shared" si="238"/>
        <v/>
      </c>
      <c r="H7098" s="70" t="str">
        <f t="shared" si="239"/>
        <v/>
      </c>
    </row>
    <row r="7099" spans="1:8">
      <c r="A7099" s="2"/>
      <c r="B7099" s="12"/>
      <c r="C7099" s="12"/>
      <c r="E7099" t="str">
        <f>IF(LEN(D7099)=0,"",[1]!i_pq_tradedays($B$3,A7100,A7099)-1)</f>
        <v/>
      </c>
      <c r="G7099" s="16" t="str">
        <f t="shared" si="238"/>
        <v/>
      </c>
      <c r="H7099" s="70" t="str">
        <f t="shared" si="239"/>
        <v/>
      </c>
    </row>
    <row r="7100" spans="1:8">
      <c r="A7100" s="2"/>
      <c r="B7100" s="12"/>
      <c r="C7100" s="12"/>
      <c r="E7100" t="str">
        <f>IF(LEN(D7100)=0,"",[1]!i_pq_tradedays($B$3,A7101,A7100)-1)</f>
        <v/>
      </c>
      <c r="G7100" s="16" t="str">
        <f t="shared" si="238"/>
        <v/>
      </c>
      <c r="H7100" s="70" t="str">
        <f t="shared" si="239"/>
        <v/>
      </c>
    </row>
    <row r="7101" spans="1:8">
      <c r="A7101" s="2"/>
      <c r="B7101" s="12"/>
      <c r="C7101" s="12"/>
      <c r="E7101" t="str">
        <f>IF(LEN(D7101)=0,"",[1]!i_pq_tradedays($B$3,A7102,A7101)-1)</f>
        <v/>
      </c>
      <c r="G7101" s="16" t="str">
        <f t="shared" si="238"/>
        <v/>
      </c>
      <c r="H7101" s="70" t="str">
        <f t="shared" si="239"/>
        <v/>
      </c>
    </row>
    <row r="7102" spans="1:8">
      <c r="A7102" s="2"/>
      <c r="B7102" s="12"/>
      <c r="C7102" s="12"/>
      <c r="E7102" t="str">
        <f>IF(LEN(D7102)=0,"",[1]!i_pq_tradedays($B$3,A7103,A7102)-1)</f>
        <v/>
      </c>
      <c r="G7102" s="16" t="str">
        <f t="shared" si="238"/>
        <v/>
      </c>
      <c r="H7102" s="70" t="str">
        <f t="shared" si="239"/>
        <v/>
      </c>
    </row>
    <row r="7103" spans="1:8">
      <c r="A7103" s="2"/>
      <c r="B7103" s="12"/>
      <c r="C7103" s="12"/>
      <c r="E7103" t="str">
        <f>IF(LEN(D7103)=0,"",[1]!i_pq_tradedays($B$3,A7104,A7103)-1)</f>
        <v/>
      </c>
      <c r="G7103" s="16" t="str">
        <f t="shared" si="238"/>
        <v/>
      </c>
      <c r="H7103" s="70" t="str">
        <f t="shared" si="239"/>
        <v/>
      </c>
    </row>
    <row r="7104" spans="1:8">
      <c r="A7104" s="2"/>
      <c r="B7104" s="12"/>
      <c r="C7104" s="12"/>
      <c r="E7104" t="str">
        <f>IF(LEN(D7104)=0,"",[1]!i_pq_tradedays($B$3,A7105,A7104)-1)</f>
        <v/>
      </c>
      <c r="G7104" s="16" t="str">
        <f t="shared" si="238"/>
        <v/>
      </c>
      <c r="H7104" s="70" t="str">
        <f t="shared" si="239"/>
        <v/>
      </c>
    </row>
    <row r="7105" spans="1:8">
      <c r="A7105" s="2"/>
      <c r="B7105" s="12"/>
      <c r="C7105" s="12"/>
      <c r="E7105" t="str">
        <f>IF(LEN(D7105)=0,"",[1]!i_pq_tradedays($B$3,A7106,A7105)-1)</f>
        <v/>
      </c>
      <c r="G7105" s="16" t="str">
        <f t="shared" si="238"/>
        <v/>
      </c>
      <c r="H7105" s="70" t="str">
        <f t="shared" si="239"/>
        <v/>
      </c>
    </row>
    <row r="7106" spans="1:8">
      <c r="A7106" s="2"/>
      <c r="B7106" s="12"/>
      <c r="C7106" s="12"/>
      <c r="E7106" t="str">
        <f>IF(LEN(D7106)=0,"",[1]!i_pq_tradedays($B$3,A7107,A7106)-1)</f>
        <v/>
      </c>
      <c r="G7106" s="16" t="str">
        <f t="shared" si="238"/>
        <v/>
      </c>
      <c r="H7106" s="70" t="str">
        <f t="shared" si="239"/>
        <v/>
      </c>
    </row>
    <row r="7107" spans="1:8">
      <c r="A7107" s="2"/>
      <c r="B7107" s="12"/>
      <c r="C7107" s="12"/>
      <c r="E7107" t="str">
        <f>IF(LEN(D7107)=0,"",[1]!i_pq_tradedays($B$3,A7108,A7107)-1)</f>
        <v/>
      </c>
      <c r="G7107" s="16" t="str">
        <f t="shared" si="238"/>
        <v/>
      </c>
      <c r="H7107" s="70" t="str">
        <f t="shared" si="239"/>
        <v/>
      </c>
    </row>
    <row r="7108" spans="1:8">
      <c r="A7108" s="2"/>
      <c r="B7108" s="12"/>
      <c r="C7108" s="12"/>
      <c r="E7108" t="str">
        <f>IF(LEN(D7108)=0,"",[1]!i_pq_tradedays($B$3,A7109,A7108)-1)</f>
        <v/>
      </c>
      <c r="G7108" s="16" t="str">
        <f t="shared" si="238"/>
        <v/>
      </c>
      <c r="H7108" s="70" t="str">
        <f t="shared" si="239"/>
        <v/>
      </c>
    </row>
    <row r="7109" spans="1:8">
      <c r="A7109" s="2"/>
      <c r="B7109" s="12"/>
      <c r="C7109" s="12"/>
      <c r="E7109" t="str">
        <f>IF(LEN(D7109)=0,"",[1]!i_pq_tradedays($B$3,A7110,A7109)-1)</f>
        <v/>
      </c>
      <c r="G7109" s="16" t="str">
        <f t="shared" si="238"/>
        <v/>
      </c>
      <c r="H7109" s="70" t="str">
        <f t="shared" si="239"/>
        <v/>
      </c>
    </row>
    <row r="7110" spans="1:8">
      <c r="A7110" s="2"/>
      <c r="B7110" s="12"/>
      <c r="C7110" s="12"/>
      <c r="E7110" t="str">
        <f>IF(LEN(D7110)=0,"",[1]!i_pq_tradedays($B$3,A7111,A7110)-1)</f>
        <v/>
      </c>
      <c r="G7110" s="16" t="str">
        <f t="shared" si="238"/>
        <v/>
      </c>
      <c r="H7110" s="70" t="str">
        <f t="shared" si="239"/>
        <v/>
      </c>
    </row>
    <row r="7111" spans="1:8">
      <c r="A7111" s="2"/>
      <c r="B7111" s="12"/>
      <c r="C7111" s="12"/>
      <c r="E7111" t="str">
        <f>IF(LEN(D7111)=0,"",[1]!i_pq_tradedays($B$3,A7112,A7111)-1)</f>
        <v/>
      </c>
      <c r="G7111" s="16" t="str">
        <f t="shared" si="238"/>
        <v/>
      </c>
      <c r="H7111" s="70" t="str">
        <f t="shared" si="239"/>
        <v/>
      </c>
    </row>
    <row r="7112" spans="1:8">
      <c r="A7112" s="2"/>
      <c r="B7112" s="12"/>
      <c r="C7112" s="12"/>
      <c r="E7112" t="str">
        <f>IF(LEN(D7112)=0,"",[1]!i_pq_tradedays($B$3,A7113,A7112)-1)</f>
        <v/>
      </c>
      <c r="G7112" s="16" t="str">
        <f t="shared" si="238"/>
        <v/>
      </c>
      <c r="H7112" s="70" t="str">
        <f t="shared" si="239"/>
        <v/>
      </c>
    </row>
    <row r="7113" spans="1:8">
      <c r="A7113" s="2"/>
      <c r="B7113" s="12"/>
      <c r="C7113" s="12"/>
      <c r="E7113" t="str">
        <f>IF(LEN(D7113)=0,"",[1]!i_pq_tradedays($B$3,A7114,A7113)-1)</f>
        <v/>
      </c>
      <c r="G7113" s="16" t="str">
        <f t="shared" si="238"/>
        <v/>
      </c>
      <c r="H7113" s="70" t="str">
        <f t="shared" si="239"/>
        <v/>
      </c>
    </row>
    <row r="7114" spans="1:8">
      <c r="A7114" s="2"/>
      <c r="B7114" s="12"/>
      <c r="C7114" s="12"/>
      <c r="E7114" t="str">
        <f>IF(LEN(D7114)=0,"",[1]!i_pq_tradedays($B$3,A7115,A7114)-1)</f>
        <v/>
      </c>
      <c r="G7114" s="16" t="str">
        <f t="shared" si="238"/>
        <v/>
      </c>
      <c r="H7114" s="70" t="str">
        <f t="shared" si="239"/>
        <v/>
      </c>
    </row>
    <row r="7115" spans="1:8">
      <c r="A7115" s="2"/>
      <c r="B7115" s="12"/>
      <c r="C7115" s="12"/>
      <c r="E7115" t="str">
        <f>IF(LEN(D7115)=0,"",[1]!i_pq_tradedays($B$3,A7116,A7115)-1)</f>
        <v/>
      </c>
      <c r="G7115" s="16" t="str">
        <f t="shared" si="238"/>
        <v/>
      </c>
      <c r="H7115" s="70" t="str">
        <f t="shared" si="239"/>
        <v/>
      </c>
    </row>
    <row r="7116" spans="1:8">
      <c r="A7116" s="2"/>
      <c r="B7116" s="12"/>
      <c r="C7116" s="12"/>
      <c r="E7116" t="str">
        <f>IF(LEN(D7116)=0,"",[1]!i_pq_tradedays($B$3,A7117,A7116)-1)</f>
        <v/>
      </c>
      <c r="G7116" s="16" t="str">
        <f t="shared" si="238"/>
        <v/>
      </c>
      <c r="H7116" s="70" t="str">
        <f t="shared" si="239"/>
        <v/>
      </c>
    </row>
    <row r="7117" spans="1:8">
      <c r="A7117" s="2"/>
      <c r="B7117" s="12"/>
      <c r="C7117" s="12"/>
      <c r="E7117" t="str">
        <f>IF(LEN(D7117)=0,"",[1]!i_pq_tradedays($B$3,A7118,A7117)-1)</f>
        <v/>
      </c>
      <c r="G7117" s="16" t="str">
        <f t="shared" si="238"/>
        <v/>
      </c>
      <c r="H7117" s="70" t="str">
        <f t="shared" si="239"/>
        <v/>
      </c>
    </row>
    <row r="7118" spans="1:8">
      <c r="A7118" s="2"/>
      <c r="B7118" s="12"/>
      <c r="C7118" s="12"/>
      <c r="E7118" t="str">
        <f>IF(LEN(D7118)=0,"",[1]!i_pq_tradedays($B$3,A7119,A7118)-1)</f>
        <v/>
      </c>
      <c r="G7118" s="16" t="str">
        <f t="shared" si="238"/>
        <v/>
      </c>
      <c r="H7118" s="70" t="str">
        <f t="shared" si="239"/>
        <v/>
      </c>
    </row>
    <row r="7119" spans="1:8">
      <c r="A7119" s="2"/>
      <c r="B7119" s="12"/>
      <c r="C7119" s="12"/>
      <c r="E7119" t="str">
        <f>IF(LEN(D7119)=0,"",[1]!i_pq_tradedays($B$3,A7120,A7119)-1)</f>
        <v/>
      </c>
      <c r="G7119" s="16" t="str">
        <f t="shared" si="238"/>
        <v/>
      </c>
      <c r="H7119" s="70" t="str">
        <f t="shared" si="239"/>
        <v/>
      </c>
    </row>
    <row r="7120" spans="1:8">
      <c r="A7120" s="2"/>
      <c r="B7120" s="12"/>
      <c r="C7120" s="12"/>
      <c r="E7120" t="str">
        <f>IF(LEN(D7120)=0,"",[1]!i_pq_tradedays($B$3,A7121,A7120)-1)</f>
        <v/>
      </c>
      <c r="G7120" s="16" t="str">
        <f t="shared" si="238"/>
        <v/>
      </c>
      <c r="H7120" s="70" t="str">
        <f t="shared" si="239"/>
        <v/>
      </c>
    </row>
    <row r="7121" spans="1:8">
      <c r="A7121" s="2"/>
      <c r="B7121" s="12"/>
      <c r="C7121" s="12"/>
      <c r="E7121" t="str">
        <f>IF(LEN(D7121)=0,"",[1]!i_pq_tradedays($B$3,A7122,A7121)-1)</f>
        <v/>
      </c>
      <c r="G7121" s="16" t="str">
        <f t="shared" si="238"/>
        <v/>
      </c>
      <c r="H7121" s="70" t="str">
        <f t="shared" si="239"/>
        <v/>
      </c>
    </row>
    <row r="7122" spans="1:8">
      <c r="A7122" s="2"/>
      <c r="B7122" s="12"/>
      <c r="C7122" s="12"/>
      <c r="E7122" t="str">
        <f>IF(LEN(D7122)=0,"",[1]!i_pq_tradedays($B$3,A7123,A7122)-1)</f>
        <v/>
      </c>
      <c r="G7122" s="16" t="str">
        <f t="shared" si="238"/>
        <v/>
      </c>
      <c r="H7122" s="70" t="str">
        <f t="shared" si="239"/>
        <v/>
      </c>
    </row>
    <row r="7123" spans="1:8">
      <c r="A7123" s="2"/>
      <c r="B7123" s="12"/>
      <c r="C7123" s="12"/>
      <c r="E7123" t="str">
        <f>IF(LEN(D7123)=0,"",[1]!i_pq_tradedays($B$3,A7124,A7123)-1)</f>
        <v/>
      </c>
      <c r="G7123" s="16" t="str">
        <f t="shared" si="238"/>
        <v/>
      </c>
      <c r="H7123" s="70" t="str">
        <f t="shared" si="239"/>
        <v/>
      </c>
    </row>
    <row r="7124" spans="1:8">
      <c r="A7124" s="2"/>
      <c r="B7124" s="12"/>
      <c r="C7124" s="12"/>
      <c r="E7124" t="str">
        <f>IF(LEN(D7124)=0,"",[1]!i_pq_tradedays($B$3,A7125,A7124)-1)</f>
        <v/>
      </c>
      <c r="G7124" s="16" t="str">
        <f t="shared" si="238"/>
        <v/>
      </c>
      <c r="H7124" s="70" t="str">
        <f t="shared" si="239"/>
        <v/>
      </c>
    </row>
    <row r="7125" spans="1:8">
      <c r="A7125" s="2"/>
      <c r="B7125" s="12"/>
      <c r="C7125" s="12"/>
      <c r="E7125" t="str">
        <f>IF(LEN(D7125)=0,"",[1]!i_pq_tradedays($B$3,A7126,A7125)-1)</f>
        <v/>
      </c>
      <c r="G7125" s="16" t="str">
        <f t="shared" si="238"/>
        <v/>
      </c>
      <c r="H7125" s="70" t="str">
        <f t="shared" si="239"/>
        <v/>
      </c>
    </row>
    <row r="7126" spans="1:8">
      <c r="A7126" s="2"/>
      <c r="B7126" s="12"/>
      <c r="C7126" s="12"/>
      <c r="E7126" t="str">
        <f>IF(LEN(D7126)=0,"",[1]!i_pq_tradedays($B$3,A7127,A7126)-1)</f>
        <v/>
      </c>
      <c r="G7126" s="16" t="str">
        <f t="shared" si="238"/>
        <v/>
      </c>
      <c r="H7126" s="70" t="str">
        <f t="shared" si="239"/>
        <v/>
      </c>
    </row>
    <row r="7127" spans="1:8">
      <c r="A7127" s="2"/>
      <c r="B7127" s="12"/>
      <c r="C7127" s="12"/>
      <c r="E7127" t="str">
        <f>IF(LEN(D7127)=0,"",[1]!i_pq_tradedays($B$3,A7128,A7127)-1)</f>
        <v/>
      </c>
      <c r="G7127" s="16" t="str">
        <f t="shared" si="238"/>
        <v/>
      </c>
      <c r="H7127" s="70" t="str">
        <f t="shared" si="239"/>
        <v/>
      </c>
    </row>
    <row r="7128" spans="1:8">
      <c r="A7128" s="2"/>
      <c r="B7128" s="12"/>
      <c r="C7128" s="12"/>
      <c r="E7128" t="str">
        <f>IF(LEN(D7128)=0,"",[1]!i_pq_tradedays($B$3,A7129,A7128)-1)</f>
        <v/>
      </c>
      <c r="G7128" s="16" t="str">
        <f t="shared" si="238"/>
        <v/>
      </c>
      <c r="H7128" s="70" t="str">
        <f t="shared" si="239"/>
        <v/>
      </c>
    </row>
    <row r="7129" spans="1:8">
      <c r="A7129" s="2"/>
      <c r="B7129" s="12"/>
      <c r="C7129" s="12"/>
      <c r="E7129" t="str">
        <f>IF(LEN(D7129)=0,"",[1]!i_pq_tradedays($B$3,A7130,A7129)-1)</f>
        <v/>
      </c>
      <c r="G7129" s="16" t="str">
        <f t="shared" si="238"/>
        <v/>
      </c>
      <c r="H7129" s="70" t="str">
        <f t="shared" si="239"/>
        <v/>
      </c>
    </row>
    <row r="7130" spans="1:8">
      <c r="A7130" s="2"/>
      <c r="B7130" s="12"/>
      <c r="C7130" s="12"/>
      <c r="E7130" t="str">
        <f>IF(LEN(D7130)=0,"",[1]!i_pq_tradedays($B$3,A7131,A7130)-1)</f>
        <v/>
      </c>
      <c r="G7130" s="16" t="str">
        <f t="shared" si="238"/>
        <v/>
      </c>
      <c r="H7130" s="70" t="str">
        <f t="shared" si="239"/>
        <v/>
      </c>
    </row>
    <row r="7131" spans="1:8">
      <c r="A7131" s="2"/>
      <c r="B7131" s="12"/>
      <c r="C7131" s="12"/>
      <c r="E7131" t="str">
        <f>IF(LEN(D7131)=0,"",[1]!i_pq_tradedays($B$3,A7132,A7131)-1)</f>
        <v/>
      </c>
      <c r="G7131" s="16" t="str">
        <f t="shared" si="238"/>
        <v/>
      </c>
      <c r="H7131" s="70" t="str">
        <f t="shared" si="239"/>
        <v/>
      </c>
    </row>
    <row r="7132" spans="1:8">
      <c r="A7132" s="2"/>
      <c r="B7132" s="12"/>
      <c r="C7132" s="12"/>
      <c r="E7132" t="str">
        <f>IF(LEN(D7132)=0,"",[1]!i_pq_tradedays($B$3,A7133,A7132)-1)</f>
        <v/>
      </c>
      <c r="G7132" s="16" t="str">
        <f t="shared" si="238"/>
        <v/>
      </c>
      <c r="H7132" s="70" t="str">
        <f t="shared" si="239"/>
        <v/>
      </c>
    </row>
    <row r="7133" spans="1:8">
      <c r="A7133" s="2"/>
      <c r="B7133" s="12"/>
      <c r="C7133" s="12"/>
      <c r="E7133" t="str">
        <f>IF(LEN(D7133)=0,"",[1]!i_pq_tradedays($B$3,A7134,A7133)-1)</f>
        <v/>
      </c>
      <c r="G7133" s="16" t="str">
        <f t="shared" si="238"/>
        <v/>
      </c>
      <c r="H7133" s="70" t="str">
        <f t="shared" si="239"/>
        <v/>
      </c>
    </row>
    <row r="7134" spans="1:8">
      <c r="A7134" s="2"/>
      <c r="B7134" s="12"/>
      <c r="C7134" s="12"/>
      <c r="E7134" t="str">
        <f>IF(LEN(D7134)=0,"",[1]!i_pq_tradedays($B$3,A7135,A7134)-1)</f>
        <v/>
      </c>
      <c r="G7134" s="16" t="str">
        <f t="shared" si="238"/>
        <v/>
      </c>
      <c r="H7134" s="70" t="str">
        <f t="shared" si="239"/>
        <v/>
      </c>
    </row>
    <row r="7135" spans="1:8">
      <c r="A7135" s="2"/>
      <c r="B7135" s="12"/>
      <c r="C7135" s="12"/>
      <c r="E7135" t="str">
        <f>IF(LEN(D7135)=0,"",[1]!i_pq_tradedays($B$3,A7136,A7135)-1)</f>
        <v/>
      </c>
      <c r="G7135" s="16" t="str">
        <f t="shared" si="238"/>
        <v/>
      </c>
      <c r="H7135" s="70" t="str">
        <f t="shared" si="239"/>
        <v/>
      </c>
    </row>
    <row r="7136" spans="1:8">
      <c r="A7136" s="2"/>
      <c r="B7136" s="12"/>
      <c r="C7136" s="12"/>
      <c r="E7136" t="str">
        <f>IF(LEN(D7136)=0,"",[1]!i_pq_tradedays($B$3,A7137,A7136)-1)</f>
        <v/>
      </c>
      <c r="G7136" s="16" t="str">
        <f t="shared" si="238"/>
        <v/>
      </c>
      <c r="H7136" s="70" t="str">
        <f t="shared" si="239"/>
        <v/>
      </c>
    </row>
    <row r="7137" spans="1:8">
      <c r="A7137" s="2"/>
      <c r="B7137" s="12"/>
      <c r="C7137" s="12"/>
      <c r="E7137" t="str">
        <f>IF(LEN(D7137)=0,"",[1]!i_pq_tradedays($B$3,A7138,A7137)-1)</f>
        <v/>
      </c>
      <c r="G7137" s="16" t="str">
        <f t="shared" si="238"/>
        <v/>
      </c>
      <c r="H7137" s="70" t="str">
        <f t="shared" si="239"/>
        <v/>
      </c>
    </row>
    <row r="7138" spans="1:8">
      <c r="A7138" s="2"/>
      <c r="B7138" s="12"/>
      <c r="C7138" s="12"/>
      <c r="E7138" t="str">
        <f>IF(LEN(D7138)=0,"",[1]!i_pq_tradedays($B$3,A7139,A7138)-1)</f>
        <v/>
      </c>
      <c r="G7138" s="16" t="str">
        <f t="shared" si="238"/>
        <v/>
      </c>
      <c r="H7138" s="70" t="str">
        <f t="shared" si="239"/>
        <v/>
      </c>
    </row>
    <row r="7139" spans="1:8">
      <c r="A7139" s="2"/>
      <c r="B7139" s="12"/>
      <c r="C7139" s="12"/>
      <c r="E7139" t="str">
        <f>IF(LEN(D7139)=0,"",[1]!i_pq_tradedays($B$3,A7140,A7139)-1)</f>
        <v/>
      </c>
      <c r="G7139" s="16" t="str">
        <f t="shared" si="238"/>
        <v/>
      </c>
      <c r="H7139" s="70" t="str">
        <f t="shared" si="239"/>
        <v/>
      </c>
    </row>
    <row r="7140" spans="1:8">
      <c r="A7140" s="2"/>
      <c r="B7140" s="12"/>
      <c r="C7140" s="12"/>
      <c r="E7140" t="str">
        <f>IF(LEN(D7140)=0,"",[1]!i_pq_tradedays($B$3,A7141,A7140)-1)</f>
        <v/>
      </c>
      <c r="G7140" s="16" t="str">
        <f t="shared" si="238"/>
        <v/>
      </c>
      <c r="H7140" s="70" t="str">
        <f t="shared" si="239"/>
        <v/>
      </c>
    </row>
    <row r="7141" spans="1:8">
      <c r="A7141" s="2"/>
      <c r="B7141" s="12"/>
      <c r="C7141" s="12"/>
      <c r="E7141" t="str">
        <f>IF(LEN(D7141)=0,"",[1]!i_pq_tradedays($B$3,A7142,A7141)-1)</f>
        <v/>
      </c>
      <c r="G7141" s="16" t="str">
        <f t="shared" si="238"/>
        <v/>
      </c>
      <c r="H7141" s="70" t="str">
        <f t="shared" si="239"/>
        <v/>
      </c>
    </row>
    <row r="7142" spans="1:8">
      <c r="A7142" s="2"/>
      <c r="B7142" s="12"/>
      <c r="C7142" s="12"/>
      <c r="E7142" t="str">
        <f>IF(LEN(D7142)=0,"",[1]!i_pq_tradedays($B$3,A7143,A7142)-1)</f>
        <v/>
      </c>
      <c r="G7142" s="16" t="str">
        <f t="shared" si="238"/>
        <v/>
      </c>
      <c r="H7142" s="70" t="str">
        <f t="shared" si="239"/>
        <v/>
      </c>
    </row>
    <row r="7143" spans="1:8">
      <c r="A7143" s="2"/>
      <c r="B7143" s="12"/>
      <c r="C7143" s="12"/>
      <c r="E7143" t="str">
        <f>IF(LEN(D7143)=0,"",[1]!i_pq_tradedays($B$3,A7144,A7143)-1)</f>
        <v/>
      </c>
      <c r="G7143" s="16" t="str">
        <f t="shared" si="238"/>
        <v/>
      </c>
      <c r="H7143" s="70" t="str">
        <f t="shared" si="239"/>
        <v/>
      </c>
    </row>
    <row r="7144" spans="1:8">
      <c r="A7144" s="2"/>
      <c r="B7144" s="12"/>
      <c r="C7144" s="12"/>
      <c r="E7144" t="str">
        <f>IF(LEN(D7144)=0,"",[1]!i_pq_tradedays($B$3,A7145,A7144)-1)</f>
        <v/>
      </c>
      <c r="G7144" s="16" t="str">
        <f t="shared" si="238"/>
        <v/>
      </c>
      <c r="H7144" s="70" t="str">
        <f t="shared" si="239"/>
        <v/>
      </c>
    </row>
    <row r="7145" spans="1:8">
      <c r="A7145" s="2"/>
      <c r="B7145" s="12"/>
      <c r="C7145" s="12"/>
      <c r="E7145" t="str">
        <f>IF(LEN(D7145)=0,"",[1]!i_pq_tradedays($B$3,A7146,A7145)-1)</f>
        <v/>
      </c>
      <c r="G7145" s="16" t="str">
        <f t="shared" si="238"/>
        <v/>
      </c>
      <c r="H7145" s="70" t="str">
        <f t="shared" si="239"/>
        <v/>
      </c>
    </row>
    <row r="7146" spans="1:8">
      <c r="A7146" s="2"/>
      <c r="B7146" s="12"/>
      <c r="C7146" s="12"/>
      <c r="E7146" t="str">
        <f>IF(LEN(D7146)=0,"",[1]!i_pq_tradedays($B$3,A7147,A7146)-1)</f>
        <v/>
      </c>
      <c r="G7146" s="16" t="str">
        <f t="shared" si="238"/>
        <v/>
      </c>
      <c r="H7146" s="70" t="str">
        <f t="shared" si="239"/>
        <v/>
      </c>
    </row>
    <row r="7147" spans="1:8">
      <c r="A7147" s="2"/>
      <c r="B7147" s="12"/>
      <c r="C7147" s="12"/>
      <c r="E7147" t="str">
        <f>IF(LEN(D7147)=0,"",[1]!i_pq_tradedays($B$3,A7148,A7147)-1)</f>
        <v/>
      </c>
      <c r="G7147" s="16" t="str">
        <f t="shared" si="238"/>
        <v/>
      </c>
      <c r="H7147" s="70" t="str">
        <f t="shared" si="239"/>
        <v/>
      </c>
    </row>
    <row r="7148" spans="1:8">
      <c r="A7148" s="2"/>
      <c r="B7148" s="12"/>
      <c r="C7148" s="12"/>
      <c r="E7148" t="str">
        <f>IF(LEN(D7148)=0,"",[1]!i_pq_tradedays($B$3,A7149,A7148)-1)</f>
        <v/>
      </c>
      <c r="G7148" s="16" t="str">
        <f t="shared" si="238"/>
        <v/>
      </c>
      <c r="H7148" s="70" t="str">
        <f t="shared" si="239"/>
        <v/>
      </c>
    </row>
    <row r="7149" spans="1:8">
      <c r="A7149" s="2"/>
      <c r="B7149" s="12"/>
      <c r="C7149" s="12"/>
      <c r="E7149" t="str">
        <f>IF(LEN(D7149)=0,"",[1]!i_pq_tradedays($B$3,A7150,A7149)-1)</f>
        <v/>
      </c>
      <c r="G7149" s="16" t="str">
        <f t="shared" si="238"/>
        <v/>
      </c>
      <c r="H7149" s="70" t="str">
        <f t="shared" si="239"/>
        <v/>
      </c>
    </row>
    <row r="7150" spans="1:8">
      <c r="A7150" s="2"/>
      <c r="B7150" s="12"/>
      <c r="C7150" s="12"/>
      <c r="E7150" t="str">
        <f>IF(LEN(D7150)=0,"",[1]!i_pq_tradedays($B$3,A7151,A7150)-1)</f>
        <v/>
      </c>
      <c r="G7150" s="16" t="str">
        <f t="shared" si="238"/>
        <v/>
      </c>
      <c r="H7150" s="70" t="str">
        <f t="shared" si="239"/>
        <v/>
      </c>
    </row>
    <row r="7151" spans="1:8">
      <c r="A7151" s="2"/>
      <c r="B7151" s="12"/>
      <c r="C7151" s="12"/>
      <c r="E7151" t="str">
        <f>IF(LEN(D7151)=0,"",[1]!i_pq_tradedays($B$3,A7152,A7151)-1)</f>
        <v/>
      </c>
      <c r="G7151" s="16" t="str">
        <f t="shared" si="238"/>
        <v/>
      </c>
      <c r="H7151" s="70" t="str">
        <f t="shared" si="239"/>
        <v/>
      </c>
    </row>
    <row r="7152" spans="1:8">
      <c r="A7152" s="2"/>
      <c r="B7152" s="12"/>
      <c r="C7152" s="12"/>
      <c r="E7152" t="str">
        <f>IF(LEN(D7152)=0,"",[1]!i_pq_tradedays($B$3,A7153,A7152)-1)</f>
        <v/>
      </c>
      <c r="G7152" s="16" t="str">
        <f t="shared" si="238"/>
        <v/>
      </c>
      <c r="H7152" s="70" t="str">
        <f t="shared" si="239"/>
        <v/>
      </c>
    </row>
    <row r="7153" spans="1:8">
      <c r="A7153" s="2"/>
      <c r="B7153" s="12"/>
      <c r="C7153" s="12"/>
      <c r="E7153" t="str">
        <f>IF(LEN(D7153)=0,"",[1]!i_pq_tradedays($B$3,A7154,A7153)-1)</f>
        <v/>
      </c>
      <c r="G7153" s="16" t="str">
        <f t="shared" si="238"/>
        <v/>
      </c>
      <c r="H7153" s="70" t="str">
        <f t="shared" si="239"/>
        <v/>
      </c>
    </row>
    <row r="7154" spans="1:8">
      <c r="A7154" s="2"/>
      <c r="B7154" s="12"/>
      <c r="C7154" s="12"/>
      <c r="E7154" t="str">
        <f>IF(LEN(D7154)=0,"",[1]!i_pq_tradedays($B$3,A7155,A7154)-1)</f>
        <v/>
      </c>
      <c r="G7154" s="16" t="str">
        <f t="shared" si="238"/>
        <v/>
      </c>
      <c r="H7154" s="70" t="str">
        <f t="shared" si="239"/>
        <v/>
      </c>
    </row>
    <row r="7155" spans="1:8">
      <c r="A7155" s="2"/>
      <c r="B7155" s="12"/>
      <c r="C7155" s="12"/>
      <c r="E7155" t="str">
        <f>IF(LEN(D7155)=0,"",[1]!i_pq_tradedays($B$3,A7156,A7155)-1)</f>
        <v/>
      </c>
      <c r="G7155" s="16" t="str">
        <f t="shared" si="238"/>
        <v/>
      </c>
      <c r="H7155" s="70" t="str">
        <f t="shared" si="239"/>
        <v/>
      </c>
    </row>
    <row r="7156" spans="1:8">
      <c r="A7156" s="2"/>
      <c r="B7156" s="12"/>
      <c r="C7156" s="12"/>
      <c r="E7156" t="str">
        <f>IF(LEN(D7156)=0,"",[1]!i_pq_tradedays($B$3,A7157,A7156)-1)</f>
        <v/>
      </c>
      <c r="G7156" s="16" t="str">
        <f t="shared" si="238"/>
        <v/>
      </c>
      <c r="H7156" s="70" t="str">
        <f t="shared" si="239"/>
        <v/>
      </c>
    </row>
    <row r="7157" spans="1:8">
      <c r="A7157" s="2"/>
      <c r="B7157" s="12"/>
      <c r="C7157" s="12"/>
      <c r="E7157" t="str">
        <f>IF(LEN(D7157)=0,"",[1]!i_pq_tradedays($B$3,A7158,A7157)-1)</f>
        <v/>
      </c>
      <c r="G7157" s="16" t="str">
        <f t="shared" ref="G7157:G7220" si="240">IF(LEN(D7157)=0,"",D7157/E7157)</f>
        <v/>
      </c>
      <c r="H7157" s="70" t="str">
        <f t="shared" ref="H7157:H7220" si="241">IF(LEN(D7157)=0,"",G7157/G7158-1)</f>
        <v/>
      </c>
    </row>
    <row r="7158" spans="1:8">
      <c r="A7158" s="2"/>
      <c r="B7158" s="12"/>
      <c r="C7158" s="12"/>
      <c r="E7158" t="str">
        <f>IF(LEN(D7158)=0,"",[1]!i_pq_tradedays($B$3,A7159,A7158)-1)</f>
        <v/>
      </c>
      <c r="G7158" s="16" t="str">
        <f t="shared" si="240"/>
        <v/>
      </c>
      <c r="H7158" s="70" t="str">
        <f t="shared" si="241"/>
        <v/>
      </c>
    </row>
    <row r="7159" spans="1:8">
      <c r="A7159" s="2"/>
      <c r="B7159" s="12"/>
      <c r="C7159" s="12"/>
      <c r="E7159" t="str">
        <f>IF(LEN(D7159)=0,"",[1]!i_pq_tradedays($B$3,A7160,A7159)-1)</f>
        <v/>
      </c>
      <c r="G7159" s="16" t="str">
        <f t="shared" si="240"/>
        <v/>
      </c>
      <c r="H7159" s="70" t="str">
        <f t="shared" si="241"/>
        <v/>
      </c>
    </row>
    <row r="7160" spans="1:8">
      <c r="A7160" s="2"/>
      <c r="B7160" s="12"/>
      <c r="C7160" s="12"/>
      <c r="E7160" t="str">
        <f>IF(LEN(D7160)=0,"",[1]!i_pq_tradedays($B$3,A7161,A7160)-1)</f>
        <v/>
      </c>
      <c r="G7160" s="16" t="str">
        <f t="shared" si="240"/>
        <v/>
      </c>
      <c r="H7160" s="70" t="str">
        <f t="shared" si="241"/>
        <v/>
      </c>
    </row>
    <row r="7161" spans="1:8">
      <c r="A7161" s="2"/>
      <c r="B7161" s="12"/>
      <c r="C7161" s="12"/>
      <c r="E7161" t="str">
        <f>IF(LEN(D7161)=0,"",[1]!i_pq_tradedays($B$3,A7162,A7161)-1)</f>
        <v/>
      </c>
      <c r="G7161" s="16" t="str">
        <f t="shared" si="240"/>
        <v/>
      </c>
      <c r="H7161" s="70" t="str">
        <f t="shared" si="241"/>
        <v/>
      </c>
    </row>
    <row r="7162" spans="1:8">
      <c r="A7162" s="2"/>
      <c r="B7162" s="12"/>
      <c r="C7162" s="12"/>
      <c r="E7162" t="str">
        <f>IF(LEN(D7162)=0,"",[1]!i_pq_tradedays($B$3,A7163,A7162)-1)</f>
        <v/>
      </c>
      <c r="G7162" s="16" t="str">
        <f t="shared" si="240"/>
        <v/>
      </c>
      <c r="H7162" s="70" t="str">
        <f t="shared" si="241"/>
        <v/>
      </c>
    </row>
    <row r="7163" spans="1:8">
      <c r="A7163" s="2"/>
      <c r="B7163" s="12"/>
      <c r="C7163" s="12"/>
      <c r="E7163" t="str">
        <f>IF(LEN(D7163)=0,"",[1]!i_pq_tradedays($B$3,A7164,A7163)-1)</f>
        <v/>
      </c>
      <c r="G7163" s="16" t="str">
        <f t="shared" si="240"/>
        <v/>
      </c>
      <c r="H7163" s="70" t="str">
        <f t="shared" si="241"/>
        <v/>
      </c>
    </row>
    <row r="7164" spans="1:8">
      <c r="A7164" s="2"/>
      <c r="B7164" s="12"/>
      <c r="C7164" s="12"/>
      <c r="E7164" t="str">
        <f>IF(LEN(D7164)=0,"",[1]!i_pq_tradedays($B$3,A7165,A7164)-1)</f>
        <v/>
      </c>
      <c r="G7164" s="16" t="str">
        <f t="shared" si="240"/>
        <v/>
      </c>
      <c r="H7164" s="70" t="str">
        <f t="shared" si="241"/>
        <v/>
      </c>
    </row>
    <row r="7165" spans="1:8">
      <c r="A7165" s="2"/>
      <c r="B7165" s="12"/>
      <c r="C7165" s="12"/>
      <c r="E7165" t="str">
        <f>IF(LEN(D7165)=0,"",[1]!i_pq_tradedays($B$3,A7166,A7165)-1)</f>
        <v/>
      </c>
      <c r="G7165" s="16" t="str">
        <f t="shared" si="240"/>
        <v/>
      </c>
      <c r="H7165" s="70" t="str">
        <f t="shared" si="241"/>
        <v/>
      </c>
    </row>
    <row r="7166" spans="1:8">
      <c r="A7166" s="2"/>
      <c r="B7166" s="12"/>
      <c r="C7166" s="12"/>
      <c r="E7166" t="str">
        <f>IF(LEN(D7166)=0,"",[1]!i_pq_tradedays($B$3,A7167,A7166)-1)</f>
        <v/>
      </c>
      <c r="G7166" s="16" t="str">
        <f t="shared" si="240"/>
        <v/>
      </c>
      <c r="H7166" s="70" t="str">
        <f t="shared" si="241"/>
        <v/>
      </c>
    </row>
    <row r="7167" spans="1:8">
      <c r="A7167" s="2"/>
      <c r="B7167" s="12"/>
      <c r="C7167" s="12"/>
      <c r="E7167" t="str">
        <f>IF(LEN(D7167)=0,"",[1]!i_pq_tradedays($B$3,A7168,A7167)-1)</f>
        <v/>
      </c>
      <c r="G7167" s="16" t="str">
        <f t="shared" si="240"/>
        <v/>
      </c>
      <c r="H7167" s="70" t="str">
        <f t="shared" si="241"/>
        <v/>
      </c>
    </row>
    <row r="7168" spans="1:8">
      <c r="A7168" s="2"/>
      <c r="B7168" s="12"/>
      <c r="C7168" s="12"/>
      <c r="E7168" t="str">
        <f>IF(LEN(D7168)=0,"",[1]!i_pq_tradedays($B$3,A7169,A7168)-1)</f>
        <v/>
      </c>
      <c r="G7168" s="16" t="str">
        <f t="shared" si="240"/>
        <v/>
      </c>
      <c r="H7168" s="70" t="str">
        <f t="shared" si="241"/>
        <v/>
      </c>
    </row>
    <row r="7169" spans="1:8">
      <c r="A7169" s="2"/>
      <c r="B7169" s="12"/>
      <c r="C7169" s="12"/>
      <c r="E7169" t="str">
        <f>IF(LEN(D7169)=0,"",[1]!i_pq_tradedays($B$3,A7170,A7169)-1)</f>
        <v/>
      </c>
      <c r="G7169" s="16" t="str">
        <f t="shared" si="240"/>
        <v/>
      </c>
      <c r="H7169" s="70" t="str">
        <f t="shared" si="241"/>
        <v/>
      </c>
    </row>
    <row r="7170" spans="1:8">
      <c r="A7170" s="2"/>
      <c r="B7170" s="12"/>
      <c r="C7170" s="12"/>
      <c r="E7170" t="str">
        <f>IF(LEN(D7170)=0,"",[1]!i_pq_tradedays($B$3,A7171,A7170)-1)</f>
        <v/>
      </c>
      <c r="G7170" s="16" t="str">
        <f t="shared" si="240"/>
        <v/>
      </c>
      <c r="H7170" s="70" t="str">
        <f t="shared" si="241"/>
        <v/>
      </c>
    </row>
    <row r="7171" spans="1:8">
      <c r="A7171" s="2"/>
      <c r="B7171" s="12"/>
      <c r="C7171" s="12"/>
      <c r="E7171" t="str">
        <f>IF(LEN(D7171)=0,"",[1]!i_pq_tradedays($B$3,A7172,A7171)-1)</f>
        <v/>
      </c>
      <c r="G7171" s="16" t="str">
        <f t="shared" si="240"/>
        <v/>
      </c>
      <c r="H7171" s="70" t="str">
        <f t="shared" si="241"/>
        <v/>
      </c>
    </row>
    <row r="7172" spans="1:8">
      <c r="A7172" s="2"/>
      <c r="B7172" s="12"/>
      <c r="C7172" s="12"/>
      <c r="E7172" t="str">
        <f>IF(LEN(D7172)=0,"",[1]!i_pq_tradedays($B$3,A7173,A7172)-1)</f>
        <v/>
      </c>
      <c r="G7172" s="16" t="str">
        <f t="shared" si="240"/>
        <v/>
      </c>
      <c r="H7172" s="70" t="str">
        <f t="shared" si="241"/>
        <v/>
      </c>
    </row>
    <row r="7173" spans="1:8">
      <c r="A7173" s="2"/>
      <c r="B7173" s="12"/>
      <c r="C7173" s="12"/>
      <c r="E7173" t="str">
        <f>IF(LEN(D7173)=0,"",[1]!i_pq_tradedays($B$3,A7174,A7173)-1)</f>
        <v/>
      </c>
      <c r="G7173" s="16" t="str">
        <f t="shared" si="240"/>
        <v/>
      </c>
      <c r="H7173" s="70" t="str">
        <f t="shared" si="241"/>
        <v/>
      </c>
    </row>
    <row r="7174" spans="1:8">
      <c r="A7174" s="2"/>
      <c r="B7174" s="12"/>
      <c r="C7174" s="12"/>
      <c r="E7174" t="str">
        <f>IF(LEN(D7174)=0,"",[1]!i_pq_tradedays($B$3,A7175,A7174)-1)</f>
        <v/>
      </c>
      <c r="G7174" s="16" t="str">
        <f t="shared" si="240"/>
        <v/>
      </c>
      <c r="H7174" s="70" t="str">
        <f t="shared" si="241"/>
        <v/>
      </c>
    </row>
    <row r="7175" spans="1:8">
      <c r="A7175" s="2"/>
      <c r="B7175" s="12"/>
      <c r="C7175" s="12"/>
      <c r="E7175" t="str">
        <f>IF(LEN(D7175)=0,"",[1]!i_pq_tradedays($B$3,A7176,A7175)-1)</f>
        <v/>
      </c>
      <c r="G7175" s="16" t="str">
        <f t="shared" si="240"/>
        <v/>
      </c>
      <c r="H7175" s="70" t="str">
        <f t="shared" si="241"/>
        <v/>
      </c>
    </row>
    <row r="7176" spans="1:8">
      <c r="A7176" s="2"/>
      <c r="B7176" s="12"/>
      <c r="C7176" s="12"/>
      <c r="E7176" t="str">
        <f>IF(LEN(D7176)=0,"",[1]!i_pq_tradedays($B$3,A7177,A7176)-1)</f>
        <v/>
      </c>
      <c r="G7176" s="16" t="str">
        <f t="shared" si="240"/>
        <v/>
      </c>
      <c r="H7176" s="70" t="str">
        <f t="shared" si="241"/>
        <v/>
      </c>
    </row>
    <row r="7177" spans="1:8">
      <c r="A7177" s="2"/>
      <c r="B7177" s="12"/>
      <c r="C7177" s="12"/>
      <c r="E7177" t="str">
        <f>IF(LEN(D7177)=0,"",[1]!i_pq_tradedays($B$3,A7178,A7177)-1)</f>
        <v/>
      </c>
      <c r="G7177" s="16" t="str">
        <f t="shared" si="240"/>
        <v/>
      </c>
      <c r="H7177" s="70" t="str">
        <f t="shared" si="241"/>
        <v/>
      </c>
    </row>
    <row r="7178" spans="1:8">
      <c r="A7178" s="2"/>
      <c r="B7178" s="12"/>
      <c r="C7178" s="12"/>
      <c r="E7178" t="str">
        <f>IF(LEN(D7178)=0,"",[1]!i_pq_tradedays($B$3,A7179,A7178)-1)</f>
        <v/>
      </c>
      <c r="G7178" s="16" t="str">
        <f t="shared" si="240"/>
        <v/>
      </c>
      <c r="H7178" s="70" t="str">
        <f t="shared" si="241"/>
        <v/>
      </c>
    </row>
    <row r="7179" spans="1:8">
      <c r="A7179" s="2"/>
      <c r="B7179" s="12"/>
      <c r="C7179" s="12"/>
      <c r="E7179" t="str">
        <f>IF(LEN(D7179)=0,"",[1]!i_pq_tradedays($B$3,A7180,A7179)-1)</f>
        <v/>
      </c>
      <c r="G7179" s="16" t="str">
        <f t="shared" si="240"/>
        <v/>
      </c>
      <c r="H7179" s="70" t="str">
        <f t="shared" si="241"/>
        <v/>
      </c>
    </row>
    <row r="7180" spans="1:8">
      <c r="A7180" s="2"/>
      <c r="B7180" s="12"/>
      <c r="C7180" s="12"/>
      <c r="E7180" t="str">
        <f>IF(LEN(D7180)=0,"",[1]!i_pq_tradedays($B$3,A7181,A7180)-1)</f>
        <v/>
      </c>
      <c r="G7180" s="16" t="str">
        <f t="shared" si="240"/>
        <v/>
      </c>
      <c r="H7180" s="70" t="str">
        <f t="shared" si="241"/>
        <v/>
      </c>
    </row>
    <row r="7181" spans="1:8">
      <c r="A7181" s="2"/>
      <c r="B7181" s="12"/>
      <c r="C7181" s="12"/>
      <c r="E7181" t="str">
        <f>IF(LEN(D7181)=0,"",[1]!i_pq_tradedays($B$3,A7182,A7181)-1)</f>
        <v/>
      </c>
      <c r="G7181" s="16" t="str">
        <f t="shared" si="240"/>
        <v/>
      </c>
      <c r="H7181" s="70" t="str">
        <f t="shared" si="241"/>
        <v/>
      </c>
    </row>
    <row r="7182" spans="1:8">
      <c r="A7182" s="2"/>
      <c r="B7182" s="12"/>
      <c r="C7182" s="12"/>
      <c r="E7182" t="str">
        <f>IF(LEN(D7182)=0,"",[1]!i_pq_tradedays($B$3,A7183,A7182)-1)</f>
        <v/>
      </c>
      <c r="G7182" s="16" t="str">
        <f t="shared" si="240"/>
        <v/>
      </c>
      <c r="H7182" s="70" t="str">
        <f t="shared" si="241"/>
        <v/>
      </c>
    </row>
    <row r="7183" spans="1:8">
      <c r="A7183" s="2"/>
      <c r="B7183" s="12"/>
      <c r="C7183" s="12"/>
      <c r="E7183" t="str">
        <f>IF(LEN(D7183)=0,"",[1]!i_pq_tradedays($B$3,A7184,A7183)-1)</f>
        <v/>
      </c>
      <c r="G7183" s="16" t="str">
        <f t="shared" si="240"/>
        <v/>
      </c>
      <c r="H7183" s="70" t="str">
        <f t="shared" si="241"/>
        <v/>
      </c>
    </row>
    <row r="7184" spans="1:8">
      <c r="A7184" s="2"/>
      <c r="B7184" s="12"/>
      <c r="C7184" s="12"/>
      <c r="E7184" t="str">
        <f>IF(LEN(D7184)=0,"",[1]!i_pq_tradedays($B$3,A7185,A7184)-1)</f>
        <v/>
      </c>
      <c r="G7184" s="16" t="str">
        <f t="shared" si="240"/>
        <v/>
      </c>
      <c r="H7184" s="70" t="str">
        <f t="shared" si="241"/>
        <v/>
      </c>
    </row>
    <row r="7185" spans="1:8">
      <c r="A7185" s="2"/>
      <c r="B7185" s="12"/>
      <c r="C7185" s="12"/>
      <c r="E7185" t="str">
        <f>IF(LEN(D7185)=0,"",[1]!i_pq_tradedays($B$3,A7186,A7185)-1)</f>
        <v/>
      </c>
      <c r="G7185" s="16" t="str">
        <f t="shared" si="240"/>
        <v/>
      </c>
      <c r="H7185" s="70" t="str">
        <f t="shared" si="241"/>
        <v/>
      </c>
    </row>
    <row r="7186" spans="1:8">
      <c r="A7186" s="2"/>
      <c r="B7186" s="12"/>
      <c r="C7186" s="12"/>
      <c r="E7186" t="str">
        <f>IF(LEN(D7186)=0,"",[1]!i_pq_tradedays($B$3,A7187,A7186)-1)</f>
        <v/>
      </c>
      <c r="G7186" s="16" t="str">
        <f t="shared" si="240"/>
        <v/>
      </c>
      <c r="H7186" s="70" t="str">
        <f t="shared" si="241"/>
        <v/>
      </c>
    </row>
    <row r="7187" spans="1:8">
      <c r="A7187" s="2"/>
      <c r="B7187" s="12"/>
      <c r="C7187" s="12"/>
      <c r="E7187" t="str">
        <f>IF(LEN(D7187)=0,"",[1]!i_pq_tradedays($B$3,A7188,A7187)-1)</f>
        <v/>
      </c>
      <c r="G7187" s="16" t="str">
        <f t="shared" si="240"/>
        <v/>
      </c>
      <c r="H7187" s="70" t="str">
        <f t="shared" si="241"/>
        <v/>
      </c>
    </row>
    <row r="7188" spans="1:8">
      <c r="A7188" s="2"/>
      <c r="B7188" s="12"/>
      <c r="C7188" s="12"/>
      <c r="E7188" t="str">
        <f>IF(LEN(D7188)=0,"",[1]!i_pq_tradedays($B$3,A7189,A7188)-1)</f>
        <v/>
      </c>
      <c r="G7188" s="16" t="str">
        <f t="shared" si="240"/>
        <v/>
      </c>
      <c r="H7188" s="70" t="str">
        <f t="shared" si="241"/>
        <v/>
      </c>
    </row>
    <row r="7189" spans="1:8">
      <c r="A7189" s="2"/>
      <c r="B7189" s="12"/>
      <c r="C7189" s="12"/>
      <c r="E7189" t="str">
        <f>IF(LEN(D7189)=0,"",[1]!i_pq_tradedays($B$3,A7190,A7189)-1)</f>
        <v/>
      </c>
      <c r="G7189" s="16" t="str">
        <f t="shared" si="240"/>
        <v/>
      </c>
      <c r="H7189" s="70" t="str">
        <f t="shared" si="241"/>
        <v/>
      </c>
    </row>
    <row r="7190" spans="1:8">
      <c r="A7190" s="2"/>
      <c r="B7190" s="12"/>
      <c r="C7190" s="12"/>
      <c r="E7190" t="str">
        <f>IF(LEN(D7190)=0,"",[1]!i_pq_tradedays($B$3,A7191,A7190)-1)</f>
        <v/>
      </c>
      <c r="G7190" s="16" t="str">
        <f t="shared" si="240"/>
        <v/>
      </c>
      <c r="H7190" s="70" t="str">
        <f t="shared" si="241"/>
        <v/>
      </c>
    </row>
    <row r="7191" spans="1:8">
      <c r="A7191" s="2"/>
      <c r="B7191" s="12"/>
      <c r="C7191" s="12"/>
      <c r="E7191" t="str">
        <f>IF(LEN(D7191)=0,"",[1]!i_pq_tradedays($B$3,A7192,A7191)-1)</f>
        <v/>
      </c>
      <c r="G7191" s="16" t="str">
        <f t="shared" si="240"/>
        <v/>
      </c>
      <c r="H7191" s="70" t="str">
        <f t="shared" si="241"/>
        <v/>
      </c>
    </row>
    <row r="7192" spans="1:8">
      <c r="A7192" s="2"/>
      <c r="B7192" s="12"/>
      <c r="C7192" s="12"/>
      <c r="E7192" t="str">
        <f>IF(LEN(D7192)=0,"",[1]!i_pq_tradedays($B$3,A7193,A7192)-1)</f>
        <v/>
      </c>
      <c r="G7192" s="16" t="str">
        <f t="shared" si="240"/>
        <v/>
      </c>
      <c r="H7192" s="70" t="str">
        <f t="shared" si="241"/>
        <v/>
      </c>
    </row>
    <row r="7193" spans="1:8">
      <c r="A7193" s="2"/>
      <c r="B7193" s="12"/>
      <c r="C7193" s="12"/>
      <c r="E7193" t="str">
        <f>IF(LEN(D7193)=0,"",[1]!i_pq_tradedays($B$3,A7194,A7193)-1)</f>
        <v/>
      </c>
      <c r="G7193" s="16" t="str">
        <f t="shared" si="240"/>
        <v/>
      </c>
      <c r="H7193" s="70" t="str">
        <f t="shared" si="241"/>
        <v/>
      </c>
    </row>
    <row r="7194" spans="1:8">
      <c r="A7194" s="2"/>
      <c r="B7194" s="12"/>
      <c r="C7194" s="12"/>
      <c r="E7194" t="str">
        <f>IF(LEN(D7194)=0,"",[1]!i_pq_tradedays($B$3,A7195,A7194)-1)</f>
        <v/>
      </c>
      <c r="G7194" s="16" t="str">
        <f t="shared" si="240"/>
        <v/>
      </c>
      <c r="H7194" s="70" t="str">
        <f t="shared" si="241"/>
        <v/>
      </c>
    </row>
    <row r="7195" spans="1:8">
      <c r="A7195" s="2"/>
      <c r="B7195" s="12"/>
      <c r="C7195" s="12"/>
      <c r="E7195" t="str">
        <f>IF(LEN(D7195)=0,"",[1]!i_pq_tradedays($B$3,A7196,A7195)-1)</f>
        <v/>
      </c>
      <c r="G7195" s="16" t="str">
        <f t="shared" si="240"/>
        <v/>
      </c>
      <c r="H7195" s="70" t="str">
        <f t="shared" si="241"/>
        <v/>
      </c>
    </row>
    <row r="7196" spans="1:8">
      <c r="A7196" s="2"/>
      <c r="B7196" s="12"/>
      <c r="C7196" s="12"/>
      <c r="E7196" t="str">
        <f>IF(LEN(D7196)=0,"",[1]!i_pq_tradedays($B$3,A7197,A7196)-1)</f>
        <v/>
      </c>
      <c r="G7196" s="16" t="str">
        <f t="shared" si="240"/>
        <v/>
      </c>
      <c r="H7196" s="70" t="str">
        <f t="shared" si="241"/>
        <v/>
      </c>
    </row>
    <row r="7197" spans="1:8">
      <c r="A7197" s="2"/>
      <c r="B7197" s="12"/>
      <c r="C7197" s="12"/>
      <c r="E7197" t="str">
        <f>IF(LEN(D7197)=0,"",[1]!i_pq_tradedays($B$3,A7198,A7197)-1)</f>
        <v/>
      </c>
      <c r="G7197" s="16" t="str">
        <f t="shared" si="240"/>
        <v/>
      </c>
      <c r="H7197" s="70" t="str">
        <f t="shared" si="241"/>
        <v/>
      </c>
    </row>
    <row r="7198" spans="1:8">
      <c r="A7198" s="2"/>
      <c r="B7198" s="12"/>
      <c r="C7198" s="12"/>
      <c r="E7198" t="str">
        <f>IF(LEN(D7198)=0,"",[1]!i_pq_tradedays($B$3,A7199,A7198)-1)</f>
        <v/>
      </c>
      <c r="G7198" s="16" t="str">
        <f t="shared" si="240"/>
        <v/>
      </c>
      <c r="H7198" s="70" t="str">
        <f t="shared" si="241"/>
        <v/>
      </c>
    </row>
    <row r="7199" spans="1:8">
      <c r="A7199" s="2"/>
      <c r="B7199" s="12"/>
      <c r="C7199" s="12"/>
      <c r="E7199" t="str">
        <f>IF(LEN(D7199)=0,"",[1]!i_pq_tradedays($B$3,A7200,A7199)-1)</f>
        <v/>
      </c>
      <c r="G7199" s="16" t="str">
        <f t="shared" si="240"/>
        <v/>
      </c>
      <c r="H7199" s="70" t="str">
        <f t="shared" si="241"/>
        <v/>
      </c>
    </row>
    <row r="7200" spans="1:8">
      <c r="A7200" s="2"/>
      <c r="B7200" s="12"/>
      <c r="C7200" s="12"/>
      <c r="E7200" t="str">
        <f>IF(LEN(D7200)=0,"",[1]!i_pq_tradedays($B$3,A7201,A7200)-1)</f>
        <v/>
      </c>
      <c r="G7200" s="16" t="str">
        <f t="shared" si="240"/>
        <v/>
      </c>
      <c r="H7200" s="70" t="str">
        <f t="shared" si="241"/>
        <v/>
      </c>
    </row>
    <row r="7201" spans="1:8">
      <c r="A7201" s="2"/>
      <c r="B7201" s="12"/>
      <c r="C7201" s="12"/>
      <c r="E7201" t="str">
        <f>IF(LEN(D7201)=0,"",[1]!i_pq_tradedays($B$3,A7202,A7201)-1)</f>
        <v/>
      </c>
      <c r="G7201" s="16" t="str">
        <f t="shared" si="240"/>
        <v/>
      </c>
      <c r="H7201" s="70" t="str">
        <f t="shared" si="241"/>
        <v/>
      </c>
    </row>
    <row r="7202" spans="1:8">
      <c r="A7202" s="2"/>
      <c r="B7202" s="12"/>
      <c r="C7202" s="12"/>
      <c r="E7202" t="str">
        <f>IF(LEN(D7202)=0,"",[1]!i_pq_tradedays($B$3,A7203,A7202)-1)</f>
        <v/>
      </c>
      <c r="G7202" s="16" t="str">
        <f t="shared" si="240"/>
        <v/>
      </c>
      <c r="H7202" s="70" t="str">
        <f t="shared" si="241"/>
        <v/>
      </c>
    </row>
    <row r="7203" spans="1:8">
      <c r="A7203" s="2"/>
      <c r="B7203" s="12"/>
      <c r="C7203" s="12"/>
      <c r="E7203" t="str">
        <f>IF(LEN(D7203)=0,"",[1]!i_pq_tradedays($B$3,A7204,A7203)-1)</f>
        <v/>
      </c>
      <c r="G7203" s="16" t="str">
        <f t="shared" si="240"/>
        <v/>
      </c>
      <c r="H7203" s="70" t="str">
        <f t="shared" si="241"/>
        <v/>
      </c>
    </row>
    <row r="7204" spans="1:8">
      <c r="A7204" s="2"/>
      <c r="B7204" s="12"/>
      <c r="C7204" s="12"/>
      <c r="E7204" t="str">
        <f>IF(LEN(D7204)=0,"",[1]!i_pq_tradedays($B$3,A7205,A7204)-1)</f>
        <v/>
      </c>
      <c r="G7204" s="16" t="str">
        <f t="shared" si="240"/>
        <v/>
      </c>
      <c r="H7204" s="70" t="str">
        <f t="shared" si="241"/>
        <v/>
      </c>
    </row>
    <row r="7205" spans="1:8">
      <c r="A7205" s="2"/>
      <c r="B7205" s="12"/>
      <c r="C7205" s="12"/>
      <c r="E7205" t="str">
        <f>IF(LEN(D7205)=0,"",[1]!i_pq_tradedays($B$3,A7206,A7205)-1)</f>
        <v/>
      </c>
      <c r="G7205" s="16" t="str">
        <f t="shared" si="240"/>
        <v/>
      </c>
      <c r="H7205" s="70" t="str">
        <f t="shared" si="241"/>
        <v/>
      </c>
    </row>
    <row r="7206" spans="1:8">
      <c r="A7206" s="2"/>
      <c r="B7206" s="12"/>
      <c r="C7206" s="12"/>
      <c r="E7206" t="str">
        <f>IF(LEN(D7206)=0,"",[1]!i_pq_tradedays($B$3,A7207,A7206)-1)</f>
        <v/>
      </c>
      <c r="G7206" s="16" t="str">
        <f t="shared" si="240"/>
        <v/>
      </c>
      <c r="H7206" s="70" t="str">
        <f t="shared" si="241"/>
        <v/>
      </c>
    </row>
    <row r="7207" spans="1:8">
      <c r="A7207" s="2"/>
      <c r="B7207" s="12"/>
      <c r="C7207" s="12"/>
      <c r="E7207" t="str">
        <f>IF(LEN(D7207)=0,"",[1]!i_pq_tradedays($B$3,A7208,A7207)-1)</f>
        <v/>
      </c>
      <c r="G7207" s="16" t="str">
        <f t="shared" si="240"/>
        <v/>
      </c>
      <c r="H7207" s="70" t="str">
        <f t="shared" si="241"/>
        <v/>
      </c>
    </row>
    <row r="7208" spans="1:8">
      <c r="A7208" s="2"/>
      <c r="B7208" s="12"/>
      <c r="C7208" s="12"/>
      <c r="E7208" t="str">
        <f>IF(LEN(D7208)=0,"",[1]!i_pq_tradedays($B$3,A7209,A7208)-1)</f>
        <v/>
      </c>
      <c r="G7208" s="16" t="str">
        <f t="shared" si="240"/>
        <v/>
      </c>
      <c r="H7208" s="70" t="str">
        <f t="shared" si="241"/>
        <v/>
      </c>
    </row>
    <row r="7209" spans="1:8">
      <c r="A7209" s="2"/>
      <c r="B7209" s="12"/>
      <c r="C7209" s="12"/>
      <c r="E7209" t="str">
        <f>IF(LEN(D7209)=0,"",[1]!i_pq_tradedays($B$3,A7210,A7209)-1)</f>
        <v/>
      </c>
      <c r="G7209" s="16" t="str">
        <f t="shared" si="240"/>
        <v/>
      </c>
      <c r="H7209" s="70" t="str">
        <f t="shared" si="241"/>
        <v/>
      </c>
    </row>
    <row r="7210" spans="1:8">
      <c r="A7210" s="2"/>
      <c r="B7210" s="12"/>
      <c r="C7210" s="12"/>
      <c r="E7210" t="str">
        <f>IF(LEN(D7210)=0,"",[1]!i_pq_tradedays($B$3,A7211,A7210)-1)</f>
        <v/>
      </c>
      <c r="G7210" s="16" t="str">
        <f t="shared" si="240"/>
        <v/>
      </c>
      <c r="H7210" s="70" t="str">
        <f t="shared" si="241"/>
        <v/>
      </c>
    </row>
    <row r="7211" spans="1:8">
      <c r="A7211" s="2"/>
      <c r="B7211" s="12"/>
      <c r="C7211" s="12"/>
      <c r="E7211" t="str">
        <f>IF(LEN(D7211)=0,"",[1]!i_pq_tradedays($B$3,A7212,A7211)-1)</f>
        <v/>
      </c>
      <c r="G7211" s="16" t="str">
        <f t="shared" si="240"/>
        <v/>
      </c>
      <c r="H7211" s="70" t="str">
        <f t="shared" si="241"/>
        <v/>
      </c>
    </row>
    <row r="7212" spans="1:8">
      <c r="A7212" s="2"/>
      <c r="B7212" s="12"/>
      <c r="C7212" s="12"/>
      <c r="E7212" t="str">
        <f>IF(LEN(D7212)=0,"",[1]!i_pq_tradedays($B$3,A7213,A7212)-1)</f>
        <v/>
      </c>
      <c r="G7212" s="16" t="str">
        <f t="shared" si="240"/>
        <v/>
      </c>
      <c r="H7212" s="70" t="str">
        <f t="shared" si="241"/>
        <v/>
      </c>
    </row>
    <row r="7213" spans="1:8">
      <c r="A7213" s="2"/>
      <c r="B7213" s="12"/>
      <c r="C7213" s="12"/>
      <c r="E7213" t="str">
        <f>IF(LEN(D7213)=0,"",[1]!i_pq_tradedays($B$3,A7214,A7213)-1)</f>
        <v/>
      </c>
      <c r="G7213" s="16" t="str">
        <f t="shared" si="240"/>
        <v/>
      </c>
      <c r="H7213" s="70" t="str">
        <f t="shared" si="241"/>
        <v/>
      </c>
    </row>
    <row r="7214" spans="1:8">
      <c r="A7214" s="2"/>
      <c r="B7214" s="12"/>
      <c r="C7214" s="12"/>
      <c r="E7214" t="str">
        <f>IF(LEN(D7214)=0,"",[1]!i_pq_tradedays($B$3,A7215,A7214)-1)</f>
        <v/>
      </c>
      <c r="G7214" s="16" t="str">
        <f t="shared" si="240"/>
        <v/>
      </c>
      <c r="H7214" s="70" t="str">
        <f t="shared" si="241"/>
        <v/>
      </c>
    </row>
    <row r="7215" spans="1:8">
      <c r="A7215" s="2"/>
      <c r="B7215" s="12"/>
      <c r="C7215" s="12"/>
      <c r="E7215" t="str">
        <f>IF(LEN(D7215)=0,"",[1]!i_pq_tradedays($B$3,A7216,A7215)-1)</f>
        <v/>
      </c>
      <c r="G7215" s="16" t="str">
        <f t="shared" si="240"/>
        <v/>
      </c>
      <c r="H7215" s="70" t="str">
        <f t="shared" si="241"/>
        <v/>
      </c>
    </row>
    <row r="7216" spans="1:8">
      <c r="A7216" s="2"/>
      <c r="B7216" s="12"/>
      <c r="C7216" s="12"/>
      <c r="E7216" t="str">
        <f>IF(LEN(D7216)=0,"",[1]!i_pq_tradedays($B$3,A7217,A7216)-1)</f>
        <v/>
      </c>
      <c r="G7216" s="16" t="str">
        <f t="shared" si="240"/>
        <v/>
      </c>
      <c r="H7216" s="70" t="str">
        <f t="shared" si="241"/>
        <v/>
      </c>
    </row>
    <row r="7217" spans="1:8">
      <c r="A7217" s="2"/>
      <c r="B7217" s="12"/>
      <c r="C7217" s="12"/>
      <c r="E7217" t="str">
        <f>IF(LEN(D7217)=0,"",[1]!i_pq_tradedays($B$3,A7218,A7217)-1)</f>
        <v/>
      </c>
      <c r="G7217" s="16" t="str">
        <f t="shared" si="240"/>
        <v/>
      </c>
      <c r="H7217" s="70" t="str">
        <f t="shared" si="241"/>
        <v/>
      </c>
    </row>
    <row r="7218" spans="1:8">
      <c r="A7218" s="2"/>
      <c r="B7218" s="12"/>
      <c r="C7218" s="12"/>
      <c r="E7218" t="str">
        <f>IF(LEN(D7218)=0,"",[1]!i_pq_tradedays($B$3,A7219,A7218)-1)</f>
        <v/>
      </c>
      <c r="G7218" s="16" t="str">
        <f t="shared" si="240"/>
        <v/>
      </c>
      <c r="H7218" s="70" t="str">
        <f t="shared" si="241"/>
        <v/>
      </c>
    </row>
    <row r="7219" spans="1:8">
      <c r="A7219" s="2"/>
      <c r="B7219" s="12"/>
      <c r="C7219" s="12"/>
      <c r="E7219" t="str">
        <f>IF(LEN(D7219)=0,"",[1]!i_pq_tradedays($B$3,A7220,A7219)-1)</f>
        <v/>
      </c>
      <c r="G7219" s="16" t="str">
        <f t="shared" si="240"/>
        <v/>
      </c>
      <c r="H7219" s="70" t="str">
        <f t="shared" si="241"/>
        <v/>
      </c>
    </row>
    <row r="7220" spans="1:8">
      <c r="A7220" s="2"/>
      <c r="B7220" s="12"/>
      <c r="C7220" s="12"/>
      <c r="E7220" t="str">
        <f>IF(LEN(D7220)=0,"",[1]!i_pq_tradedays($B$3,A7221,A7220)-1)</f>
        <v/>
      </c>
      <c r="G7220" s="16" t="str">
        <f t="shared" si="240"/>
        <v/>
      </c>
      <c r="H7220" s="70" t="str">
        <f t="shared" si="241"/>
        <v/>
      </c>
    </row>
    <row r="7221" spans="1:8">
      <c r="A7221" s="2"/>
      <c r="B7221" s="12"/>
      <c r="C7221" s="12"/>
      <c r="E7221" t="str">
        <f>IF(LEN(D7221)=0,"",[1]!i_pq_tradedays($B$3,A7222,A7221)-1)</f>
        <v/>
      </c>
      <c r="G7221" s="16" t="str">
        <f t="shared" ref="G7221:G7284" si="242">IF(LEN(D7221)=0,"",D7221/E7221)</f>
        <v/>
      </c>
      <c r="H7221" s="70" t="str">
        <f t="shared" ref="H7221:H7284" si="243">IF(LEN(D7221)=0,"",G7221/G7222-1)</f>
        <v/>
      </c>
    </row>
    <row r="7222" spans="1:8">
      <c r="A7222" s="2"/>
      <c r="B7222" s="12"/>
      <c r="C7222" s="12"/>
      <c r="E7222" t="str">
        <f>IF(LEN(D7222)=0,"",[1]!i_pq_tradedays($B$3,A7223,A7222)-1)</f>
        <v/>
      </c>
      <c r="G7222" s="16" t="str">
        <f t="shared" si="242"/>
        <v/>
      </c>
      <c r="H7222" s="70" t="str">
        <f t="shared" si="243"/>
        <v/>
      </c>
    </row>
    <row r="7223" spans="1:8">
      <c r="A7223" s="2"/>
      <c r="B7223" s="12"/>
      <c r="C7223" s="12"/>
      <c r="E7223" t="str">
        <f>IF(LEN(D7223)=0,"",[1]!i_pq_tradedays($B$3,A7224,A7223)-1)</f>
        <v/>
      </c>
      <c r="G7223" s="16" t="str">
        <f t="shared" si="242"/>
        <v/>
      </c>
      <c r="H7223" s="70" t="str">
        <f t="shared" si="243"/>
        <v/>
      </c>
    </row>
    <row r="7224" spans="1:8">
      <c r="A7224" s="2"/>
      <c r="B7224" s="12"/>
      <c r="C7224" s="12"/>
      <c r="E7224" t="str">
        <f>IF(LEN(D7224)=0,"",[1]!i_pq_tradedays($B$3,A7225,A7224)-1)</f>
        <v/>
      </c>
      <c r="G7224" s="16" t="str">
        <f t="shared" si="242"/>
        <v/>
      </c>
      <c r="H7224" s="70" t="str">
        <f t="shared" si="243"/>
        <v/>
      </c>
    </row>
    <row r="7225" spans="1:8">
      <c r="A7225" s="2"/>
      <c r="B7225" s="12"/>
      <c r="C7225" s="12"/>
      <c r="E7225" t="str">
        <f>IF(LEN(D7225)=0,"",[1]!i_pq_tradedays($B$3,A7226,A7225)-1)</f>
        <v/>
      </c>
      <c r="G7225" s="16" t="str">
        <f t="shared" si="242"/>
        <v/>
      </c>
      <c r="H7225" s="70" t="str">
        <f t="shared" si="243"/>
        <v/>
      </c>
    </row>
    <row r="7226" spans="1:8">
      <c r="A7226" s="2"/>
      <c r="B7226" s="12"/>
      <c r="C7226" s="12"/>
      <c r="E7226" t="str">
        <f>IF(LEN(D7226)=0,"",[1]!i_pq_tradedays($B$3,A7227,A7226)-1)</f>
        <v/>
      </c>
      <c r="G7226" s="16" t="str">
        <f t="shared" si="242"/>
        <v/>
      </c>
      <c r="H7226" s="70" t="str">
        <f t="shared" si="243"/>
        <v/>
      </c>
    </row>
    <row r="7227" spans="1:8">
      <c r="A7227" s="2"/>
      <c r="B7227" s="12"/>
      <c r="C7227" s="12"/>
      <c r="E7227" t="str">
        <f>IF(LEN(D7227)=0,"",[1]!i_pq_tradedays($B$3,A7228,A7227)-1)</f>
        <v/>
      </c>
      <c r="G7227" s="16" t="str">
        <f t="shared" si="242"/>
        <v/>
      </c>
      <c r="H7227" s="70" t="str">
        <f t="shared" si="243"/>
        <v/>
      </c>
    </row>
    <row r="7228" spans="1:8">
      <c r="A7228" s="2"/>
      <c r="B7228" s="12"/>
      <c r="C7228" s="12"/>
      <c r="E7228" t="str">
        <f>IF(LEN(D7228)=0,"",[1]!i_pq_tradedays($B$3,A7229,A7228)-1)</f>
        <v/>
      </c>
      <c r="G7228" s="16" t="str">
        <f t="shared" si="242"/>
        <v/>
      </c>
      <c r="H7228" s="70" t="str">
        <f t="shared" si="243"/>
        <v/>
      </c>
    </row>
    <row r="7229" spans="1:8">
      <c r="A7229" s="2"/>
      <c r="B7229" s="12"/>
      <c r="C7229" s="12"/>
      <c r="E7229" t="str">
        <f>IF(LEN(D7229)=0,"",[1]!i_pq_tradedays($B$3,A7230,A7229)-1)</f>
        <v/>
      </c>
      <c r="G7229" s="16" t="str">
        <f t="shared" si="242"/>
        <v/>
      </c>
      <c r="H7229" s="70" t="str">
        <f t="shared" si="243"/>
        <v/>
      </c>
    </row>
    <row r="7230" spans="1:8">
      <c r="A7230" s="2"/>
      <c r="B7230" s="12"/>
      <c r="C7230" s="12"/>
      <c r="E7230" t="str">
        <f>IF(LEN(D7230)=0,"",[1]!i_pq_tradedays($B$3,A7231,A7230)-1)</f>
        <v/>
      </c>
      <c r="G7230" s="16" t="str">
        <f t="shared" si="242"/>
        <v/>
      </c>
      <c r="H7230" s="70" t="str">
        <f t="shared" si="243"/>
        <v/>
      </c>
    </row>
    <row r="7231" spans="1:8">
      <c r="A7231" s="2"/>
      <c r="B7231" s="12"/>
      <c r="C7231" s="12"/>
      <c r="E7231" t="str">
        <f>IF(LEN(D7231)=0,"",[1]!i_pq_tradedays($B$3,A7232,A7231)-1)</f>
        <v/>
      </c>
      <c r="G7231" s="16" t="str">
        <f t="shared" si="242"/>
        <v/>
      </c>
      <c r="H7231" s="70" t="str">
        <f t="shared" si="243"/>
        <v/>
      </c>
    </row>
    <row r="7232" spans="1:8">
      <c r="A7232" s="2"/>
      <c r="B7232" s="12"/>
      <c r="C7232" s="12"/>
      <c r="E7232" t="str">
        <f>IF(LEN(D7232)=0,"",[1]!i_pq_tradedays($B$3,A7233,A7232)-1)</f>
        <v/>
      </c>
      <c r="G7232" s="16" t="str">
        <f t="shared" si="242"/>
        <v/>
      </c>
      <c r="H7232" s="70" t="str">
        <f t="shared" si="243"/>
        <v/>
      </c>
    </row>
    <row r="7233" spans="1:8">
      <c r="A7233" s="2"/>
      <c r="B7233" s="12"/>
      <c r="C7233" s="12"/>
      <c r="E7233" t="str">
        <f>IF(LEN(D7233)=0,"",[1]!i_pq_tradedays($B$3,A7234,A7233)-1)</f>
        <v/>
      </c>
      <c r="G7233" s="16" t="str">
        <f t="shared" si="242"/>
        <v/>
      </c>
      <c r="H7233" s="70" t="str">
        <f t="shared" si="243"/>
        <v/>
      </c>
    </row>
    <row r="7234" spans="1:8">
      <c r="A7234" s="2"/>
      <c r="B7234" s="12"/>
      <c r="C7234" s="12"/>
      <c r="E7234" t="str">
        <f>IF(LEN(D7234)=0,"",[1]!i_pq_tradedays($B$3,A7235,A7234)-1)</f>
        <v/>
      </c>
      <c r="G7234" s="16" t="str">
        <f t="shared" si="242"/>
        <v/>
      </c>
      <c r="H7234" s="70" t="str">
        <f t="shared" si="243"/>
        <v/>
      </c>
    </row>
    <row r="7235" spans="1:8">
      <c r="A7235" s="2"/>
      <c r="B7235" s="12"/>
      <c r="C7235" s="12"/>
      <c r="E7235" t="str">
        <f>IF(LEN(D7235)=0,"",[1]!i_pq_tradedays($B$3,A7236,A7235)-1)</f>
        <v/>
      </c>
      <c r="G7235" s="16" t="str">
        <f t="shared" si="242"/>
        <v/>
      </c>
      <c r="H7235" s="70" t="str">
        <f t="shared" si="243"/>
        <v/>
      </c>
    </row>
    <row r="7236" spans="1:8">
      <c r="A7236" s="2"/>
      <c r="B7236" s="12"/>
      <c r="C7236" s="12"/>
      <c r="E7236" t="str">
        <f>IF(LEN(D7236)=0,"",[1]!i_pq_tradedays($B$3,A7237,A7236)-1)</f>
        <v/>
      </c>
      <c r="G7236" s="16" t="str">
        <f t="shared" si="242"/>
        <v/>
      </c>
      <c r="H7236" s="70" t="str">
        <f t="shared" si="243"/>
        <v/>
      </c>
    </row>
    <row r="7237" spans="1:8">
      <c r="A7237" s="2"/>
      <c r="B7237" s="12"/>
      <c r="C7237" s="12"/>
      <c r="E7237" t="str">
        <f>IF(LEN(D7237)=0,"",[1]!i_pq_tradedays($B$3,A7238,A7237)-1)</f>
        <v/>
      </c>
      <c r="G7237" s="16" t="str">
        <f t="shared" si="242"/>
        <v/>
      </c>
      <c r="H7237" s="70" t="str">
        <f t="shared" si="243"/>
        <v/>
      </c>
    </row>
    <row r="7238" spans="1:8">
      <c r="A7238" s="2"/>
      <c r="B7238" s="12"/>
      <c r="C7238" s="12"/>
      <c r="E7238" t="str">
        <f>IF(LEN(D7238)=0,"",[1]!i_pq_tradedays($B$3,A7239,A7238)-1)</f>
        <v/>
      </c>
      <c r="G7238" s="16" t="str">
        <f t="shared" si="242"/>
        <v/>
      </c>
      <c r="H7238" s="70" t="str">
        <f t="shared" si="243"/>
        <v/>
      </c>
    </row>
    <row r="7239" spans="1:8">
      <c r="A7239" s="2"/>
      <c r="B7239" s="12"/>
      <c r="C7239" s="12"/>
      <c r="E7239" t="str">
        <f>IF(LEN(D7239)=0,"",[1]!i_pq_tradedays($B$3,A7240,A7239)-1)</f>
        <v/>
      </c>
      <c r="G7239" s="16" t="str">
        <f t="shared" si="242"/>
        <v/>
      </c>
      <c r="H7239" s="70" t="str">
        <f t="shared" si="243"/>
        <v/>
      </c>
    </row>
    <row r="7240" spans="1:8">
      <c r="A7240" s="2"/>
      <c r="B7240" s="12"/>
      <c r="C7240" s="12"/>
      <c r="E7240" t="str">
        <f>IF(LEN(D7240)=0,"",[1]!i_pq_tradedays($B$3,A7241,A7240)-1)</f>
        <v/>
      </c>
      <c r="G7240" s="16" t="str">
        <f t="shared" si="242"/>
        <v/>
      </c>
      <c r="H7240" s="70" t="str">
        <f t="shared" si="243"/>
        <v/>
      </c>
    </row>
    <row r="7241" spans="1:8">
      <c r="A7241" s="2"/>
      <c r="B7241" s="12"/>
      <c r="C7241" s="12"/>
      <c r="E7241" t="str">
        <f>IF(LEN(D7241)=0,"",[1]!i_pq_tradedays($B$3,A7242,A7241)-1)</f>
        <v/>
      </c>
      <c r="G7241" s="16" t="str">
        <f t="shared" si="242"/>
        <v/>
      </c>
      <c r="H7241" s="70" t="str">
        <f t="shared" si="243"/>
        <v/>
      </c>
    </row>
    <row r="7242" spans="1:8">
      <c r="A7242" s="2"/>
      <c r="B7242" s="12"/>
      <c r="C7242" s="12"/>
      <c r="E7242" t="str">
        <f>IF(LEN(D7242)=0,"",[1]!i_pq_tradedays($B$3,A7243,A7242)-1)</f>
        <v/>
      </c>
      <c r="G7242" s="16" t="str">
        <f t="shared" si="242"/>
        <v/>
      </c>
      <c r="H7242" s="70" t="str">
        <f t="shared" si="243"/>
        <v/>
      </c>
    </row>
    <row r="7243" spans="1:8">
      <c r="A7243" s="2"/>
      <c r="B7243" s="12"/>
      <c r="C7243" s="12"/>
      <c r="E7243" t="str">
        <f>IF(LEN(D7243)=0,"",[1]!i_pq_tradedays($B$3,A7244,A7243)-1)</f>
        <v/>
      </c>
      <c r="G7243" s="16" t="str">
        <f t="shared" si="242"/>
        <v/>
      </c>
      <c r="H7243" s="70" t="str">
        <f t="shared" si="243"/>
        <v/>
      </c>
    </row>
    <row r="7244" spans="1:8">
      <c r="A7244" s="2"/>
      <c r="B7244" s="12"/>
      <c r="C7244" s="12"/>
      <c r="E7244" t="str">
        <f>IF(LEN(D7244)=0,"",[1]!i_pq_tradedays($B$3,A7245,A7244)-1)</f>
        <v/>
      </c>
      <c r="G7244" s="16" t="str">
        <f t="shared" si="242"/>
        <v/>
      </c>
      <c r="H7244" s="70" t="str">
        <f t="shared" si="243"/>
        <v/>
      </c>
    </row>
    <row r="7245" spans="1:8">
      <c r="A7245" s="2"/>
      <c r="B7245" s="12"/>
      <c r="C7245" s="12"/>
      <c r="E7245" t="str">
        <f>IF(LEN(D7245)=0,"",[1]!i_pq_tradedays($B$3,A7246,A7245)-1)</f>
        <v/>
      </c>
      <c r="G7245" s="16" t="str">
        <f t="shared" si="242"/>
        <v/>
      </c>
      <c r="H7245" s="70" t="str">
        <f t="shared" si="243"/>
        <v/>
      </c>
    </row>
    <row r="7246" spans="1:8">
      <c r="A7246" s="2"/>
      <c r="B7246" s="12"/>
      <c r="C7246" s="12"/>
      <c r="E7246" t="str">
        <f>IF(LEN(D7246)=0,"",[1]!i_pq_tradedays($B$3,A7247,A7246)-1)</f>
        <v/>
      </c>
      <c r="G7246" s="16" t="str">
        <f t="shared" si="242"/>
        <v/>
      </c>
      <c r="H7246" s="70" t="str">
        <f t="shared" si="243"/>
        <v/>
      </c>
    </row>
    <row r="7247" spans="1:8">
      <c r="A7247" s="2"/>
      <c r="B7247" s="12"/>
      <c r="C7247" s="12"/>
      <c r="E7247" t="str">
        <f>IF(LEN(D7247)=0,"",[1]!i_pq_tradedays($B$3,A7248,A7247)-1)</f>
        <v/>
      </c>
      <c r="G7247" s="16" t="str">
        <f t="shared" si="242"/>
        <v/>
      </c>
      <c r="H7247" s="70" t="str">
        <f t="shared" si="243"/>
        <v/>
      </c>
    </row>
    <row r="7248" spans="1:8">
      <c r="A7248" s="2"/>
      <c r="B7248" s="12"/>
      <c r="C7248" s="12"/>
      <c r="E7248" t="str">
        <f>IF(LEN(D7248)=0,"",[1]!i_pq_tradedays($B$3,A7249,A7248)-1)</f>
        <v/>
      </c>
      <c r="G7248" s="16" t="str">
        <f t="shared" si="242"/>
        <v/>
      </c>
      <c r="H7248" s="70" t="str">
        <f t="shared" si="243"/>
        <v/>
      </c>
    </row>
    <row r="7249" spans="1:8">
      <c r="A7249" s="2"/>
      <c r="B7249" s="12"/>
      <c r="C7249" s="12"/>
      <c r="E7249" t="str">
        <f>IF(LEN(D7249)=0,"",[1]!i_pq_tradedays($B$3,A7250,A7249)-1)</f>
        <v/>
      </c>
      <c r="G7249" s="16" t="str">
        <f t="shared" si="242"/>
        <v/>
      </c>
      <c r="H7249" s="70" t="str">
        <f t="shared" si="243"/>
        <v/>
      </c>
    </row>
    <row r="7250" spans="1:8">
      <c r="A7250" s="2"/>
      <c r="B7250" s="12"/>
      <c r="C7250" s="12"/>
      <c r="E7250" t="str">
        <f>IF(LEN(D7250)=0,"",[1]!i_pq_tradedays($B$3,A7251,A7250)-1)</f>
        <v/>
      </c>
      <c r="G7250" s="16" t="str">
        <f t="shared" si="242"/>
        <v/>
      </c>
      <c r="H7250" s="70" t="str">
        <f t="shared" si="243"/>
        <v/>
      </c>
    </row>
    <row r="7251" spans="1:8">
      <c r="A7251" s="2"/>
      <c r="B7251" s="12"/>
      <c r="C7251" s="12"/>
      <c r="E7251" t="str">
        <f>IF(LEN(D7251)=0,"",[1]!i_pq_tradedays($B$3,A7252,A7251)-1)</f>
        <v/>
      </c>
      <c r="G7251" s="16" t="str">
        <f t="shared" si="242"/>
        <v/>
      </c>
      <c r="H7251" s="70" t="str">
        <f t="shared" si="243"/>
        <v/>
      </c>
    </row>
    <row r="7252" spans="1:8">
      <c r="A7252" s="2"/>
      <c r="B7252" s="12"/>
      <c r="C7252" s="12"/>
      <c r="E7252" t="str">
        <f>IF(LEN(D7252)=0,"",[1]!i_pq_tradedays($B$3,A7253,A7252)-1)</f>
        <v/>
      </c>
      <c r="G7252" s="16" t="str">
        <f t="shared" si="242"/>
        <v/>
      </c>
      <c r="H7252" s="70" t="str">
        <f t="shared" si="243"/>
        <v/>
      </c>
    </row>
    <row r="7253" spans="1:8">
      <c r="A7253" s="2"/>
      <c r="B7253" s="12"/>
      <c r="C7253" s="12"/>
      <c r="E7253" t="str">
        <f>IF(LEN(D7253)=0,"",[1]!i_pq_tradedays($B$3,A7254,A7253)-1)</f>
        <v/>
      </c>
      <c r="G7253" s="16" t="str">
        <f t="shared" si="242"/>
        <v/>
      </c>
      <c r="H7253" s="70" t="str">
        <f t="shared" si="243"/>
        <v/>
      </c>
    </row>
    <row r="7254" spans="1:8">
      <c r="A7254" s="2"/>
      <c r="B7254" s="12"/>
      <c r="C7254" s="12"/>
      <c r="E7254" t="str">
        <f>IF(LEN(D7254)=0,"",[1]!i_pq_tradedays($B$3,A7255,A7254)-1)</f>
        <v/>
      </c>
      <c r="G7254" s="16" t="str">
        <f t="shared" si="242"/>
        <v/>
      </c>
      <c r="H7254" s="70" t="str">
        <f t="shared" si="243"/>
        <v/>
      </c>
    </row>
    <row r="7255" spans="1:8">
      <c r="A7255" s="2"/>
      <c r="B7255" s="12"/>
      <c r="C7255" s="12"/>
      <c r="E7255" t="str">
        <f>IF(LEN(D7255)=0,"",[1]!i_pq_tradedays($B$3,A7256,A7255)-1)</f>
        <v/>
      </c>
      <c r="G7255" s="16" t="str">
        <f t="shared" si="242"/>
        <v/>
      </c>
      <c r="H7255" s="70" t="str">
        <f t="shared" si="243"/>
        <v/>
      </c>
    </row>
    <row r="7256" spans="1:8">
      <c r="A7256" s="2"/>
      <c r="B7256" s="12"/>
      <c r="C7256" s="12"/>
      <c r="E7256" t="str">
        <f>IF(LEN(D7256)=0,"",[1]!i_pq_tradedays($B$3,A7257,A7256)-1)</f>
        <v/>
      </c>
      <c r="G7256" s="16" t="str">
        <f t="shared" si="242"/>
        <v/>
      </c>
      <c r="H7256" s="70" t="str">
        <f t="shared" si="243"/>
        <v/>
      </c>
    </row>
    <row r="7257" spans="1:8">
      <c r="A7257" s="2"/>
      <c r="B7257" s="12"/>
      <c r="C7257" s="12"/>
      <c r="E7257" t="str">
        <f>IF(LEN(D7257)=0,"",[1]!i_pq_tradedays($B$3,A7258,A7257)-1)</f>
        <v/>
      </c>
      <c r="G7257" s="16" t="str">
        <f t="shared" si="242"/>
        <v/>
      </c>
      <c r="H7257" s="70" t="str">
        <f t="shared" si="243"/>
        <v/>
      </c>
    </row>
    <row r="7258" spans="1:8">
      <c r="A7258" s="2"/>
      <c r="B7258" s="12"/>
      <c r="C7258" s="12"/>
      <c r="E7258" t="str">
        <f>IF(LEN(D7258)=0,"",[1]!i_pq_tradedays($B$3,A7259,A7258)-1)</f>
        <v/>
      </c>
      <c r="G7258" s="16" t="str">
        <f t="shared" si="242"/>
        <v/>
      </c>
      <c r="H7258" s="70" t="str">
        <f t="shared" si="243"/>
        <v/>
      </c>
    </row>
    <row r="7259" spans="1:8">
      <c r="A7259" s="2"/>
      <c r="B7259" s="12"/>
      <c r="C7259" s="12"/>
      <c r="E7259" t="str">
        <f>IF(LEN(D7259)=0,"",[1]!i_pq_tradedays($B$3,A7260,A7259)-1)</f>
        <v/>
      </c>
      <c r="G7259" s="16" t="str">
        <f t="shared" si="242"/>
        <v/>
      </c>
      <c r="H7259" s="70" t="str">
        <f t="shared" si="243"/>
        <v/>
      </c>
    </row>
    <row r="7260" spans="1:8">
      <c r="A7260" s="2"/>
      <c r="B7260" s="12"/>
      <c r="C7260" s="12"/>
      <c r="E7260" t="str">
        <f>IF(LEN(D7260)=0,"",[1]!i_pq_tradedays($B$3,A7261,A7260)-1)</f>
        <v/>
      </c>
      <c r="G7260" s="16" t="str">
        <f t="shared" si="242"/>
        <v/>
      </c>
      <c r="H7260" s="70" t="str">
        <f t="shared" si="243"/>
        <v/>
      </c>
    </row>
    <row r="7261" spans="1:8">
      <c r="A7261" s="2"/>
      <c r="B7261" s="12"/>
      <c r="C7261" s="12"/>
      <c r="E7261" t="str">
        <f>IF(LEN(D7261)=0,"",[1]!i_pq_tradedays($B$3,A7262,A7261)-1)</f>
        <v/>
      </c>
      <c r="G7261" s="16" t="str">
        <f t="shared" si="242"/>
        <v/>
      </c>
      <c r="H7261" s="70" t="str">
        <f t="shared" si="243"/>
        <v/>
      </c>
    </row>
    <row r="7262" spans="1:8">
      <c r="A7262" s="2"/>
      <c r="B7262" s="12"/>
      <c r="C7262" s="12"/>
      <c r="E7262" t="str">
        <f>IF(LEN(D7262)=0,"",[1]!i_pq_tradedays($B$3,A7263,A7262)-1)</f>
        <v/>
      </c>
      <c r="G7262" s="16" t="str">
        <f t="shared" si="242"/>
        <v/>
      </c>
      <c r="H7262" s="70" t="str">
        <f t="shared" si="243"/>
        <v/>
      </c>
    </row>
    <row r="7263" spans="1:8">
      <c r="A7263" s="2"/>
      <c r="B7263" s="12"/>
      <c r="C7263" s="12"/>
      <c r="E7263" t="str">
        <f>IF(LEN(D7263)=0,"",[1]!i_pq_tradedays($B$3,A7264,A7263)-1)</f>
        <v/>
      </c>
      <c r="G7263" s="16" t="str">
        <f t="shared" si="242"/>
        <v/>
      </c>
      <c r="H7263" s="70" t="str">
        <f t="shared" si="243"/>
        <v/>
      </c>
    </row>
    <row r="7264" spans="1:8">
      <c r="A7264" s="2"/>
      <c r="B7264" s="12"/>
      <c r="C7264" s="12"/>
      <c r="E7264" t="str">
        <f>IF(LEN(D7264)=0,"",[1]!i_pq_tradedays($B$3,A7265,A7264)-1)</f>
        <v/>
      </c>
      <c r="G7264" s="16" t="str">
        <f t="shared" si="242"/>
        <v/>
      </c>
      <c r="H7264" s="70" t="str">
        <f t="shared" si="243"/>
        <v/>
      </c>
    </row>
    <row r="7265" spans="1:8">
      <c r="A7265" s="2"/>
      <c r="B7265" s="12"/>
      <c r="C7265" s="12"/>
      <c r="E7265" t="str">
        <f>IF(LEN(D7265)=0,"",[1]!i_pq_tradedays($B$3,A7266,A7265)-1)</f>
        <v/>
      </c>
      <c r="G7265" s="16" t="str">
        <f t="shared" si="242"/>
        <v/>
      </c>
      <c r="H7265" s="70" t="str">
        <f t="shared" si="243"/>
        <v/>
      </c>
    </row>
    <row r="7266" spans="1:8">
      <c r="A7266" s="2"/>
      <c r="B7266" s="12"/>
      <c r="C7266" s="12"/>
      <c r="E7266" t="str">
        <f>IF(LEN(D7266)=0,"",[1]!i_pq_tradedays($B$3,A7267,A7266)-1)</f>
        <v/>
      </c>
      <c r="G7266" s="16" t="str">
        <f t="shared" si="242"/>
        <v/>
      </c>
      <c r="H7266" s="70" t="str">
        <f t="shared" si="243"/>
        <v/>
      </c>
    </row>
    <row r="7267" spans="1:8">
      <c r="A7267" s="2"/>
      <c r="B7267" s="12"/>
      <c r="C7267" s="12"/>
      <c r="E7267" t="str">
        <f>IF(LEN(D7267)=0,"",[1]!i_pq_tradedays($B$3,A7268,A7267)-1)</f>
        <v/>
      </c>
      <c r="G7267" s="16" t="str">
        <f t="shared" si="242"/>
        <v/>
      </c>
      <c r="H7267" s="70" t="str">
        <f t="shared" si="243"/>
        <v/>
      </c>
    </row>
    <row r="7268" spans="1:8">
      <c r="A7268" s="2"/>
      <c r="B7268" s="12"/>
      <c r="C7268" s="12"/>
      <c r="E7268" t="str">
        <f>IF(LEN(D7268)=0,"",[1]!i_pq_tradedays($B$3,A7269,A7268)-1)</f>
        <v/>
      </c>
      <c r="G7268" s="16" t="str">
        <f t="shared" si="242"/>
        <v/>
      </c>
      <c r="H7268" s="70" t="str">
        <f t="shared" si="243"/>
        <v/>
      </c>
    </row>
    <row r="7269" spans="1:8">
      <c r="A7269" s="2"/>
      <c r="B7269" s="12"/>
      <c r="C7269" s="12"/>
      <c r="E7269" t="str">
        <f>IF(LEN(D7269)=0,"",[1]!i_pq_tradedays($B$3,A7270,A7269)-1)</f>
        <v/>
      </c>
      <c r="G7269" s="16" t="str">
        <f t="shared" si="242"/>
        <v/>
      </c>
      <c r="H7269" s="70" t="str">
        <f t="shared" si="243"/>
        <v/>
      </c>
    </row>
    <row r="7270" spans="1:8">
      <c r="A7270" s="2"/>
      <c r="B7270" s="12"/>
      <c r="C7270" s="12"/>
      <c r="E7270" t="str">
        <f>IF(LEN(D7270)=0,"",[1]!i_pq_tradedays($B$3,A7271,A7270)-1)</f>
        <v/>
      </c>
      <c r="G7270" s="16" t="str">
        <f t="shared" si="242"/>
        <v/>
      </c>
      <c r="H7270" s="70" t="str">
        <f t="shared" si="243"/>
        <v/>
      </c>
    </row>
    <row r="7271" spans="1:8">
      <c r="A7271" s="2"/>
      <c r="B7271" s="12"/>
      <c r="C7271" s="12"/>
      <c r="E7271" t="str">
        <f>IF(LEN(D7271)=0,"",[1]!i_pq_tradedays($B$3,A7272,A7271)-1)</f>
        <v/>
      </c>
      <c r="G7271" s="16" t="str">
        <f t="shared" si="242"/>
        <v/>
      </c>
      <c r="H7271" s="70" t="str">
        <f t="shared" si="243"/>
        <v/>
      </c>
    </row>
    <row r="7272" spans="1:8">
      <c r="A7272" s="2"/>
      <c r="B7272" s="12"/>
      <c r="C7272" s="12"/>
      <c r="E7272" t="str">
        <f>IF(LEN(D7272)=0,"",[1]!i_pq_tradedays($B$3,A7273,A7272)-1)</f>
        <v/>
      </c>
      <c r="G7272" s="16" t="str">
        <f t="shared" si="242"/>
        <v/>
      </c>
      <c r="H7272" s="70" t="str">
        <f t="shared" si="243"/>
        <v/>
      </c>
    </row>
    <row r="7273" spans="1:8">
      <c r="A7273" s="2"/>
      <c r="B7273" s="12"/>
      <c r="C7273" s="12"/>
      <c r="E7273" t="str">
        <f>IF(LEN(D7273)=0,"",[1]!i_pq_tradedays($B$3,A7274,A7273)-1)</f>
        <v/>
      </c>
      <c r="G7273" s="16" t="str">
        <f t="shared" si="242"/>
        <v/>
      </c>
      <c r="H7273" s="70" t="str">
        <f t="shared" si="243"/>
        <v/>
      </c>
    </row>
    <row r="7274" spans="1:8">
      <c r="A7274" s="2"/>
      <c r="B7274" s="12"/>
      <c r="C7274" s="12"/>
      <c r="E7274" t="str">
        <f>IF(LEN(D7274)=0,"",[1]!i_pq_tradedays($B$3,A7275,A7274)-1)</f>
        <v/>
      </c>
      <c r="G7274" s="16" t="str">
        <f t="shared" si="242"/>
        <v/>
      </c>
      <c r="H7274" s="70" t="str">
        <f t="shared" si="243"/>
        <v/>
      </c>
    </row>
    <row r="7275" spans="1:8">
      <c r="A7275" s="2"/>
      <c r="B7275" s="12"/>
      <c r="C7275" s="12"/>
      <c r="E7275" t="str">
        <f>IF(LEN(D7275)=0,"",[1]!i_pq_tradedays($B$3,A7276,A7275)-1)</f>
        <v/>
      </c>
      <c r="G7275" s="16" t="str">
        <f t="shared" si="242"/>
        <v/>
      </c>
      <c r="H7275" s="70" t="str">
        <f t="shared" si="243"/>
        <v/>
      </c>
    </row>
    <row r="7276" spans="1:8">
      <c r="A7276" s="2"/>
      <c r="B7276" s="12"/>
      <c r="C7276" s="12"/>
      <c r="E7276" t="str">
        <f>IF(LEN(D7276)=0,"",[1]!i_pq_tradedays($B$3,A7277,A7276)-1)</f>
        <v/>
      </c>
      <c r="G7276" s="16" t="str">
        <f t="shared" si="242"/>
        <v/>
      </c>
      <c r="H7276" s="70" t="str">
        <f t="shared" si="243"/>
        <v/>
      </c>
    </row>
    <row r="7277" spans="1:8">
      <c r="A7277" s="2"/>
      <c r="B7277" s="12"/>
      <c r="C7277" s="12"/>
      <c r="E7277" t="str">
        <f>IF(LEN(D7277)=0,"",[1]!i_pq_tradedays($B$3,A7278,A7277)-1)</f>
        <v/>
      </c>
      <c r="G7277" s="16" t="str">
        <f t="shared" si="242"/>
        <v/>
      </c>
      <c r="H7277" s="70" t="str">
        <f t="shared" si="243"/>
        <v/>
      </c>
    </row>
    <row r="7278" spans="1:8">
      <c r="A7278" s="2"/>
      <c r="B7278" s="12"/>
      <c r="C7278" s="12"/>
      <c r="E7278" t="str">
        <f>IF(LEN(D7278)=0,"",[1]!i_pq_tradedays($B$3,A7279,A7278)-1)</f>
        <v/>
      </c>
      <c r="G7278" s="16" t="str">
        <f t="shared" si="242"/>
        <v/>
      </c>
      <c r="H7278" s="70" t="str">
        <f t="shared" si="243"/>
        <v/>
      </c>
    </row>
    <row r="7279" spans="1:8">
      <c r="A7279" s="2"/>
      <c r="B7279" s="12"/>
      <c r="C7279" s="12"/>
      <c r="E7279" t="str">
        <f>IF(LEN(D7279)=0,"",[1]!i_pq_tradedays($B$3,A7280,A7279)-1)</f>
        <v/>
      </c>
      <c r="G7279" s="16" t="str">
        <f t="shared" si="242"/>
        <v/>
      </c>
      <c r="H7279" s="70" t="str">
        <f t="shared" si="243"/>
        <v/>
      </c>
    </row>
    <row r="7280" spans="1:8">
      <c r="A7280" s="2"/>
      <c r="B7280" s="12"/>
      <c r="C7280" s="12"/>
      <c r="E7280" t="str">
        <f>IF(LEN(D7280)=0,"",[1]!i_pq_tradedays($B$3,A7281,A7280)-1)</f>
        <v/>
      </c>
      <c r="G7280" s="16" t="str">
        <f t="shared" si="242"/>
        <v/>
      </c>
      <c r="H7280" s="70" t="str">
        <f t="shared" si="243"/>
        <v/>
      </c>
    </row>
    <row r="7281" spans="1:8">
      <c r="A7281" s="2"/>
      <c r="B7281" s="12"/>
      <c r="C7281" s="12"/>
      <c r="E7281" t="str">
        <f>IF(LEN(D7281)=0,"",[1]!i_pq_tradedays($B$3,A7282,A7281)-1)</f>
        <v/>
      </c>
      <c r="G7281" s="16" t="str">
        <f t="shared" si="242"/>
        <v/>
      </c>
      <c r="H7281" s="70" t="str">
        <f t="shared" si="243"/>
        <v/>
      </c>
    </row>
    <row r="7282" spans="1:8">
      <c r="A7282" s="2"/>
      <c r="B7282" s="12"/>
      <c r="C7282" s="12"/>
      <c r="E7282" t="str">
        <f>IF(LEN(D7282)=0,"",[1]!i_pq_tradedays($B$3,A7283,A7282)-1)</f>
        <v/>
      </c>
      <c r="G7282" s="16" t="str">
        <f t="shared" si="242"/>
        <v/>
      </c>
      <c r="H7282" s="70" t="str">
        <f t="shared" si="243"/>
        <v/>
      </c>
    </row>
    <row r="7283" spans="1:8">
      <c r="A7283" s="2"/>
      <c r="B7283" s="12"/>
      <c r="C7283" s="12"/>
      <c r="E7283" t="str">
        <f>IF(LEN(D7283)=0,"",[1]!i_pq_tradedays($B$3,A7284,A7283)-1)</f>
        <v/>
      </c>
      <c r="G7283" s="16" t="str">
        <f t="shared" si="242"/>
        <v/>
      </c>
      <c r="H7283" s="70" t="str">
        <f t="shared" si="243"/>
        <v/>
      </c>
    </row>
    <row r="7284" spans="1:8">
      <c r="A7284" s="2"/>
      <c r="B7284" s="12"/>
      <c r="C7284" s="12"/>
      <c r="E7284" t="str">
        <f>IF(LEN(D7284)=0,"",[1]!i_pq_tradedays($B$3,A7285,A7284)-1)</f>
        <v/>
      </c>
      <c r="G7284" s="16" t="str">
        <f t="shared" si="242"/>
        <v/>
      </c>
      <c r="H7284" s="70" t="str">
        <f t="shared" si="243"/>
        <v/>
      </c>
    </row>
    <row r="7285" spans="1:8">
      <c r="A7285" s="2"/>
      <c r="B7285" s="12"/>
      <c r="C7285" s="12"/>
      <c r="E7285" t="str">
        <f>IF(LEN(D7285)=0,"",[1]!i_pq_tradedays($B$3,A7286,A7285)-1)</f>
        <v/>
      </c>
      <c r="G7285" s="16" t="str">
        <f t="shared" ref="G7285:G7348" si="244">IF(LEN(D7285)=0,"",D7285/E7285)</f>
        <v/>
      </c>
      <c r="H7285" s="70" t="str">
        <f t="shared" ref="H7285:H7348" si="245">IF(LEN(D7285)=0,"",G7285/G7286-1)</f>
        <v/>
      </c>
    </row>
    <row r="7286" spans="1:8">
      <c r="A7286" s="2"/>
      <c r="B7286" s="12"/>
      <c r="C7286" s="12"/>
      <c r="E7286" t="str">
        <f>IF(LEN(D7286)=0,"",[1]!i_pq_tradedays($B$3,A7287,A7286)-1)</f>
        <v/>
      </c>
      <c r="G7286" s="16" t="str">
        <f t="shared" si="244"/>
        <v/>
      </c>
      <c r="H7286" s="70" t="str">
        <f t="shared" si="245"/>
        <v/>
      </c>
    </row>
    <row r="7287" spans="1:8">
      <c r="A7287" s="2"/>
      <c r="B7287" s="12"/>
      <c r="C7287" s="12"/>
      <c r="E7287" t="str">
        <f>IF(LEN(D7287)=0,"",[1]!i_pq_tradedays($B$3,A7288,A7287)-1)</f>
        <v/>
      </c>
      <c r="G7287" s="16" t="str">
        <f t="shared" si="244"/>
        <v/>
      </c>
      <c r="H7287" s="70" t="str">
        <f t="shared" si="245"/>
        <v/>
      </c>
    </row>
    <row r="7288" spans="1:8">
      <c r="A7288" s="2"/>
      <c r="B7288" s="12"/>
      <c r="C7288" s="12"/>
      <c r="E7288" t="str">
        <f>IF(LEN(D7288)=0,"",[1]!i_pq_tradedays($B$3,A7289,A7288)-1)</f>
        <v/>
      </c>
      <c r="G7288" s="16" t="str">
        <f t="shared" si="244"/>
        <v/>
      </c>
      <c r="H7288" s="70" t="str">
        <f t="shared" si="245"/>
        <v/>
      </c>
    </row>
    <row r="7289" spans="1:8">
      <c r="A7289" s="2"/>
      <c r="B7289" s="12"/>
      <c r="C7289" s="12"/>
      <c r="E7289" t="str">
        <f>IF(LEN(D7289)=0,"",[1]!i_pq_tradedays($B$3,A7290,A7289)-1)</f>
        <v/>
      </c>
      <c r="G7289" s="16" t="str">
        <f t="shared" si="244"/>
        <v/>
      </c>
      <c r="H7289" s="70" t="str">
        <f t="shared" si="245"/>
        <v/>
      </c>
    </row>
    <row r="7290" spans="1:8">
      <c r="A7290" s="2"/>
      <c r="B7290" s="12"/>
      <c r="C7290" s="12"/>
      <c r="E7290" t="str">
        <f>IF(LEN(D7290)=0,"",[1]!i_pq_tradedays($B$3,A7291,A7290)-1)</f>
        <v/>
      </c>
      <c r="G7290" s="16" t="str">
        <f t="shared" si="244"/>
        <v/>
      </c>
      <c r="H7290" s="70" t="str">
        <f t="shared" si="245"/>
        <v/>
      </c>
    </row>
    <row r="7291" spans="1:8">
      <c r="A7291" s="2"/>
      <c r="B7291" s="12"/>
      <c r="C7291" s="12"/>
      <c r="E7291" t="str">
        <f>IF(LEN(D7291)=0,"",[1]!i_pq_tradedays($B$3,A7292,A7291)-1)</f>
        <v/>
      </c>
      <c r="G7291" s="16" t="str">
        <f t="shared" si="244"/>
        <v/>
      </c>
      <c r="H7291" s="70" t="str">
        <f t="shared" si="245"/>
        <v/>
      </c>
    </row>
    <row r="7292" spans="1:8">
      <c r="A7292" s="2"/>
      <c r="B7292" s="12"/>
      <c r="C7292" s="12"/>
      <c r="E7292" t="str">
        <f>IF(LEN(D7292)=0,"",[1]!i_pq_tradedays($B$3,A7293,A7292)-1)</f>
        <v/>
      </c>
      <c r="G7292" s="16" t="str">
        <f t="shared" si="244"/>
        <v/>
      </c>
      <c r="H7292" s="70" t="str">
        <f t="shared" si="245"/>
        <v/>
      </c>
    </row>
    <row r="7293" spans="1:8">
      <c r="A7293" s="2"/>
      <c r="B7293" s="12"/>
      <c r="C7293" s="12"/>
      <c r="E7293" t="str">
        <f>IF(LEN(D7293)=0,"",[1]!i_pq_tradedays($B$3,A7294,A7293)-1)</f>
        <v/>
      </c>
      <c r="G7293" s="16" t="str">
        <f t="shared" si="244"/>
        <v/>
      </c>
      <c r="H7293" s="70" t="str">
        <f t="shared" si="245"/>
        <v/>
      </c>
    </row>
    <row r="7294" spans="1:8">
      <c r="A7294" s="2"/>
      <c r="B7294" s="12"/>
      <c r="C7294" s="12"/>
      <c r="E7294" t="str">
        <f>IF(LEN(D7294)=0,"",[1]!i_pq_tradedays($B$3,A7295,A7294)-1)</f>
        <v/>
      </c>
      <c r="G7294" s="16" t="str">
        <f t="shared" si="244"/>
        <v/>
      </c>
      <c r="H7294" s="70" t="str">
        <f t="shared" si="245"/>
        <v/>
      </c>
    </row>
    <row r="7295" spans="1:8">
      <c r="A7295" s="2"/>
      <c r="B7295" s="12"/>
      <c r="C7295" s="12"/>
      <c r="E7295" t="str">
        <f>IF(LEN(D7295)=0,"",[1]!i_pq_tradedays($B$3,A7296,A7295)-1)</f>
        <v/>
      </c>
      <c r="G7295" s="16" t="str">
        <f t="shared" si="244"/>
        <v/>
      </c>
      <c r="H7295" s="70" t="str">
        <f t="shared" si="245"/>
        <v/>
      </c>
    </row>
    <row r="7296" spans="1:8">
      <c r="A7296" s="2"/>
      <c r="B7296" s="12"/>
      <c r="C7296" s="12"/>
      <c r="E7296" t="str">
        <f>IF(LEN(D7296)=0,"",[1]!i_pq_tradedays($B$3,A7297,A7296)-1)</f>
        <v/>
      </c>
      <c r="G7296" s="16" t="str">
        <f t="shared" si="244"/>
        <v/>
      </c>
      <c r="H7296" s="70" t="str">
        <f t="shared" si="245"/>
        <v/>
      </c>
    </row>
    <row r="7297" spans="1:8">
      <c r="A7297" s="2"/>
      <c r="B7297" s="12"/>
      <c r="C7297" s="12"/>
      <c r="E7297" t="str">
        <f>IF(LEN(D7297)=0,"",[1]!i_pq_tradedays($B$3,A7298,A7297)-1)</f>
        <v/>
      </c>
      <c r="G7297" s="16" t="str">
        <f t="shared" si="244"/>
        <v/>
      </c>
      <c r="H7297" s="70" t="str">
        <f t="shared" si="245"/>
        <v/>
      </c>
    </row>
    <row r="7298" spans="1:8">
      <c r="A7298" s="2"/>
      <c r="B7298" s="12"/>
      <c r="C7298" s="12"/>
      <c r="E7298" t="str">
        <f>IF(LEN(D7298)=0,"",[1]!i_pq_tradedays($B$3,A7299,A7298)-1)</f>
        <v/>
      </c>
      <c r="G7298" s="16" t="str">
        <f t="shared" si="244"/>
        <v/>
      </c>
      <c r="H7298" s="70" t="str">
        <f t="shared" si="245"/>
        <v/>
      </c>
    </row>
    <row r="7299" spans="1:8">
      <c r="A7299" s="2"/>
      <c r="B7299" s="12"/>
      <c r="C7299" s="12"/>
      <c r="E7299" t="str">
        <f>IF(LEN(D7299)=0,"",[1]!i_pq_tradedays($B$3,A7300,A7299)-1)</f>
        <v/>
      </c>
      <c r="G7299" s="16" t="str">
        <f t="shared" si="244"/>
        <v/>
      </c>
      <c r="H7299" s="70" t="str">
        <f t="shared" si="245"/>
        <v/>
      </c>
    </row>
    <row r="7300" spans="1:8">
      <c r="A7300" s="2"/>
      <c r="B7300" s="12"/>
      <c r="C7300" s="12"/>
      <c r="E7300" t="str">
        <f>IF(LEN(D7300)=0,"",[1]!i_pq_tradedays($B$3,A7301,A7300)-1)</f>
        <v/>
      </c>
      <c r="G7300" s="16" t="str">
        <f t="shared" si="244"/>
        <v/>
      </c>
      <c r="H7300" s="70" t="str">
        <f t="shared" si="245"/>
        <v/>
      </c>
    </row>
    <row r="7301" spans="1:8">
      <c r="A7301" s="2"/>
      <c r="B7301" s="12"/>
      <c r="C7301" s="12"/>
      <c r="E7301" t="str">
        <f>IF(LEN(D7301)=0,"",[1]!i_pq_tradedays($B$3,A7302,A7301)-1)</f>
        <v/>
      </c>
      <c r="G7301" s="16" t="str">
        <f t="shared" si="244"/>
        <v/>
      </c>
      <c r="H7301" s="70" t="str">
        <f t="shared" si="245"/>
        <v/>
      </c>
    </row>
    <row r="7302" spans="1:8">
      <c r="A7302" s="2"/>
      <c r="B7302" s="12"/>
      <c r="C7302" s="12"/>
      <c r="E7302" t="str">
        <f>IF(LEN(D7302)=0,"",[1]!i_pq_tradedays($B$3,A7303,A7302)-1)</f>
        <v/>
      </c>
      <c r="G7302" s="16" t="str">
        <f t="shared" si="244"/>
        <v/>
      </c>
      <c r="H7302" s="70" t="str">
        <f t="shared" si="245"/>
        <v/>
      </c>
    </row>
    <row r="7303" spans="1:8">
      <c r="A7303" s="2"/>
      <c r="B7303" s="12"/>
      <c r="C7303" s="12"/>
      <c r="E7303" t="str">
        <f>IF(LEN(D7303)=0,"",[1]!i_pq_tradedays($B$3,A7304,A7303)-1)</f>
        <v/>
      </c>
      <c r="G7303" s="16" t="str">
        <f t="shared" si="244"/>
        <v/>
      </c>
      <c r="H7303" s="70" t="str">
        <f t="shared" si="245"/>
        <v/>
      </c>
    </row>
    <row r="7304" spans="1:8">
      <c r="A7304" s="2"/>
      <c r="B7304" s="12"/>
      <c r="C7304" s="12"/>
      <c r="E7304" t="str">
        <f>IF(LEN(D7304)=0,"",[1]!i_pq_tradedays($B$3,A7305,A7304)-1)</f>
        <v/>
      </c>
      <c r="G7304" s="16" t="str">
        <f t="shared" si="244"/>
        <v/>
      </c>
      <c r="H7304" s="70" t="str">
        <f t="shared" si="245"/>
        <v/>
      </c>
    </row>
    <row r="7305" spans="1:8">
      <c r="A7305" s="2"/>
      <c r="B7305" s="12"/>
      <c r="C7305" s="12"/>
      <c r="E7305" t="str">
        <f>IF(LEN(D7305)=0,"",[1]!i_pq_tradedays($B$3,A7306,A7305)-1)</f>
        <v/>
      </c>
      <c r="G7305" s="16" t="str">
        <f t="shared" si="244"/>
        <v/>
      </c>
      <c r="H7305" s="70" t="str">
        <f t="shared" si="245"/>
        <v/>
      </c>
    </row>
    <row r="7306" spans="1:8">
      <c r="A7306" s="2"/>
      <c r="B7306" s="12"/>
      <c r="C7306" s="12"/>
      <c r="E7306" t="str">
        <f>IF(LEN(D7306)=0,"",[1]!i_pq_tradedays($B$3,A7307,A7306)-1)</f>
        <v/>
      </c>
      <c r="G7306" s="16" t="str">
        <f t="shared" si="244"/>
        <v/>
      </c>
      <c r="H7306" s="70" t="str">
        <f t="shared" si="245"/>
        <v/>
      </c>
    </row>
    <row r="7307" spans="1:8">
      <c r="A7307" s="2"/>
      <c r="B7307" s="12"/>
      <c r="C7307" s="12"/>
      <c r="E7307" t="str">
        <f>IF(LEN(D7307)=0,"",[1]!i_pq_tradedays($B$3,A7308,A7307)-1)</f>
        <v/>
      </c>
      <c r="G7307" s="16" t="str">
        <f t="shared" si="244"/>
        <v/>
      </c>
      <c r="H7307" s="70" t="str">
        <f t="shared" si="245"/>
        <v/>
      </c>
    </row>
    <row r="7308" spans="1:8">
      <c r="A7308" s="2"/>
      <c r="B7308" s="12"/>
      <c r="C7308" s="12"/>
      <c r="E7308" t="str">
        <f>IF(LEN(D7308)=0,"",[1]!i_pq_tradedays($B$3,A7309,A7308)-1)</f>
        <v/>
      </c>
      <c r="G7308" s="16" t="str">
        <f t="shared" si="244"/>
        <v/>
      </c>
      <c r="H7308" s="70" t="str">
        <f t="shared" si="245"/>
        <v/>
      </c>
    </row>
    <row r="7309" spans="1:8">
      <c r="A7309" s="2"/>
      <c r="B7309" s="12"/>
      <c r="C7309" s="12"/>
      <c r="E7309" t="str">
        <f>IF(LEN(D7309)=0,"",[1]!i_pq_tradedays($B$3,A7310,A7309)-1)</f>
        <v/>
      </c>
      <c r="G7309" s="16" t="str">
        <f t="shared" si="244"/>
        <v/>
      </c>
      <c r="H7309" s="70" t="str">
        <f t="shared" si="245"/>
        <v/>
      </c>
    </row>
    <row r="7310" spans="1:8">
      <c r="A7310" s="2"/>
      <c r="B7310" s="12"/>
      <c r="C7310" s="12"/>
      <c r="E7310" t="str">
        <f>IF(LEN(D7310)=0,"",[1]!i_pq_tradedays($B$3,A7311,A7310)-1)</f>
        <v/>
      </c>
      <c r="G7310" s="16" t="str">
        <f t="shared" si="244"/>
        <v/>
      </c>
      <c r="H7310" s="70" t="str">
        <f t="shared" si="245"/>
        <v/>
      </c>
    </row>
    <row r="7311" spans="1:8">
      <c r="A7311" s="2"/>
      <c r="B7311" s="12"/>
      <c r="C7311" s="12"/>
      <c r="E7311" t="str">
        <f>IF(LEN(D7311)=0,"",[1]!i_pq_tradedays($B$3,A7312,A7311)-1)</f>
        <v/>
      </c>
      <c r="G7311" s="16" t="str">
        <f t="shared" si="244"/>
        <v/>
      </c>
      <c r="H7311" s="70" t="str">
        <f t="shared" si="245"/>
        <v/>
      </c>
    </row>
    <row r="7312" spans="1:8">
      <c r="A7312" s="2"/>
      <c r="B7312" s="12"/>
      <c r="C7312" s="12"/>
      <c r="E7312" t="str">
        <f>IF(LEN(D7312)=0,"",[1]!i_pq_tradedays($B$3,A7313,A7312)-1)</f>
        <v/>
      </c>
      <c r="G7312" s="16" t="str">
        <f t="shared" si="244"/>
        <v/>
      </c>
      <c r="H7312" s="70" t="str">
        <f t="shared" si="245"/>
        <v/>
      </c>
    </row>
    <row r="7313" spans="1:8">
      <c r="A7313" s="2"/>
      <c r="B7313" s="12"/>
      <c r="C7313" s="12"/>
      <c r="E7313" t="str">
        <f>IF(LEN(D7313)=0,"",[1]!i_pq_tradedays($B$3,A7314,A7313)-1)</f>
        <v/>
      </c>
      <c r="G7313" s="16" t="str">
        <f t="shared" si="244"/>
        <v/>
      </c>
      <c r="H7313" s="70" t="str">
        <f t="shared" si="245"/>
        <v/>
      </c>
    </row>
    <row r="7314" spans="1:8">
      <c r="A7314" s="2"/>
      <c r="B7314" s="12"/>
      <c r="C7314" s="12"/>
      <c r="E7314" t="str">
        <f>IF(LEN(D7314)=0,"",[1]!i_pq_tradedays($B$3,A7315,A7314)-1)</f>
        <v/>
      </c>
      <c r="G7314" s="16" t="str">
        <f t="shared" si="244"/>
        <v/>
      </c>
      <c r="H7314" s="70" t="str">
        <f t="shared" si="245"/>
        <v/>
      </c>
    </row>
    <row r="7315" spans="1:8">
      <c r="A7315" s="2"/>
      <c r="B7315" s="12"/>
      <c r="C7315" s="12"/>
      <c r="E7315" t="str">
        <f>IF(LEN(D7315)=0,"",[1]!i_pq_tradedays($B$3,A7316,A7315)-1)</f>
        <v/>
      </c>
      <c r="G7315" s="16" t="str">
        <f t="shared" si="244"/>
        <v/>
      </c>
      <c r="H7315" s="70" t="str">
        <f t="shared" si="245"/>
        <v/>
      </c>
    </row>
    <row r="7316" spans="1:8">
      <c r="A7316" s="2"/>
      <c r="B7316" s="12"/>
      <c r="C7316" s="12"/>
      <c r="E7316" t="str">
        <f>IF(LEN(D7316)=0,"",[1]!i_pq_tradedays($B$3,A7317,A7316)-1)</f>
        <v/>
      </c>
      <c r="G7316" s="16" t="str">
        <f t="shared" si="244"/>
        <v/>
      </c>
      <c r="H7316" s="70" t="str">
        <f t="shared" si="245"/>
        <v/>
      </c>
    </row>
    <row r="7317" spans="1:8">
      <c r="A7317" s="2"/>
      <c r="B7317" s="12"/>
      <c r="C7317" s="12"/>
      <c r="E7317" t="str">
        <f>IF(LEN(D7317)=0,"",[1]!i_pq_tradedays($B$3,A7318,A7317)-1)</f>
        <v/>
      </c>
      <c r="G7317" s="16" t="str">
        <f t="shared" si="244"/>
        <v/>
      </c>
      <c r="H7317" s="70" t="str">
        <f t="shared" si="245"/>
        <v/>
      </c>
    </row>
    <row r="7318" spans="1:8">
      <c r="A7318" s="2"/>
      <c r="B7318" s="12"/>
      <c r="C7318" s="12"/>
      <c r="E7318" t="str">
        <f>IF(LEN(D7318)=0,"",[1]!i_pq_tradedays($B$3,A7319,A7318)-1)</f>
        <v/>
      </c>
      <c r="G7318" s="16" t="str">
        <f t="shared" si="244"/>
        <v/>
      </c>
      <c r="H7318" s="70" t="str">
        <f t="shared" si="245"/>
        <v/>
      </c>
    </row>
    <row r="7319" spans="1:8">
      <c r="A7319" s="2"/>
      <c r="B7319" s="12"/>
      <c r="C7319" s="12"/>
      <c r="E7319" t="str">
        <f>IF(LEN(D7319)=0,"",[1]!i_pq_tradedays($B$3,A7320,A7319)-1)</f>
        <v/>
      </c>
      <c r="G7319" s="16" t="str">
        <f t="shared" si="244"/>
        <v/>
      </c>
      <c r="H7319" s="70" t="str">
        <f t="shared" si="245"/>
        <v/>
      </c>
    </row>
    <row r="7320" spans="1:8">
      <c r="A7320" s="2"/>
      <c r="B7320" s="12"/>
      <c r="C7320" s="12"/>
      <c r="E7320" t="str">
        <f>IF(LEN(D7320)=0,"",[1]!i_pq_tradedays($B$3,A7321,A7320)-1)</f>
        <v/>
      </c>
      <c r="G7320" s="16" t="str">
        <f t="shared" si="244"/>
        <v/>
      </c>
      <c r="H7320" s="70" t="str">
        <f t="shared" si="245"/>
        <v/>
      </c>
    </row>
    <row r="7321" spans="1:8">
      <c r="A7321" s="2"/>
      <c r="B7321" s="12"/>
      <c r="C7321" s="12"/>
      <c r="E7321" t="str">
        <f>IF(LEN(D7321)=0,"",[1]!i_pq_tradedays($B$3,A7322,A7321)-1)</f>
        <v/>
      </c>
      <c r="G7321" s="16" t="str">
        <f t="shared" si="244"/>
        <v/>
      </c>
      <c r="H7321" s="70" t="str">
        <f t="shared" si="245"/>
        <v/>
      </c>
    </row>
    <row r="7322" spans="1:8">
      <c r="A7322" s="2"/>
      <c r="B7322" s="12"/>
      <c r="C7322" s="12"/>
      <c r="E7322" t="str">
        <f>IF(LEN(D7322)=0,"",[1]!i_pq_tradedays($B$3,A7323,A7322)-1)</f>
        <v/>
      </c>
      <c r="G7322" s="16" t="str">
        <f t="shared" si="244"/>
        <v/>
      </c>
      <c r="H7322" s="70" t="str">
        <f t="shared" si="245"/>
        <v/>
      </c>
    </row>
    <row r="7323" spans="1:8">
      <c r="A7323" s="2"/>
      <c r="B7323" s="12"/>
      <c r="C7323" s="12"/>
      <c r="E7323" t="str">
        <f>IF(LEN(D7323)=0,"",[1]!i_pq_tradedays($B$3,A7324,A7323)-1)</f>
        <v/>
      </c>
      <c r="G7323" s="16" t="str">
        <f t="shared" si="244"/>
        <v/>
      </c>
      <c r="H7323" s="70" t="str">
        <f t="shared" si="245"/>
        <v/>
      </c>
    </row>
    <row r="7324" spans="1:8">
      <c r="A7324" s="2"/>
      <c r="B7324" s="12"/>
      <c r="C7324" s="12"/>
      <c r="E7324" t="str">
        <f>IF(LEN(D7324)=0,"",[1]!i_pq_tradedays($B$3,A7325,A7324)-1)</f>
        <v/>
      </c>
      <c r="G7324" s="16" t="str">
        <f t="shared" si="244"/>
        <v/>
      </c>
      <c r="H7324" s="70" t="str">
        <f t="shared" si="245"/>
        <v/>
      </c>
    </row>
    <row r="7325" spans="1:8">
      <c r="A7325" s="2"/>
      <c r="B7325" s="12"/>
      <c r="C7325" s="12"/>
      <c r="E7325" t="str">
        <f>IF(LEN(D7325)=0,"",[1]!i_pq_tradedays($B$3,A7326,A7325)-1)</f>
        <v/>
      </c>
      <c r="G7325" s="16" t="str">
        <f t="shared" si="244"/>
        <v/>
      </c>
      <c r="H7325" s="70" t="str">
        <f t="shared" si="245"/>
        <v/>
      </c>
    </row>
    <row r="7326" spans="1:8">
      <c r="A7326" s="2"/>
      <c r="B7326" s="12"/>
      <c r="C7326" s="12"/>
      <c r="E7326" t="str">
        <f>IF(LEN(D7326)=0,"",[1]!i_pq_tradedays($B$3,A7327,A7326)-1)</f>
        <v/>
      </c>
      <c r="G7326" s="16" t="str">
        <f t="shared" si="244"/>
        <v/>
      </c>
      <c r="H7326" s="70" t="str">
        <f t="shared" si="245"/>
        <v/>
      </c>
    </row>
    <row r="7327" spans="1:8">
      <c r="A7327" s="2"/>
      <c r="B7327" s="12"/>
      <c r="C7327" s="12"/>
      <c r="E7327" t="str">
        <f>IF(LEN(D7327)=0,"",[1]!i_pq_tradedays($B$3,A7328,A7327)-1)</f>
        <v/>
      </c>
      <c r="G7327" s="16" t="str">
        <f t="shared" si="244"/>
        <v/>
      </c>
      <c r="H7327" s="70" t="str">
        <f t="shared" si="245"/>
        <v/>
      </c>
    </row>
    <row r="7328" spans="1:8">
      <c r="A7328" s="2"/>
      <c r="B7328" s="12"/>
      <c r="C7328" s="12"/>
      <c r="E7328" t="str">
        <f>IF(LEN(D7328)=0,"",[1]!i_pq_tradedays($B$3,A7329,A7328)-1)</f>
        <v/>
      </c>
      <c r="G7328" s="16" t="str">
        <f t="shared" si="244"/>
        <v/>
      </c>
      <c r="H7328" s="70" t="str">
        <f t="shared" si="245"/>
        <v/>
      </c>
    </row>
    <row r="7329" spans="1:8">
      <c r="A7329" s="2"/>
      <c r="B7329" s="12"/>
      <c r="C7329" s="12"/>
      <c r="E7329" t="str">
        <f>IF(LEN(D7329)=0,"",[1]!i_pq_tradedays($B$3,A7330,A7329)-1)</f>
        <v/>
      </c>
      <c r="G7329" s="16" t="str">
        <f t="shared" si="244"/>
        <v/>
      </c>
      <c r="H7329" s="70" t="str">
        <f t="shared" si="245"/>
        <v/>
      </c>
    </row>
    <row r="7330" spans="1:8">
      <c r="A7330" s="2"/>
      <c r="B7330" s="12"/>
      <c r="C7330" s="12"/>
      <c r="E7330" t="str">
        <f>IF(LEN(D7330)=0,"",[1]!i_pq_tradedays($B$3,A7331,A7330)-1)</f>
        <v/>
      </c>
      <c r="G7330" s="16" t="str">
        <f t="shared" si="244"/>
        <v/>
      </c>
      <c r="H7330" s="70" t="str">
        <f t="shared" si="245"/>
        <v/>
      </c>
    </row>
    <row r="7331" spans="1:8">
      <c r="A7331" s="2"/>
      <c r="B7331" s="12"/>
      <c r="C7331" s="12"/>
      <c r="E7331" t="str">
        <f>IF(LEN(D7331)=0,"",[1]!i_pq_tradedays($B$3,A7332,A7331)-1)</f>
        <v/>
      </c>
      <c r="G7331" s="16" t="str">
        <f t="shared" si="244"/>
        <v/>
      </c>
      <c r="H7331" s="70" t="str">
        <f t="shared" si="245"/>
        <v/>
      </c>
    </row>
    <row r="7332" spans="1:8">
      <c r="A7332" s="2"/>
      <c r="B7332" s="12"/>
      <c r="C7332" s="12"/>
      <c r="E7332" t="str">
        <f>IF(LEN(D7332)=0,"",[1]!i_pq_tradedays($B$3,A7333,A7332)-1)</f>
        <v/>
      </c>
      <c r="G7332" s="16" t="str">
        <f t="shared" si="244"/>
        <v/>
      </c>
      <c r="H7332" s="70" t="str">
        <f t="shared" si="245"/>
        <v/>
      </c>
    </row>
    <row r="7333" spans="1:8">
      <c r="A7333" s="2"/>
      <c r="B7333" s="12"/>
      <c r="C7333" s="12"/>
      <c r="E7333" t="str">
        <f>IF(LEN(D7333)=0,"",[1]!i_pq_tradedays($B$3,A7334,A7333)-1)</f>
        <v/>
      </c>
      <c r="G7333" s="16" t="str">
        <f t="shared" si="244"/>
        <v/>
      </c>
      <c r="H7333" s="70" t="str">
        <f t="shared" si="245"/>
        <v/>
      </c>
    </row>
    <row r="7334" spans="1:8">
      <c r="A7334" s="2"/>
      <c r="B7334" s="12"/>
      <c r="C7334" s="12"/>
      <c r="E7334" t="str">
        <f>IF(LEN(D7334)=0,"",[1]!i_pq_tradedays($B$3,A7335,A7334)-1)</f>
        <v/>
      </c>
      <c r="G7334" s="16" t="str">
        <f t="shared" si="244"/>
        <v/>
      </c>
      <c r="H7334" s="70" t="str">
        <f t="shared" si="245"/>
        <v/>
      </c>
    </row>
    <row r="7335" spans="1:8">
      <c r="A7335" s="2"/>
      <c r="B7335" s="12"/>
      <c r="C7335" s="12"/>
      <c r="E7335" t="str">
        <f>IF(LEN(D7335)=0,"",[1]!i_pq_tradedays($B$3,A7336,A7335)-1)</f>
        <v/>
      </c>
      <c r="G7335" s="16" t="str">
        <f t="shared" si="244"/>
        <v/>
      </c>
      <c r="H7335" s="70" t="str">
        <f t="shared" si="245"/>
        <v/>
      </c>
    </row>
    <row r="7336" spans="1:8">
      <c r="A7336" s="2"/>
      <c r="B7336" s="12"/>
      <c r="C7336" s="12"/>
      <c r="E7336" t="str">
        <f>IF(LEN(D7336)=0,"",[1]!i_pq_tradedays($B$3,A7337,A7336)-1)</f>
        <v/>
      </c>
      <c r="G7336" s="16" t="str">
        <f t="shared" si="244"/>
        <v/>
      </c>
      <c r="H7336" s="70" t="str">
        <f t="shared" si="245"/>
        <v/>
      </c>
    </row>
    <row r="7337" spans="1:8">
      <c r="A7337" s="2"/>
      <c r="B7337" s="12"/>
      <c r="C7337" s="12"/>
      <c r="E7337" t="str">
        <f>IF(LEN(D7337)=0,"",[1]!i_pq_tradedays($B$3,A7338,A7337)-1)</f>
        <v/>
      </c>
      <c r="G7337" s="16" t="str">
        <f t="shared" si="244"/>
        <v/>
      </c>
      <c r="H7337" s="70" t="str">
        <f t="shared" si="245"/>
        <v/>
      </c>
    </row>
    <row r="7338" spans="1:8">
      <c r="A7338" s="2"/>
      <c r="B7338" s="12"/>
      <c r="C7338" s="12"/>
      <c r="E7338" t="str">
        <f>IF(LEN(D7338)=0,"",[1]!i_pq_tradedays($B$3,A7339,A7338)-1)</f>
        <v/>
      </c>
      <c r="G7338" s="16" t="str">
        <f t="shared" si="244"/>
        <v/>
      </c>
      <c r="H7338" s="70" t="str">
        <f t="shared" si="245"/>
        <v/>
      </c>
    </row>
    <row r="7339" spans="1:8">
      <c r="A7339" s="2"/>
      <c r="B7339" s="12"/>
      <c r="C7339" s="12"/>
      <c r="E7339" t="str">
        <f>IF(LEN(D7339)=0,"",[1]!i_pq_tradedays($B$3,A7340,A7339)-1)</f>
        <v/>
      </c>
      <c r="G7339" s="16" t="str">
        <f t="shared" si="244"/>
        <v/>
      </c>
      <c r="H7339" s="70" t="str">
        <f t="shared" si="245"/>
        <v/>
      </c>
    </row>
    <row r="7340" spans="1:8">
      <c r="A7340" s="2"/>
      <c r="B7340" s="12"/>
      <c r="C7340" s="12"/>
      <c r="E7340" t="str">
        <f>IF(LEN(D7340)=0,"",[1]!i_pq_tradedays($B$3,A7341,A7340)-1)</f>
        <v/>
      </c>
      <c r="G7340" s="16" t="str">
        <f t="shared" si="244"/>
        <v/>
      </c>
      <c r="H7340" s="70" t="str">
        <f t="shared" si="245"/>
        <v/>
      </c>
    </row>
    <row r="7341" spans="1:8">
      <c r="A7341" s="2"/>
      <c r="B7341" s="12"/>
      <c r="C7341" s="12"/>
      <c r="E7341" t="str">
        <f>IF(LEN(D7341)=0,"",[1]!i_pq_tradedays($B$3,A7342,A7341)-1)</f>
        <v/>
      </c>
      <c r="G7341" s="16" t="str">
        <f t="shared" si="244"/>
        <v/>
      </c>
      <c r="H7341" s="70" t="str">
        <f t="shared" si="245"/>
        <v/>
      </c>
    </row>
    <row r="7342" spans="1:8">
      <c r="A7342" s="2"/>
      <c r="B7342" s="12"/>
      <c r="C7342" s="12"/>
      <c r="E7342" t="str">
        <f>IF(LEN(D7342)=0,"",[1]!i_pq_tradedays($B$3,A7343,A7342)-1)</f>
        <v/>
      </c>
      <c r="G7342" s="16" t="str">
        <f t="shared" si="244"/>
        <v/>
      </c>
      <c r="H7342" s="70" t="str">
        <f t="shared" si="245"/>
        <v/>
      </c>
    </row>
    <row r="7343" spans="1:8">
      <c r="A7343" s="2"/>
      <c r="B7343" s="12"/>
      <c r="C7343" s="12"/>
      <c r="E7343" t="str">
        <f>IF(LEN(D7343)=0,"",[1]!i_pq_tradedays($B$3,A7344,A7343)-1)</f>
        <v/>
      </c>
      <c r="G7343" s="16" t="str">
        <f t="shared" si="244"/>
        <v/>
      </c>
      <c r="H7343" s="70" t="str">
        <f t="shared" si="245"/>
        <v/>
      </c>
    </row>
    <row r="7344" spans="1:8">
      <c r="A7344" s="2"/>
      <c r="B7344" s="12"/>
      <c r="C7344" s="12"/>
      <c r="E7344" t="str">
        <f>IF(LEN(D7344)=0,"",[1]!i_pq_tradedays($B$3,A7345,A7344)-1)</f>
        <v/>
      </c>
      <c r="G7344" s="16" t="str">
        <f t="shared" si="244"/>
        <v/>
      </c>
      <c r="H7344" s="70" t="str">
        <f t="shared" si="245"/>
        <v/>
      </c>
    </row>
    <row r="7345" spans="1:8">
      <c r="A7345" s="2"/>
      <c r="B7345" s="12"/>
      <c r="C7345" s="12"/>
      <c r="E7345" t="str">
        <f>IF(LEN(D7345)=0,"",[1]!i_pq_tradedays($B$3,A7346,A7345)-1)</f>
        <v/>
      </c>
      <c r="G7345" s="16" t="str">
        <f t="shared" si="244"/>
        <v/>
      </c>
      <c r="H7345" s="70" t="str">
        <f t="shared" si="245"/>
        <v/>
      </c>
    </row>
    <row r="7346" spans="1:8">
      <c r="A7346" s="2"/>
      <c r="B7346" s="12"/>
      <c r="C7346" s="12"/>
      <c r="E7346" t="str">
        <f>IF(LEN(D7346)=0,"",[1]!i_pq_tradedays($B$3,A7347,A7346)-1)</f>
        <v/>
      </c>
      <c r="G7346" s="16" t="str">
        <f t="shared" si="244"/>
        <v/>
      </c>
      <c r="H7346" s="70" t="str">
        <f t="shared" si="245"/>
        <v/>
      </c>
    </row>
    <row r="7347" spans="1:8">
      <c r="A7347" s="2"/>
      <c r="B7347" s="12"/>
      <c r="C7347" s="12"/>
      <c r="E7347" t="str">
        <f>IF(LEN(D7347)=0,"",[1]!i_pq_tradedays($B$3,A7348,A7347)-1)</f>
        <v/>
      </c>
      <c r="G7347" s="16" t="str">
        <f t="shared" si="244"/>
        <v/>
      </c>
      <c r="H7347" s="70" t="str">
        <f t="shared" si="245"/>
        <v/>
      </c>
    </row>
    <row r="7348" spans="1:8">
      <c r="A7348" s="2"/>
      <c r="B7348" s="12"/>
      <c r="C7348" s="12"/>
      <c r="E7348" t="str">
        <f>IF(LEN(D7348)=0,"",[1]!i_pq_tradedays($B$3,A7349,A7348)-1)</f>
        <v/>
      </c>
      <c r="G7348" s="16" t="str">
        <f t="shared" si="244"/>
        <v/>
      </c>
      <c r="H7348" s="70" t="str">
        <f t="shared" si="245"/>
        <v/>
      </c>
    </row>
    <row r="7349" spans="1:8">
      <c r="A7349" s="2"/>
      <c r="B7349" s="12"/>
      <c r="C7349" s="12"/>
      <c r="E7349" t="str">
        <f>IF(LEN(D7349)=0,"",[1]!i_pq_tradedays($B$3,A7350,A7349)-1)</f>
        <v/>
      </c>
      <c r="G7349" s="16" t="str">
        <f t="shared" ref="G7349:G7412" si="246">IF(LEN(D7349)=0,"",D7349/E7349)</f>
        <v/>
      </c>
      <c r="H7349" s="70" t="str">
        <f t="shared" ref="H7349:H7412" si="247">IF(LEN(D7349)=0,"",G7349/G7350-1)</f>
        <v/>
      </c>
    </row>
    <row r="7350" spans="1:8">
      <c r="A7350" s="2"/>
      <c r="B7350" s="12"/>
      <c r="C7350" s="12"/>
      <c r="E7350" t="str">
        <f>IF(LEN(D7350)=0,"",[1]!i_pq_tradedays($B$3,A7351,A7350)-1)</f>
        <v/>
      </c>
      <c r="G7350" s="16" t="str">
        <f t="shared" si="246"/>
        <v/>
      </c>
      <c r="H7350" s="70" t="str">
        <f t="shared" si="247"/>
        <v/>
      </c>
    </row>
    <row r="7351" spans="1:8">
      <c r="A7351" s="2"/>
      <c r="B7351" s="12"/>
      <c r="C7351" s="12"/>
      <c r="E7351" t="str">
        <f>IF(LEN(D7351)=0,"",[1]!i_pq_tradedays($B$3,A7352,A7351)-1)</f>
        <v/>
      </c>
      <c r="G7351" s="16" t="str">
        <f t="shared" si="246"/>
        <v/>
      </c>
      <c r="H7351" s="70" t="str">
        <f t="shared" si="247"/>
        <v/>
      </c>
    </row>
    <row r="7352" spans="1:8">
      <c r="A7352" s="2"/>
      <c r="B7352" s="12"/>
      <c r="C7352" s="12"/>
      <c r="E7352" t="str">
        <f>IF(LEN(D7352)=0,"",[1]!i_pq_tradedays($B$3,A7353,A7352)-1)</f>
        <v/>
      </c>
      <c r="G7352" s="16" t="str">
        <f t="shared" si="246"/>
        <v/>
      </c>
      <c r="H7352" s="70" t="str">
        <f t="shared" si="247"/>
        <v/>
      </c>
    </row>
    <row r="7353" spans="1:8">
      <c r="A7353" s="2"/>
      <c r="B7353" s="12"/>
      <c r="C7353" s="12"/>
      <c r="E7353" t="str">
        <f>IF(LEN(D7353)=0,"",[1]!i_pq_tradedays($B$3,A7354,A7353)-1)</f>
        <v/>
      </c>
      <c r="G7353" s="16" t="str">
        <f t="shared" si="246"/>
        <v/>
      </c>
      <c r="H7353" s="70" t="str">
        <f t="shared" si="247"/>
        <v/>
      </c>
    </row>
    <row r="7354" spans="1:8">
      <c r="A7354" s="2"/>
      <c r="B7354" s="12"/>
      <c r="C7354" s="12"/>
      <c r="E7354" t="str">
        <f>IF(LEN(D7354)=0,"",[1]!i_pq_tradedays($B$3,A7355,A7354)-1)</f>
        <v/>
      </c>
      <c r="G7354" s="16" t="str">
        <f t="shared" si="246"/>
        <v/>
      </c>
      <c r="H7354" s="70" t="str">
        <f t="shared" si="247"/>
        <v/>
      </c>
    </row>
    <row r="7355" spans="1:8">
      <c r="A7355" s="2"/>
      <c r="B7355" s="12"/>
      <c r="C7355" s="12"/>
      <c r="E7355" t="str">
        <f>IF(LEN(D7355)=0,"",[1]!i_pq_tradedays($B$3,A7356,A7355)-1)</f>
        <v/>
      </c>
      <c r="G7355" s="16" t="str">
        <f t="shared" si="246"/>
        <v/>
      </c>
      <c r="H7355" s="70" t="str">
        <f t="shared" si="247"/>
        <v/>
      </c>
    </row>
    <row r="7356" spans="1:8">
      <c r="A7356" s="2"/>
      <c r="B7356" s="12"/>
      <c r="C7356" s="12"/>
      <c r="E7356" t="str">
        <f>IF(LEN(D7356)=0,"",[1]!i_pq_tradedays($B$3,A7357,A7356)-1)</f>
        <v/>
      </c>
      <c r="G7356" s="16" t="str">
        <f t="shared" si="246"/>
        <v/>
      </c>
      <c r="H7356" s="70" t="str">
        <f t="shared" si="247"/>
        <v/>
      </c>
    </row>
    <row r="7357" spans="1:8">
      <c r="A7357" s="2"/>
      <c r="B7357" s="12"/>
      <c r="C7357" s="12"/>
      <c r="E7357" t="str">
        <f>IF(LEN(D7357)=0,"",[1]!i_pq_tradedays($B$3,A7358,A7357)-1)</f>
        <v/>
      </c>
      <c r="G7357" s="16" t="str">
        <f t="shared" si="246"/>
        <v/>
      </c>
      <c r="H7357" s="70" t="str">
        <f t="shared" si="247"/>
        <v/>
      </c>
    </row>
    <row r="7358" spans="1:8">
      <c r="A7358" s="2"/>
      <c r="B7358" s="12"/>
      <c r="C7358" s="12"/>
      <c r="E7358" t="str">
        <f>IF(LEN(D7358)=0,"",[1]!i_pq_tradedays($B$3,A7359,A7358)-1)</f>
        <v/>
      </c>
      <c r="G7358" s="16" t="str">
        <f t="shared" si="246"/>
        <v/>
      </c>
      <c r="H7358" s="70" t="str">
        <f t="shared" si="247"/>
        <v/>
      </c>
    </row>
    <row r="7359" spans="1:8">
      <c r="A7359" s="2"/>
      <c r="B7359" s="12"/>
      <c r="C7359" s="12"/>
      <c r="E7359" t="str">
        <f>IF(LEN(D7359)=0,"",[1]!i_pq_tradedays($B$3,A7360,A7359)-1)</f>
        <v/>
      </c>
      <c r="G7359" s="16" t="str">
        <f t="shared" si="246"/>
        <v/>
      </c>
      <c r="H7359" s="70" t="str">
        <f t="shared" si="247"/>
        <v/>
      </c>
    </row>
    <row r="7360" spans="1:8">
      <c r="A7360" s="2"/>
      <c r="B7360" s="12"/>
      <c r="C7360" s="12"/>
      <c r="E7360" t="str">
        <f>IF(LEN(D7360)=0,"",[1]!i_pq_tradedays($B$3,A7361,A7360)-1)</f>
        <v/>
      </c>
      <c r="G7360" s="16" t="str">
        <f t="shared" si="246"/>
        <v/>
      </c>
      <c r="H7360" s="70" t="str">
        <f t="shared" si="247"/>
        <v/>
      </c>
    </row>
    <row r="7361" spans="1:8">
      <c r="A7361" s="2"/>
      <c r="B7361" s="12"/>
      <c r="C7361" s="12"/>
      <c r="E7361" t="str">
        <f>IF(LEN(D7361)=0,"",[1]!i_pq_tradedays($B$3,A7362,A7361)-1)</f>
        <v/>
      </c>
      <c r="G7361" s="16" t="str">
        <f t="shared" si="246"/>
        <v/>
      </c>
      <c r="H7361" s="70" t="str">
        <f t="shared" si="247"/>
        <v/>
      </c>
    </row>
    <row r="7362" spans="1:8">
      <c r="A7362" s="2"/>
      <c r="B7362" s="12"/>
      <c r="C7362" s="12"/>
      <c r="E7362" t="str">
        <f>IF(LEN(D7362)=0,"",[1]!i_pq_tradedays($B$3,A7363,A7362)-1)</f>
        <v/>
      </c>
      <c r="G7362" s="16" t="str">
        <f t="shared" si="246"/>
        <v/>
      </c>
      <c r="H7362" s="70" t="str">
        <f t="shared" si="247"/>
        <v/>
      </c>
    </row>
    <row r="7363" spans="1:8">
      <c r="A7363" s="2"/>
      <c r="B7363" s="12"/>
      <c r="C7363" s="12"/>
      <c r="E7363" t="str">
        <f>IF(LEN(D7363)=0,"",[1]!i_pq_tradedays($B$3,A7364,A7363)-1)</f>
        <v/>
      </c>
      <c r="G7363" s="16" t="str">
        <f t="shared" si="246"/>
        <v/>
      </c>
      <c r="H7363" s="70" t="str">
        <f t="shared" si="247"/>
        <v/>
      </c>
    </row>
    <row r="7364" spans="1:8">
      <c r="A7364" s="2"/>
      <c r="B7364" s="12"/>
      <c r="C7364" s="12"/>
      <c r="E7364" t="str">
        <f>IF(LEN(D7364)=0,"",[1]!i_pq_tradedays($B$3,A7365,A7364)-1)</f>
        <v/>
      </c>
      <c r="G7364" s="16" t="str">
        <f t="shared" si="246"/>
        <v/>
      </c>
      <c r="H7364" s="70" t="str">
        <f t="shared" si="247"/>
        <v/>
      </c>
    </row>
    <row r="7365" spans="1:8">
      <c r="A7365" s="2"/>
      <c r="B7365" s="12"/>
      <c r="C7365" s="12"/>
      <c r="E7365" t="str">
        <f>IF(LEN(D7365)=0,"",[1]!i_pq_tradedays($B$3,A7366,A7365)-1)</f>
        <v/>
      </c>
      <c r="G7365" s="16" t="str">
        <f t="shared" si="246"/>
        <v/>
      </c>
      <c r="H7365" s="70" t="str">
        <f t="shared" si="247"/>
        <v/>
      </c>
    </row>
    <row r="7366" spans="1:8">
      <c r="A7366" s="2"/>
      <c r="B7366" s="12"/>
      <c r="C7366" s="12"/>
      <c r="E7366" t="str">
        <f>IF(LEN(D7366)=0,"",[1]!i_pq_tradedays($B$3,A7367,A7366)-1)</f>
        <v/>
      </c>
      <c r="G7366" s="16" t="str">
        <f t="shared" si="246"/>
        <v/>
      </c>
      <c r="H7366" s="70" t="str">
        <f t="shared" si="247"/>
        <v/>
      </c>
    </row>
    <row r="7367" spans="1:8">
      <c r="A7367" s="2"/>
      <c r="B7367" s="12"/>
      <c r="C7367" s="12"/>
      <c r="E7367" t="str">
        <f>IF(LEN(D7367)=0,"",[1]!i_pq_tradedays($B$3,A7368,A7367)-1)</f>
        <v/>
      </c>
      <c r="G7367" s="16" t="str">
        <f t="shared" si="246"/>
        <v/>
      </c>
      <c r="H7367" s="70" t="str">
        <f t="shared" si="247"/>
        <v/>
      </c>
    </row>
    <row r="7368" spans="1:8">
      <c r="A7368" s="2"/>
      <c r="B7368" s="12"/>
      <c r="C7368" s="12"/>
      <c r="E7368" t="str">
        <f>IF(LEN(D7368)=0,"",[1]!i_pq_tradedays($B$3,A7369,A7368)-1)</f>
        <v/>
      </c>
      <c r="G7368" s="16" t="str">
        <f t="shared" si="246"/>
        <v/>
      </c>
      <c r="H7368" s="70" t="str">
        <f t="shared" si="247"/>
        <v/>
      </c>
    </row>
    <row r="7369" spans="1:8">
      <c r="A7369" s="2"/>
      <c r="B7369" s="12"/>
      <c r="C7369" s="12"/>
      <c r="E7369" t="str">
        <f>IF(LEN(D7369)=0,"",[1]!i_pq_tradedays($B$3,A7370,A7369)-1)</f>
        <v/>
      </c>
      <c r="G7369" s="16" t="str">
        <f t="shared" si="246"/>
        <v/>
      </c>
      <c r="H7369" s="70" t="str">
        <f t="shared" si="247"/>
        <v/>
      </c>
    </row>
    <row r="7370" spans="1:8">
      <c r="A7370" s="2"/>
      <c r="B7370" s="12"/>
      <c r="C7370" s="12"/>
      <c r="E7370" t="str">
        <f>IF(LEN(D7370)=0,"",[1]!i_pq_tradedays($B$3,A7371,A7370)-1)</f>
        <v/>
      </c>
      <c r="G7370" s="16" t="str">
        <f t="shared" si="246"/>
        <v/>
      </c>
      <c r="H7370" s="70" t="str">
        <f t="shared" si="247"/>
        <v/>
      </c>
    </row>
    <row r="7371" spans="1:8">
      <c r="A7371" s="2"/>
      <c r="B7371" s="12"/>
      <c r="C7371" s="12"/>
      <c r="E7371" t="str">
        <f>IF(LEN(D7371)=0,"",[1]!i_pq_tradedays($B$3,A7372,A7371)-1)</f>
        <v/>
      </c>
      <c r="G7371" s="16" t="str">
        <f t="shared" si="246"/>
        <v/>
      </c>
      <c r="H7371" s="70" t="str">
        <f t="shared" si="247"/>
        <v/>
      </c>
    </row>
    <row r="7372" spans="1:8">
      <c r="A7372" s="2"/>
      <c r="B7372" s="12"/>
      <c r="C7372" s="12"/>
      <c r="E7372" t="str">
        <f>IF(LEN(D7372)=0,"",[1]!i_pq_tradedays($B$3,A7373,A7372)-1)</f>
        <v/>
      </c>
      <c r="G7372" s="16" t="str">
        <f t="shared" si="246"/>
        <v/>
      </c>
      <c r="H7372" s="70" t="str">
        <f t="shared" si="247"/>
        <v/>
      </c>
    </row>
    <row r="7373" spans="1:8">
      <c r="A7373" s="2"/>
      <c r="B7373" s="12"/>
      <c r="C7373" s="12"/>
      <c r="E7373" t="str">
        <f>IF(LEN(D7373)=0,"",[1]!i_pq_tradedays($B$3,A7374,A7373)-1)</f>
        <v/>
      </c>
      <c r="G7373" s="16" t="str">
        <f t="shared" si="246"/>
        <v/>
      </c>
      <c r="H7373" s="70" t="str">
        <f t="shared" si="247"/>
        <v/>
      </c>
    </row>
    <row r="7374" spans="1:8">
      <c r="A7374" s="2"/>
      <c r="B7374" s="12"/>
      <c r="C7374" s="12"/>
      <c r="E7374" t="str">
        <f>IF(LEN(D7374)=0,"",[1]!i_pq_tradedays($B$3,A7375,A7374)-1)</f>
        <v/>
      </c>
      <c r="G7374" s="16" t="str">
        <f t="shared" si="246"/>
        <v/>
      </c>
      <c r="H7374" s="70" t="str">
        <f t="shared" si="247"/>
        <v/>
      </c>
    </row>
    <row r="7375" spans="1:8">
      <c r="A7375" s="2"/>
      <c r="B7375" s="12"/>
      <c r="C7375" s="12"/>
      <c r="E7375" t="str">
        <f>IF(LEN(D7375)=0,"",[1]!i_pq_tradedays($B$3,A7376,A7375)-1)</f>
        <v/>
      </c>
      <c r="G7375" s="16" t="str">
        <f t="shared" si="246"/>
        <v/>
      </c>
      <c r="H7375" s="70" t="str">
        <f t="shared" si="247"/>
        <v/>
      </c>
    </row>
    <row r="7376" spans="1:8">
      <c r="A7376" s="2"/>
      <c r="B7376" s="12"/>
      <c r="C7376" s="12"/>
      <c r="E7376" t="str">
        <f>IF(LEN(D7376)=0,"",[1]!i_pq_tradedays($B$3,A7377,A7376)-1)</f>
        <v/>
      </c>
      <c r="G7376" s="16" t="str">
        <f t="shared" si="246"/>
        <v/>
      </c>
      <c r="H7376" s="70" t="str">
        <f t="shared" si="247"/>
        <v/>
      </c>
    </row>
    <row r="7377" spans="1:8">
      <c r="A7377" s="2"/>
      <c r="B7377" s="12"/>
      <c r="C7377" s="12"/>
      <c r="E7377" t="str">
        <f>IF(LEN(D7377)=0,"",[1]!i_pq_tradedays($B$3,A7378,A7377)-1)</f>
        <v/>
      </c>
      <c r="G7377" s="16" t="str">
        <f t="shared" si="246"/>
        <v/>
      </c>
      <c r="H7377" s="70" t="str">
        <f t="shared" si="247"/>
        <v/>
      </c>
    </row>
    <row r="7378" spans="1:8">
      <c r="A7378" s="2"/>
      <c r="B7378" s="12"/>
      <c r="C7378" s="12"/>
      <c r="E7378" t="str">
        <f>IF(LEN(D7378)=0,"",[1]!i_pq_tradedays($B$3,A7379,A7378)-1)</f>
        <v/>
      </c>
      <c r="G7378" s="16" t="str">
        <f t="shared" si="246"/>
        <v/>
      </c>
      <c r="H7378" s="70" t="str">
        <f t="shared" si="247"/>
        <v/>
      </c>
    </row>
    <row r="7379" spans="1:8">
      <c r="A7379" s="2"/>
      <c r="B7379" s="12"/>
      <c r="C7379" s="12"/>
      <c r="E7379" t="str">
        <f>IF(LEN(D7379)=0,"",[1]!i_pq_tradedays($B$3,A7380,A7379)-1)</f>
        <v/>
      </c>
      <c r="G7379" s="16" t="str">
        <f t="shared" si="246"/>
        <v/>
      </c>
      <c r="H7379" s="70" t="str">
        <f t="shared" si="247"/>
        <v/>
      </c>
    </row>
    <row r="7380" spans="1:8">
      <c r="A7380" s="2"/>
      <c r="B7380" s="12"/>
      <c r="C7380" s="12"/>
      <c r="E7380" t="str">
        <f>IF(LEN(D7380)=0,"",[1]!i_pq_tradedays($B$3,A7381,A7380)-1)</f>
        <v/>
      </c>
      <c r="G7380" s="16" t="str">
        <f t="shared" si="246"/>
        <v/>
      </c>
      <c r="H7380" s="70" t="str">
        <f t="shared" si="247"/>
        <v/>
      </c>
    </row>
    <row r="7381" spans="1:8">
      <c r="A7381" s="2"/>
      <c r="B7381" s="12"/>
      <c r="C7381" s="12"/>
      <c r="E7381" t="str">
        <f>IF(LEN(D7381)=0,"",[1]!i_pq_tradedays($B$3,A7382,A7381)-1)</f>
        <v/>
      </c>
      <c r="G7381" s="16" t="str">
        <f t="shared" si="246"/>
        <v/>
      </c>
      <c r="H7381" s="70" t="str">
        <f t="shared" si="247"/>
        <v/>
      </c>
    </row>
    <row r="7382" spans="1:8">
      <c r="A7382" s="2"/>
      <c r="B7382" s="12"/>
      <c r="C7382" s="12"/>
      <c r="E7382" t="str">
        <f>IF(LEN(D7382)=0,"",[1]!i_pq_tradedays($B$3,A7383,A7382)-1)</f>
        <v/>
      </c>
      <c r="G7382" s="16" t="str">
        <f t="shared" si="246"/>
        <v/>
      </c>
      <c r="H7382" s="70" t="str">
        <f t="shared" si="247"/>
        <v/>
      </c>
    </row>
    <row r="7383" spans="1:8">
      <c r="A7383" s="2"/>
      <c r="B7383" s="12"/>
      <c r="C7383" s="12"/>
      <c r="E7383" t="str">
        <f>IF(LEN(D7383)=0,"",[1]!i_pq_tradedays($B$3,A7384,A7383)-1)</f>
        <v/>
      </c>
      <c r="G7383" s="16" t="str">
        <f t="shared" si="246"/>
        <v/>
      </c>
      <c r="H7383" s="70" t="str">
        <f t="shared" si="247"/>
        <v/>
      </c>
    </row>
    <row r="7384" spans="1:8">
      <c r="A7384" s="2"/>
      <c r="B7384" s="12"/>
      <c r="C7384" s="12"/>
      <c r="E7384" t="str">
        <f>IF(LEN(D7384)=0,"",[1]!i_pq_tradedays($B$3,A7385,A7384)-1)</f>
        <v/>
      </c>
      <c r="G7384" s="16" t="str">
        <f t="shared" si="246"/>
        <v/>
      </c>
      <c r="H7384" s="70" t="str">
        <f t="shared" si="247"/>
        <v/>
      </c>
    </row>
    <row r="7385" spans="1:8">
      <c r="A7385" s="2"/>
      <c r="B7385" s="12"/>
      <c r="C7385" s="12"/>
      <c r="E7385" t="str">
        <f>IF(LEN(D7385)=0,"",[1]!i_pq_tradedays($B$3,A7386,A7385)-1)</f>
        <v/>
      </c>
      <c r="G7385" s="16" t="str">
        <f t="shared" si="246"/>
        <v/>
      </c>
      <c r="H7385" s="70" t="str">
        <f t="shared" si="247"/>
        <v/>
      </c>
    </row>
    <row r="7386" spans="1:8">
      <c r="A7386" s="2"/>
      <c r="B7386" s="12"/>
      <c r="C7386" s="12"/>
      <c r="E7386" t="str">
        <f>IF(LEN(D7386)=0,"",[1]!i_pq_tradedays($B$3,A7387,A7386)-1)</f>
        <v/>
      </c>
      <c r="G7386" s="16" t="str">
        <f t="shared" si="246"/>
        <v/>
      </c>
      <c r="H7386" s="70" t="str">
        <f t="shared" si="247"/>
        <v/>
      </c>
    </row>
    <row r="7387" spans="1:8">
      <c r="A7387" s="2"/>
      <c r="B7387" s="12"/>
      <c r="C7387" s="12"/>
      <c r="E7387" t="str">
        <f>IF(LEN(D7387)=0,"",[1]!i_pq_tradedays($B$3,A7388,A7387)-1)</f>
        <v/>
      </c>
      <c r="G7387" s="16" t="str">
        <f t="shared" si="246"/>
        <v/>
      </c>
      <c r="H7387" s="70" t="str">
        <f t="shared" si="247"/>
        <v/>
      </c>
    </row>
    <row r="7388" spans="1:8">
      <c r="A7388" s="2"/>
      <c r="B7388" s="12"/>
      <c r="C7388" s="12"/>
      <c r="E7388" t="str">
        <f>IF(LEN(D7388)=0,"",[1]!i_pq_tradedays($B$3,A7389,A7388)-1)</f>
        <v/>
      </c>
      <c r="G7388" s="16" t="str">
        <f t="shared" si="246"/>
        <v/>
      </c>
      <c r="H7388" s="70" t="str">
        <f t="shared" si="247"/>
        <v/>
      </c>
    </row>
    <row r="7389" spans="1:8">
      <c r="A7389" s="2"/>
      <c r="B7389" s="12"/>
      <c r="C7389" s="12"/>
      <c r="E7389" t="str">
        <f>IF(LEN(D7389)=0,"",[1]!i_pq_tradedays($B$3,A7390,A7389)-1)</f>
        <v/>
      </c>
      <c r="G7389" s="16" t="str">
        <f t="shared" si="246"/>
        <v/>
      </c>
      <c r="H7389" s="70" t="str">
        <f t="shared" si="247"/>
        <v/>
      </c>
    </row>
    <row r="7390" spans="1:8">
      <c r="A7390" s="2"/>
      <c r="B7390" s="12"/>
      <c r="C7390" s="12"/>
      <c r="E7390" t="str">
        <f>IF(LEN(D7390)=0,"",[1]!i_pq_tradedays($B$3,A7391,A7390)-1)</f>
        <v/>
      </c>
      <c r="G7390" s="16" t="str">
        <f t="shared" si="246"/>
        <v/>
      </c>
      <c r="H7390" s="70" t="str">
        <f t="shared" si="247"/>
        <v/>
      </c>
    </row>
    <row r="7391" spans="1:8">
      <c r="A7391" s="2"/>
      <c r="B7391" s="12"/>
      <c r="C7391" s="12"/>
      <c r="E7391" t="str">
        <f>IF(LEN(D7391)=0,"",[1]!i_pq_tradedays($B$3,A7392,A7391)-1)</f>
        <v/>
      </c>
      <c r="G7391" s="16" t="str">
        <f t="shared" si="246"/>
        <v/>
      </c>
      <c r="H7391" s="70" t="str">
        <f t="shared" si="247"/>
        <v/>
      </c>
    </row>
    <row r="7392" spans="1:8">
      <c r="A7392" s="2"/>
      <c r="B7392" s="12"/>
      <c r="C7392" s="12"/>
      <c r="E7392" t="str">
        <f>IF(LEN(D7392)=0,"",[1]!i_pq_tradedays($B$3,A7393,A7392)-1)</f>
        <v/>
      </c>
      <c r="G7392" s="16" t="str">
        <f t="shared" si="246"/>
        <v/>
      </c>
      <c r="H7392" s="70" t="str">
        <f t="shared" si="247"/>
        <v/>
      </c>
    </row>
    <row r="7393" spans="1:8">
      <c r="A7393" s="2"/>
      <c r="B7393" s="12"/>
      <c r="C7393" s="12"/>
      <c r="E7393" t="str">
        <f>IF(LEN(D7393)=0,"",[1]!i_pq_tradedays($B$3,A7394,A7393)-1)</f>
        <v/>
      </c>
      <c r="G7393" s="16" t="str">
        <f t="shared" si="246"/>
        <v/>
      </c>
      <c r="H7393" s="70" t="str">
        <f t="shared" si="247"/>
        <v/>
      </c>
    </row>
    <row r="7394" spans="1:8">
      <c r="A7394" s="2"/>
      <c r="B7394" s="12"/>
      <c r="C7394" s="12"/>
      <c r="E7394" t="str">
        <f>IF(LEN(D7394)=0,"",[1]!i_pq_tradedays($B$3,A7395,A7394)-1)</f>
        <v/>
      </c>
      <c r="G7394" s="16" t="str">
        <f t="shared" si="246"/>
        <v/>
      </c>
      <c r="H7394" s="70" t="str">
        <f t="shared" si="247"/>
        <v/>
      </c>
    </row>
    <row r="7395" spans="1:8">
      <c r="A7395" s="2"/>
      <c r="B7395" s="12"/>
      <c r="C7395" s="12"/>
      <c r="E7395" t="str">
        <f>IF(LEN(D7395)=0,"",[1]!i_pq_tradedays($B$3,A7396,A7395)-1)</f>
        <v/>
      </c>
      <c r="G7395" s="16" t="str">
        <f t="shared" si="246"/>
        <v/>
      </c>
      <c r="H7395" s="70" t="str">
        <f t="shared" si="247"/>
        <v/>
      </c>
    </row>
    <row r="7396" spans="1:8">
      <c r="A7396" s="2"/>
      <c r="B7396" s="12"/>
      <c r="C7396" s="12"/>
      <c r="E7396" t="str">
        <f>IF(LEN(D7396)=0,"",[1]!i_pq_tradedays($B$3,A7397,A7396)-1)</f>
        <v/>
      </c>
      <c r="G7396" s="16" t="str">
        <f t="shared" si="246"/>
        <v/>
      </c>
      <c r="H7396" s="70" t="str">
        <f t="shared" si="247"/>
        <v/>
      </c>
    </row>
    <row r="7397" spans="1:8">
      <c r="A7397" s="2"/>
      <c r="B7397" s="12"/>
      <c r="C7397" s="12"/>
      <c r="E7397" t="str">
        <f>IF(LEN(D7397)=0,"",[1]!i_pq_tradedays($B$3,A7398,A7397)-1)</f>
        <v/>
      </c>
      <c r="G7397" s="16" t="str">
        <f t="shared" si="246"/>
        <v/>
      </c>
      <c r="H7397" s="70" t="str">
        <f t="shared" si="247"/>
        <v/>
      </c>
    </row>
    <row r="7398" spans="1:8">
      <c r="A7398" s="2"/>
      <c r="B7398" s="12"/>
      <c r="C7398" s="12"/>
      <c r="E7398" t="str">
        <f>IF(LEN(D7398)=0,"",[1]!i_pq_tradedays($B$3,A7399,A7398)-1)</f>
        <v/>
      </c>
      <c r="G7398" s="16" t="str">
        <f t="shared" si="246"/>
        <v/>
      </c>
      <c r="H7398" s="70" t="str">
        <f t="shared" si="247"/>
        <v/>
      </c>
    </row>
    <row r="7399" spans="1:8">
      <c r="A7399" s="2"/>
      <c r="B7399" s="12"/>
      <c r="C7399" s="12"/>
      <c r="E7399" t="str">
        <f>IF(LEN(D7399)=0,"",[1]!i_pq_tradedays($B$3,A7400,A7399)-1)</f>
        <v/>
      </c>
      <c r="G7399" s="16" t="str">
        <f t="shared" si="246"/>
        <v/>
      </c>
      <c r="H7399" s="70" t="str">
        <f t="shared" si="247"/>
        <v/>
      </c>
    </row>
    <row r="7400" spans="1:8">
      <c r="A7400" s="2"/>
      <c r="B7400" s="12"/>
      <c r="C7400" s="12"/>
      <c r="E7400" t="str">
        <f>IF(LEN(D7400)=0,"",[1]!i_pq_tradedays($B$3,A7401,A7400)-1)</f>
        <v/>
      </c>
      <c r="G7400" s="16" t="str">
        <f t="shared" si="246"/>
        <v/>
      </c>
      <c r="H7400" s="70" t="str">
        <f t="shared" si="247"/>
        <v/>
      </c>
    </row>
    <row r="7401" spans="1:8">
      <c r="A7401" s="2"/>
      <c r="B7401" s="12"/>
      <c r="C7401" s="12"/>
      <c r="E7401" t="str">
        <f>IF(LEN(D7401)=0,"",[1]!i_pq_tradedays($B$3,A7402,A7401)-1)</f>
        <v/>
      </c>
      <c r="G7401" s="16" t="str">
        <f t="shared" si="246"/>
        <v/>
      </c>
      <c r="H7401" s="70" t="str">
        <f t="shared" si="247"/>
        <v/>
      </c>
    </row>
    <row r="7402" spans="1:8">
      <c r="A7402" s="2"/>
      <c r="B7402" s="12"/>
      <c r="C7402" s="12"/>
      <c r="E7402" t="str">
        <f>IF(LEN(D7402)=0,"",[1]!i_pq_tradedays($B$3,A7403,A7402)-1)</f>
        <v/>
      </c>
      <c r="G7402" s="16" t="str">
        <f t="shared" si="246"/>
        <v/>
      </c>
      <c r="H7402" s="70" t="str">
        <f t="shared" si="247"/>
        <v/>
      </c>
    </row>
    <row r="7403" spans="1:8">
      <c r="A7403" s="2"/>
      <c r="B7403" s="12"/>
      <c r="C7403" s="12"/>
      <c r="E7403" t="str">
        <f>IF(LEN(D7403)=0,"",[1]!i_pq_tradedays($B$3,A7404,A7403)-1)</f>
        <v/>
      </c>
      <c r="G7403" s="16" t="str">
        <f t="shared" si="246"/>
        <v/>
      </c>
      <c r="H7403" s="70" t="str">
        <f t="shared" si="247"/>
        <v/>
      </c>
    </row>
    <row r="7404" spans="1:8">
      <c r="A7404" s="2"/>
      <c r="B7404" s="12"/>
      <c r="C7404" s="12"/>
      <c r="E7404" t="str">
        <f>IF(LEN(D7404)=0,"",[1]!i_pq_tradedays($B$3,A7405,A7404)-1)</f>
        <v/>
      </c>
      <c r="G7404" s="16" t="str">
        <f t="shared" si="246"/>
        <v/>
      </c>
      <c r="H7404" s="70" t="str">
        <f t="shared" si="247"/>
        <v/>
      </c>
    </row>
    <row r="7405" spans="1:8">
      <c r="A7405" s="2"/>
      <c r="B7405" s="12"/>
      <c r="C7405" s="12"/>
      <c r="E7405" t="str">
        <f>IF(LEN(D7405)=0,"",[1]!i_pq_tradedays($B$3,A7406,A7405)-1)</f>
        <v/>
      </c>
      <c r="G7405" s="16" t="str">
        <f t="shared" si="246"/>
        <v/>
      </c>
      <c r="H7405" s="70" t="str">
        <f t="shared" si="247"/>
        <v/>
      </c>
    </row>
    <row r="7406" spans="1:8">
      <c r="A7406" s="2"/>
      <c r="B7406" s="12"/>
      <c r="C7406" s="12"/>
      <c r="E7406" t="str">
        <f>IF(LEN(D7406)=0,"",[1]!i_pq_tradedays($B$3,A7407,A7406)-1)</f>
        <v/>
      </c>
      <c r="G7406" s="16" t="str">
        <f t="shared" si="246"/>
        <v/>
      </c>
      <c r="H7406" s="70" t="str">
        <f t="shared" si="247"/>
        <v/>
      </c>
    </row>
    <row r="7407" spans="1:8">
      <c r="A7407" s="2"/>
      <c r="B7407" s="12"/>
      <c r="C7407" s="12"/>
      <c r="E7407" t="str">
        <f>IF(LEN(D7407)=0,"",[1]!i_pq_tradedays($B$3,A7408,A7407)-1)</f>
        <v/>
      </c>
      <c r="G7407" s="16" t="str">
        <f t="shared" si="246"/>
        <v/>
      </c>
      <c r="H7407" s="70" t="str">
        <f t="shared" si="247"/>
        <v/>
      </c>
    </row>
    <row r="7408" spans="1:8">
      <c r="A7408" s="2"/>
      <c r="B7408" s="12"/>
      <c r="C7408" s="12"/>
      <c r="E7408" t="str">
        <f>IF(LEN(D7408)=0,"",[1]!i_pq_tradedays($B$3,A7409,A7408)-1)</f>
        <v/>
      </c>
      <c r="G7408" s="16" t="str">
        <f t="shared" si="246"/>
        <v/>
      </c>
      <c r="H7408" s="70" t="str">
        <f t="shared" si="247"/>
        <v/>
      </c>
    </row>
    <row r="7409" spans="1:8">
      <c r="A7409" s="2"/>
      <c r="B7409" s="12"/>
      <c r="C7409" s="12"/>
      <c r="E7409" t="str">
        <f>IF(LEN(D7409)=0,"",[1]!i_pq_tradedays($B$3,A7410,A7409)-1)</f>
        <v/>
      </c>
      <c r="G7409" s="16" t="str">
        <f t="shared" si="246"/>
        <v/>
      </c>
      <c r="H7409" s="70" t="str">
        <f t="shared" si="247"/>
        <v/>
      </c>
    </row>
    <row r="7410" spans="1:8">
      <c r="A7410" s="2"/>
      <c r="B7410" s="12"/>
      <c r="C7410" s="12"/>
      <c r="E7410" t="str">
        <f>IF(LEN(D7410)=0,"",[1]!i_pq_tradedays($B$3,A7411,A7410)-1)</f>
        <v/>
      </c>
      <c r="G7410" s="16" t="str">
        <f t="shared" si="246"/>
        <v/>
      </c>
      <c r="H7410" s="70" t="str">
        <f t="shared" si="247"/>
        <v/>
      </c>
    </row>
    <row r="7411" spans="1:8">
      <c r="A7411" s="2"/>
      <c r="B7411" s="12"/>
      <c r="C7411" s="12"/>
      <c r="E7411" t="str">
        <f>IF(LEN(D7411)=0,"",[1]!i_pq_tradedays($B$3,A7412,A7411)-1)</f>
        <v/>
      </c>
      <c r="G7411" s="16" t="str">
        <f t="shared" si="246"/>
        <v/>
      </c>
      <c r="H7411" s="70" t="str">
        <f t="shared" si="247"/>
        <v/>
      </c>
    </row>
    <row r="7412" spans="1:8">
      <c r="A7412" s="2"/>
      <c r="B7412" s="12"/>
      <c r="C7412" s="12"/>
      <c r="E7412" t="str">
        <f>IF(LEN(D7412)=0,"",[1]!i_pq_tradedays($B$3,A7413,A7412)-1)</f>
        <v/>
      </c>
      <c r="G7412" s="16" t="str">
        <f t="shared" si="246"/>
        <v/>
      </c>
      <c r="H7412" s="70" t="str">
        <f t="shared" si="247"/>
        <v/>
      </c>
    </row>
    <row r="7413" spans="1:8">
      <c r="A7413" s="2"/>
      <c r="B7413" s="12"/>
      <c r="C7413" s="12"/>
      <c r="E7413" t="str">
        <f>IF(LEN(D7413)=0,"",[1]!i_pq_tradedays($B$3,A7414,A7413)-1)</f>
        <v/>
      </c>
      <c r="G7413" s="16" t="str">
        <f t="shared" ref="G7413:G7476" si="248">IF(LEN(D7413)=0,"",D7413/E7413)</f>
        <v/>
      </c>
      <c r="H7413" s="70" t="str">
        <f t="shared" ref="H7413:H7476" si="249">IF(LEN(D7413)=0,"",G7413/G7414-1)</f>
        <v/>
      </c>
    </row>
    <row r="7414" spans="1:8">
      <c r="A7414" s="2"/>
      <c r="B7414" s="12"/>
      <c r="C7414" s="12"/>
      <c r="E7414" t="str">
        <f>IF(LEN(D7414)=0,"",[1]!i_pq_tradedays($B$3,A7415,A7414)-1)</f>
        <v/>
      </c>
      <c r="G7414" s="16" t="str">
        <f t="shared" si="248"/>
        <v/>
      </c>
      <c r="H7414" s="70" t="str">
        <f t="shared" si="249"/>
        <v/>
      </c>
    </row>
    <row r="7415" spans="1:8">
      <c r="A7415" s="2"/>
      <c r="B7415" s="12"/>
      <c r="C7415" s="12"/>
      <c r="E7415" t="str">
        <f>IF(LEN(D7415)=0,"",[1]!i_pq_tradedays($B$3,A7416,A7415)-1)</f>
        <v/>
      </c>
      <c r="G7415" s="16" t="str">
        <f t="shared" si="248"/>
        <v/>
      </c>
      <c r="H7415" s="70" t="str">
        <f t="shared" si="249"/>
        <v/>
      </c>
    </row>
    <row r="7416" spans="1:8">
      <c r="A7416" s="2"/>
      <c r="B7416" s="12"/>
      <c r="C7416" s="12"/>
      <c r="E7416" t="str">
        <f>IF(LEN(D7416)=0,"",[1]!i_pq_tradedays($B$3,A7417,A7416)-1)</f>
        <v/>
      </c>
      <c r="G7416" s="16" t="str">
        <f t="shared" si="248"/>
        <v/>
      </c>
      <c r="H7416" s="70" t="str">
        <f t="shared" si="249"/>
        <v/>
      </c>
    </row>
    <row r="7417" spans="1:8">
      <c r="A7417" s="2"/>
      <c r="B7417" s="12"/>
      <c r="C7417" s="12"/>
      <c r="E7417" t="str">
        <f>IF(LEN(D7417)=0,"",[1]!i_pq_tradedays($B$3,A7418,A7417)-1)</f>
        <v/>
      </c>
      <c r="G7417" s="16" t="str">
        <f t="shared" si="248"/>
        <v/>
      </c>
      <c r="H7417" s="70" t="str">
        <f t="shared" si="249"/>
        <v/>
      </c>
    </row>
    <row r="7418" spans="1:8">
      <c r="A7418" s="2"/>
      <c r="B7418" s="12"/>
      <c r="C7418" s="12"/>
      <c r="E7418" t="str">
        <f>IF(LEN(D7418)=0,"",[1]!i_pq_tradedays($B$3,A7419,A7418)-1)</f>
        <v/>
      </c>
      <c r="G7418" s="16" t="str">
        <f t="shared" si="248"/>
        <v/>
      </c>
      <c r="H7418" s="70" t="str">
        <f t="shared" si="249"/>
        <v/>
      </c>
    </row>
    <row r="7419" spans="1:8">
      <c r="A7419" s="2"/>
      <c r="B7419" s="12"/>
      <c r="C7419" s="12"/>
      <c r="E7419" t="str">
        <f>IF(LEN(D7419)=0,"",[1]!i_pq_tradedays($B$3,A7420,A7419)-1)</f>
        <v/>
      </c>
      <c r="G7419" s="16" t="str">
        <f t="shared" si="248"/>
        <v/>
      </c>
      <c r="H7419" s="70" t="str">
        <f t="shared" si="249"/>
        <v/>
      </c>
    </row>
    <row r="7420" spans="1:8">
      <c r="A7420" s="2"/>
      <c r="B7420" s="12"/>
      <c r="C7420" s="12"/>
      <c r="E7420" t="str">
        <f>IF(LEN(D7420)=0,"",[1]!i_pq_tradedays($B$3,A7421,A7420)-1)</f>
        <v/>
      </c>
      <c r="G7420" s="16" t="str">
        <f t="shared" si="248"/>
        <v/>
      </c>
      <c r="H7420" s="70" t="str">
        <f t="shared" si="249"/>
        <v/>
      </c>
    </row>
    <row r="7421" spans="1:8">
      <c r="A7421" s="2"/>
      <c r="B7421" s="12"/>
      <c r="C7421" s="12"/>
      <c r="E7421" t="str">
        <f>IF(LEN(D7421)=0,"",[1]!i_pq_tradedays($B$3,A7422,A7421)-1)</f>
        <v/>
      </c>
      <c r="G7421" s="16" t="str">
        <f t="shared" si="248"/>
        <v/>
      </c>
      <c r="H7421" s="70" t="str">
        <f t="shared" si="249"/>
        <v/>
      </c>
    </row>
    <row r="7422" spans="1:8">
      <c r="A7422" s="2"/>
      <c r="B7422" s="12"/>
      <c r="C7422" s="12"/>
      <c r="E7422" t="str">
        <f>IF(LEN(D7422)=0,"",[1]!i_pq_tradedays($B$3,A7423,A7422)-1)</f>
        <v/>
      </c>
      <c r="G7422" s="16" t="str">
        <f t="shared" si="248"/>
        <v/>
      </c>
      <c r="H7422" s="70" t="str">
        <f t="shared" si="249"/>
        <v/>
      </c>
    </row>
    <row r="7423" spans="1:8">
      <c r="A7423" s="2"/>
      <c r="B7423" s="12"/>
      <c r="C7423" s="12"/>
      <c r="E7423" t="str">
        <f>IF(LEN(D7423)=0,"",[1]!i_pq_tradedays($B$3,A7424,A7423)-1)</f>
        <v/>
      </c>
      <c r="G7423" s="16" t="str">
        <f t="shared" si="248"/>
        <v/>
      </c>
      <c r="H7423" s="70" t="str">
        <f t="shared" si="249"/>
        <v/>
      </c>
    </row>
    <row r="7424" spans="1:8">
      <c r="A7424" s="2"/>
      <c r="B7424" s="12"/>
      <c r="C7424" s="12"/>
      <c r="E7424" t="str">
        <f>IF(LEN(D7424)=0,"",[1]!i_pq_tradedays($B$3,A7425,A7424)-1)</f>
        <v/>
      </c>
      <c r="G7424" s="16" t="str">
        <f t="shared" si="248"/>
        <v/>
      </c>
      <c r="H7424" s="70" t="str">
        <f t="shared" si="249"/>
        <v/>
      </c>
    </row>
    <row r="7425" spans="1:8">
      <c r="A7425" s="2"/>
      <c r="B7425" s="12"/>
      <c r="C7425" s="12"/>
      <c r="E7425" t="str">
        <f>IF(LEN(D7425)=0,"",[1]!i_pq_tradedays($B$3,A7426,A7425)-1)</f>
        <v/>
      </c>
      <c r="G7425" s="16" t="str">
        <f t="shared" si="248"/>
        <v/>
      </c>
      <c r="H7425" s="70" t="str">
        <f t="shared" si="249"/>
        <v/>
      </c>
    </row>
    <row r="7426" spans="1:8">
      <c r="A7426" s="2"/>
      <c r="B7426" s="12"/>
      <c r="C7426" s="12"/>
      <c r="E7426" t="str">
        <f>IF(LEN(D7426)=0,"",[1]!i_pq_tradedays($B$3,A7427,A7426)-1)</f>
        <v/>
      </c>
      <c r="G7426" s="16" t="str">
        <f t="shared" si="248"/>
        <v/>
      </c>
      <c r="H7426" s="70" t="str">
        <f t="shared" si="249"/>
        <v/>
      </c>
    </row>
    <row r="7427" spans="1:8">
      <c r="A7427" s="2"/>
      <c r="B7427" s="12"/>
      <c r="C7427" s="12"/>
      <c r="E7427" t="str">
        <f>IF(LEN(D7427)=0,"",[1]!i_pq_tradedays($B$3,A7428,A7427)-1)</f>
        <v/>
      </c>
      <c r="G7427" s="16" t="str">
        <f t="shared" si="248"/>
        <v/>
      </c>
      <c r="H7427" s="70" t="str">
        <f t="shared" si="249"/>
        <v/>
      </c>
    </row>
    <row r="7428" spans="1:8">
      <c r="A7428" s="2"/>
      <c r="B7428" s="12"/>
      <c r="C7428" s="12"/>
      <c r="E7428" t="str">
        <f>IF(LEN(D7428)=0,"",[1]!i_pq_tradedays($B$3,A7429,A7428)-1)</f>
        <v/>
      </c>
      <c r="G7428" s="16" t="str">
        <f t="shared" si="248"/>
        <v/>
      </c>
      <c r="H7428" s="70" t="str">
        <f t="shared" si="249"/>
        <v/>
      </c>
    </row>
    <row r="7429" spans="1:8">
      <c r="A7429" s="2"/>
      <c r="B7429" s="12"/>
      <c r="C7429" s="12"/>
      <c r="E7429" t="str">
        <f>IF(LEN(D7429)=0,"",[1]!i_pq_tradedays($B$3,A7430,A7429)-1)</f>
        <v/>
      </c>
      <c r="G7429" s="16" t="str">
        <f t="shared" si="248"/>
        <v/>
      </c>
      <c r="H7429" s="70" t="str">
        <f t="shared" si="249"/>
        <v/>
      </c>
    </row>
    <row r="7430" spans="1:8">
      <c r="A7430" s="2"/>
      <c r="B7430" s="12"/>
      <c r="C7430" s="12"/>
      <c r="E7430" t="str">
        <f>IF(LEN(D7430)=0,"",[1]!i_pq_tradedays($B$3,A7431,A7430)-1)</f>
        <v/>
      </c>
      <c r="G7430" s="16" t="str">
        <f t="shared" si="248"/>
        <v/>
      </c>
      <c r="H7430" s="70" t="str">
        <f t="shared" si="249"/>
        <v/>
      </c>
    </row>
    <row r="7431" spans="1:8">
      <c r="A7431" s="2"/>
      <c r="B7431" s="12"/>
      <c r="C7431" s="12"/>
      <c r="E7431" t="str">
        <f>IF(LEN(D7431)=0,"",[1]!i_pq_tradedays($B$3,A7432,A7431)-1)</f>
        <v/>
      </c>
      <c r="G7431" s="16" t="str">
        <f t="shared" si="248"/>
        <v/>
      </c>
      <c r="H7431" s="70" t="str">
        <f t="shared" si="249"/>
        <v/>
      </c>
    </row>
    <row r="7432" spans="1:8">
      <c r="A7432" s="2"/>
      <c r="B7432" s="12"/>
      <c r="C7432" s="12"/>
      <c r="E7432" t="str">
        <f>IF(LEN(D7432)=0,"",[1]!i_pq_tradedays($B$3,A7433,A7432)-1)</f>
        <v/>
      </c>
      <c r="G7432" s="16" t="str">
        <f t="shared" si="248"/>
        <v/>
      </c>
      <c r="H7432" s="70" t="str">
        <f t="shared" si="249"/>
        <v/>
      </c>
    </row>
    <row r="7433" spans="1:8">
      <c r="A7433" s="2"/>
      <c r="B7433" s="12"/>
      <c r="C7433" s="12"/>
      <c r="E7433" t="str">
        <f>IF(LEN(D7433)=0,"",[1]!i_pq_tradedays($B$3,A7434,A7433)-1)</f>
        <v/>
      </c>
      <c r="G7433" s="16" t="str">
        <f t="shared" si="248"/>
        <v/>
      </c>
      <c r="H7433" s="70" t="str">
        <f t="shared" si="249"/>
        <v/>
      </c>
    </row>
    <row r="7434" spans="1:8">
      <c r="A7434" s="2"/>
      <c r="B7434" s="12"/>
      <c r="C7434" s="12"/>
      <c r="E7434" t="str">
        <f>IF(LEN(D7434)=0,"",[1]!i_pq_tradedays($B$3,A7435,A7434)-1)</f>
        <v/>
      </c>
      <c r="G7434" s="16" t="str">
        <f t="shared" si="248"/>
        <v/>
      </c>
      <c r="H7434" s="70" t="str">
        <f t="shared" si="249"/>
        <v/>
      </c>
    </row>
    <row r="7435" spans="1:8">
      <c r="A7435" s="2"/>
      <c r="B7435" s="12"/>
      <c r="C7435" s="12"/>
      <c r="E7435" t="str">
        <f>IF(LEN(D7435)=0,"",[1]!i_pq_tradedays($B$3,A7436,A7435)-1)</f>
        <v/>
      </c>
      <c r="G7435" s="16" t="str">
        <f t="shared" si="248"/>
        <v/>
      </c>
      <c r="H7435" s="70" t="str">
        <f t="shared" si="249"/>
        <v/>
      </c>
    </row>
    <row r="7436" spans="1:8">
      <c r="A7436" s="2"/>
      <c r="B7436" s="12"/>
      <c r="C7436" s="12"/>
      <c r="E7436" t="str">
        <f>IF(LEN(D7436)=0,"",[1]!i_pq_tradedays($B$3,A7437,A7436)-1)</f>
        <v/>
      </c>
      <c r="G7436" s="16" t="str">
        <f t="shared" si="248"/>
        <v/>
      </c>
      <c r="H7436" s="70" t="str">
        <f t="shared" si="249"/>
        <v/>
      </c>
    </row>
    <row r="7437" spans="1:8">
      <c r="A7437" s="2"/>
      <c r="B7437" s="12"/>
      <c r="C7437" s="12"/>
      <c r="E7437" t="str">
        <f>IF(LEN(D7437)=0,"",[1]!i_pq_tradedays($B$3,A7438,A7437)-1)</f>
        <v/>
      </c>
      <c r="G7437" s="16" t="str">
        <f t="shared" si="248"/>
        <v/>
      </c>
      <c r="H7437" s="70" t="str">
        <f t="shared" si="249"/>
        <v/>
      </c>
    </row>
    <row r="7438" spans="1:8">
      <c r="A7438" s="2"/>
      <c r="B7438" s="12"/>
      <c r="C7438" s="12"/>
      <c r="E7438" t="str">
        <f>IF(LEN(D7438)=0,"",[1]!i_pq_tradedays($B$3,A7439,A7438)-1)</f>
        <v/>
      </c>
      <c r="G7438" s="16" t="str">
        <f t="shared" si="248"/>
        <v/>
      </c>
      <c r="H7438" s="70" t="str">
        <f t="shared" si="249"/>
        <v/>
      </c>
    </row>
    <row r="7439" spans="1:8">
      <c r="A7439" s="2"/>
      <c r="B7439" s="12"/>
      <c r="C7439" s="12"/>
      <c r="E7439" t="str">
        <f>IF(LEN(D7439)=0,"",[1]!i_pq_tradedays($B$3,A7440,A7439)-1)</f>
        <v/>
      </c>
      <c r="G7439" s="16" t="str">
        <f t="shared" si="248"/>
        <v/>
      </c>
      <c r="H7439" s="70" t="str">
        <f t="shared" si="249"/>
        <v/>
      </c>
    </row>
    <row r="7440" spans="1:8">
      <c r="A7440" s="2"/>
      <c r="B7440" s="12"/>
      <c r="C7440" s="12"/>
      <c r="E7440" t="str">
        <f>IF(LEN(D7440)=0,"",[1]!i_pq_tradedays($B$3,A7441,A7440)-1)</f>
        <v/>
      </c>
      <c r="G7440" s="16" t="str">
        <f t="shared" si="248"/>
        <v/>
      </c>
      <c r="H7440" s="70" t="str">
        <f t="shared" si="249"/>
        <v/>
      </c>
    </row>
    <row r="7441" spans="1:8">
      <c r="A7441" s="2"/>
      <c r="B7441" s="12"/>
      <c r="C7441" s="12"/>
      <c r="E7441" t="str">
        <f>IF(LEN(D7441)=0,"",[1]!i_pq_tradedays($B$3,A7442,A7441)-1)</f>
        <v/>
      </c>
      <c r="G7441" s="16" t="str">
        <f t="shared" si="248"/>
        <v/>
      </c>
      <c r="H7441" s="70" t="str">
        <f t="shared" si="249"/>
        <v/>
      </c>
    </row>
    <row r="7442" spans="1:8">
      <c r="A7442" s="2"/>
      <c r="B7442" s="12"/>
      <c r="C7442" s="12"/>
      <c r="E7442" t="str">
        <f>IF(LEN(D7442)=0,"",[1]!i_pq_tradedays($B$3,A7443,A7442)-1)</f>
        <v/>
      </c>
      <c r="G7442" s="16" t="str">
        <f t="shared" si="248"/>
        <v/>
      </c>
      <c r="H7442" s="70" t="str">
        <f t="shared" si="249"/>
        <v/>
      </c>
    </row>
    <row r="7443" spans="1:8">
      <c r="A7443" s="2"/>
      <c r="B7443" s="12"/>
      <c r="C7443" s="12"/>
      <c r="E7443" t="str">
        <f>IF(LEN(D7443)=0,"",[1]!i_pq_tradedays($B$3,A7444,A7443)-1)</f>
        <v/>
      </c>
      <c r="G7443" s="16" t="str">
        <f t="shared" si="248"/>
        <v/>
      </c>
      <c r="H7443" s="70" t="str">
        <f t="shared" si="249"/>
        <v/>
      </c>
    </row>
    <row r="7444" spans="1:8">
      <c r="A7444" s="2"/>
      <c r="B7444" s="12"/>
      <c r="C7444" s="12"/>
      <c r="E7444" t="str">
        <f>IF(LEN(D7444)=0,"",[1]!i_pq_tradedays($B$3,A7445,A7444)-1)</f>
        <v/>
      </c>
      <c r="G7444" s="16" t="str">
        <f t="shared" si="248"/>
        <v/>
      </c>
      <c r="H7444" s="70" t="str">
        <f t="shared" si="249"/>
        <v/>
      </c>
    </row>
    <row r="7445" spans="1:8">
      <c r="A7445" s="2"/>
      <c r="B7445" s="12"/>
      <c r="C7445" s="12"/>
      <c r="E7445" t="str">
        <f>IF(LEN(D7445)=0,"",[1]!i_pq_tradedays($B$3,A7446,A7445)-1)</f>
        <v/>
      </c>
      <c r="G7445" s="16" t="str">
        <f t="shared" si="248"/>
        <v/>
      </c>
      <c r="H7445" s="70" t="str">
        <f t="shared" si="249"/>
        <v/>
      </c>
    </row>
    <row r="7446" spans="1:8">
      <c r="A7446" s="2"/>
      <c r="B7446" s="12"/>
      <c r="C7446" s="12"/>
      <c r="E7446" t="str">
        <f>IF(LEN(D7446)=0,"",[1]!i_pq_tradedays($B$3,A7447,A7446)-1)</f>
        <v/>
      </c>
      <c r="G7446" s="16" t="str">
        <f t="shared" si="248"/>
        <v/>
      </c>
      <c r="H7446" s="70" t="str">
        <f t="shared" si="249"/>
        <v/>
      </c>
    </row>
    <row r="7447" spans="1:8">
      <c r="A7447" s="2"/>
      <c r="B7447" s="12"/>
      <c r="C7447" s="12"/>
      <c r="E7447" t="str">
        <f>IF(LEN(D7447)=0,"",[1]!i_pq_tradedays($B$3,A7448,A7447)-1)</f>
        <v/>
      </c>
      <c r="G7447" s="16" t="str">
        <f t="shared" si="248"/>
        <v/>
      </c>
      <c r="H7447" s="70" t="str">
        <f t="shared" si="249"/>
        <v/>
      </c>
    </row>
    <row r="7448" spans="1:8">
      <c r="A7448" s="2"/>
      <c r="B7448" s="12"/>
      <c r="C7448" s="12"/>
      <c r="E7448" t="str">
        <f>IF(LEN(D7448)=0,"",[1]!i_pq_tradedays($B$3,A7449,A7448)-1)</f>
        <v/>
      </c>
      <c r="G7448" s="16" t="str">
        <f t="shared" si="248"/>
        <v/>
      </c>
      <c r="H7448" s="70" t="str">
        <f t="shared" si="249"/>
        <v/>
      </c>
    </row>
    <row r="7449" spans="1:8">
      <c r="A7449" s="2"/>
      <c r="B7449" s="12"/>
      <c r="C7449" s="12"/>
      <c r="E7449" t="str">
        <f>IF(LEN(D7449)=0,"",[1]!i_pq_tradedays($B$3,A7450,A7449)-1)</f>
        <v/>
      </c>
      <c r="G7449" s="16" t="str">
        <f t="shared" si="248"/>
        <v/>
      </c>
      <c r="H7449" s="70" t="str">
        <f t="shared" si="249"/>
        <v/>
      </c>
    </row>
    <row r="7450" spans="1:8">
      <c r="A7450" s="2"/>
      <c r="B7450" s="12"/>
      <c r="C7450" s="12"/>
      <c r="E7450" t="str">
        <f>IF(LEN(D7450)=0,"",[1]!i_pq_tradedays($B$3,A7451,A7450)-1)</f>
        <v/>
      </c>
      <c r="G7450" s="16" t="str">
        <f t="shared" si="248"/>
        <v/>
      </c>
      <c r="H7450" s="70" t="str">
        <f t="shared" si="249"/>
        <v/>
      </c>
    </row>
    <row r="7451" spans="1:8">
      <c r="A7451" s="2"/>
      <c r="B7451" s="12"/>
      <c r="C7451" s="12"/>
      <c r="E7451" t="str">
        <f>IF(LEN(D7451)=0,"",[1]!i_pq_tradedays($B$3,A7452,A7451)-1)</f>
        <v/>
      </c>
      <c r="G7451" s="16" t="str">
        <f t="shared" si="248"/>
        <v/>
      </c>
      <c r="H7451" s="70" t="str">
        <f t="shared" si="249"/>
        <v/>
      </c>
    </row>
    <row r="7452" spans="1:8">
      <c r="A7452" s="2"/>
      <c r="B7452" s="12"/>
      <c r="C7452" s="12"/>
      <c r="E7452" t="str">
        <f>IF(LEN(D7452)=0,"",[1]!i_pq_tradedays($B$3,A7453,A7452)-1)</f>
        <v/>
      </c>
      <c r="G7452" s="16" t="str">
        <f t="shared" si="248"/>
        <v/>
      </c>
      <c r="H7452" s="70" t="str">
        <f t="shared" si="249"/>
        <v/>
      </c>
    </row>
    <row r="7453" spans="1:8">
      <c r="A7453" s="2"/>
      <c r="B7453" s="12"/>
      <c r="C7453" s="12"/>
      <c r="E7453" t="str">
        <f>IF(LEN(D7453)=0,"",[1]!i_pq_tradedays($B$3,A7454,A7453)-1)</f>
        <v/>
      </c>
      <c r="G7453" s="16" t="str">
        <f t="shared" si="248"/>
        <v/>
      </c>
      <c r="H7453" s="70" t="str">
        <f t="shared" si="249"/>
        <v/>
      </c>
    </row>
    <row r="7454" spans="1:8">
      <c r="A7454" s="2"/>
      <c r="B7454" s="12"/>
      <c r="C7454" s="12"/>
      <c r="E7454" t="str">
        <f>IF(LEN(D7454)=0,"",[1]!i_pq_tradedays($B$3,A7455,A7454)-1)</f>
        <v/>
      </c>
      <c r="G7454" s="16" t="str">
        <f t="shared" si="248"/>
        <v/>
      </c>
      <c r="H7454" s="70" t="str">
        <f t="shared" si="249"/>
        <v/>
      </c>
    </row>
    <row r="7455" spans="1:8">
      <c r="A7455" s="2"/>
      <c r="B7455" s="12"/>
      <c r="C7455" s="12"/>
      <c r="E7455" t="str">
        <f>IF(LEN(D7455)=0,"",[1]!i_pq_tradedays($B$3,A7456,A7455)-1)</f>
        <v/>
      </c>
      <c r="G7455" s="16" t="str">
        <f t="shared" si="248"/>
        <v/>
      </c>
      <c r="H7455" s="70" t="str">
        <f t="shared" si="249"/>
        <v/>
      </c>
    </row>
    <row r="7456" spans="1:8">
      <c r="A7456" s="2"/>
      <c r="B7456" s="12"/>
      <c r="C7456" s="12"/>
      <c r="E7456" t="str">
        <f>IF(LEN(D7456)=0,"",[1]!i_pq_tradedays($B$3,A7457,A7456)-1)</f>
        <v/>
      </c>
      <c r="G7456" s="16" t="str">
        <f t="shared" si="248"/>
        <v/>
      </c>
      <c r="H7456" s="70" t="str">
        <f t="shared" si="249"/>
        <v/>
      </c>
    </row>
    <row r="7457" spans="1:8">
      <c r="A7457" s="2"/>
      <c r="B7457" s="12"/>
      <c r="C7457" s="12"/>
      <c r="E7457" t="str">
        <f>IF(LEN(D7457)=0,"",[1]!i_pq_tradedays($B$3,A7458,A7457)-1)</f>
        <v/>
      </c>
      <c r="G7457" s="16" t="str">
        <f t="shared" si="248"/>
        <v/>
      </c>
      <c r="H7457" s="70" t="str">
        <f t="shared" si="249"/>
        <v/>
      </c>
    </row>
    <row r="7458" spans="1:8">
      <c r="A7458" s="2"/>
      <c r="B7458" s="12"/>
      <c r="C7458" s="12"/>
      <c r="E7458" t="str">
        <f>IF(LEN(D7458)=0,"",[1]!i_pq_tradedays($B$3,A7459,A7458)-1)</f>
        <v/>
      </c>
      <c r="G7458" s="16" t="str">
        <f t="shared" si="248"/>
        <v/>
      </c>
      <c r="H7458" s="70" t="str">
        <f t="shared" si="249"/>
        <v/>
      </c>
    </row>
    <row r="7459" spans="1:8">
      <c r="A7459" s="2"/>
      <c r="B7459" s="12"/>
      <c r="C7459" s="12"/>
      <c r="E7459" t="str">
        <f>IF(LEN(D7459)=0,"",[1]!i_pq_tradedays($B$3,A7460,A7459)-1)</f>
        <v/>
      </c>
      <c r="G7459" s="16" t="str">
        <f t="shared" si="248"/>
        <v/>
      </c>
      <c r="H7459" s="70" t="str">
        <f t="shared" si="249"/>
        <v/>
      </c>
    </row>
    <row r="7460" spans="1:8">
      <c r="A7460" s="2"/>
      <c r="B7460" s="12"/>
      <c r="C7460" s="12"/>
      <c r="E7460" t="str">
        <f>IF(LEN(D7460)=0,"",[1]!i_pq_tradedays($B$3,A7461,A7460)-1)</f>
        <v/>
      </c>
      <c r="G7460" s="16" t="str">
        <f t="shared" si="248"/>
        <v/>
      </c>
      <c r="H7460" s="70" t="str">
        <f t="shared" si="249"/>
        <v/>
      </c>
    </row>
    <row r="7461" spans="1:8">
      <c r="A7461" s="2"/>
      <c r="B7461" s="12"/>
      <c r="C7461" s="12"/>
      <c r="E7461" t="str">
        <f>IF(LEN(D7461)=0,"",[1]!i_pq_tradedays($B$3,A7462,A7461)-1)</f>
        <v/>
      </c>
      <c r="G7461" s="16" t="str">
        <f t="shared" si="248"/>
        <v/>
      </c>
      <c r="H7461" s="70" t="str">
        <f t="shared" si="249"/>
        <v/>
      </c>
    </row>
    <row r="7462" spans="1:8">
      <c r="A7462" s="2"/>
      <c r="B7462" s="12"/>
      <c r="C7462" s="12"/>
      <c r="E7462" t="str">
        <f>IF(LEN(D7462)=0,"",[1]!i_pq_tradedays($B$3,A7463,A7462)-1)</f>
        <v/>
      </c>
      <c r="G7462" s="16" t="str">
        <f t="shared" si="248"/>
        <v/>
      </c>
      <c r="H7462" s="70" t="str">
        <f t="shared" si="249"/>
        <v/>
      </c>
    </row>
    <row r="7463" spans="1:8">
      <c r="A7463" s="2"/>
      <c r="B7463" s="12"/>
      <c r="C7463" s="12"/>
      <c r="E7463" t="str">
        <f>IF(LEN(D7463)=0,"",[1]!i_pq_tradedays($B$3,A7464,A7463)-1)</f>
        <v/>
      </c>
      <c r="G7463" s="16" t="str">
        <f t="shared" si="248"/>
        <v/>
      </c>
      <c r="H7463" s="70" t="str">
        <f t="shared" si="249"/>
        <v/>
      </c>
    </row>
    <row r="7464" spans="1:8">
      <c r="A7464" s="2"/>
      <c r="B7464" s="12"/>
      <c r="C7464" s="12"/>
      <c r="E7464" t="str">
        <f>IF(LEN(D7464)=0,"",[1]!i_pq_tradedays($B$3,A7465,A7464)-1)</f>
        <v/>
      </c>
      <c r="G7464" s="16" t="str">
        <f t="shared" si="248"/>
        <v/>
      </c>
      <c r="H7464" s="70" t="str">
        <f t="shared" si="249"/>
        <v/>
      </c>
    </row>
    <row r="7465" spans="1:8">
      <c r="A7465" s="2"/>
      <c r="B7465" s="12"/>
      <c r="C7465" s="12"/>
      <c r="E7465" t="str">
        <f>IF(LEN(D7465)=0,"",[1]!i_pq_tradedays($B$3,A7466,A7465)-1)</f>
        <v/>
      </c>
      <c r="G7465" s="16" t="str">
        <f t="shared" si="248"/>
        <v/>
      </c>
      <c r="H7465" s="70" t="str">
        <f t="shared" si="249"/>
        <v/>
      </c>
    </row>
    <row r="7466" spans="1:8">
      <c r="A7466" s="2"/>
      <c r="B7466" s="12"/>
      <c r="C7466" s="12"/>
      <c r="E7466" t="str">
        <f>IF(LEN(D7466)=0,"",[1]!i_pq_tradedays($B$3,A7467,A7466)-1)</f>
        <v/>
      </c>
      <c r="G7466" s="16" t="str">
        <f t="shared" si="248"/>
        <v/>
      </c>
      <c r="H7466" s="70" t="str">
        <f t="shared" si="249"/>
        <v/>
      </c>
    </row>
    <row r="7467" spans="1:8">
      <c r="A7467" s="2"/>
      <c r="B7467" s="12"/>
      <c r="C7467" s="12"/>
      <c r="E7467" t="str">
        <f>IF(LEN(D7467)=0,"",[1]!i_pq_tradedays($B$3,A7468,A7467)-1)</f>
        <v/>
      </c>
      <c r="G7467" s="16" t="str">
        <f t="shared" si="248"/>
        <v/>
      </c>
      <c r="H7467" s="70" t="str">
        <f t="shared" si="249"/>
        <v/>
      </c>
    </row>
    <row r="7468" spans="1:8">
      <c r="A7468" s="2"/>
      <c r="B7468" s="12"/>
      <c r="C7468" s="12"/>
      <c r="E7468" t="str">
        <f>IF(LEN(D7468)=0,"",[1]!i_pq_tradedays($B$3,A7469,A7468)-1)</f>
        <v/>
      </c>
      <c r="G7468" s="16" t="str">
        <f t="shared" si="248"/>
        <v/>
      </c>
      <c r="H7468" s="70" t="str">
        <f t="shared" si="249"/>
        <v/>
      </c>
    </row>
    <row r="7469" spans="1:8">
      <c r="A7469" s="2"/>
      <c r="B7469" s="12"/>
      <c r="C7469" s="12"/>
      <c r="E7469" t="str">
        <f>IF(LEN(D7469)=0,"",[1]!i_pq_tradedays($B$3,A7470,A7469)-1)</f>
        <v/>
      </c>
      <c r="G7469" s="16" t="str">
        <f t="shared" si="248"/>
        <v/>
      </c>
      <c r="H7469" s="70" t="str">
        <f t="shared" si="249"/>
        <v/>
      </c>
    </row>
    <row r="7470" spans="1:8">
      <c r="A7470" s="2"/>
      <c r="B7470" s="12"/>
      <c r="C7470" s="12"/>
      <c r="E7470" t="str">
        <f>IF(LEN(D7470)=0,"",[1]!i_pq_tradedays($B$3,A7471,A7470)-1)</f>
        <v/>
      </c>
      <c r="G7470" s="16" t="str">
        <f t="shared" si="248"/>
        <v/>
      </c>
      <c r="H7470" s="70" t="str">
        <f t="shared" si="249"/>
        <v/>
      </c>
    </row>
    <row r="7471" spans="1:8">
      <c r="A7471" s="2"/>
      <c r="B7471" s="12"/>
      <c r="C7471" s="12"/>
      <c r="E7471" t="str">
        <f>IF(LEN(D7471)=0,"",[1]!i_pq_tradedays($B$3,A7472,A7471)-1)</f>
        <v/>
      </c>
      <c r="G7471" s="16" t="str">
        <f t="shared" si="248"/>
        <v/>
      </c>
      <c r="H7471" s="70" t="str">
        <f t="shared" si="249"/>
        <v/>
      </c>
    </row>
    <row r="7472" spans="1:8">
      <c r="A7472" s="2"/>
      <c r="B7472" s="12"/>
      <c r="C7472" s="12"/>
      <c r="E7472" t="str">
        <f>IF(LEN(D7472)=0,"",[1]!i_pq_tradedays($B$3,A7473,A7472)-1)</f>
        <v/>
      </c>
      <c r="G7472" s="16" t="str">
        <f t="shared" si="248"/>
        <v/>
      </c>
      <c r="H7472" s="70" t="str">
        <f t="shared" si="249"/>
        <v/>
      </c>
    </row>
    <row r="7473" spans="1:8">
      <c r="A7473" s="2"/>
      <c r="B7473" s="12"/>
      <c r="C7473" s="12"/>
      <c r="E7473" t="str">
        <f>IF(LEN(D7473)=0,"",[1]!i_pq_tradedays($B$3,A7474,A7473)-1)</f>
        <v/>
      </c>
      <c r="G7473" s="16" t="str">
        <f t="shared" si="248"/>
        <v/>
      </c>
      <c r="H7473" s="70" t="str">
        <f t="shared" si="249"/>
        <v/>
      </c>
    </row>
    <row r="7474" spans="1:8">
      <c r="A7474" s="2"/>
      <c r="B7474" s="12"/>
      <c r="C7474" s="12"/>
      <c r="E7474" t="str">
        <f>IF(LEN(D7474)=0,"",[1]!i_pq_tradedays($B$3,A7475,A7474)-1)</f>
        <v/>
      </c>
      <c r="G7474" s="16" t="str">
        <f t="shared" si="248"/>
        <v/>
      </c>
      <c r="H7474" s="70" t="str">
        <f t="shared" si="249"/>
        <v/>
      </c>
    </row>
    <row r="7475" spans="1:8">
      <c r="A7475" s="2"/>
      <c r="B7475" s="12"/>
      <c r="C7475" s="12"/>
      <c r="E7475" t="str">
        <f>IF(LEN(D7475)=0,"",[1]!i_pq_tradedays($B$3,A7476,A7475)-1)</f>
        <v/>
      </c>
      <c r="G7475" s="16" t="str">
        <f t="shared" si="248"/>
        <v/>
      </c>
      <c r="H7475" s="70" t="str">
        <f t="shared" si="249"/>
        <v/>
      </c>
    </row>
    <row r="7476" spans="1:8">
      <c r="A7476" s="2"/>
      <c r="B7476" s="12"/>
      <c r="C7476" s="12"/>
      <c r="E7476" t="str">
        <f>IF(LEN(D7476)=0,"",[1]!i_pq_tradedays($B$3,A7477,A7476)-1)</f>
        <v/>
      </c>
      <c r="G7476" s="16" t="str">
        <f t="shared" si="248"/>
        <v/>
      </c>
      <c r="H7476" s="70" t="str">
        <f t="shared" si="249"/>
        <v/>
      </c>
    </row>
    <row r="7477" spans="1:8">
      <c r="A7477" s="2"/>
      <c r="B7477" s="12"/>
      <c r="C7477" s="12"/>
      <c r="E7477" t="str">
        <f>IF(LEN(D7477)=0,"",[1]!i_pq_tradedays($B$3,A7478,A7477)-1)</f>
        <v/>
      </c>
      <c r="G7477" s="16" t="str">
        <f t="shared" ref="G7477:G7540" si="250">IF(LEN(D7477)=0,"",D7477/E7477)</f>
        <v/>
      </c>
      <c r="H7477" s="70" t="str">
        <f t="shared" ref="H7477:H7540" si="251">IF(LEN(D7477)=0,"",G7477/G7478-1)</f>
        <v/>
      </c>
    </row>
    <row r="7478" spans="1:8">
      <c r="A7478" s="2"/>
      <c r="B7478" s="12"/>
      <c r="C7478" s="12"/>
      <c r="E7478" t="str">
        <f>IF(LEN(D7478)=0,"",[1]!i_pq_tradedays($B$3,A7479,A7478)-1)</f>
        <v/>
      </c>
      <c r="G7478" s="16" t="str">
        <f t="shared" si="250"/>
        <v/>
      </c>
      <c r="H7478" s="70" t="str">
        <f t="shared" si="251"/>
        <v/>
      </c>
    </row>
    <row r="7479" spans="1:8">
      <c r="A7479" s="2"/>
      <c r="B7479" s="12"/>
      <c r="C7479" s="12"/>
      <c r="E7479" t="str">
        <f>IF(LEN(D7479)=0,"",[1]!i_pq_tradedays($B$3,A7480,A7479)-1)</f>
        <v/>
      </c>
      <c r="G7479" s="16" t="str">
        <f t="shared" si="250"/>
        <v/>
      </c>
      <c r="H7479" s="70" t="str">
        <f t="shared" si="251"/>
        <v/>
      </c>
    </row>
    <row r="7480" spans="1:8">
      <c r="A7480" s="2"/>
      <c r="B7480" s="12"/>
      <c r="C7480" s="12"/>
      <c r="E7480" t="str">
        <f>IF(LEN(D7480)=0,"",[1]!i_pq_tradedays($B$3,A7481,A7480)-1)</f>
        <v/>
      </c>
      <c r="G7480" s="16" t="str">
        <f t="shared" si="250"/>
        <v/>
      </c>
      <c r="H7480" s="70" t="str">
        <f t="shared" si="251"/>
        <v/>
      </c>
    </row>
    <row r="7481" spans="1:8">
      <c r="A7481" s="2"/>
      <c r="B7481" s="12"/>
      <c r="C7481" s="12"/>
      <c r="E7481" t="str">
        <f>IF(LEN(D7481)=0,"",[1]!i_pq_tradedays($B$3,A7482,A7481)-1)</f>
        <v/>
      </c>
      <c r="G7481" s="16" t="str">
        <f t="shared" si="250"/>
        <v/>
      </c>
      <c r="H7481" s="70" t="str">
        <f t="shared" si="251"/>
        <v/>
      </c>
    </row>
    <row r="7482" spans="1:8">
      <c r="A7482" s="2"/>
      <c r="B7482" s="12"/>
      <c r="C7482" s="12"/>
      <c r="E7482" t="str">
        <f>IF(LEN(D7482)=0,"",[1]!i_pq_tradedays($B$3,A7483,A7482)-1)</f>
        <v/>
      </c>
      <c r="G7482" s="16" t="str">
        <f t="shared" si="250"/>
        <v/>
      </c>
      <c r="H7482" s="70" t="str">
        <f t="shared" si="251"/>
        <v/>
      </c>
    </row>
    <row r="7483" spans="1:8">
      <c r="A7483" s="2"/>
      <c r="B7483" s="12"/>
      <c r="C7483" s="12"/>
      <c r="E7483" t="str">
        <f>IF(LEN(D7483)=0,"",[1]!i_pq_tradedays($B$3,A7484,A7483)-1)</f>
        <v/>
      </c>
      <c r="G7483" s="16" t="str">
        <f t="shared" si="250"/>
        <v/>
      </c>
      <c r="H7483" s="70" t="str">
        <f t="shared" si="251"/>
        <v/>
      </c>
    </row>
    <row r="7484" spans="1:8">
      <c r="A7484" s="2"/>
      <c r="B7484" s="12"/>
      <c r="C7484" s="12"/>
      <c r="E7484" t="str">
        <f>IF(LEN(D7484)=0,"",[1]!i_pq_tradedays($B$3,A7485,A7484)-1)</f>
        <v/>
      </c>
      <c r="G7484" s="16" t="str">
        <f t="shared" si="250"/>
        <v/>
      </c>
      <c r="H7484" s="70" t="str">
        <f t="shared" si="251"/>
        <v/>
      </c>
    </row>
    <row r="7485" spans="1:8">
      <c r="A7485" s="2"/>
      <c r="B7485" s="12"/>
      <c r="C7485" s="12"/>
      <c r="E7485" t="str">
        <f>IF(LEN(D7485)=0,"",[1]!i_pq_tradedays($B$3,A7486,A7485)-1)</f>
        <v/>
      </c>
      <c r="G7485" s="16" t="str">
        <f t="shared" si="250"/>
        <v/>
      </c>
      <c r="H7485" s="70" t="str">
        <f t="shared" si="251"/>
        <v/>
      </c>
    </row>
    <row r="7486" spans="1:8">
      <c r="A7486" s="2"/>
      <c r="B7486" s="12"/>
      <c r="C7486" s="12"/>
      <c r="E7486" t="str">
        <f>IF(LEN(D7486)=0,"",[1]!i_pq_tradedays($B$3,A7487,A7486)-1)</f>
        <v/>
      </c>
      <c r="G7486" s="16" t="str">
        <f t="shared" si="250"/>
        <v/>
      </c>
      <c r="H7486" s="70" t="str">
        <f t="shared" si="251"/>
        <v/>
      </c>
    </row>
    <row r="7487" spans="1:8">
      <c r="A7487" s="2"/>
      <c r="B7487" s="12"/>
      <c r="C7487" s="12"/>
      <c r="E7487" t="str">
        <f>IF(LEN(D7487)=0,"",[1]!i_pq_tradedays($B$3,A7488,A7487)-1)</f>
        <v/>
      </c>
      <c r="G7487" s="16" t="str">
        <f t="shared" si="250"/>
        <v/>
      </c>
      <c r="H7487" s="70" t="str">
        <f t="shared" si="251"/>
        <v/>
      </c>
    </row>
    <row r="7488" spans="1:8">
      <c r="A7488" s="2"/>
      <c r="B7488" s="12"/>
      <c r="C7488" s="12"/>
      <c r="E7488" t="str">
        <f>IF(LEN(D7488)=0,"",[1]!i_pq_tradedays($B$3,A7489,A7488)-1)</f>
        <v/>
      </c>
      <c r="G7488" s="16" t="str">
        <f t="shared" si="250"/>
        <v/>
      </c>
      <c r="H7488" s="70" t="str">
        <f t="shared" si="251"/>
        <v/>
      </c>
    </row>
    <row r="7489" spans="1:8">
      <c r="A7489" s="2"/>
      <c r="B7489" s="12"/>
      <c r="C7489" s="12"/>
      <c r="E7489" t="str">
        <f>IF(LEN(D7489)=0,"",[1]!i_pq_tradedays($B$3,A7490,A7489)-1)</f>
        <v/>
      </c>
      <c r="G7489" s="16" t="str">
        <f t="shared" si="250"/>
        <v/>
      </c>
      <c r="H7489" s="70" t="str">
        <f t="shared" si="251"/>
        <v/>
      </c>
    </row>
    <row r="7490" spans="1:8">
      <c r="A7490" s="2"/>
      <c r="B7490" s="12"/>
      <c r="C7490" s="12"/>
      <c r="E7490" t="str">
        <f>IF(LEN(D7490)=0,"",[1]!i_pq_tradedays($B$3,A7491,A7490)-1)</f>
        <v/>
      </c>
      <c r="G7490" s="16" t="str">
        <f t="shared" si="250"/>
        <v/>
      </c>
      <c r="H7490" s="70" t="str">
        <f t="shared" si="251"/>
        <v/>
      </c>
    </row>
    <row r="7491" spans="1:8">
      <c r="A7491" s="2"/>
      <c r="B7491" s="12"/>
      <c r="C7491" s="12"/>
      <c r="E7491" t="str">
        <f>IF(LEN(D7491)=0,"",[1]!i_pq_tradedays($B$3,A7492,A7491)-1)</f>
        <v/>
      </c>
      <c r="G7491" s="16" t="str">
        <f t="shared" si="250"/>
        <v/>
      </c>
      <c r="H7491" s="70" t="str">
        <f t="shared" si="251"/>
        <v/>
      </c>
    </row>
    <row r="7492" spans="1:8">
      <c r="A7492" s="2"/>
      <c r="B7492" s="12"/>
      <c r="C7492" s="12"/>
      <c r="E7492" t="str">
        <f>IF(LEN(D7492)=0,"",[1]!i_pq_tradedays($B$3,A7493,A7492)-1)</f>
        <v/>
      </c>
      <c r="G7492" s="16" t="str">
        <f t="shared" si="250"/>
        <v/>
      </c>
      <c r="H7492" s="70" t="str">
        <f t="shared" si="251"/>
        <v/>
      </c>
    </row>
    <row r="7493" spans="1:8">
      <c r="A7493" s="2"/>
      <c r="B7493" s="12"/>
      <c r="C7493" s="12"/>
      <c r="E7493" t="str">
        <f>IF(LEN(D7493)=0,"",[1]!i_pq_tradedays($B$3,A7494,A7493)-1)</f>
        <v/>
      </c>
      <c r="G7493" s="16" t="str">
        <f t="shared" si="250"/>
        <v/>
      </c>
      <c r="H7493" s="70" t="str">
        <f t="shared" si="251"/>
        <v/>
      </c>
    </row>
    <row r="7494" spans="1:8">
      <c r="A7494" s="2"/>
      <c r="B7494" s="12"/>
      <c r="C7494" s="12"/>
      <c r="E7494" t="str">
        <f>IF(LEN(D7494)=0,"",[1]!i_pq_tradedays($B$3,A7495,A7494)-1)</f>
        <v/>
      </c>
      <c r="G7494" s="16" t="str">
        <f t="shared" si="250"/>
        <v/>
      </c>
      <c r="H7494" s="70" t="str">
        <f t="shared" si="251"/>
        <v/>
      </c>
    </row>
    <row r="7495" spans="1:8">
      <c r="A7495" s="2"/>
      <c r="B7495" s="12"/>
      <c r="C7495" s="12"/>
      <c r="E7495" t="str">
        <f>IF(LEN(D7495)=0,"",[1]!i_pq_tradedays($B$3,A7496,A7495)-1)</f>
        <v/>
      </c>
      <c r="G7495" s="16" t="str">
        <f t="shared" si="250"/>
        <v/>
      </c>
      <c r="H7495" s="70" t="str">
        <f t="shared" si="251"/>
        <v/>
      </c>
    </row>
    <row r="7496" spans="1:8">
      <c r="A7496" s="2"/>
      <c r="B7496" s="12"/>
      <c r="C7496" s="12"/>
      <c r="E7496" t="str">
        <f>IF(LEN(D7496)=0,"",[1]!i_pq_tradedays($B$3,A7497,A7496)-1)</f>
        <v/>
      </c>
      <c r="G7496" s="16" t="str">
        <f t="shared" si="250"/>
        <v/>
      </c>
      <c r="H7496" s="70" t="str">
        <f t="shared" si="251"/>
        <v/>
      </c>
    </row>
    <row r="7497" spans="1:8">
      <c r="A7497" s="2"/>
      <c r="B7497" s="12"/>
      <c r="C7497" s="12"/>
      <c r="E7497" t="str">
        <f>IF(LEN(D7497)=0,"",[1]!i_pq_tradedays($B$3,A7498,A7497)-1)</f>
        <v/>
      </c>
      <c r="G7497" s="16" t="str">
        <f t="shared" si="250"/>
        <v/>
      </c>
      <c r="H7497" s="70" t="str">
        <f t="shared" si="251"/>
        <v/>
      </c>
    </row>
    <row r="7498" spans="1:8">
      <c r="A7498" s="2"/>
      <c r="B7498" s="12"/>
      <c r="C7498" s="12"/>
      <c r="E7498" t="str">
        <f>IF(LEN(D7498)=0,"",[1]!i_pq_tradedays($B$3,A7499,A7498)-1)</f>
        <v/>
      </c>
      <c r="G7498" s="16" t="str">
        <f t="shared" si="250"/>
        <v/>
      </c>
      <c r="H7498" s="70" t="str">
        <f t="shared" si="251"/>
        <v/>
      </c>
    </row>
    <row r="7499" spans="1:8">
      <c r="A7499" s="2"/>
      <c r="B7499" s="12"/>
      <c r="C7499" s="12"/>
      <c r="E7499" t="str">
        <f>IF(LEN(D7499)=0,"",[1]!i_pq_tradedays($B$3,A7500,A7499)-1)</f>
        <v/>
      </c>
      <c r="G7499" s="16" t="str">
        <f t="shared" si="250"/>
        <v/>
      </c>
      <c r="H7499" s="70" t="str">
        <f t="shared" si="251"/>
        <v/>
      </c>
    </row>
    <row r="7500" spans="1:8">
      <c r="A7500" s="2"/>
      <c r="B7500" s="12"/>
      <c r="C7500" s="12"/>
      <c r="E7500" t="str">
        <f>IF(LEN(D7500)=0,"",[1]!i_pq_tradedays($B$3,A7501,A7500)-1)</f>
        <v/>
      </c>
      <c r="G7500" s="16" t="str">
        <f t="shared" si="250"/>
        <v/>
      </c>
      <c r="H7500" s="70" t="str">
        <f t="shared" si="251"/>
        <v/>
      </c>
    </row>
    <row r="7501" spans="1:8">
      <c r="A7501" s="2"/>
      <c r="B7501" s="12"/>
      <c r="C7501" s="12"/>
      <c r="E7501" t="str">
        <f>IF(LEN(D7501)=0,"",[1]!i_pq_tradedays($B$3,A7502,A7501)-1)</f>
        <v/>
      </c>
      <c r="G7501" s="16" t="str">
        <f t="shared" si="250"/>
        <v/>
      </c>
      <c r="H7501" s="70" t="str">
        <f t="shared" si="251"/>
        <v/>
      </c>
    </row>
    <row r="7502" spans="1:8">
      <c r="A7502" s="2"/>
      <c r="B7502" s="12"/>
      <c r="C7502" s="12"/>
      <c r="E7502" t="str">
        <f>IF(LEN(D7502)=0,"",[1]!i_pq_tradedays($B$3,A7503,A7502)-1)</f>
        <v/>
      </c>
      <c r="G7502" s="16" t="str">
        <f t="shared" si="250"/>
        <v/>
      </c>
      <c r="H7502" s="70" t="str">
        <f t="shared" si="251"/>
        <v/>
      </c>
    </row>
    <row r="7503" spans="1:8">
      <c r="A7503" s="2"/>
      <c r="B7503" s="12"/>
      <c r="C7503" s="12"/>
      <c r="E7503" t="str">
        <f>IF(LEN(D7503)=0,"",[1]!i_pq_tradedays($B$3,A7504,A7503)-1)</f>
        <v/>
      </c>
      <c r="G7503" s="16" t="str">
        <f t="shared" si="250"/>
        <v/>
      </c>
      <c r="H7503" s="70" t="str">
        <f t="shared" si="251"/>
        <v/>
      </c>
    </row>
    <row r="7504" spans="1:8">
      <c r="A7504" s="2"/>
      <c r="B7504" s="12"/>
      <c r="C7504" s="12"/>
      <c r="E7504" t="str">
        <f>IF(LEN(D7504)=0,"",[1]!i_pq_tradedays($B$3,A7505,A7504)-1)</f>
        <v/>
      </c>
      <c r="G7504" s="16" t="str">
        <f t="shared" si="250"/>
        <v/>
      </c>
      <c r="H7504" s="70" t="str">
        <f t="shared" si="251"/>
        <v/>
      </c>
    </row>
    <row r="7505" spans="1:8">
      <c r="A7505" s="2"/>
      <c r="B7505" s="12"/>
      <c r="C7505" s="12"/>
      <c r="E7505" t="str">
        <f>IF(LEN(D7505)=0,"",[1]!i_pq_tradedays($B$3,A7506,A7505)-1)</f>
        <v/>
      </c>
      <c r="G7505" s="16" t="str">
        <f t="shared" si="250"/>
        <v/>
      </c>
      <c r="H7505" s="70" t="str">
        <f t="shared" si="251"/>
        <v/>
      </c>
    </row>
    <row r="7506" spans="1:8">
      <c r="A7506" s="2"/>
      <c r="B7506" s="12"/>
      <c r="C7506" s="12"/>
      <c r="E7506" t="str">
        <f>IF(LEN(D7506)=0,"",[1]!i_pq_tradedays($B$3,A7507,A7506)-1)</f>
        <v/>
      </c>
      <c r="G7506" s="16" t="str">
        <f t="shared" si="250"/>
        <v/>
      </c>
      <c r="H7506" s="70" t="str">
        <f t="shared" si="251"/>
        <v/>
      </c>
    </row>
    <row r="7507" spans="1:8">
      <c r="A7507" s="2"/>
      <c r="B7507" s="12"/>
      <c r="C7507" s="12"/>
      <c r="E7507" t="str">
        <f>IF(LEN(D7507)=0,"",[1]!i_pq_tradedays($B$3,A7508,A7507)-1)</f>
        <v/>
      </c>
      <c r="G7507" s="16" t="str">
        <f t="shared" si="250"/>
        <v/>
      </c>
      <c r="H7507" s="70" t="str">
        <f t="shared" si="251"/>
        <v/>
      </c>
    </row>
    <row r="7508" spans="1:8">
      <c r="A7508" s="2"/>
      <c r="B7508" s="12"/>
      <c r="C7508" s="12"/>
      <c r="E7508" t="str">
        <f>IF(LEN(D7508)=0,"",[1]!i_pq_tradedays($B$3,A7509,A7508)-1)</f>
        <v/>
      </c>
      <c r="G7508" s="16" t="str">
        <f t="shared" si="250"/>
        <v/>
      </c>
      <c r="H7508" s="70" t="str">
        <f t="shared" si="251"/>
        <v/>
      </c>
    </row>
    <row r="7509" spans="1:8">
      <c r="A7509" s="2"/>
      <c r="B7509" s="12"/>
      <c r="C7509" s="12"/>
      <c r="E7509" t="str">
        <f>IF(LEN(D7509)=0,"",[1]!i_pq_tradedays($B$3,A7510,A7509)-1)</f>
        <v/>
      </c>
      <c r="G7509" s="16" t="str">
        <f t="shared" si="250"/>
        <v/>
      </c>
      <c r="H7509" s="70" t="str">
        <f t="shared" si="251"/>
        <v/>
      </c>
    </row>
    <row r="7510" spans="1:8">
      <c r="A7510" s="2"/>
      <c r="B7510" s="12"/>
      <c r="C7510" s="12"/>
      <c r="E7510" t="str">
        <f>IF(LEN(D7510)=0,"",[1]!i_pq_tradedays($B$3,A7511,A7510)-1)</f>
        <v/>
      </c>
      <c r="G7510" s="16" t="str">
        <f t="shared" si="250"/>
        <v/>
      </c>
      <c r="H7510" s="70" t="str">
        <f t="shared" si="251"/>
        <v/>
      </c>
    </row>
    <row r="7511" spans="1:8">
      <c r="A7511" s="2"/>
      <c r="B7511" s="12"/>
      <c r="C7511" s="12"/>
      <c r="E7511" t="str">
        <f>IF(LEN(D7511)=0,"",[1]!i_pq_tradedays($B$3,A7512,A7511)-1)</f>
        <v/>
      </c>
      <c r="G7511" s="16" t="str">
        <f t="shared" si="250"/>
        <v/>
      </c>
      <c r="H7511" s="70" t="str">
        <f t="shared" si="251"/>
        <v/>
      </c>
    </row>
    <row r="7512" spans="1:8">
      <c r="A7512" s="2"/>
      <c r="B7512" s="12"/>
      <c r="C7512" s="12"/>
      <c r="E7512" t="str">
        <f>IF(LEN(D7512)=0,"",[1]!i_pq_tradedays($B$3,A7513,A7512)-1)</f>
        <v/>
      </c>
      <c r="G7512" s="16" t="str">
        <f t="shared" si="250"/>
        <v/>
      </c>
      <c r="H7512" s="70" t="str">
        <f t="shared" si="251"/>
        <v/>
      </c>
    </row>
    <row r="7513" spans="1:8">
      <c r="A7513" s="2"/>
      <c r="B7513" s="12"/>
      <c r="C7513" s="12"/>
      <c r="E7513" t="str">
        <f>IF(LEN(D7513)=0,"",[1]!i_pq_tradedays($B$3,A7514,A7513)-1)</f>
        <v/>
      </c>
      <c r="G7513" s="16" t="str">
        <f t="shared" si="250"/>
        <v/>
      </c>
      <c r="H7513" s="70" t="str">
        <f t="shared" si="251"/>
        <v/>
      </c>
    </row>
    <row r="7514" spans="1:8">
      <c r="A7514" s="2"/>
      <c r="B7514" s="12"/>
      <c r="C7514" s="12"/>
      <c r="E7514" t="str">
        <f>IF(LEN(D7514)=0,"",[1]!i_pq_tradedays($B$3,A7515,A7514)-1)</f>
        <v/>
      </c>
      <c r="G7514" s="16" t="str">
        <f t="shared" si="250"/>
        <v/>
      </c>
      <c r="H7514" s="70" t="str">
        <f t="shared" si="251"/>
        <v/>
      </c>
    </row>
    <row r="7515" spans="1:8">
      <c r="A7515" s="2"/>
      <c r="B7515" s="12"/>
      <c r="C7515" s="12"/>
      <c r="E7515" t="str">
        <f>IF(LEN(D7515)=0,"",[1]!i_pq_tradedays($B$3,A7516,A7515)-1)</f>
        <v/>
      </c>
      <c r="G7515" s="16" t="str">
        <f t="shared" si="250"/>
        <v/>
      </c>
      <c r="H7515" s="70" t="str">
        <f t="shared" si="251"/>
        <v/>
      </c>
    </row>
    <row r="7516" spans="1:8">
      <c r="A7516" s="2"/>
      <c r="B7516" s="12"/>
      <c r="C7516" s="12"/>
      <c r="E7516" t="str">
        <f>IF(LEN(D7516)=0,"",[1]!i_pq_tradedays($B$3,A7517,A7516)-1)</f>
        <v/>
      </c>
      <c r="G7516" s="16" t="str">
        <f t="shared" si="250"/>
        <v/>
      </c>
      <c r="H7516" s="70" t="str">
        <f t="shared" si="251"/>
        <v/>
      </c>
    </row>
    <row r="7517" spans="1:8">
      <c r="A7517" s="2"/>
      <c r="B7517" s="12"/>
      <c r="C7517" s="12"/>
      <c r="E7517" t="str">
        <f>IF(LEN(D7517)=0,"",[1]!i_pq_tradedays($B$3,A7518,A7517)-1)</f>
        <v/>
      </c>
      <c r="G7517" s="16" t="str">
        <f t="shared" si="250"/>
        <v/>
      </c>
      <c r="H7517" s="70" t="str">
        <f t="shared" si="251"/>
        <v/>
      </c>
    </row>
    <row r="7518" spans="1:8">
      <c r="A7518" s="2"/>
      <c r="B7518" s="12"/>
      <c r="C7518" s="12"/>
      <c r="E7518" t="str">
        <f>IF(LEN(D7518)=0,"",[1]!i_pq_tradedays($B$3,A7519,A7518)-1)</f>
        <v/>
      </c>
      <c r="G7518" s="16" t="str">
        <f t="shared" si="250"/>
        <v/>
      </c>
      <c r="H7518" s="70" t="str">
        <f t="shared" si="251"/>
        <v/>
      </c>
    </row>
    <row r="7519" spans="1:8">
      <c r="A7519" s="2"/>
      <c r="B7519" s="12"/>
      <c r="C7519" s="12"/>
      <c r="E7519" t="str">
        <f>IF(LEN(D7519)=0,"",[1]!i_pq_tradedays($B$3,A7520,A7519)-1)</f>
        <v/>
      </c>
      <c r="G7519" s="16" t="str">
        <f t="shared" si="250"/>
        <v/>
      </c>
      <c r="H7519" s="70" t="str">
        <f t="shared" si="251"/>
        <v/>
      </c>
    </row>
    <row r="7520" spans="1:8">
      <c r="A7520" s="2"/>
      <c r="B7520" s="12"/>
      <c r="C7520" s="12"/>
      <c r="E7520" t="str">
        <f>IF(LEN(D7520)=0,"",[1]!i_pq_tradedays($B$3,A7521,A7520)-1)</f>
        <v/>
      </c>
      <c r="G7520" s="16" t="str">
        <f t="shared" si="250"/>
        <v/>
      </c>
      <c r="H7520" s="70" t="str">
        <f t="shared" si="251"/>
        <v/>
      </c>
    </row>
    <row r="7521" spans="1:8">
      <c r="A7521" s="2"/>
      <c r="B7521" s="12"/>
      <c r="C7521" s="12"/>
      <c r="E7521" t="str">
        <f>IF(LEN(D7521)=0,"",[1]!i_pq_tradedays($B$3,A7522,A7521)-1)</f>
        <v/>
      </c>
      <c r="G7521" s="16" t="str">
        <f t="shared" si="250"/>
        <v/>
      </c>
      <c r="H7521" s="70" t="str">
        <f t="shared" si="251"/>
        <v/>
      </c>
    </row>
    <row r="7522" spans="1:8">
      <c r="A7522" s="2"/>
      <c r="B7522" s="12"/>
      <c r="C7522" s="12"/>
      <c r="E7522" t="str">
        <f>IF(LEN(D7522)=0,"",[1]!i_pq_tradedays($B$3,A7523,A7522)-1)</f>
        <v/>
      </c>
      <c r="G7522" s="16" t="str">
        <f t="shared" si="250"/>
        <v/>
      </c>
      <c r="H7522" s="70" t="str">
        <f t="shared" si="251"/>
        <v/>
      </c>
    </row>
    <row r="7523" spans="1:8">
      <c r="A7523" s="2"/>
      <c r="B7523" s="12"/>
      <c r="C7523" s="12"/>
      <c r="E7523" t="str">
        <f>IF(LEN(D7523)=0,"",[1]!i_pq_tradedays($B$3,A7524,A7523)-1)</f>
        <v/>
      </c>
      <c r="G7523" s="16" t="str">
        <f t="shared" si="250"/>
        <v/>
      </c>
      <c r="H7523" s="70" t="str">
        <f t="shared" si="251"/>
        <v/>
      </c>
    </row>
    <row r="7524" spans="1:8">
      <c r="A7524" s="2"/>
      <c r="B7524" s="12"/>
      <c r="C7524" s="12"/>
      <c r="E7524" t="str">
        <f>IF(LEN(D7524)=0,"",[1]!i_pq_tradedays($B$3,A7525,A7524)-1)</f>
        <v/>
      </c>
      <c r="G7524" s="16" t="str">
        <f t="shared" si="250"/>
        <v/>
      </c>
      <c r="H7524" s="70" t="str">
        <f t="shared" si="251"/>
        <v/>
      </c>
    </row>
    <row r="7525" spans="1:8">
      <c r="A7525" s="2"/>
      <c r="B7525" s="12"/>
      <c r="C7525" s="12"/>
      <c r="E7525" t="str">
        <f>IF(LEN(D7525)=0,"",[1]!i_pq_tradedays($B$3,A7526,A7525)-1)</f>
        <v/>
      </c>
      <c r="G7525" s="16" t="str">
        <f t="shared" si="250"/>
        <v/>
      </c>
      <c r="H7525" s="70" t="str">
        <f t="shared" si="251"/>
        <v/>
      </c>
    </row>
    <row r="7526" spans="1:8">
      <c r="A7526" s="2"/>
      <c r="B7526" s="12"/>
      <c r="C7526" s="12"/>
      <c r="E7526" t="str">
        <f>IF(LEN(D7526)=0,"",[1]!i_pq_tradedays($B$3,A7527,A7526)-1)</f>
        <v/>
      </c>
      <c r="G7526" s="16" t="str">
        <f t="shared" si="250"/>
        <v/>
      </c>
      <c r="H7526" s="70" t="str">
        <f t="shared" si="251"/>
        <v/>
      </c>
    </row>
    <row r="7527" spans="1:8">
      <c r="A7527" s="2"/>
      <c r="B7527" s="12"/>
      <c r="C7527" s="12"/>
      <c r="E7527" t="str">
        <f>IF(LEN(D7527)=0,"",[1]!i_pq_tradedays($B$3,A7528,A7527)-1)</f>
        <v/>
      </c>
      <c r="G7527" s="16" t="str">
        <f t="shared" si="250"/>
        <v/>
      </c>
      <c r="H7527" s="70" t="str">
        <f t="shared" si="251"/>
        <v/>
      </c>
    </row>
    <row r="7528" spans="1:8">
      <c r="A7528" s="2"/>
      <c r="B7528" s="12"/>
      <c r="C7528" s="12"/>
      <c r="E7528" t="str">
        <f>IF(LEN(D7528)=0,"",[1]!i_pq_tradedays($B$3,A7529,A7528)-1)</f>
        <v/>
      </c>
      <c r="G7528" s="16" t="str">
        <f t="shared" si="250"/>
        <v/>
      </c>
      <c r="H7528" s="70" t="str">
        <f t="shared" si="251"/>
        <v/>
      </c>
    </row>
    <row r="7529" spans="1:8">
      <c r="A7529" s="2"/>
      <c r="B7529" s="12"/>
      <c r="C7529" s="12"/>
      <c r="E7529" t="str">
        <f>IF(LEN(D7529)=0,"",[1]!i_pq_tradedays($B$3,A7530,A7529)-1)</f>
        <v/>
      </c>
      <c r="G7529" s="16" t="str">
        <f t="shared" si="250"/>
        <v/>
      </c>
      <c r="H7529" s="70" t="str">
        <f t="shared" si="251"/>
        <v/>
      </c>
    </row>
    <row r="7530" spans="1:8">
      <c r="A7530" s="2"/>
      <c r="B7530" s="12"/>
      <c r="C7530" s="12"/>
      <c r="E7530" t="str">
        <f>IF(LEN(D7530)=0,"",[1]!i_pq_tradedays($B$3,A7531,A7530)-1)</f>
        <v/>
      </c>
      <c r="G7530" s="16" t="str">
        <f t="shared" si="250"/>
        <v/>
      </c>
      <c r="H7530" s="70" t="str">
        <f t="shared" si="251"/>
        <v/>
      </c>
    </row>
    <row r="7531" spans="1:8">
      <c r="A7531" s="2"/>
      <c r="B7531" s="12"/>
      <c r="C7531" s="12"/>
      <c r="E7531" t="str">
        <f>IF(LEN(D7531)=0,"",[1]!i_pq_tradedays($B$3,A7532,A7531)-1)</f>
        <v/>
      </c>
      <c r="G7531" s="16" t="str">
        <f t="shared" si="250"/>
        <v/>
      </c>
      <c r="H7531" s="70" t="str">
        <f t="shared" si="251"/>
        <v/>
      </c>
    </row>
    <row r="7532" spans="1:8">
      <c r="A7532" s="2"/>
      <c r="B7532" s="12"/>
      <c r="C7532" s="12"/>
      <c r="E7532" t="str">
        <f>IF(LEN(D7532)=0,"",[1]!i_pq_tradedays($B$3,A7533,A7532)-1)</f>
        <v/>
      </c>
      <c r="G7532" s="16" t="str">
        <f t="shared" si="250"/>
        <v/>
      </c>
      <c r="H7532" s="70" t="str">
        <f t="shared" si="251"/>
        <v/>
      </c>
    </row>
    <row r="7533" spans="1:8">
      <c r="A7533" s="2"/>
      <c r="B7533" s="12"/>
      <c r="C7533" s="12"/>
      <c r="E7533" t="str">
        <f>IF(LEN(D7533)=0,"",[1]!i_pq_tradedays($B$3,A7534,A7533)-1)</f>
        <v/>
      </c>
      <c r="G7533" s="16" t="str">
        <f t="shared" si="250"/>
        <v/>
      </c>
      <c r="H7533" s="70" t="str">
        <f t="shared" si="251"/>
        <v/>
      </c>
    </row>
    <row r="7534" spans="1:8">
      <c r="A7534" s="2"/>
      <c r="B7534" s="12"/>
      <c r="C7534" s="12"/>
      <c r="E7534" t="str">
        <f>IF(LEN(D7534)=0,"",[1]!i_pq_tradedays($B$3,A7535,A7534)-1)</f>
        <v/>
      </c>
      <c r="G7534" s="16" t="str">
        <f t="shared" si="250"/>
        <v/>
      </c>
      <c r="H7534" s="70" t="str">
        <f t="shared" si="251"/>
        <v/>
      </c>
    </row>
    <row r="7535" spans="1:8">
      <c r="A7535" s="2"/>
      <c r="B7535" s="12"/>
      <c r="C7535" s="12"/>
      <c r="E7535" t="str">
        <f>IF(LEN(D7535)=0,"",[1]!i_pq_tradedays($B$3,A7536,A7535)-1)</f>
        <v/>
      </c>
      <c r="G7535" s="16" t="str">
        <f t="shared" si="250"/>
        <v/>
      </c>
      <c r="H7535" s="70" t="str">
        <f t="shared" si="251"/>
        <v/>
      </c>
    </row>
    <row r="7536" spans="1:8">
      <c r="A7536" s="2"/>
      <c r="B7536" s="12"/>
      <c r="C7536" s="12"/>
      <c r="E7536" t="str">
        <f>IF(LEN(D7536)=0,"",[1]!i_pq_tradedays($B$3,A7537,A7536)-1)</f>
        <v/>
      </c>
      <c r="G7536" s="16" t="str">
        <f t="shared" si="250"/>
        <v/>
      </c>
      <c r="H7536" s="70" t="str">
        <f t="shared" si="251"/>
        <v/>
      </c>
    </row>
    <row r="7537" spans="1:8">
      <c r="A7537" s="2"/>
      <c r="B7537" s="12"/>
      <c r="C7537" s="12"/>
      <c r="E7537" t="str">
        <f>IF(LEN(D7537)=0,"",[1]!i_pq_tradedays($B$3,A7538,A7537)-1)</f>
        <v/>
      </c>
      <c r="G7537" s="16" t="str">
        <f t="shared" si="250"/>
        <v/>
      </c>
      <c r="H7537" s="70" t="str">
        <f t="shared" si="251"/>
        <v/>
      </c>
    </row>
    <row r="7538" spans="1:8">
      <c r="A7538" s="2"/>
      <c r="B7538" s="12"/>
      <c r="C7538" s="12"/>
      <c r="E7538" t="str">
        <f>IF(LEN(D7538)=0,"",[1]!i_pq_tradedays($B$3,A7539,A7538)-1)</f>
        <v/>
      </c>
      <c r="G7538" s="16" t="str">
        <f t="shared" si="250"/>
        <v/>
      </c>
      <c r="H7538" s="70" t="str">
        <f t="shared" si="251"/>
        <v/>
      </c>
    </row>
    <row r="7539" spans="1:8">
      <c r="A7539" s="2"/>
      <c r="B7539" s="12"/>
      <c r="C7539" s="12"/>
      <c r="E7539" t="str">
        <f>IF(LEN(D7539)=0,"",[1]!i_pq_tradedays($B$3,A7540,A7539)-1)</f>
        <v/>
      </c>
      <c r="G7539" s="16" t="str">
        <f t="shared" si="250"/>
        <v/>
      </c>
      <c r="H7539" s="70" t="str">
        <f t="shared" si="251"/>
        <v/>
      </c>
    </row>
    <row r="7540" spans="1:8">
      <c r="A7540" s="2"/>
      <c r="B7540" s="12"/>
      <c r="C7540" s="12"/>
      <c r="E7540" t="str">
        <f>IF(LEN(D7540)=0,"",[1]!i_pq_tradedays($B$3,A7541,A7540)-1)</f>
        <v/>
      </c>
      <c r="G7540" s="16" t="str">
        <f t="shared" si="250"/>
        <v/>
      </c>
      <c r="H7540" s="70" t="str">
        <f t="shared" si="251"/>
        <v/>
      </c>
    </row>
    <row r="7541" spans="1:8">
      <c r="A7541" s="2"/>
      <c r="B7541" s="12"/>
      <c r="C7541" s="12"/>
      <c r="E7541" t="str">
        <f>IF(LEN(D7541)=0,"",[1]!i_pq_tradedays($B$3,A7542,A7541)-1)</f>
        <v/>
      </c>
      <c r="G7541" s="16" t="str">
        <f t="shared" ref="G7541:G7604" si="252">IF(LEN(D7541)=0,"",D7541/E7541)</f>
        <v/>
      </c>
      <c r="H7541" s="70" t="str">
        <f t="shared" ref="H7541:H7604" si="253">IF(LEN(D7541)=0,"",G7541/G7542-1)</f>
        <v/>
      </c>
    </row>
    <row r="7542" spans="1:8">
      <c r="A7542" s="2"/>
      <c r="B7542" s="12"/>
      <c r="C7542" s="12"/>
      <c r="E7542" t="str">
        <f>IF(LEN(D7542)=0,"",[1]!i_pq_tradedays($B$3,A7543,A7542)-1)</f>
        <v/>
      </c>
      <c r="G7542" s="16" t="str">
        <f t="shared" si="252"/>
        <v/>
      </c>
      <c r="H7542" s="70" t="str">
        <f t="shared" si="253"/>
        <v/>
      </c>
    </row>
    <row r="7543" spans="1:8">
      <c r="A7543" s="2"/>
      <c r="B7543" s="12"/>
      <c r="C7543" s="12"/>
      <c r="E7543" t="str">
        <f>IF(LEN(D7543)=0,"",[1]!i_pq_tradedays($B$3,A7544,A7543)-1)</f>
        <v/>
      </c>
      <c r="G7543" s="16" t="str">
        <f t="shared" si="252"/>
        <v/>
      </c>
      <c r="H7543" s="70" t="str">
        <f t="shared" si="253"/>
        <v/>
      </c>
    </row>
    <row r="7544" spans="1:8">
      <c r="A7544" s="2"/>
      <c r="B7544" s="12"/>
      <c r="C7544" s="12"/>
      <c r="E7544" t="str">
        <f>IF(LEN(D7544)=0,"",[1]!i_pq_tradedays($B$3,A7545,A7544)-1)</f>
        <v/>
      </c>
      <c r="G7544" s="16" t="str">
        <f t="shared" si="252"/>
        <v/>
      </c>
      <c r="H7544" s="70" t="str">
        <f t="shared" si="253"/>
        <v/>
      </c>
    </row>
    <row r="7545" spans="1:8">
      <c r="A7545" s="2"/>
      <c r="B7545" s="12"/>
      <c r="C7545" s="12"/>
      <c r="E7545" t="str">
        <f>IF(LEN(D7545)=0,"",[1]!i_pq_tradedays($B$3,A7546,A7545)-1)</f>
        <v/>
      </c>
      <c r="G7545" s="16" t="str">
        <f t="shared" si="252"/>
        <v/>
      </c>
      <c r="H7545" s="70" t="str">
        <f t="shared" si="253"/>
        <v/>
      </c>
    </row>
    <row r="7546" spans="1:8">
      <c r="A7546" s="2"/>
      <c r="B7546" s="12"/>
      <c r="C7546" s="12"/>
      <c r="E7546" t="str">
        <f>IF(LEN(D7546)=0,"",[1]!i_pq_tradedays($B$3,A7547,A7546)-1)</f>
        <v/>
      </c>
      <c r="G7546" s="16" t="str">
        <f t="shared" si="252"/>
        <v/>
      </c>
      <c r="H7546" s="70" t="str">
        <f t="shared" si="253"/>
        <v/>
      </c>
    </row>
    <row r="7547" spans="1:8">
      <c r="A7547" s="2"/>
      <c r="B7547" s="12"/>
      <c r="C7547" s="12"/>
      <c r="E7547" t="str">
        <f>IF(LEN(D7547)=0,"",[1]!i_pq_tradedays($B$3,A7548,A7547)-1)</f>
        <v/>
      </c>
      <c r="G7547" s="16" t="str">
        <f t="shared" si="252"/>
        <v/>
      </c>
      <c r="H7547" s="70" t="str">
        <f t="shared" si="253"/>
        <v/>
      </c>
    </row>
    <row r="7548" spans="1:8">
      <c r="A7548" s="2"/>
      <c r="B7548" s="12"/>
      <c r="C7548" s="12"/>
      <c r="E7548" t="str">
        <f>IF(LEN(D7548)=0,"",[1]!i_pq_tradedays($B$3,A7549,A7548)-1)</f>
        <v/>
      </c>
      <c r="G7548" s="16" t="str">
        <f t="shared" si="252"/>
        <v/>
      </c>
      <c r="H7548" s="70" t="str">
        <f t="shared" si="253"/>
        <v/>
      </c>
    </row>
    <row r="7549" spans="1:8">
      <c r="A7549" s="2"/>
      <c r="B7549" s="12"/>
      <c r="C7549" s="12"/>
      <c r="E7549" t="str">
        <f>IF(LEN(D7549)=0,"",[1]!i_pq_tradedays($B$3,A7550,A7549)-1)</f>
        <v/>
      </c>
      <c r="G7549" s="16" t="str">
        <f t="shared" si="252"/>
        <v/>
      </c>
      <c r="H7549" s="70" t="str">
        <f t="shared" si="253"/>
        <v/>
      </c>
    </row>
    <row r="7550" spans="1:8">
      <c r="A7550" s="2"/>
      <c r="B7550" s="12"/>
      <c r="C7550" s="12"/>
      <c r="E7550" t="str">
        <f>IF(LEN(D7550)=0,"",[1]!i_pq_tradedays($B$3,A7551,A7550)-1)</f>
        <v/>
      </c>
      <c r="G7550" s="16" t="str">
        <f t="shared" si="252"/>
        <v/>
      </c>
      <c r="H7550" s="70" t="str">
        <f t="shared" si="253"/>
        <v/>
      </c>
    </row>
    <row r="7551" spans="1:8">
      <c r="A7551" s="2"/>
      <c r="B7551" s="12"/>
      <c r="C7551" s="12"/>
      <c r="E7551" t="str">
        <f>IF(LEN(D7551)=0,"",[1]!i_pq_tradedays($B$3,A7552,A7551)-1)</f>
        <v/>
      </c>
      <c r="G7551" s="16" t="str">
        <f t="shared" si="252"/>
        <v/>
      </c>
      <c r="H7551" s="70" t="str">
        <f t="shared" si="253"/>
        <v/>
      </c>
    </row>
    <row r="7552" spans="1:8">
      <c r="A7552" s="2"/>
      <c r="B7552" s="12"/>
      <c r="C7552" s="12"/>
      <c r="E7552" t="str">
        <f>IF(LEN(D7552)=0,"",[1]!i_pq_tradedays($B$3,A7553,A7552)-1)</f>
        <v/>
      </c>
      <c r="G7552" s="16" t="str">
        <f t="shared" si="252"/>
        <v/>
      </c>
      <c r="H7552" s="70" t="str">
        <f t="shared" si="253"/>
        <v/>
      </c>
    </row>
    <row r="7553" spans="1:8">
      <c r="A7553" s="2"/>
      <c r="B7553" s="12"/>
      <c r="C7553" s="12"/>
      <c r="E7553" t="str">
        <f>IF(LEN(D7553)=0,"",[1]!i_pq_tradedays($B$3,A7554,A7553)-1)</f>
        <v/>
      </c>
      <c r="G7553" s="16" t="str">
        <f t="shared" si="252"/>
        <v/>
      </c>
      <c r="H7553" s="70" t="str">
        <f t="shared" si="253"/>
        <v/>
      </c>
    </row>
    <row r="7554" spans="1:8">
      <c r="A7554" s="2"/>
      <c r="B7554" s="12"/>
      <c r="C7554" s="12"/>
      <c r="E7554" t="str">
        <f>IF(LEN(D7554)=0,"",[1]!i_pq_tradedays($B$3,A7555,A7554)-1)</f>
        <v/>
      </c>
      <c r="G7554" s="16" t="str">
        <f t="shared" si="252"/>
        <v/>
      </c>
      <c r="H7554" s="70" t="str">
        <f t="shared" si="253"/>
        <v/>
      </c>
    </row>
    <row r="7555" spans="1:8">
      <c r="A7555" s="2"/>
      <c r="B7555" s="12"/>
      <c r="C7555" s="12"/>
      <c r="E7555" t="str">
        <f>IF(LEN(D7555)=0,"",[1]!i_pq_tradedays($B$3,A7556,A7555)-1)</f>
        <v/>
      </c>
      <c r="G7555" s="16" t="str">
        <f t="shared" si="252"/>
        <v/>
      </c>
      <c r="H7555" s="70" t="str">
        <f t="shared" si="253"/>
        <v/>
      </c>
    </row>
    <row r="7556" spans="1:8">
      <c r="A7556" s="2"/>
      <c r="B7556" s="12"/>
      <c r="C7556" s="12"/>
      <c r="E7556" t="str">
        <f>IF(LEN(D7556)=0,"",[1]!i_pq_tradedays($B$3,A7557,A7556)-1)</f>
        <v/>
      </c>
      <c r="G7556" s="16" t="str">
        <f t="shared" si="252"/>
        <v/>
      </c>
      <c r="H7556" s="70" t="str">
        <f t="shared" si="253"/>
        <v/>
      </c>
    </row>
    <row r="7557" spans="1:8">
      <c r="A7557" s="2"/>
      <c r="B7557" s="12"/>
      <c r="C7557" s="12"/>
      <c r="E7557" t="str">
        <f>IF(LEN(D7557)=0,"",[1]!i_pq_tradedays($B$3,A7558,A7557)-1)</f>
        <v/>
      </c>
      <c r="G7557" s="16" t="str">
        <f t="shared" si="252"/>
        <v/>
      </c>
      <c r="H7557" s="70" t="str">
        <f t="shared" si="253"/>
        <v/>
      </c>
    </row>
    <row r="7558" spans="1:8">
      <c r="A7558" s="2"/>
      <c r="B7558" s="12"/>
      <c r="C7558" s="12"/>
      <c r="E7558" t="str">
        <f>IF(LEN(D7558)=0,"",[1]!i_pq_tradedays($B$3,A7559,A7558)-1)</f>
        <v/>
      </c>
      <c r="G7558" s="16" t="str">
        <f t="shared" si="252"/>
        <v/>
      </c>
      <c r="H7558" s="70" t="str">
        <f t="shared" si="253"/>
        <v/>
      </c>
    </row>
    <row r="7559" spans="1:8">
      <c r="A7559" s="2"/>
      <c r="B7559" s="12"/>
      <c r="C7559" s="12"/>
      <c r="E7559" t="str">
        <f>IF(LEN(D7559)=0,"",[1]!i_pq_tradedays($B$3,A7560,A7559)-1)</f>
        <v/>
      </c>
      <c r="G7559" s="16" t="str">
        <f t="shared" si="252"/>
        <v/>
      </c>
      <c r="H7559" s="70" t="str">
        <f t="shared" si="253"/>
        <v/>
      </c>
    </row>
    <row r="7560" spans="1:8">
      <c r="A7560" s="2"/>
      <c r="B7560" s="12"/>
      <c r="C7560" s="12"/>
      <c r="E7560" t="str">
        <f>IF(LEN(D7560)=0,"",[1]!i_pq_tradedays($B$3,A7561,A7560)-1)</f>
        <v/>
      </c>
      <c r="G7560" s="16" t="str">
        <f t="shared" si="252"/>
        <v/>
      </c>
      <c r="H7560" s="70" t="str">
        <f t="shared" si="253"/>
        <v/>
      </c>
    </row>
    <row r="7561" spans="1:8">
      <c r="A7561" s="2"/>
      <c r="B7561" s="12"/>
      <c r="C7561" s="12"/>
      <c r="E7561" t="str">
        <f>IF(LEN(D7561)=0,"",[1]!i_pq_tradedays($B$3,A7562,A7561)-1)</f>
        <v/>
      </c>
      <c r="G7561" s="16" t="str">
        <f t="shared" si="252"/>
        <v/>
      </c>
      <c r="H7561" s="70" t="str">
        <f t="shared" si="253"/>
        <v/>
      </c>
    </row>
    <row r="7562" spans="1:8">
      <c r="A7562" s="2"/>
      <c r="B7562" s="12"/>
      <c r="C7562" s="12"/>
      <c r="E7562" t="str">
        <f>IF(LEN(D7562)=0,"",[1]!i_pq_tradedays($B$3,A7563,A7562)-1)</f>
        <v/>
      </c>
      <c r="G7562" s="16" t="str">
        <f t="shared" si="252"/>
        <v/>
      </c>
      <c r="H7562" s="70" t="str">
        <f t="shared" si="253"/>
        <v/>
      </c>
    </row>
    <row r="7563" spans="1:8">
      <c r="A7563" s="2"/>
      <c r="B7563" s="12"/>
      <c r="C7563" s="12"/>
      <c r="E7563" t="str">
        <f>IF(LEN(D7563)=0,"",[1]!i_pq_tradedays($B$3,A7564,A7563)-1)</f>
        <v/>
      </c>
      <c r="G7563" s="16" t="str">
        <f t="shared" si="252"/>
        <v/>
      </c>
      <c r="H7563" s="70" t="str">
        <f t="shared" si="253"/>
        <v/>
      </c>
    </row>
    <row r="7564" spans="1:8">
      <c r="A7564" s="2"/>
      <c r="B7564" s="12"/>
      <c r="C7564" s="12"/>
      <c r="E7564" t="str">
        <f>IF(LEN(D7564)=0,"",[1]!i_pq_tradedays($B$3,A7565,A7564)-1)</f>
        <v/>
      </c>
      <c r="G7564" s="16" t="str">
        <f t="shared" si="252"/>
        <v/>
      </c>
      <c r="H7564" s="70" t="str">
        <f t="shared" si="253"/>
        <v/>
      </c>
    </row>
    <row r="7565" spans="1:8">
      <c r="A7565" s="2"/>
      <c r="B7565" s="12"/>
      <c r="C7565" s="12"/>
      <c r="E7565" t="str">
        <f>IF(LEN(D7565)=0,"",[1]!i_pq_tradedays($B$3,A7566,A7565)-1)</f>
        <v/>
      </c>
      <c r="G7565" s="16" t="str">
        <f t="shared" si="252"/>
        <v/>
      </c>
      <c r="H7565" s="70" t="str">
        <f t="shared" si="253"/>
        <v/>
      </c>
    </row>
    <row r="7566" spans="1:8">
      <c r="A7566" s="2"/>
      <c r="B7566" s="12"/>
      <c r="C7566" s="12"/>
      <c r="E7566" t="str">
        <f>IF(LEN(D7566)=0,"",[1]!i_pq_tradedays($B$3,A7567,A7566)-1)</f>
        <v/>
      </c>
      <c r="G7566" s="16" t="str">
        <f t="shared" si="252"/>
        <v/>
      </c>
      <c r="H7566" s="70" t="str">
        <f t="shared" si="253"/>
        <v/>
      </c>
    </row>
    <row r="7567" spans="1:8">
      <c r="A7567" s="2"/>
      <c r="B7567" s="12"/>
      <c r="C7567" s="12"/>
      <c r="E7567" t="str">
        <f>IF(LEN(D7567)=0,"",[1]!i_pq_tradedays($B$3,A7568,A7567)-1)</f>
        <v/>
      </c>
      <c r="G7567" s="16" t="str">
        <f t="shared" si="252"/>
        <v/>
      </c>
      <c r="H7567" s="70" t="str">
        <f t="shared" si="253"/>
        <v/>
      </c>
    </row>
    <row r="7568" spans="1:8">
      <c r="A7568" s="2"/>
      <c r="B7568" s="12"/>
      <c r="C7568" s="12"/>
      <c r="E7568" t="str">
        <f>IF(LEN(D7568)=0,"",[1]!i_pq_tradedays($B$3,A7569,A7568)-1)</f>
        <v/>
      </c>
      <c r="G7568" s="16" t="str">
        <f t="shared" si="252"/>
        <v/>
      </c>
      <c r="H7568" s="70" t="str">
        <f t="shared" si="253"/>
        <v/>
      </c>
    </row>
    <row r="7569" spans="1:8">
      <c r="A7569" s="2"/>
      <c r="B7569" s="12"/>
      <c r="C7569" s="12"/>
      <c r="E7569" t="str">
        <f>IF(LEN(D7569)=0,"",[1]!i_pq_tradedays($B$3,A7570,A7569)-1)</f>
        <v/>
      </c>
      <c r="G7569" s="16" t="str">
        <f t="shared" si="252"/>
        <v/>
      </c>
      <c r="H7569" s="70" t="str">
        <f t="shared" si="253"/>
        <v/>
      </c>
    </row>
    <row r="7570" spans="1:8">
      <c r="A7570" s="2"/>
      <c r="B7570" s="12"/>
      <c r="C7570" s="12"/>
      <c r="E7570" t="str">
        <f>IF(LEN(D7570)=0,"",[1]!i_pq_tradedays($B$3,A7571,A7570)-1)</f>
        <v/>
      </c>
      <c r="G7570" s="16" t="str">
        <f t="shared" si="252"/>
        <v/>
      </c>
      <c r="H7570" s="70" t="str">
        <f t="shared" si="253"/>
        <v/>
      </c>
    </row>
    <row r="7571" spans="1:8">
      <c r="A7571" s="2"/>
      <c r="B7571" s="12"/>
      <c r="C7571" s="12"/>
      <c r="E7571" t="str">
        <f>IF(LEN(D7571)=0,"",[1]!i_pq_tradedays($B$3,A7572,A7571)-1)</f>
        <v/>
      </c>
      <c r="G7571" s="16" t="str">
        <f t="shared" si="252"/>
        <v/>
      </c>
      <c r="H7571" s="70" t="str">
        <f t="shared" si="253"/>
        <v/>
      </c>
    </row>
    <row r="7572" spans="1:8">
      <c r="A7572" s="2"/>
      <c r="B7572" s="12"/>
      <c r="C7572" s="12"/>
      <c r="E7572" t="str">
        <f>IF(LEN(D7572)=0,"",[1]!i_pq_tradedays($B$3,A7573,A7572)-1)</f>
        <v/>
      </c>
      <c r="G7572" s="16" t="str">
        <f t="shared" si="252"/>
        <v/>
      </c>
      <c r="H7572" s="70" t="str">
        <f t="shared" si="253"/>
        <v/>
      </c>
    </row>
    <row r="7573" spans="1:8">
      <c r="A7573" s="2"/>
      <c r="B7573" s="12"/>
      <c r="C7573" s="12"/>
      <c r="E7573" t="str">
        <f>IF(LEN(D7573)=0,"",[1]!i_pq_tradedays($B$3,A7574,A7573)-1)</f>
        <v/>
      </c>
      <c r="G7573" s="16" t="str">
        <f t="shared" si="252"/>
        <v/>
      </c>
      <c r="H7573" s="70" t="str">
        <f t="shared" si="253"/>
        <v/>
      </c>
    </row>
    <row r="7574" spans="1:8">
      <c r="A7574" s="2"/>
      <c r="B7574" s="12"/>
      <c r="C7574" s="12"/>
      <c r="E7574" t="str">
        <f>IF(LEN(D7574)=0,"",[1]!i_pq_tradedays($B$3,A7575,A7574)-1)</f>
        <v/>
      </c>
      <c r="G7574" s="16" t="str">
        <f t="shared" si="252"/>
        <v/>
      </c>
      <c r="H7574" s="70" t="str">
        <f t="shared" si="253"/>
        <v/>
      </c>
    </row>
    <row r="7575" spans="1:8">
      <c r="A7575" s="2"/>
      <c r="B7575" s="12"/>
      <c r="C7575" s="12"/>
      <c r="E7575" t="str">
        <f>IF(LEN(D7575)=0,"",[1]!i_pq_tradedays($B$3,A7576,A7575)-1)</f>
        <v/>
      </c>
      <c r="G7575" s="16" t="str">
        <f t="shared" si="252"/>
        <v/>
      </c>
      <c r="H7575" s="70" t="str">
        <f t="shared" si="253"/>
        <v/>
      </c>
    </row>
    <row r="7576" spans="1:8">
      <c r="A7576" s="2"/>
      <c r="B7576" s="12"/>
      <c r="C7576" s="12"/>
      <c r="E7576" t="str">
        <f>IF(LEN(D7576)=0,"",[1]!i_pq_tradedays($B$3,A7577,A7576)-1)</f>
        <v/>
      </c>
      <c r="G7576" s="16" t="str">
        <f t="shared" si="252"/>
        <v/>
      </c>
      <c r="H7576" s="70" t="str">
        <f t="shared" si="253"/>
        <v/>
      </c>
    </row>
    <row r="7577" spans="1:8">
      <c r="A7577" s="2"/>
      <c r="B7577" s="12"/>
      <c r="C7577" s="12"/>
      <c r="E7577" t="str">
        <f>IF(LEN(D7577)=0,"",[1]!i_pq_tradedays($B$3,A7578,A7577)-1)</f>
        <v/>
      </c>
      <c r="G7577" s="16" t="str">
        <f t="shared" si="252"/>
        <v/>
      </c>
      <c r="H7577" s="70" t="str">
        <f t="shared" si="253"/>
        <v/>
      </c>
    </row>
    <row r="7578" spans="1:8">
      <c r="A7578" s="2"/>
      <c r="B7578" s="12"/>
      <c r="C7578" s="12"/>
      <c r="E7578" t="str">
        <f>IF(LEN(D7578)=0,"",[1]!i_pq_tradedays($B$3,A7579,A7578)-1)</f>
        <v/>
      </c>
      <c r="G7578" s="16" t="str">
        <f t="shared" si="252"/>
        <v/>
      </c>
      <c r="H7578" s="70" t="str">
        <f t="shared" si="253"/>
        <v/>
      </c>
    </row>
    <row r="7579" spans="1:8">
      <c r="A7579" s="2"/>
      <c r="B7579" s="12"/>
      <c r="C7579" s="12"/>
      <c r="E7579" t="str">
        <f>IF(LEN(D7579)=0,"",[1]!i_pq_tradedays($B$3,A7580,A7579)-1)</f>
        <v/>
      </c>
      <c r="G7579" s="16" t="str">
        <f t="shared" si="252"/>
        <v/>
      </c>
      <c r="H7579" s="70" t="str">
        <f t="shared" si="253"/>
        <v/>
      </c>
    </row>
    <row r="7580" spans="1:8">
      <c r="A7580" s="2"/>
      <c r="B7580" s="12"/>
      <c r="C7580" s="12"/>
      <c r="E7580" t="str">
        <f>IF(LEN(D7580)=0,"",[1]!i_pq_tradedays($B$3,A7581,A7580)-1)</f>
        <v/>
      </c>
      <c r="G7580" s="16" t="str">
        <f t="shared" si="252"/>
        <v/>
      </c>
      <c r="H7580" s="70" t="str">
        <f t="shared" si="253"/>
        <v/>
      </c>
    </row>
    <row r="7581" spans="1:8">
      <c r="A7581" s="2"/>
      <c r="B7581" s="12"/>
      <c r="C7581" s="12"/>
      <c r="E7581" t="str">
        <f>IF(LEN(D7581)=0,"",[1]!i_pq_tradedays($B$3,A7582,A7581)-1)</f>
        <v/>
      </c>
      <c r="G7581" s="16" t="str">
        <f t="shared" si="252"/>
        <v/>
      </c>
      <c r="H7581" s="70" t="str">
        <f t="shared" si="253"/>
        <v/>
      </c>
    </row>
    <row r="7582" spans="1:8">
      <c r="A7582" s="2"/>
      <c r="B7582" s="12"/>
      <c r="C7582" s="12"/>
      <c r="E7582" t="str">
        <f>IF(LEN(D7582)=0,"",[1]!i_pq_tradedays($B$3,A7583,A7582)-1)</f>
        <v/>
      </c>
      <c r="G7582" s="16" t="str">
        <f t="shared" si="252"/>
        <v/>
      </c>
      <c r="H7582" s="70" t="str">
        <f t="shared" si="253"/>
        <v/>
      </c>
    </row>
    <row r="7583" spans="1:8">
      <c r="A7583" s="2"/>
      <c r="B7583" s="12"/>
      <c r="C7583" s="12"/>
      <c r="E7583" t="str">
        <f>IF(LEN(D7583)=0,"",[1]!i_pq_tradedays($B$3,A7584,A7583)-1)</f>
        <v/>
      </c>
      <c r="G7583" s="16" t="str">
        <f t="shared" si="252"/>
        <v/>
      </c>
      <c r="H7583" s="70" t="str">
        <f t="shared" si="253"/>
        <v/>
      </c>
    </row>
    <row r="7584" spans="1:8">
      <c r="A7584" s="2"/>
      <c r="B7584" s="12"/>
      <c r="C7584" s="12"/>
      <c r="E7584" t="str">
        <f>IF(LEN(D7584)=0,"",[1]!i_pq_tradedays($B$3,A7585,A7584)-1)</f>
        <v/>
      </c>
      <c r="G7584" s="16" t="str">
        <f t="shared" si="252"/>
        <v/>
      </c>
      <c r="H7584" s="70" t="str">
        <f t="shared" si="253"/>
        <v/>
      </c>
    </row>
    <row r="7585" spans="1:8">
      <c r="A7585" s="2"/>
      <c r="B7585" s="12"/>
      <c r="C7585" s="12"/>
      <c r="E7585" t="str">
        <f>IF(LEN(D7585)=0,"",[1]!i_pq_tradedays($B$3,A7586,A7585)-1)</f>
        <v/>
      </c>
      <c r="G7585" s="16" t="str">
        <f t="shared" si="252"/>
        <v/>
      </c>
      <c r="H7585" s="70" t="str">
        <f t="shared" si="253"/>
        <v/>
      </c>
    </row>
    <row r="7586" spans="1:8">
      <c r="A7586" s="2"/>
      <c r="B7586" s="12"/>
      <c r="C7586" s="12"/>
      <c r="E7586" t="str">
        <f>IF(LEN(D7586)=0,"",[1]!i_pq_tradedays($B$3,A7587,A7586)-1)</f>
        <v/>
      </c>
      <c r="G7586" s="16" t="str">
        <f t="shared" si="252"/>
        <v/>
      </c>
      <c r="H7586" s="70" t="str">
        <f t="shared" si="253"/>
        <v/>
      </c>
    </row>
    <row r="7587" spans="1:8">
      <c r="A7587" s="2"/>
      <c r="B7587" s="12"/>
      <c r="C7587" s="12"/>
      <c r="E7587" t="str">
        <f>IF(LEN(D7587)=0,"",[1]!i_pq_tradedays($B$3,A7588,A7587)-1)</f>
        <v/>
      </c>
      <c r="G7587" s="16" t="str">
        <f t="shared" si="252"/>
        <v/>
      </c>
      <c r="H7587" s="70" t="str">
        <f t="shared" si="253"/>
        <v/>
      </c>
    </row>
    <row r="7588" spans="1:8">
      <c r="A7588" s="2"/>
      <c r="B7588" s="12"/>
      <c r="C7588" s="12"/>
      <c r="E7588" t="str">
        <f>IF(LEN(D7588)=0,"",[1]!i_pq_tradedays($B$3,A7589,A7588)-1)</f>
        <v/>
      </c>
      <c r="G7588" s="16" t="str">
        <f t="shared" si="252"/>
        <v/>
      </c>
      <c r="H7588" s="70" t="str">
        <f t="shared" si="253"/>
        <v/>
      </c>
    </row>
    <row r="7589" spans="1:8">
      <c r="A7589" s="2"/>
      <c r="B7589" s="12"/>
      <c r="C7589" s="12"/>
      <c r="E7589" t="str">
        <f>IF(LEN(D7589)=0,"",[1]!i_pq_tradedays($B$3,A7590,A7589)-1)</f>
        <v/>
      </c>
      <c r="G7589" s="16" t="str">
        <f t="shared" si="252"/>
        <v/>
      </c>
      <c r="H7589" s="70" t="str">
        <f t="shared" si="253"/>
        <v/>
      </c>
    </row>
    <row r="7590" spans="1:8">
      <c r="A7590" s="2"/>
      <c r="B7590" s="12"/>
      <c r="C7590" s="12"/>
      <c r="E7590" t="str">
        <f>IF(LEN(D7590)=0,"",[1]!i_pq_tradedays($B$3,A7591,A7590)-1)</f>
        <v/>
      </c>
      <c r="G7590" s="16" t="str">
        <f t="shared" si="252"/>
        <v/>
      </c>
      <c r="H7590" s="70" t="str">
        <f t="shared" si="253"/>
        <v/>
      </c>
    </row>
    <row r="7591" spans="1:8">
      <c r="A7591" s="2"/>
      <c r="B7591" s="12"/>
      <c r="C7591" s="12"/>
      <c r="E7591" t="str">
        <f>IF(LEN(D7591)=0,"",[1]!i_pq_tradedays($B$3,A7592,A7591)-1)</f>
        <v/>
      </c>
      <c r="G7591" s="16" t="str">
        <f t="shared" si="252"/>
        <v/>
      </c>
      <c r="H7591" s="70" t="str">
        <f t="shared" si="253"/>
        <v/>
      </c>
    </row>
    <row r="7592" spans="1:8">
      <c r="A7592" s="2"/>
      <c r="B7592" s="12"/>
      <c r="C7592" s="12"/>
      <c r="E7592" t="str">
        <f>IF(LEN(D7592)=0,"",[1]!i_pq_tradedays($B$3,A7593,A7592)-1)</f>
        <v/>
      </c>
      <c r="G7592" s="16" t="str">
        <f t="shared" si="252"/>
        <v/>
      </c>
      <c r="H7592" s="70" t="str">
        <f t="shared" si="253"/>
        <v/>
      </c>
    </row>
    <row r="7593" spans="1:8">
      <c r="A7593" s="2"/>
      <c r="B7593" s="12"/>
      <c r="C7593" s="12"/>
      <c r="E7593" t="str">
        <f>IF(LEN(D7593)=0,"",[1]!i_pq_tradedays($B$3,A7594,A7593)-1)</f>
        <v/>
      </c>
      <c r="G7593" s="16" t="str">
        <f t="shared" si="252"/>
        <v/>
      </c>
      <c r="H7593" s="70" t="str">
        <f t="shared" si="253"/>
        <v/>
      </c>
    </row>
    <row r="7594" spans="1:8">
      <c r="A7594" s="2"/>
      <c r="B7594" s="12"/>
      <c r="C7594" s="12"/>
      <c r="E7594" t="str">
        <f>IF(LEN(D7594)=0,"",[1]!i_pq_tradedays($B$3,A7595,A7594)-1)</f>
        <v/>
      </c>
      <c r="G7594" s="16" t="str">
        <f t="shared" si="252"/>
        <v/>
      </c>
      <c r="H7594" s="70" t="str">
        <f t="shared" si="253"/>
        <v/>
      </c>
    </row>
    <row r="7595" spans="1:8">
      <c r="A7595" s="2"/>
      <c r="B7595" s="12"/>
      <c r="C7595" s="12"/>
      <c r="E7595" t="str">
        <f>IF(LEN(D7595)=0,"",[1]!i_pq_tradedays($B$3,A7596,A7595)-1)</f>
        <v/>
      </c>
      <c r="G7595" s="16" t="str">
        <f t="shared" si="252"/>
        <v/>
      </c>
      <c r="H7595" s="70" t="str">
        <f t="shared" si="253"/>
        <v/>
      </c>
    </row>
    <row r="7596" spans="1:8">
      <c r="A7596" s="2"/>
      <c r="B7596" s="12"/>
      <c r="C7596" s="12"/>
      <c r="E7596" t="str">
        <f>IF(LEN(D7596)=0,"",[1]!i_pq_tradedays($B$3,A7597,A7596)-1)</f>
        <v/>
      </c>
      <c r="G7596" s="16" t="str">
        <f t="shared" si="252"/>
        <v/>
      </c>
      <c r="H7596" s="70" t="str">
        <f t="shared" si="253"/>
        <v/>
      </c>
    </row>
    <row r="7597" spans="1:8">
      <c r="A7597" s="2"/>
      <c r="B7597" s="12"/>
      <c r="C7597" s="12"/>
      <c r="E7597" t="str">
        <f>IF(LEN(D7597)=0,"",[1]!i_pq_tradedays($B$3,A7598,A7597)-1)</f>
        <v/>
      </c>
      <c r="G7597" s="16" t="str">
        <f t="shared" si="252"/>
        <v/>
      </c>
      <c r="H7597" s="70" t="str">
        <f t="shared" si="253"/>
        <v/>
      </c>
    </row>
    <row r="7598" spans="1:8">
      <c r="A7598" s="2"/>
      <c r="B7598" s="12"/>
      <c r="C7598" s="12"/>
      <c r="E7598" t="str">
        <f>IF(LEN(D7598)=0,"",[1]!i_pq_tradedays($B$3,A7599,A7598)-1)</f>
        <v/>
      </c>
      <c r="G7598" s="16" t="str">
        <f t="shared" si="252"/>
        <v/>
      </c>
      <c r="H7598" s="70" t="str">
        <f t="shared" si="253"/>
        <v/>
      </c>
    </row>
    <row r="7599" spans="1:8">
      <c r="A7599" s="2"/>
      <c r="B7599" s="12"/>
      <c r="C7599" s="12"/>
      <c r="E7599" t="str">
        <f>IF(LEN(D7599)=0,"",[1]!i_pq_tradedays($B$3,A7600,A7599)-1)</f>
        <v/>
      </c>
      <c r="G7599" s="16" t="str">
        <f t="shared" si="252"/>
        <v/>
      </c>
      <c r="H7599" s="70" t="str">
        <f t="shared" si="253"/>
        <v/>
      </c>
    </row>
    <row r="7600" spans="1:8">
      <c r="A7600" s="2"/>
      <c r="B7600" s="12"/>
      <c r="C7600" s="12"/>
      <c r="E7600" t="str">
        <f>IF(LEN(D7600)=0,"",[1]!i_pq_tradedays($B$3,A7601,A7600)-1)</f>
        <v/>
      </c>
      <c r="G7600" s="16" t="str">
        <f t="shared" si="252"/>
        <v/>
      </c>
      <c r="H7600" s="70" t="str">
        <f t="shared" si="253"/>
        <v/>
      </c>
    </row>
    <row r="7601" spans="1:8">
      <c r="A7601" s="2"/>
      <c r="B7601" s="12"/>
      <c r="C7601" s="12"/>
      <c r="E7601" t="str">
        <f>IF(LEN(D7601)=0,"",[1]!i_pq_tradedays($B$3,A7602,A7601)-1)</f>
        <v/>
      </c>
      <c r="G7601" s="16" t="str">
        <f t="shared" si="252"/>
        <v/>
      </c>
      <c r="H7601" s="70" t="str">
        <f t="shared" si="253"/>
        <v/>
      </c>
    </row>
    <row r="7602" spans="1:8">
      <c r="A7602" s="2"/>
      <c r="B7602" s="12"/>
      <c r="C7602" s="12"/>
      <c r="E7602" t="str">
        <f>IF(LEN(D7602)=0,"",[1]!i_pq_tradedays($B$3,A7603,A7602)-1)</f>
        <v/>
      </c>
      <c r="G7602" s="16" t="str">
        <f t="shared" si="252"/>
        <v/>
      </c>
      <c r="H7602" s="70" t="str">
        <f t="shared" si="253"/>
        <v/>
      </c>
    </row>
    <row r="7603" spans="1:8">
      <c r="A7603" s="2"/>
      <c r="B7603" s="12"/>
      <c r="C7603" s="12"/>
      <c r="E7603" t="str">
        <f>IF(LEN(D7603)=0,"",[1]!i_pq_tradedays($B$3,A7604,A7603)-1)</f>
        <v/>
      </c>
      <c r="G7603" s="16" t="str">
        <f t="shared" si="252"/>
        <v/>
      </c>
      <c r="H7603" s="70" t="str">
        <f t="shared" si="253"/>
        <v/>
      </c>
    </row>
    <row r="7604" spans="1:8">
      <c r="A7604" s="2"/>
      <c r="B7604" s="12"/>
      <c r="C7604" s="12"/>
      <c r="E7604" t="str">
        <f>IF(LEN(D7604)=0,"",[1]!i_pq_tradedays($B$3,A7605,A7604)-1)</f>
        <v/>
      </c>
      <c r="G7604" s="16" t="str">
        <f t="shared" si="252"/>
        <v/>
      </c>
      <c r="H7604" s="70" t="str">
        <f t="shared" si="253"/>
        <v/>
      </c>
    </row>
    <row r="7605" spans="1:8">
      <c r="A7605" s="2"/>
      <c r="B7605" s="12"/>
      <c r="C7605" s="12"/>
      <c r="E7605" t="str">
        <f>IF(LEN(D7605)=0,"",[1]!i_pq_tradedays($B$3,A7606,A7605)-1)</f>
        <v/>
      </c>
      <c r="G7605" s="16" t="str">
        <f t="shared" ref="G7605:G7668" si="254">IF(LEN(D7605)=0,"",D7605/E7605)</f>
        <v/>
      </c>
      <c r="H7605" s="70" t="str">
        <f t="shared" ref="H7605:H7668" si="255">IF(LEN(D7605)=0,"",G7605/G7606-1)</f>
        <v/>
      </c>
    </row>
    <row r="7606" spans="1:8">
      <c r="A7606" s="2"/>
      <c r="B7606" s="12"/>
      <c r="C7606" s="12"/>
      <c r="E7606" t="str">
        <f>IF(LEN(D7606)=0,"",[1]!i_pq_tradedays($B$3,A7607,A7606)-1)</f>
        <v/>
      </c>
      <c r="G7606" s="16" t="str">
        <f t="shared" si="254"/>
        <v/>
      </c>
      <c r="H7606" s="70" t="str">
        <f t="shared" si="255"/>
        <v/>
      </c>
    </row>
    <row r="7607" spans="1:8">
      <c r="A7607" s="2"/>
      <c r="B7607" s="12"/>
      <c r="C7607" s="12"/>
      <c r="E7607" t="str">
        <f>IF(LEN(D7607)=0,"",[1]!i_pq_tradedays($B$3,A7608,A7607)-1)</f>
        <v/>
      </c>
      <c r="G7607" s="16" t="str">
        <f t="shared" si="254"/>
        <v/>
      </c>
      <c r="H7607" s="70" t="str">
        <f t="shared" si="255"/>
        <v/>
      </c>
    </row>
    <row r="7608" spans="1:8">
      <c r="A7608" s="2"/>
      <c r="B7608" s="12"/>
      <c r="C7608" s="12"/>
      <c r="E7608" t="str">
        <f>IF(LEN(D7608)=0,"",[1]!i_pq_tradedays($B$3,A7609,A7608)-1)</f>
        <v/>
      </c>
      <c r="G7608" s="16" t="str">
        <f t="shared" si="254"/>
        <v/>
      </c>
      <c r="H7608" s="70" t="str">
        <f t="shared" si="255"/>
        <v/>
      </c>
    </row>
    <row r="7609" spans="1:8">
      <c r="A7609" s="2"/>
      <c r="B7609" s="12"/>
      <c r="C7609" s="12"/>
      <c r="E7609" t="str">
        <f>IF(LEN(D7609)=0,"",[1]!i_pq_tradedays($B$3,A7610,A7609)-1)</f>
        <v/>
      </c>
      <c r="G7609" s="16" t="str">
        <f t="shared" si="254"/>
        <v/>
      </c>
      <c r="H7609" s="70" t="str">
        <f t="shared" si="255"/>
        <v/>
      </c>
    </row>
    <row r="7610" spans="1:8">
      <c r="A7610" s="2"/>
      <c r="B7610" s="12"/>
      <c r="C7610" s="12"/>
      <c r="E7610" t="str">
        <f>IF(LEN(D7610)=0,"",[1]!i_pq_tradedays($B$3,A7611,A7610)-1)</f>
        <v/>
      </c>
      <c r="G7610" s="16" t="str">
        <f t="shared" si="254"/>
        <v/>
      </c>
      <c r="H7610" s="70" t="str">
        <f t="shared" si="255"/>
        <v/>
      </c>
    </row>
    <row r="7611" spans="1:8">
      <c r="A7611" s="2"/>
      <c r="B7611" s="12"/>
      <c r="C7611" s="12"/>
      <c r="E7611" t="str">
        <f>IF(LEN(D7611)=0,"",[1]!i_pq_tradedays($B$3,A7612,A7611)-1)</f>
        <v/>
      </c>
      <c r="G7611" s="16" t="str">
        <f t="shared" si="254"/>
        <v/>
      </c>
      <c r="H7611" s="70" t="str">
        <f t="shared" si="255"/>
        <v/>
      </c>
    </row>
    <row r="7612" spans="1:8">
      <c r="A7612" s="2"/>
      <c r="B7612" s="12"/>
      <c r="C7612" s="12"/>
      <c r="E7612" t="str">
        <f>IF(LEN(D7612)=0,"",[1]!i_pq_tradedays($B$3,A7613,A7612)-1)</f>
        <v/>
      </c>
      <c r="G7612" s="16" t="str">
        <f t="shared" si="254"/>
        <v/>
      </c>
      <c r="H7612" s="70" t="str">
        <f t="shared" si="255"/>
        <v/>
      </c>
    </row>
    <row r="7613" spans="1:8">
      <c r="A7613" s="2"/>
      <c r="B7613" s="12"/>
      <c r="C7613" s="12"/>
      <c r="E7613" t="str">
        <f>IF(LEN(D7613)=0,"",[1]!i_pq_tradedays($B$3,A7614,A7613)-1)</f>
        <v/>
      </c>
      <c r="G7613" s="16" t="str">
        <f t="shared" si="254"/>
        <v/>
      </c>
      <c r="H7613" s="70" t="str">
        <f t="shared" si="255"/>
        <v/>
      </c>
    </row>
    <row r="7614" spans="1:8">
      <c r="A7614" s="2"/>
      <c r="B7614" s="12"/>
      <c r="C7614" s="12"/>
      <c r="E7614" t="str">
        <f>IF(LEN(D7614)=0,"",[1]!i_pq_tradedays($B$3,A7615,A7614)-1)</f>
        <v/>
      </c>
      <c r="G7614" s="16" t="str">
        <f t="shared" si="254"/>
        <v/>
      </c>
      <c r="H7614" s="70" t="str">
        <f t="shared" si="255"/>
        <v/>
      </c>
    </row>
    <row r="7615" spans="1:8">
      <c r="A7615" s="2"/>
      <c r="B7615" s="12"/>
      <c r="C7615" s="12"/>
      <c r="E7615" t="str">
        <f>IF(LEN(D7615)=0,"",[1]!i_pq_tradedays($B$3,A7616,A7615)-1)</f>
        <v/>
      </c>
      <c r="G7615" s="16" t="str">
        <f t="shared" si="254"/>
        <v/>
      </c>
      <c r="H7615" s="70" t="str">
        <f t="shared" si="255"/>
        <v/>
      </c>
    </row>
    <row r="7616" spans="1:8">
      <c r="A7616" s="2"/>
      <c r="B7616" s="12"/>
      <c r="C7616" s="12"/>
      <c r="E7616" t="str">
        <f>IF(LEN(D7616)=0,"",[1]!i_pq_tradedays($B$3,A7617,A7616)-1)</f>
        <v/>
      </c>
      <c r="G7616" s="16" t="str">
        <f t="shared" si="254"/>
        <v/>
      </c>
      <c r="H7616" s="70" t="str">
        <f t="shared" si="255"/>
        <v/>
      </c>
    </row>
    <row r="7617" spans="1:8">
      <c r="A7617" s="2"/>
      <c r="B7617" s="12"/>
      <c r="C7617" s="12"/>
      <c r="E7617" t="str">
        <f>IF(LEN(D7617)=0,"",[1]!i_pq_tradedays($B$3,A7618,A7617)-1)</f>
        <v/>
      </c>
      <c r="G7617" s="16" t="str">
        <f t="shared" si="254"/>
        <v/>
      </c>
      <c r="H7617" s="70" t="str">
        <f t="shared" si="255"/>
        <v/>
      </c>
    </row>
    <row r="7618" spans="1:8">
      <c r="A7618" s="2"/>
      <c r="B7618" s="12"/>
      <c r="C7618" s="12"/>
      <c r="E7618" t="str">
        <f>IF(LEN(D7618)=0,"",[1]!i_pq_tradedays($B$3,A7619,A7618)-1)</f>
        <v/>
      </c>
      <c r="G7618" s="16" t="str">
        <f t="shared" si="254"/>
        <v/>
      </c>
      <c r="H7618" s="70" t="str">
        <f t="shared" si="255"/>
        <v/>
      </c>
    </row>
    <row r="7619" spans="1:8">
      <c r="A7619" s="2"/>
      <c r="B7619" s="12"/>
      <c r="C7619" s="12"/>
      <c r="E7619" t="str">
        <f>IF(LEN(D7619)=0,"",[1]!i_pq_tradedays($B$3,A7620,A7619)-1)</f>
        <v/>
      </c>
      <c r="G7619" s="16" t="str">
        <f t="shared" si="254"/>
        <v/>
      </c>
      <c r="H7619" s="70" t="str">
        <f t="shared" si="255"/>
        <v/>
      </c>
    </row>
    <row r="7620" spans="1:8">
      <c r="A7620" s="2"/>
      <c r="B7620" s="12"/>
      <c r="C7620" s="12"/>
      <c r="E7620" t="str">
        <f>IF(LEN(D7620)=0,"",[1]!i_pq_tradedays($B$3,A7621,A7620)-1)</f>
        <v/>
      </c>
      <c r="G7620" s="16" t="str">
        <f t="shared" si="254"/>
        <v/>
      </c>
      <c r="H7620" s="70" t="str">
        <f t="shared" si="255"/>
        <v/>
      </c>
    </row>
    <row r="7621" spans="1:8">
      <c r="A7621" s="2"/>
      <c r="B7621" s="12"/>
      <c r="C7621" s="12"/>
      <c r="E7621" t="str">
        <f>IF(LEN(D7621)=0,"",[1]!i_pq_tradedays($B$3,A7622,A7621)-1)</f>
        <v/>
      </c>
      <c r="G7621" s="16" t="str">
        <f t="shared" si="254"/>
        <v/>
      </c>
      <c r="H7621" s="70" t="str">
        <f t="shared" si="255"/>
        <v/>
      </c>
    </row>
    <row r="7622" spans="1:8">
      <c r="A7622" s="2"/>
      <c r="B7622" s="12"/>
      <c r="C7622" s="12"/>
      <c r="E7622" t="str">
        <f>IF(LEN(D7622)=0,"",[1]!i_pq_tradedays($B$3,A7623,A7622)-1)</f>
        <v/>
      </c>
      <c r="G7622" s="16" t="str">
        <f t="shared" si="254"/>
        <v/>
      </c>
      <c r="H7622" s="70" t="str">
        <f t="shared" si="255"/>
        <v/>
      </c>
    </row>
    <row r="7623" spans="1:8">
      <c r="A7623" s="2"/>
      <c r="B7623" s="12"/>
      <c r="C7623" s="12"/>
      <c r="E7623" t="str">
        <f>IF(LEN(D7623)=0,"",[1]!i_pq_tradedays($B$3,A7624,A7623)-1)</f>
        <v/>
      </c>
      <c r="G7623" s="16" t="str">
        <f t="shared" si="254"/>
        <v/>
      </c>
      <c r="H7623" s="70" t="str">
        <f t="shared" si="255"/>
        <v/>
      </c>
    </row>
    <row r="7624" spans="1:8">
      <c r="A7624" s="2"/>
      <c r="B7624" s="12"/>
      <c r="C7624" s="12"/>
      <c r="E7624" t="str">
        <f>IF(LEN(D7624)=0,"",[1]!i_pq_tradedays($B$3,A7625,A7624)-1)</f>
        <v/>
      </c>
      <c r="G7624" s="16" t="str">
        <f t="shared" si="254"/>
        <v/>
      </c>
      <c r="H7624" s="70" t="str">
        <f t="shared" si="255"/>
        <v/>
      </c>
    </row>
    <row r="7625" spans="1:8">
      <c r="A7625" s="2"/>
      <c r="B7625" s="12"/>
      <c r="C7625" s="12"/>
      <c r="E7625" t="str">
        <f>IF(LEN(D7625)=0,"",[1]!i_pq_tradedays($B$3,A7626,A7625)-1)</f>
        <v/>
      </c>
      <c r="G7625" s="16" t="str">
        <f t="shared" si="254"/>
        <v/>
      </c>
      <c r="H7625" s="70" t="str">
        <f t="shared" si="255"/>
        <v/>
      </c>
    </row>
    <row r="7626" spans="1:8">
      <c r="A7626" s="2"/>
      <c r="B7626" s="12"/>
      <c r="C7626" s="12"/>
      <c r="E7626" t="str">
        <f>IF(LEN(D7626)=0,"",[1]!i_pq_tradedays($B$3,A7627,A7626)-1)</f>
        <v/>
      </c>
      <c r="G7626" s="16" t="str">
        <f t="shared" si="254"/>
        <v/>
      </c>
      <c r="H7626" s="70" t="str">
        <f t="shared" si="255"/>
        <v/>
      </c>
    </row>
    <row r="7627" spans="1:8">
      <c r="A7627" s="2"/>
      <c r="B7627" s="12"/>
      <c r="C7627" s="12"/>
      <c r="E7627" t="str">
        <f>IF(LEN(D7627)=0,"",[1]!i_pq_tradedays($B$3,A7628,A7627)-1)</f>
        <v/>
      </c>
      <c r="G7627" s="16" t="str">
        <f t="shared" si="254"/>
        <v/>
      </c>
      <c r="H7627" s="70" t="str">
        <f t="shared" si="255"/>
        <v/>
      </c>
    </row>
    <row r="7628" spans="1:8">
      <c r="A7628" s="2"/>
      <c r="B7628" s="12"/>
      <c r="C7628" s="12"/>
      <c r="E7628" t="str">
        <f>IF(LEN(D7628)=0,"",[1]!i_pq_tradedays($B$3,A7629,A7628)-1)</f>
        <v/>
      </c>
      <c r="G7628" s="16" t="str">
        <f t="shared" si="254"/>
        <v/>
      </c>
      <c r="H7628" s="70" t="str">
        <f t="shared" si="255"/>
        <v/>
      </c>
    </row>
    <row r="7629" spans="1:8">
      <c r="A7629" s="2"/>
      <c r="B7629" s="12"/>
      <c r="C7629" s="12"/>
      <c r="E7629" t="str">
        <f>IF(LEN(D7629)=0,"",[1]!i_pq_tradedays($B$3,A7630,A7629)-1)</f>
        <v/>
      </c>
      <c r="G7629" s="16" t="str">
        <f t="shared" si="254"/>
        <v/>
      </c>
      <c r="H7629" s="70" t="str">
        <f t="shared" si="255"/>
        <v/>
      </c>
    </row>
    <row r="7630" spans="1:8">
      <c r="A7630" s="2"/>
      <c r="B7630" s="12"/>
      <c r="C7630" s="12"/>
      <c r="E7630" t="str">
        <f>IF(LEN(D7630)=0,"",[1]!i_pq_tradedays($B$3,A7631,A7630)-1)</f>
        <v/>
      </c>
      <c r="G7630" s="16" t="str">
        <f t="shared" si="254"/>
        <v/>
      </c>
      <c r="H7630" s="70" t="str">
        <f t="shared" si="255"/>
        <v/>
      </c>
    </row>
    <row r="7631" spans="1:8">
      <c r="A7631" s="2"/>
      <c r="B7631" s="12"/>
      <c r="C7631" s="12"/>
      <c r="E7631" t="str">
        <f>IF(LEN(D7631)=0,"",[1]!i_pq_tradedays($B$3,A7632,A7631)-1)</f>
        <v/>
      </c>
      <c r="G7631" s="16" t="str">
        <f t="shared" si="254"/>
        <v/>
      </c>
      <c r="H7631" s="70" t="str">
        <f t="shared" si="255"/>
        <v/>
      </c>
    </row>
    <row r="7632" spans="1:8">
      <c r="A7632" s="2"/>
      <c r="B7632" s="12"/>
      <c r="C7632" s="12"/>
      <c r="E7632" t="str">
        <f>IF(LEN(D7632)=0,"",[1]!i_pq_tradedays($B$3,A7633,A7632)-1)</f>
        <v/>
      </c>
      <c r="G7632" s="16" t="str">
        <f t="shared" si="254"/>
        <v/>
      </c>
      <c r="H7632" s="70" t="str">
        <f t="shared" si="255"/>
        <v/>
      </c>
    </row>
    <row r="7633" spans="1:8">
      <c r="A7633" s="2"/>
      <c r="B7633" s="12"/>
      <c r="C7633" s="12"/>
      <c r="E7633" t="str">
        <f>IF(LEN(D7633)=0,"",[1]!i_pq_tradedays($B$3,A7634,A7633)-1)</f>
        <v/>
      </c>
      <c r="G7633" s="16" t="str">
        <f t="shared" si="254"/>
        <v/>
      </c>
      <c r="H7633" s="70" t="str">
        <f t="shared" si="255"/>
        <v/>
      </c>
    </row>
    <row r="7634" spans="1:8">
      <c r="A7634" s="2"/>
      <c r="B7634" s="12"/>
      <c r="C7634" s="12"/>
      <c r="E7634" t="str">
        <f>IF(LEN(D7634)=0,"",[1]!i_pq_tradedays($B$3,A7635,A7634)-1)</f>
        <v/>
      </c>
      <c r="G7634" s="16" t="str">
        <f t="shared" si="254"/>
        <v/>
      </c>
      <c r="H7634" s="70" t="str">
        <f t="shared" si="255"/>
        <v/>
      </c>
    </row>
    <row r="7635" spans="1:8">
      <c r="A7635" s="2"/>
      <c r="B7635" s="12"/>
      <c r="C7635" s="12"/>
      <c r="E7635" t="str">
        <f>IF(LEN(D7635)=0,"",[1]!i_pq_tradedays($B$3,A7636,A7635)-1)</f>
        <v/>
      </c>
      <c r="G7635" s="16" t="str">
        <f t="shared" si="254"/>
        <v/>
      </c>
      <c r="H7635" s="70" t="str">
        <f t="shared" si="255"/>
        <v/>
      </c>
    </row>
    <row r="7636" spans="1:8">
      <c r="A7636" s="2"/>
      <c r="B7636" s="12"/>
      <c r="C7636" s="12"/>
      <c r="E7636" t="str">
        <f>IF(LEN(D7636)=0,"",[1]!i_pq_tradedays($B$3,A7637,A7636)-1)</f>
        <v/>
      </c>
      <c r="G7636" s="16" t="str">
        <f t="shared" si="254"/>
        <v/>
      </c>
      <c r="H7636" s="70" t="str">
        <f t="shared" si="255"/>
        <v/>
      </c>
    </row>
    <row r="7637" spans="1:8">
      <c r="A7637" s="2"/>
      <c r="B7637" s="12"/>
      <c r="C7637" s="12"/>
      <c r="E7637" t="str">
        <f>IF(LEN(D7637)=0,"",[1]!i_pq_tradedays($B$3,A7638,A7637)-1)</f>
        <v/>
      </c>
      <c r="G7637" s="16" t="str">
        <f t="shared" si="254"/>
        <v/>
      </c>
      <c r="H7637" s="70" t="str">
        <f t="shared" si="255"/>
        <v/>
      </c>
    </row>
    <row r="7638" spans="1:8">
      <c r="A7638" s="2"/>
      <c r="B7638" s="12"/>
      <c r="C7638" s="12"/>
      <c r="E7638" t="str">
        <f>IF(LEN(D7638)=0,"",[1]!i_pq_tradedays($B$3,A7639,A7638)-1)</f>
        <v/>
      </c>
      <c r="G7638" s="16" t="str">
        <f t="shared" si="254"/>
        <v/>
      </c>
      <c r="H7638" s="70" t="str">
        <f t="shared" si="255"/>
        <v/>
      </c>
    </row>
    <row r="7639" spans="1:8">
      <c r="A7639" s="2"/>
      <c r="B7639" s="12"/>
      <c r="C7639" s="12"/>
      <c r="E7639" t="str">
        <f>IF(LEN(D7639)=0,"",[1]!i_pq_tradedays($B$3,A7640,A7639)-1)</f>
        <v/>
      </c>
      <c r="G7639" s="16" t="str">
        <f t="shared" si="254"/>
        <v/>
      </c>
      <c r="H7639" s="70" t="str">
        <f t="shared" si="255"/>
        <v/>
      </c>
    </row>
    <row r="7640" spans="1:8">
      <c r="A7640" s="2"/>
      <c r="B7640" s="12"/>
      <c r="C7640" s="12"/>
      <c r="E7640" t="str">
        <f>IF(LEN(D7640)=0,"",[1]!i_pq_tradedays($B$3,A7641,A7640)-1)</f>
        <v/>
      </c>
      <c r="G7640" s="16" t="str">
        <f t="shared" si="254"/>
        <v/>
      </c>
      <c r="H7640" s="70" t="str">
        <f t="shared" si="255"/>
        <v/>
      </c>
    </row>
    <row r="7641" spans="1:8">
      <c r="A7641" s="2"/>
      <c r="B7641" s="12"/>
      <c r="C7641" s="12"/>
      <c r="E7641" t="str">
        <f>IF(LEN(D7641)=0,"",[1]!i_pq_tradedays($B$3,A7642,A7641)-1)</f>
        <v/>
      </c>
      <c r="G7641" s="16" t="str">
        <f t="shared" si="254"/>
        <v/>
      </c>
      <c r="H7641" s="70" t="str">
        <f t="shared" si="255"/>
        <v/>
      </c>
    </row>
    <row r="7642" spans="1:8">
      <c r="A7642" s="2"/>
      <c r="B7642" s="12"/>
      <c r="C7642" s="12"/>
      <c r="E7642" t="str">
        <f>IF(LEN(D7642)=0,"",[1]!i_pq_tradedays($B$3,A7643,A7642)-1)</f>
        <v/>
      </c>
      <c r="G7642" s="16" t="str">
        <f t="shared" si="254"/>
        <v/>
      </c>
      <c r="H7642" s="70" t="str">
        <f t="shared" si="255"/>
        <v/>
      </c>
    </row>
    <row r="7643" spans="1:8">
      <c r="A7643" s="2"/>
      <c r="B7643" s="12"/>
      <c r="C7643" s="12"/>
      <c r="E7643" t="str">
        <f>IF(LEN(D7643)=0,"",[1]!i_pq_tradedays($B$3,A7644,A7643)-1)</f>
        <v/>
      </c>
      <c r="G7643" s="16" t="str">
        <f t="shared" si="254"/>
        <v/>
      </c>
      <c r="H7643" s="70" t="str">
        <f t="shared" si="255"/>
        <v/>
      </c>
    </row>
    <row r="7644" spans="1:8">
      <c r="A7644" s="2"/>
      <c r="B7644" s="12"/>
      <c r="C7644" s="12"/>
      <c r="E7644" t="str">
        <f>IF(LEN(D7644)=0,"",[1]!i_pq_tradedays($B$3,A7645,A7644)-1)</f>
        <v/>
      </c>
      <c r="G7644" s="16" t="str">
        <f t="shared" si="254"/>
        <v/>
      </c>
      <c r="H7644" s="70" t="str">
        <f t="shared" si="255"/>
        <v/>
      </c>
    </row>
    <row r="7645" spans="1:8">
      <c r="A7645" s="2"/>
      <c r="B7645" s="12"/>
      <c r="C7645" s="12"/>
      <c r="E7645" t="str">
        <f>IF(LEN(D7645)=0,"",[1]!i_pq_tradedays($B$3,A7646,A7645)-1)</f>
        <v/>
      </c>
      <c r="G7645" s="16" t="str">
        <f t="shared" si="254"/>
        <v/>
      </c>
      <c r="H7645" s="70" t="str">
        <f t="shared" si="255"/>
        <v/>
      </c>
    </row>
    <row r="7646" spans="1:8">
      <c r="A7646" s="2"/>
      <c r="B7646" s="12"/>
      <c r="C7646" s="12"/>
      <c r="E7646" t="str">
        <f>IF(LEN(D7646)=0,"",[1]!i_pq_tradedays($B$3,A7647,A7646)-1)</f>
        <v/>
      </c>
      <c r="G7646" s="16" t="str">
        <f t="shared" si="254"/>
        <v/>
      </c>
      <c r="H7646" s="70" t="str">
        <f t="shared" si="255"/>
        <v/>
      </c>
    </row>
    <row r="7647" spans="1:8">
      <c r="A7647" s="2"/>
      <c r="B7647" s="12"/>
      <c r="C7647" s="12"/>
      <c r="E7647" t="str">
        <f>IF(LEN(D7647)=0,"",[1]!i_pq_tradedays($B$3,A7648,A7647)-1)</f>
        <v/>
      </c>
      <c r="G7647" s="16" t="str">
        <f t="shared" si="254"/>
        <v/>
      </c>
      <c r="H7647" s="70" t="str">
        <f t="shared" si="255"/>
        <v/>
      </c>
    </row>
    <row r="7648" spans="1:8">
      <c r="A7648" s="2"/>
      <c r="B7648" s="12"/>
      <c r="C7648" s="12"/>
      <c r="E7648" t="str">
        <f>IF(LEN(D7648)=0,"",[1]!i_pq_tradedays($B$3,A7649,A7648)-1)</f>
        <v/>
      </c>
      <c r="G7648" s="16" t="str">
        <f t="shared" si="254"/>
        <v/>
      </c>
      <c r="H7648" s="70" t="str">
        <f t="shared" si="255"/>
        <v/>
      </c>
    </row>
    <row r="7649" spans="1:8">
      <c r="A7649" s="2"/>
      <c r="B7649" s="12"/>
      <c r="C7649" s="12"/>
      <c r="E7649" t="str">
        <f>IF(LEN(D7649)=0,"",[1]!i_pq_tradedays($B$3,A7650,A7649)-1)</f>
        <v/>
      </c>
      <c r="G7649" s="16" t="str">
        <f t="shared" si="254"/>
        <v/>
      </c>
      <c r="H7649" s="70" t="str">
        <f t="shared" si="255"/>
        <v/>
      </c>
    </row>
    <row r="7650" spans="1:8">
      <c r="A7650" s="2"/>
      <c r="B7650" s="12"/>
      <c r="C7650" s="12"/>
      <c r="E7650" t="str">
        <f>IF(LEN(D7650)=0,"",[1]!i_pq_tradedays($B$3,A7651,A7650)-1)</f>
        <v/>
      </c>
      <c r="G7650" s="16" t="str">
        <f t="shared" si="254"/>
        <v/>
      </c>
      <c r="H7650" s="70" t="str">
        <f t="shared" si="255"/>
        <v/>
      </c>
    </row>
    <row r="7651" spans="1:8">
      <c r="A7651" s="2"/>
      <c r="B7651" s="12"/>
      <c r="C7651" s="12"/>
      <c r="E7651" t="str">
        <f>IF(LEN(D7651)=0,"",[1]!i_pq_tradedays($B$3,A7652,A7651)-1)</f>
        <v/>
      </c>
      <c r="G7651" s="16" t="str">
        <f t="shared" si="254"/>
        <v/>
      </c>
      <c r="H7651" s="70" t="str">
        <f t="shared" si="255"/>
        <v/>
      </c>
    </row>
    <row r="7652" spans="1:8">
      <c r="A7652" s="2"/>
      <c r="B7652" s="12"/>
      <c r="C7652" s="12"/>
      <c r="E7652" t="str">
        <f>IF(LEN(D7652)=0,"",[1]!i_pq_tradedays($B$3,A7653,A7652)-1)</f>
        <v/>
      </c>
      <c r="G7652" s="16" t="str">
        <f t="shared" si="254"/>
        <v/>
      </c>
      <c r="H7652" s="70" t="str">
        <f t="shared" si="255"/>
        <v/>
      </c>
    </row>
    <row r="7653" spans="1:8">
      <c r="A7653" s="2"/>
      <c r="B7653" s="12"/>
      <c r="C7653" s="12"/>
      <c r="E7653" t="str">
        <f>IF(LEN(D7653)=0,"",[1]!i_pq_tradedays($B$3,A7654,A7653)-1)</f>
        <v/>
      </c>
      <c r="G7653" s="16" t="str">
        <f t="shared" si="254"/>
        <v/>
      </c>
      <c r="H7653" s="70" t="str">
        <f t="shared" si="255"/>
        <v/>
      </c>
    </row>
    <row r="7654" spans="1:8">
      <c r="A7654" s="2"/>
      <c r="B7654" s="12"/>
      <c r="C7654" s="12"/>
      <c r="E7654" t="str">
        <f>IF(LEN(D7654)=0,"",[1]!i_pq_tradedays($B$3,A7655,A7654)-1)</f>
        <v/>
      </c>
      <c r="G7654" s="16" t="str">
        <f t="shared" si="254"/>
        <v/>
      </c>
      <c r="H7654" s="70" t="str">
        <f t="shared" si="255"/>
        <v/>
      </c>
    </row>
    <row r="7655" spans="1:8">
      <c r="A7655" s="2"/>
      <c r="B7655" s="12"/>
      <c r="C7655" s="12"/>
      <c r="E7655" t="str">
        <f>IF(LEN(D7655)=0,"",[1]!i_pq_tradedays($B$3,A7656,A7655)-1)</f>
        <v/>
      </c>
      <c r="G7655" s="16" t="str">
        <f t="shared" si="254"/>
        <v/>
      </c>
      <c r="H7655" s="70" t="str">
        <f t="shared" si="255"/>
        <v/>
      </c>
    </row>
    <row r="7656" spans="1:8">
      <c r="A7656" s="2"/>
      <c r="B7656" s="12"/>
      <c r="C7656" s="12"/>
      <c r="E7656" t="str">
        <f>IF(LEN(D7656)=0,"",[1]!i_pq_tradedays($B$3,A7657,A7656)-1)</f>
        <v/>
      </c>
      <c r="G7656" s="16" t="str">
        <f t="shared" si="254"/>
        <v/>
      </c>
      <c r="H7656" s="70" t="str">
        <f t="shared" si="255"/>
        <v/>
      </c>
    </row>
    <row r="7657" spans="1:8">
      <c r="A7657" s="2"/>
      <c r="B7657" s="12"/>
      <c r="C7657" s="12"/>
      <c r="E7657" t="str">
        <f>IF(LEN(D7657)=0,"",[1]!i_pq_tradedays($B$3,A7658,A7657)-1)</f>
        <v/>
      </c>
      <c r="G7657" s="16" t="str">
        <f t="shared" si="254"/>
        <v/>
      </c>
      <c r="H7657" s="70" t="str">
        <f t="shared" si="255"/>
        <v/>
      </c>
    </row>
    <row r="7658" spans="1:8">
      <c r="A7658" s="2"/>
      <c r="B7658" s="12"/>
      <c r="C7658" s="12"/>
      <c r="E7658" t="str">
        <f>IF(LEN(D7658)=0,"",[1]!i_pq_tradedays($B$3,A7659,A7658)-1)</f>
        <v/>
      </c>
      <c r="G7658" s="16" t="str">
        <f t="shared" si="254"/>
        <v/>
      </c>
      <c r="H7658" s="70" t="str">
        <f t="shared" si="255"/>
        <v/>
      </c>
    </row>
    <row r="7659" spans="1:8">
      <c r="A7659" s="2"/>
      <c r="B7659" s="12"/>
      <c r="C7659" s="12"/>
      <c r="E7659" t="str">
        <f>IF(LEN(D7659)=0,"",[1]!i_pq_tradedays($B$3,A7660,A7659)-1)</f>
        <v/>
      </c>
      <c r="G7659" s="16" t="str">
        <f t="shared" si="254"/>
        <v/>
      </c>
      <c r="H7659" s="70" t="str">
        <f t="shared" si="255"/>
        <v/>
      </c>
    </row>
    <row r="7660" spans="1:8">
      <c r="A7660" s="2"/>
      <c r="B7660" s="12"/>
      <c r="C7660" s="12"/>
      <c r="E7660" t="str">
        <f>IF(LEN(D7660)=0,"",[1]!i_pq_tradedays($B$3,A7661,A7660)-1)</f>
        <v/>
      </c>
      <c r="G7660" s="16" t="str">
        <f t="shared" si="254"/>
        <v/>
      </c>
      <c r="H7660" s="70" t="str">
        <f t="shared" si="255"/>
        <v/>
      </c>
    </row>
    <row r="7661" spans="1:8">
      <c r="A7661" s="2"/>
      <c r="B7661" s="12"/>
      <c r="C7661" s="12"/>
      <c r="E7661" t="str">
        <f>IF(LEN(D7661)=0,"",[1]!i_pq_tradedays($B$3,A7662,A7661)-1)</f>
        <v/>
      </c>
      <c r="G7661" s="16" t="str">
        <f t="shared" si="254"/>
        <v/>
      </c>
      <c r="H7661" s="70" t="str">
        <f t="shared" si="255"/>
        <v/>
      </c>
    </row>
    <row r="7662" spans="1:8">
      <c r="A7662" s="2"/>
      <c r="B7662" s="12"/>
      <c r="C7662" s="12"/>
      <c r="E7662" t="str">
        <f>IF(LEN(D7662)=0,"",[1]!i_pq_tradedays($B$3,A7663,A7662)-1)</f>
        <v/>
      </c>
      <c r="G7662" s="16" t="str">
        <f t="shared" si="254"/>
        <v/>
      </c>
      <c r="H7662" s="70" t="str">
        <f t="shared" si="255"/>
        <v/>
      </c>
    </row>
    <row r="7663" spans="1:8">
      <c r="A7663" s="2"/>
      <c r="B7663" s="12"/>
      <c r="C7663" s="12"/>
      <c r="E7663" t="str">
        <f>IF(LEN(D7663)=0,"",[1]!i_pq_tradedays($B$3,A7664,A7663)-1)</f>
        <v/>
      </c>
      <c r="G7663" s="16" t="str">
        <f t="shared" si="254"/>
        <v/>
      </c>
      <c r="H7663" s="70" t="str">
        <f t="shared" si="255"/>
        <v/>
      </c>
    </row>
    <row r="7664" spans="1:8">
      <c r="A7664" s="2"/>
      <c r="B7664" s="12"/>
      <c r="C7664" s="12"/>
      <c r="E7664" t="str">
        <f>IF(LEN(D7664)=0,"",[1]!i_pq_tradedays($B$3,A7665,A7664)-1)</f>
        <v/>
      </c>
      <c r="G7664" s="16" t="str">
        <f t="shared" si="254"/>
        <v/>
      </c>
      <c r="H7664" s="70" t="str">
        <f t="shared" si="255"/>
        <v/>
      </c>
    </row>
    <row r="7665" spans="1:8">
      <c r="A7665" s="2"/>
      <c r="B7665" s="12"/>
      <c r="C7665" s="12"/>
      <c r="E7665" t="str">
        <f>IF(LEN(D7665)=0,"",[1]!i_pq_tradedays($B$3,A7666,A7665)-1)</f>
        <v/>
      </c>
      <c r="G7665" s="16" t="str">
        <f t="shared" si="254"/>
        <v/>
      </c>
      <c r="H7665" s="70" t="str">
        <f t="shared" si="255"/>
        <v/>
      </c>
    </row>
    <row r="7666" spans="1:8">
      <c r="A7666" s="2"/>
      <c r="B7666" s="12"/>
      <c r="C7666" s="12"/>
      <c r="E7666" t="str">
        <f>IF(LEN(D7666)=0,"",[1]!i_pq_tradedays($B$3,A7667,A7666)-1)</f>
        <v/>
      </c>
      <c r="G7666" s="16" t="str">
        <f t="shared" si="254"/>
        <v/>
      </c>
      <c r="H7666" s="70" t="str">
        <f t="shared" si="255"/>
        <v/>
      </c>
    </row>
    <row r="7667" spans="1:8">
      <c r="A7667" s="2"/>
      <c r="B7667" s="12"/>
      <c r="C7667" s="12"/>
      <c r="E7667" t="str">
        <f>IF(LEN(D7667)=0,"",[1]!i_pq_tradedays($B$3,A7668,A7667)-1)</f>
        <v/>
      </c>
      <c r="G7667" s="16" t="str">
        <f t="shared" si="254"/>
        <v/>
      </c>
      <c r="H7667" s="70" t="str">
        <f t="shared" si="255"/>
        <v/>
      </c>
    </row>
    <row r="7668" spans="1:8">
      <c r="A7668" s="2"/>
      <c r="B7668" s="12"/>
      <c r="C7668" s="12"/>
      <c r="E7668" t="str">
        <f>IF(LEN(D7668)=0,"",[1]!i_pq_tradedays($B$3,A7669,A7668)-1)</f>
        <v/>
      </c>
      <c r="G7668" s="16" t="str">
        <f t="shared" si="254"/>
        <v/>
      </c>
      <c r="H7668" s="70" t="str">
        <f t="shared" si="255"/>
        <v/>
      </c>
    </row>
    <row r="7669" spans="1:8">
      <c r="A7669" s="2"/>
      <c r="B7669" s="12"/>
      <c r="C7669" s="12"/>
      <c r="E7669" t="str">
        <f>IF(LEN(D7669)=0,"",[1]!i_pq_tradedays($B$3,A7670,A7669)-1)</f>
        <v/>
      </c>
      <c r="G7669" s="16" t="str">
        <f t="shared" ref="G7669:G7732" si="256">IF(LEN(D7669)=0,"",D7669/E7669)</f>
        <v/>
      </c>
      <c r="H7669" s="70" t="str">
        <f t="shared" ref="H7669:H7732" si="257">IF(LEN(D7669)=0,"",G7669/G7670-1)</f>
        <v/>
      </c>
    </row>
    <row r="7670" spans="1:8">
      <c r="A7670" s="2"/>
      <c r="B7670" s="12"/>
      <c r="C7670" s="12"/>
      <c r="E7670" t="str">
        <f>IF(LEN(D7670)=0,"",[1]!i_pq_tradedays($B$3,A7671,A7670)-1)</f>
        <v/>
      </c>
      <c r="G7670" s="16" t="str">
        <f t="shared" si="256"/>
        <v/>
      </c>
      <c r="H7670" s="70" t="str">
        <f t="shared" si="257"/>
        <v/>
      </c>
    </row>
    <row r="7671" spans="1:8">
      <c r="A7671" s="2"/>
      <c r="B7671" s="12"/>
      <c r="C7671" s="12"/>
      <c r="E7671" t="str">
        <f>IF(LEN(D7671)=0,"",[1]!i_pq_tradedays($B$3,A7672,A7671)-1)</f>
        <v/>
      </c>
      <c r="G7671" s="16" t="str">
        <f t="shared" si="256"/>
        <v/>
      </c>
      <c r="H7671" s="70" t="str">
        <f t="shared" si="257"/>
        <v/>
      </c>
    </row>
    <row r="7672" spans="1:8">
      <c r="A7672" s="2"/>
      <c r="B7672" s="12"/>
      <c r="C7672" s="12"/>
      <c r="E7672" t="str">
        <f>IF(LEN(D7672)=0,"",[1]!i_pq_tradedays($B$3,A7673,A7672)-1)</f>
        <v/>
      </c>
      <c r="G7672" s="16" t="str">
        <f t="shared" si="256"/>
        <v/>
      </c>
      <c r="H7672" s="70" t="str">
        <f t="shared" si="257"/>
        <v/>
      </c>
    </row>
    <row r="7673" spans="1:8">
      <c r="A7673" s="2"/>
      <c r="B7673" s="12"/>
      <c r="C7673" s="12"/>
      <c r="E7673" t="str">
        <f>IF(LEN(D7673)=0,"",[1]!i_pq_tradedays($B$3,A7674,A7673)-1)</f>
        <v/>
      </c>
      <c r="G7673" s="16" t="str">
        <f t="shared" si="256"/>
        <v/>
      </c>
      <c r="H7673" s="70" t="str">
        <f t="shared" si="257"/>
        <v/>
      </c>
    </row>
    <row r="7674" spans="1:8">
      <c r="A7674" s="2"/>
      <c r="B7674" s="12"/>
      <c r="C7674" s="12"/>
      <c r="E7674" t="str">
        <f>IF(LEN(D7674)=0,"",[1]!i_pq_tradedays($B$3,A7675,A7674)-1)</f>
        <v/>
      </c>
      <c r="G7674" s="16" t="str">
        <f t="shared" si="256"/>
        <v/>
      </c>
      <c r="H7674" s="70" t="str">
        <f t="shared" si="257"/>
        <v/>
      </c>
    </row>
    <row r="7675" spans="1:8">
      <c r="A7675" s="2"/>
      <c r="B7675" s="12"/>
      <c r="C7675" s="12"/>
      <c r="E7675" t="str">
        <f>IF(LEN(D7675)=0,"",[1]!i_pq_tradedays($B$3,A7676,A7675)-1)</f>
        <v/>
      </c>
      <c r="G7675" s="16" t="str">
        <f t="shared" si="256"/>
        <v/>
      </c>
      <c r="H7675" s="70" t="str">
        <f t="shared" si="257"/>
        <v/>
      </c>
    </row>
    <row r="7676" spans="1:8">
      <c r="A7676" s="2"/>
      <c r="B7676" s="12"/>
      <c r="C7676" s="12"/>
      <c r="E7676" t="str">
        <f>IF(LEN(D7676)=0,"",[1]!i_pq_tradedays($B$3,A7677,A7676)-1)</f>
        <v/>
      </c>
      <c r="G7676" s="16" t="str">
        <f t="shared" si="256"/>
        <v/>
      </c>
      <c r="H7676" s="70" t="str">
        <f t="shared" si="257"/>
        <v/>
      </c>
    </row>
    <row r="7677" spans="1:8">
      <c r="A7677" s="2"/>
      <c r="B7677" s="12"/>
      <c r="C7677" s="12"/>
      <c r="E7677" t="str">
        <f>IF(LEN(D7677)=0,"",[1]!i_pq_tradedays($B$3,A7678,A7677)-1)</f>
        <v/>
      </c>
      <c r="G7677" s="16" t="str">
        <f t="shared" si="256"/>
        <v/>
      </c>
      <c r="H7677" s="70" t="str">
        <f t="shared" si="257"/>
        <v/>
      </c>
    </row>
    <row r="7678" spans="1:8">
      <c r="A7678" s="2"/>
      <c r="B7678" s="12"/>
      <c r="C7678" s="12"/>
      <c r="E7678" t="str">
        <f>IF(LEN(D7678)=0,"",[1]!i_pq_tradedays($B$3,A7679,A7678)-1)</f>
        <v/>
      </c>
      <c r="G7678" s="16" t="str">
        <f t="shared" si="256"/>
        <v/>
      </c>
      <c r="H7678" s="70" t="str">
        <f t="shared" si="257"/>
        <v/>
      </c>
    </row>
    <row r="7679" spans="1:8">
      <c r="A7679" s="2"/>
      <c r="B7679" s="12"/>
      <c r="C7679" s="12"/>
      <c r="E7679" t="str">
        <f>IF(LEN(D7679)=0,"",[1]!i_pq_tradedays($B$3,A7680,A7679)-1)</f>
        <v/>
      </c>
      <c r="G7679" s="16" t="str">
        <f t="shared" si="256"/>
        <v/>
      </c>
      <c r="H7679" s="70" t="str">
        <f t="shared" si="257"/>
        <v/>
      </c>
    </row>
    <row r="7680" spans="1:8">
      <c r="A7680" s="2"/>
      <c r="B7680" s="12"/>
      <c r="C7680" s="12"/>
      <c r="E7680" t="str">
        <f>IF(LEN(D7680)=0,"",[1]!i_pq_tradedays($B$3,A7681,A7680)-1)</f>
        <v/>
      </c>
      <c r="G7680" s="16" t="str">
        <f t="shared" si="256"/>
        <v/>
      </c>
      <c r="H7680" s="70" t="str">
        <f t="shared" si="257"/>
        <v/>
      </c>
    </row>
    <row r="7681" spans="1:8">
      <c r="A7681" s="2"/>
      <c r="B7681" s="12"/>
      <c r="C7681" s="12"/>
      <c r="E7681" t="str">
        <f>IF(LEN(D7681)=0,"",[1]!i_pq_tradedays($B$3,A7682,A7681)-1)</f>
        <v/>
      </c>
      <c r="G7681" s="16" t="str">
        <f t="shared" si="256"/>
        <v/>
      </c>
      <c r="H7681" s="70" t="str">
        <f t="shared" si="257"/>
        <v/>
      </c>
    </row>
    <row r="7682" spans="1:8">
      <c r="A7682" s="2"/>
      <c r="B7682" s="12"/>
      <c r="C7682" s="12"/>
      <c r="E7682" t="str">
        <f>IF(LEN(D7682)=0,"",[1]!i_pq_tradedays($B$3,A7683,A7682)-1)</f>
        <v/>
      </c>
      <c r="G7682" s="16" t="str">
        <f t="shared" si="256"/>
        <v/>
      </c>
      <c r="H7682" s="70" t="str">
        <f t="shared" si="257"/>
        <v/>
      </c>
    </row>
    <row r="7683" spans="1:8">
      <c r="A7683" s="2"/>
      <c r="B7683" s="12"/>
      <c r="C7683" s="12"/>
      <c r="E7683" t="str">
        <f>IF(LEN(D7683)=0,"",[1]!i_pq_tradedays($B$3,A7684,A7683)-1)</f>
        <v/>
      </c>
      <c r="G7683" s="16" t="str">
        <f t="shared" si="256"/>
        <v/>
      </c>
      <c r="H7683" s="70" t="str">
        <f t="shared" si="257"/>
        <v/>
      </c>
    </row>
    <row r="7684" spans="1:8">
      <c r="A7684" s="2"/>
      <c r="B7684" s="12"/>
      <c r="C7684" s="12"/>
      <c r="E7684" t="str">
        <f>IF(LEN(D7684)=0,"",[1]!i_pq_tradedays($B$3,A7685,A7684)-1)</f>
        <v/>
      </c>
      <c r="G7684" s="16" t="str">
        <f t="shared" si="256"/>
        <v/>
      </c>
      <c r="H7684" s="70" t="str">
        <f t="shared" si="257"/>
        <v/>
      </c>
    </row>
    <row r="7685" spans="1:8">
      <c r="A7685" s="2"/>
      <c r="B7685" s="12"/>
      <c r="C7685" s="12"/>
      <c r="E7685" t="str">
        <f>IF(LEN(D7685)=0,"",[1]!i_pq_tradedays($B$3,A7686,A7685)-1)</f>
        <v/>
      </c>
      <c r="G7685" s="16" t="str">
        <f t="shared" si="256"/>
        <v/>
      </c>
      <c r="H7685" s="70" t="str">
        <f t="shared" si="257"/>
        <v/>
      </c>
    </row>
    <row r="7686" spans="1:8">
      <c r="A7686" s="2"/>
      <c r="B7686" s="12"/>
      <c r="C7686" s="12"/>
      <c r="E7686" t="str">
        <f>IF(LEN(D7686)=0,"",[1]!i_pq_tradedays($B$3,A7687,A7686)-1)</f>
        <v/>
      </c>
      <c r="G7686" s="16" t="str">
        <f t="shared" si="256"/>
        <v/>
      </c>
      <c r="H7686" s="70" t="str">
        <f t="shared" si="257"/>
        <v/>
      </c>
    </row>
    <row r="7687" spans="1:8">
      <c r="A7687" s="2"/>
      <c r="B7687" s="12"/>
      <c r="C7687" s="12"/>
      <c r="E7687" t="str">
        <f>IF(LEN(D7687)=0,"",[1]!i_pq_tradedays($B$3,A7688,A7687)-1)</f>
        <v/>
      </c>
      <c r="G7687" s="16" t="str">
        <f t="shared" si="256"/>
        <v/>
      </c>
      <c r="H7687" s="70" t="str">
        <f t="shared" si="257"/>
        <v/>
      </c>
    </row>
    <row r="7688" spans="1:8">
      <c r="A7688" s="2"/>
      <c r="B7688" s="12"/>
      <c r="C7688" s="12"/>
      <c r="E7688" t="str">
        <f>IF(LEN(D7688)=0,"",[1]!i_pq_tradedays($B$3,A7689,A7688)-1)</f>
        <v/>
      </c>
      <c r="G7688" s="16" t="str">
        <f t="shared" si="256"/>
        <v/>
      </c>
      <c r="H7688" s="70" t="str">
        <f t="shared" si="257"/>
        <v/>
      </c>
    </row>
    <row r="7689" spans="1:8">
      <c r="A7689" s="2"/>
      <c r="B7689" s="12"/>
      <c r="C7689" s="12"/>
      <c r="E7689" t="str">
        <f>IF(LEN(D7689)=0,"",[1]!i_pq_tradedays($B$3,A7690,A7689)-1)</f>
        <v/>
      </c>
      <c r="G7689" s="16" t="str">
        <f t="shared" si="256"/>
        <v/>
      </c>
      <c r="H7689" s="70" t="str">
        <f t="shared" si="257"/>
        <v/>
      </c>
    </row>
    <row r="7690" spans="1:8">
      <c r="A7690" s="2"/>
      <c r="B7690" s="12"/>
      <c r="C7690" s="12"/>
      <c r="E7690" t="str">
        <f>IF(LEN(D7690)=0,"",[1]!i_pq_tradedays($B$3,A7691,A7690)-1)</f>
        <v/>
      </c>
      <c r="G7690" s="16" t="str">
        <f t="shared" si="256"/>
        <v/>
      </c>
      <c r="H7690" s="70" t="str">
        <f t="shared" si="257"/>
        <v/>
      </c>
    </row>
    <row r="7691" spans="1:8">
      <c r="A7691" s="2"/>
      <c r="B7691" s="12"/>
      <c r="C7691" s="12"/>
      <c r="E7691" t="str">
        <f>IF(LEN(D7691)=0,"",[1]!i_pq_tradedays($B$3,A7692,A7691)-1)</f>
        <v/>
      </c>
      <c r="G7691" s="16" t="str">
        <f t="shared" si="256"/>
        <v/>
      </c>
      <c r="H7691" s="70" t="str">
        <f t="shared" si="257"/>
        <v/>
      </c>
    </row>
    <row r="7692" spans="1:8">
      <c r="A7692" s="2"/>
      <c r="B7692" s="12"/>
      <c r="C7692" s="12"/>
      <c r="E7692" t="str">
        <f>IF(LEN(D7692)=0,"",[1]!i_pq_tradedays($B$3,A7693,A7692)-1)</f>
        <v/>
      </c>
      <c r="G7692" s="16" t="str">
        <f t="shared" si="256"/>
        <v/>
      </c>
      <c r="H7692" s="70" t="str">
        <f t="shared" si="257"/>
        <v/>
      </c>
    </row>
    <row r="7693" spans="1:8">
      <c r="A7693" s="2"/>
      <c r="B7693" s="12"/>
      <c r="C7693" s="12"/>
      <c r="E7693" t="str">
        <f>IF(LEN(D7693)=0,"",[1]!i_pq_tradedays($B$3,A7694,A7693)-1)</f>
        <v/>
      </c>
      <c r="G7693" s="16" t="str">
        <f t="shared" si="256"/>
        <v/>
      </c>
      <c r="H7693" s="70" t="str">
        <f t="shared" si="257"/>
        <v/>
      </c>
    </row>
    <row r="7694" spans="1:8">
      <c r="A7694" s="2"/>
      <c r="B7694" s="12"/>
      <c r="C7694" s="12"/>
      <c r="E7694" t="str">
        <f>IF(LEN(D7694)=0,"",[1]!i_pq_tradedays($B$3,A7695,A7694)-1)</f>
        <v/>
      </c>
      <c r="G7694" s="16" t="str">
        <f t="shared" si="256"/>
        <v/>
      </c>
      <c r="H7694" s="70" t="str">
        <f t="shared" si="257"/>
        <v/>
      </c>
    </row>
    <row r="7695" spans="1:8">
      <c r="A7695" s="2"/>
      <c r="B7695" s="12"/>
      <c r="C7695" s="12"/>
      <c r="E7695" t="str">
        <f>IF(LEN(D7695)=0,"",[1]!i_pq_tradedays($B$3,A7696,A7695)-1)</f>
        <v/>
      </c>
      <c r="G7695" s="16" t="str">
        <f t="shared" si="256"/>
        <v/>
      </c>
      <c r="H7695" s="70" t="str">
        <f t="shared" si="257"/>
        <v/>
      </c>
    </row>
    <row r="7696" spans="1:8">
      <c r="A7696" s="2"/>
      <c r="B7696" s="12"/>
      <c r="C7696" s="12"/>
      <c r="E7696" t="str">
        <f>IF(LEN(D7696)=0,"",[1]!i_pq_tradedays($B$3,A7697,A7696)-1)</f>
        <v/>
      </c>
      <c r="G7696" s="16" t="str">
        <f t="shared" si="256"/>
        <v/>
      </c>
      <c r="H7696" s="70" t="str">
        <f t="shared" si="257"/>
        <v/>
      </c>
    </row>
    <row r="7697" spans="1:8">
      <c r="A7697" s="2"/>
      <c r="B7697" s="12"/>
      <c r="C7697" s="12"/>
      <c r="E7697" t="str">
        <f>IF(LEN(D7697)=0,"",[1]!i_pq_tradedays($B$3,A7698,A7697)-1)</f>
        <v/>
      </c>
      <c r="G7697" s="16" t="str">
        <f t="shared" si="256"/>
        <v/>
      </c>
      <c r="H7697" s="70" t="str">
        <f t="shared" si="257"/>
        <v/>
      </c>
    </row>
    <row r="7698" spans="1:8">
      <c r="A7698" s="2"/>
      <c r="B7698" s="12"/>
      <c r="C7698" s="12"/>
      <c r="E7698" t="str">
        <f>IF(LEN(D7698)=0,"",[1]!i_pq_tradedays($B$3,A7699,A7698)-1)</f>
        <v/>
      </c>
      <c r="G7698" s="16" t="str">
        <f t="shared" si="256"/>
        <v/>
      </c>
      <c r="H7698" s="70" t="str">
        <f t="shared" si="257"/>
        <v/>
      </c>
    </row>
    <row r="7699" spans="1:8">
      <c r="A7699" s="2"/>
      <c r="B7699" s="12"/>
      <c r="C7699" s="12"/>
      <c r="E7699" t="str">
        <f>IF(LEN(D7699)=0,"",[1]!i_pq_tradedays($B$3,A7700,A7699)-1)</f>
        <v/>
      </c>
      <c r="G7699" s="16" t="str">
        <f t="shared" si="256"/>
        <v/>
      </c>
      <c r="H7699" s="70" t="str">
        <f t="shared" si="257"/>
        <v/>
      </c>
    </row>
    <row r="7700" spans="1:8">
      <c r="A7700" s="2"/>
      <c r="B7700" s="12"/>
      <c r="C7700" s="12"/>
      <c r="E7700" t="str">
        <f>IF(LEN(D7700)=0,"",[1]!i_pq_tradedays($B$3,A7701,A7700)-1)</f>
        <v/>
      </c>
      <c r="G7700" s="16" t="str">
        <f t="shared" si="256"/>
        <v/>
      </c>
      <c r="H7700" s="70" t="str">
        <f t="shared" si="257"/>
        <v/>
      </c>
    </row>
    <row r="7701" spans="1:8">
      <c r="A7701" s="2"/>
      <c r="B7701" s="12"/>
      <c r="C7701" s="12"/>
      <c r="E7701" t="str">
        <f>IF(LEN(D7701)=0,"",[1]!i_pq_tradedays($B$3,A7702,A7701)-1)</f>
        <v/>
      </c>
      <c r="G7701" s="16" t="str">
        <f t="shared" si="256"/>
        <v/>
      </c>
      <c r="H7701" s="70" t="str">
        <f t="shared" si="257"/>
        <v/>
      </c>
    </row>
    <row r="7702" spans="1:8">
      <c r="A7702" s="2"/>
      <c r="B7702" s="12"/>
      <c r="C7702" s="12"/>
      <c r="E7702" t="str">
        <f>IF(LEN(D7702)=0,"",[1]!i_pq_tradedays($B$3,A7703,A7702)-1)</f>
        <v/>
      </c>
      <c r="G7702" s="16" t="str">
        <f t="shared" si="256"/>
        <v/>
      </c>
      <c r="H7702" s="70" t="str">
        <f t="shared" si="257"/>
        <v/>
      </c>
    </row>
    <row r="7703" spans="1:8">
      <c r="A7703" s="2"/>
      <c r="B7703" s="12"/>
      <c r="C7703" s="12"/>
      <c r="E7703" t="str">
        <f>IF(LEN(D7703)=0,"",[1]!i_pq_tradedays($B$3,A7704,A7703)-1)</f>
        <v/>
      </c>
      <c r="G7703" s="16" t="str">
        <f t="shared" si="256"/>
        <v/>
      </c>
      <c r="H7703" s="70" t="str">
        <f t="shared" si="257"/>
        <v/>
      </c>
    </row>
    <row r="7704" spans="1:8">
      <c r="A7704" s="2"/>
      <c r="B7704" s="12"/>
      <c r="C7704" s="12"/>
      <c r="E7704" t="str">
        <f>IF(LEN(D7704)=0,"",[1]!i_pq_tradedays($B$3,A7705,A7704)-1)</f>
        <v/>
      </c>
      <c r="G7704" s="16" t="str">
        <f t="shared" si="256"/>
        <v/>
      </c>
      <c r="H7704" s="70" t="str">
        <f t="shared" si="257"/>
        <v/>
      </c>
    </row>
    <row r="7705" spans="1:8">
      <c r="A7705" s="2"/>
      <c r="B7705" s="12"/>
      <c r="C7705" s="12"/>
      <c r="E7705" t="str">
        <f>IF(LEN(D7705)=0,"",[1]!i_pq_tradedays($B$3,A7706,A7705)-1)</f>
        <v/>
      </c>
      <c r="G7705" s="16" t="str">
        <f t="shared" si="256"/>
        <v/>
      </c>
      <c r="H7705" s="70" t="str">
        <f t="shared" si="257"/>
        <v/>
      </c>
    </row>
    <row r="7706" spans="1:8">
      <c r="A7706" s="2"/>
      <c r="B7706" s="12"/>
      <c r="C7706" s="12"/>
      <c r="E7706" t="str">
        <f>IF(LEN(D7706)=0,"",[1]!i_pq_tradedays($B$3,A7707,A7706)-1)</f>
        <v/>
      </c>
      <c r="G7706" s="16" t="str">
        <f t="shared" si="256"/>
        <v/>
      </c>
      <c r="H7706" s="70" t="str">
        <f t="shared" si="257"/>
        <v/>
      </c>
    </row>
    <row r="7707" spans="1:8">
      <c r="A7707" s="2"/>
      <c r="B7707" s="12"/>
      <c r="C7707" s="12"/>
      <c r="E7707" t="str">
        <f>IF(LEN(D7707)=0,"",[1]!i_pq_tradedays($B$3,A7708,A7707)-1)</f>
        <v/>
      </c>
      <c r="G7707" s="16" t="str">
        <f t="shared" si="256"/>
        <v/>
      </c>
      <c r="H7707" s="70" t="str">
        <f t="shared" si="257"/>
        <v/>
      </c>
    </row>
    <row r="7708" spans="1:8">
      <c r="A7708" s="2"/>
      <c r="B7708" s="12"/>
      <c r="C7708" s="12"/>
      <c r="E7708" t="str">
        <f>IF(LEN(D7708)=0,"",[1]!i_pq_tradedays($B$3,A7709,A7708)-1)</f>
        <v/>
      </c>
      <c r="G7708" s="16" t="str">
        <f t="shared" si="256"/>
        <v/>
      </c>
      <c r="H7708" s="70" t="str">
        <f t="shared" si="257"/>
        <v/>
      </c>
    </row>
    <row r="7709" spans="1:8">
      <c r="A7709" s="2"/>
      <c r="B7709" s="12"/>
      <c r="C7709" s="12"/>
      <c r="E7709" t="str">
        <f>IF(LEN(D7709)=0,"",[1]!i_pq_tradedays($B$3,A7710,A7709)-1)</f>
        <v/>
      </c>
      <c r="G7709" s="16" t="str">
        <f t="shared" si="256"/>
        <v/>
      </c>
      <c r="H7709" s="70" t="str">
        <f t="shared" si="257"/>
        <v/>
      </c>
    </row>
    <row r="7710" spans="1:8">
      <c r="A7710" s="2"/>
      <c r="B7710" s="12"/>
      <c r="C7710" s="12"/>
      <c r="E7710" t="str">
        <f>IF(LEN(D7710)=0,"",[1]!i_pq_tradedays($B$3,A7711,A7710)-1)</f>
        <v/>
      </c>
      <c r="G7710" s="16" t="str">
        <f t="shared" si="256"/>
        <v/>
      </c>
      <c r="H7710" s="70" t="str">
        <f t="shared" si="257"/>
        <v/>
      </c>
    </row>
    <row r="7711" spans="1:8">
      <c r="A7711" s="2"/>
      <c r="B7711" s="12"/>
      <c r="C7711" s="12"/>
      <c r="E7711" t="str">
        <f>IF(LEN(D7711)=0,"",[1]!i_pq_tradedays($B$3,A7712,A7711)-1)</f>
        <v/>
      </c>
      <c r="G7711" s="16" t="str">
        <f t="shared" si="256"/>
        <v/>
      </c>
      <c r="H7711" s="70" t="str">
        <f t="shared" si="257"/>
        <v/>
      </c>
    </row>
    <row r="7712" spans="1:8">
      <c r="A7712" s="2"/>
      <c r="B7712" s="12"/>
      <c r="C7712" s="12"/>
      <c r="E7712" t="str">
        <f>IF(LEN(D7712)=0,"",[1]!i_pq_tradedays($B$3,A7713,A7712)-1)</f>
        <v/>
      </c>
      <c r="G7712" s="16" t="str">
        <f t="shared" si="256"/>
        <v/>
      </c>
      <c r="H7712" s="70" t="str">
        <f t="shared" si="257"/>
        <v/>
      </c>
    </row>
    <row r="7713" spans="1:8">
      <c r="A7713" s="2"/>
      <c r="B7713" s="12"/>
      <c r="C7713" s="12"/>
      <c r="E7713" t="str">
        <f>IF(LEN(D7713)=0,"",[1]!i_pq_tradedays($B$3,A7714,A7713)-1)</f>
        <v/>
      </c>
      <c r="G7713" s="16" t="str">
        <f t="shared" si="256"/>
        <v/>
      </c>
      <c r="H7713" s="70" t="str">
        <f t="shared" si="257"/>
        <v/>
      </c>
    </row>
    <row r="7714" spans="1:8">
      <c r="A7714" s="2"/>
      <c r="B7714" s="12"/>
      <c r="C7714" s="12"/>
      <c r="E7714" t="str">
        <f>IF(LEN(D7714)=0,"",[1]!i_pq_tradedays($B$3,A7715,A7714)-1)</f>
        <v/>
      </c>
      <c r="G7714" s="16" t="str">
        <f t="shared" si="256"/>
        <v/>
      </c>
      <c r="H7714" s="70" t="str">
        <f t="shared" si="257"/>
        <v/>
      </c>
    </row>
    <row r="7715" spans="1:8">
      <c r="A7715" s="2"/>
      <c r="B7715" s="12"/>
      <c r="C7715" s="12"/>
      <c r="E7715" t="str">
        <f>IF(LEN(D7715)=0,"",[1]!i_pq_tradedays($B$3,A7716,A7715)-1)</f>
        <v/>
      </c>
      <c r="G7715" s="16" t="str">
        <f t="shared" si="256"/>
        <v/>
      </c>
      <c r="H7715" s="70" t="str">
        <f t="shared" si="257"/>
        <v/>
      </c>
    </row>
    <row r="7716" spans="1:8">
      <c r="A7716" s="2"/>
      <c r="B7716" s="12"/>
      <c r="C7716" s="12"/>
      <c r="E7716" t="str">
        <f>IF(LEN(D7716)=0,"",[1]!i_pq_tradedays($B$3,A7717,A7716)-1)</f>
        <v/>
      </c>
      <c r="G7716" s="16" t="str">
        <f t="shared" si="256"/>
        <v/>
      </c>
      <c r="H7716" s="70" t="str">
        <f t="shared" si="257"/>
        <v/>
      </c>
    </row>
    <row r="7717" spans="1:8">
      <c r="A7717" s="2"/>
      <c r="B7717" s="12"/>
      <c r="C7717" s="12"/>
      <c r="E7717" t="str">
        <f>IF(LEN(D7717)=0,"",[1]!i_pq_tradedays($B$3,A7718,A7717)-1)</f>
        <v/>
      </c>
      <c r="G7717" s="16" t="str">
        <f t="shared" si="256"/>
        <v/>
      </c>
      <c r="H7717" s="70" t="str">
        <f t="shared" si="257"/>
        <v/>
      </c>
    </row>
    <row r="7718" spans="1:8">
      <c r="A7718" s="2"/>
      <c r="B7718" s="12"/>
      <c r="C7718" s="12"/>
      <c r="E7718" t="str">
        <f>IF(LEN(D7718)=0,"",[1]!i_pq_tradedays($B$3,A7719,A7718)-1)</f>
        <v/>
      </c>
      <c r="G7718" s="16" t="str">
        <f t="shared" si="256"/>
        <v/>
      </c>
      <c r="H7718" s="70" t="str">
        <f t="shared" si="257"/>
        <v/>
      </c>
    </row>
    <row r="7719" spans="1:8">
      <c r="A7719" s="2"/>
      <c r="B7719" s="12"/>
      <c r="C7719" s="12"/>
      <c r="E7719" t="str">
        <f>IF(LEN(D7719)=0,"",[1]!i_pq_tradedays($B$3,A7720,A7719)-1)</f>
        <v/>
      </c>
      <c r="G7719" s="16" t="str">
        <f t="shared" si="256"/>
        <v/>
      </c>
      <c r="H7719" s="70" t="str">
        <f t="shared" si="257"/>
        <v/>
      </c>
    </row>
    <row r="7720" spans="1:8">
      <c r="A7720" s="2"/>
      <c r="B7720" s="12"/>
      <c r="C7720" s="12"/>
      <c r="E7720" t="str">
        <f>IF(LEN(D7720)=0,"",[1]!i_pq_tradedays($B$3,A7721,A7720)-1)</f>
        <v/>
      </c>
      <c r="G7720" s="16" t="str">
        <f t="shared" si="256"/>
        <v/>
      </c>
      <c r="H7720" s="70" t="str">
        <f t="shared" si="257"/>
        <v/>
      </c>
    </row>
    <row r="7721" spans="1:8">
      <c r="A7721" s="2"/>
      <c r="B7721" s="12"/>
      <c r="C7721" s="12"/>
      <c r="E7721" t="str">
        <f>IF(LEN(D7721)=0,"",[1]!i_pq_tradedays($B$3,A7722,A7721)-1)</f>
        <v/>
      </c>
      <c r="G7721" s="16" t="str">
        <f t="shared" si="256"/>
        <v/>
      </c>
      <c r="H7721" s="70" t="str">
        <f t="shared" si="257"/>
        <v/>
      </c>
    </row>
    <row r="7722" spans="1:8">
      <c r="A7722" s="2"/>
      <c r="B7722" s="12"/>
      <c r="C7722" s="12"/>
      <c r="E7722" t="str">
        <f>IF(LEN(D7722)=0,"",[1]!i_pq_tradedays($B$3,A7723,A7722)-1)</f>
        <v/>
      </c>
      <c r="G7722" s="16" t="str">
        <f t="shared" si="256"/>
        <v/>
      </c>
      <c r="H7722" s="70" t="str">
        <f t="shared" si="257"/>
        <v/>
      </c>
    </row>
    <row r="7723" spans="1:8">
      <c r="A7723" s="2"/>
      <c r="B7723" s="12"/>
      <c r="C7723" s="12"/>
      <c r="E7723" t="str">
        <f>IF(LEN(D7723)=0,"",[1]!i_pq_tradedays($B$3,A7724,A7723)-1)</f>
        <v/>
      </c>
      <c r="G7723" s="16" t="str">
        <f t="shared" si="256"/>
        <v/>
      </c>
      <c r="H7723" s="70" t="str">
        <f t="shared" si="257"/>
        <v/>
      </c>
    </row>
    <row r="7724" spans="1:8">
      <c r="A7724" s="2"/>
      <c r="B7724" s="12"/>
      <c r="C7724" s="12"/>
      <c r="E7724" t="str">
        <f>IF(LEN(D7724)=0,"",[1]!i_pq_tradedays($B$3,A7725,A7724)-1)</f>
        <v/>
      </c>
      <c r="G7724" s="16" t="str">
        <f t="shared" si="256"/>
        <v/>
      </c>
      <c r="H7724" s="70" t="str">
        <f t="shared" si="257"/>
        <v/>
      </c>
    </row>
    <row r="7725" spans="1:8">
      <c r="A7725" s="2"/>
      <c r="B7725" s="12"/>
      <c r="C7725" s="12"/>
      <c r="E7725" t="str">
        <f>IF(LEN(D7725)=0,"",[1]!i_pq_tradedays($B$3,A7726,A7725)-1)</f>
        <v/>
      </c>
      <c r="G7725" s="16" t="str">
        <f t="shared" si="256"/>
        <v/>
      </c>
      <c r="H7725" s="70" t="str">
        <f t="shared" si="257"/>
        <v/>
      </c>
    </row>
    <row r="7726" spans="1:8">
      <c r="A7726" s="2"/>
      <c r="B7726" s="12"/>
      <c r="C7726" s="12"/>
      <c r="E7726" t="str">
        <f>IF(LEN(D7726)=0,"",[1]!i_pq_tradedays($B$3,A7727,A7726)-1)</f>
        <v/>
      </c>
      <c r="G7726" s="16" t="str">
        <f t="shared" si="256"/>
        <v/>
      </c>
      <c r="H7726" s="70" t="str">
        <f t="shared" si="257"/>
        <v/>
      </c>
    </row>
    <row r="7727" spans="1:8">
      <c r="A7727" s="2"/>
      <c r="B7727" s="12"/>
      <c r="C7727" s="12"/>
      <c r="E7727" t="str">
        <f>IF(LEN(D7727)=0,"",[1]!i_pq_tradedays($B$3,A7728,A7727)-1)</f>
        <v/>
      </c>
      <c r="G7727" s="16" t="str">
        <f t="shared" si="256"/>
        <v/>
      </c>
      <c r="H7727" s="70" t="str">
        <f t="shared" si="257"/>
        <v/>
      </c>
    </row>
    <row r="7728" spans="1:8">
      <c r="A7728" s="2"/>
      <c r="B7728" s="12"/>
      <c r="C7728" s="12"/>
      <c r="E7728" t="str">
        <f>IF(LEN(D7728)=0,"",[1]!i_pq_tradedays($B$3,A7729,A7728)-1)</f>
        <v/>
      </c>
      <c r="G7728" s="16" t="str">
        <f t="shared" si="256"/>
        <v/>
      </c>
      <c r="H7728" s="70" t="str">
        <f t="shared" si="257"/>
        <v/>
      </c>
    </row>
    <row r="7729" spans="1:8">
      <c r="A7729" s="2"/>
      <c r="B7729" s="12"/>
      <c r="C7729" s="12"/>
      <c r="E7729" t="str">
        <f>IF(LEN(D7729)=0,"",[1]!i_pq_tradedays($B$3,A7730,A7729)-1)</f>
        <v/>
      </c>
      <c r="G7729" s="16" t="str">
        <f t="shared" si="256"/>
        <v/>
      </c>
      <c r="H7729" s="70" t="str">
        <f t="shared" si="257"/>
        <v/>
      </c>
    </row>
    <row r="7730" spans="1:8">
      <c r="A7730" s="2"/>
      <c r="B7730" s="12"/>
      <c r="C7730" s="12"/>
      <c r="E7730" t="str">
        <f>IF(LEN(D7730)=0,"",[1]!i_pq_tradedays($B$3,A7731,A7730)-1)</f>
        <v/>
      </c>
      <c r="G7730" s="16" t="str">
        <f t="shared" si="256"/>
        <v/>
      </c>
      <c r="H7730" s="70" t="str">
        <f t="shared" si="257"/>
        <v/>
      </c>
    </row>
    <row r="7731" spans="1:8">
      <c r="A7731" s="2"/>
      <c r="B7731" s="12"/>
      <c r="C7731" s="12"/>
      <c r="E7731" t="str">
        <f>IF(LEN(D7731)=0,"",[1]!i_pq_tradedays($B$3,A7732,A7731)-1)</f>
        <v/>
      </c>
      <c r="G7731" s="16" t="str">
        <f t="shared" si="256"/>
        <v/>
      </c>
      <c r="H7731" s="70" t="str">
        <f t="shared" si="257"/>
        <v/>
      </c>
    </row>
    <row r="7732" spans="1:8">
      <c r="A7732" s="2"/>
      <c r="B7732" s="12"/>
      <c r="C7732" s="12"/>
      <c r="E7732" t="str">
        <f>IF(LEN(D7732)=0,"",[1]!i_pq_tradedays($B$3,A7733,A7732)-1)</f>
        <v/>
      </c>
      <c r="G7732" s="16" t="str">
        <f t="shared" si="256"/>
        <v/>
      </c>
      <c r="H7732" s="70" t="str">
        <f t="shared" si="257"/>
        <v/>
      </c>
    </row>
    <row r="7733" spans="1:8">
      <c r="A7733" s="2"/>
      <c r="B7733" s="12"/>
      <c r="C7733" s="12"/>
      <c r="E7733" t="str">
        <f>IF(LEN(D7733)=0,"",[1]!i_pq_tradedays($B$3,A7734,A7733)-1)</f>
        <v/>
      </c>
      <c r="G7733" s="16" t="str">
        <f t="shared" ref="G7733:G7796" si="258">IF(LEN(D7733)=0,"",D7733/E7733)</f>
        <v/>
      </c>
      <c r="H7733" s="70" t="str">
        <f t="shared" ref="H7733:H7796" si="259">IF(LEN(D7733)=0,"",G7733/G7734-1)</f>
        <v/>
      </c>
    </row>
    <row r="7734" spans="1:8">
      <c r="A7734" s="2"/>
      <c r="B7734" s="12"/>
      <c r="C7734" s="12"/>
      <c r="E7734" t="str">
        <f>IF(LEN(D7734)=0,"",[1]!i_pq_tradedays($B$3,A7735,A7734)-1)</f>
        <v/>
      </c>
      <c r="G7734" s="16" t="str">
        <f t="shared" si="258"/>
        <v/>
      </c>
      <c r="H7734" s="70" t="str">
        <f t="shared" si="259"/>
        <v/>
      </c>
    </row>
    <row r="7735" spans="1:8">
      <c r="A7735" s="2"/>
      <c r="B7735" s="12"/>
      <c r="C7735" s="12"/>
      <c r="E7735" t="str">
        <f>IF(LEN(D7735)=0,"",[1]!i_pq_tradedays($B$3,A7736,A7735)-1)</f>
        <v/>
      </c>
      <c r="G7735" s="16" t="str">
        <f t="shared" si="258"/>
        <v/>
      </c>
      <c r="H7735" s="70" t="str">
        <f t="shared" si="259"/>
        <v/>
      </c>
    </row>
    <row r="7736" spans="1:8">
      <c r="A7736" s="2"/>
      <c r="B7736" s="12"/>
      <c r="C7736" s="12"/>
      <c r="E7736" t="str">
        <f>IF(LEN(D7736)=0,"",[1]!i_pq_tradedays($B$3,A7737,A7736)-1)</f>
        <v/>
      </c>
      <c r="G7736" s="16" t="str">
        <f t="shared" si="258"/>
        <v/>
      </c>
      <c r="H7736" s="70" t="str">
        <f t="shared" si="259"/>
        <v/>
      </c>
    </row>
    <row r="7737" spans="1:8">
      <c r="A7737" s="2"/>
      <c r="B7737" s="12"/>
      <c r="C7737" s="12"/>
      <c r="E7737" t="str">
        <f>IF(LEN(D7737)=0,"",[1]!i_pq_tradedays($B$3,A7738,A7737)-1)</f>
        <v/>
      </c>
      <c r="G7737" s="16" t="str">
        <f t="shared" si="258"/>
        <v/>
      </c>
      <c r="H7737" s="70" t="str">
        <f t="shared" si="259"/>
        <v/>
      </c>
    </row>
    <row r="7738" spans="1:8">
      <c r="A7738" s="2"/>
      <c r="B7738" s="12"/>
      <c r="C7738" s="12"/>
      <c r="E7738" t="str">
        <f>IF(LEN(D7738)=0,"",[1]!i_pq_tradedays($B$3,A7739,A7738)-1)</f>
        <v/>
      </c>
      <c r="G7738" s="16" t="str">
        <f t="shared" si="258"/>
        <v/>
      </c>
      <c r="H7738" s="70" t="str">
        <f t="shared" si="259"/>
        <v/>
      </c>
    </row>
    <row r="7739" spans="1:8">
      <c r="A7739" s="2"/>
      <c r="B7739" s="12"/>
      <c r="C7739" s="12"/>
      <c r="E7739" t="str">
        <f>IF(LEN(D7739)=0,"",[1]!i_pq_tradedays($B$3,A7740,A7739)-1)</f>
        <v/>
      </c>
      <c r="G7739" s="16" t="str">
        <f t="shared" si="258"/>
        <v/>
      </c>
      <c r="H7739" s="70" t="str">
        <f t="shared" si="259"/>
        <v/>
      </c>
    </row>
    <row r="7740" spans="1:8">
      <c r="A7740" s="2"/>
      <c r="B7740" s="12"/>
      <c r="C7740" s="12"/>
      <c r="E7740" t="str">
        <f>IF(LEN(D7740)=0,"",[1]!i_pq_tradedays($B$3,A7741,A7740)-1)</f>
        <v/>
      </c>
      <c r="G7740" s="16" t="str">
        <f t="shared" si="258"/>
        <v/>
      </c>
      <c r="H7740" s="70" t="str">
        <f t="shared" si="259"/>
        <v/>
      </c>
    </row>
    <row r="7741" spans="1:8">
      <c r="A7741" s="2"/>
      <c r="B7741" s="12"/>
      <c r="C7741" s="12"/>
      <c r="E7741" t="str">
        <f>IF(LEN(D7741)=0,"",[1]!i_pq_tradedays($B$3,A7742,A7741)-1)</f>
        <v/>
      </c>
      <c r="G7741" s="16" t="str">
        <f t="shared" si="258"/>
        <v/>
      </c>
      <c r="H7741" s="70" t="str">
        <f t="shared" si="259"/>
        <v/>
      </c>
    </row>
    <row r="7742" spans="1:8">
      <c r="A7742" s="2"/>
      <c r="B7742" s="12"/>
      <c r="C7742" s="12"/>
      <c r="E7742" t="str">
        <f>IF(LEN(D7742)=0,"",[1]!i_pq_tradedays($B$3,A7743,A7742)-1)</f>
        <v/>
      </c>
      <c r="G7742" s="16" t="str">
        <f t="shared" si="258"/>
        <v/>
      </c>
      <c r="H7742" s="70" t="str">
        <f t="shared" si="259"/>
        <v/>
      </c>
    </row>
    <row r="7743" spans="1:8">
      <c r="A7743" s="2"/>
      <c r="B7743" s="12"/>
      <c r="C7743" s="12"/>
      <c r="E7743" t="str">
        <f>IF(LEN(D7743)=0,"",[1]!i_pq_tradedays($B$3,A7744,A7743)-1)</f>
        <v/>
      </c>
      <c r="G7743" s="16" t="str">
        <f t="shared" si="258"/>
        <v/>
      </c>
      <c r="H7743" s="70" t="str">
        <f t="shared" si="259"/>
        <v/>
      </c>
    </row>
    <row r="7744" spans="1:8">
      <c r="A7744" s="2"/>
      <c r="B7744" s="12"/>
      <c r="C7744" s="12"/>
      <c r="E7744" t="str">
        <f>IF(LEN(D7744)=0,"",[1]!i_pq_tradedays($B$3,A7745,A7744)-1)</f>
        <v/>
      </c>
      <c r="G7744" s="16" t="str">
        <f t="shared" si="258"/>
        <v/>
      </c>
      <c r="H7744" s="70" t="str">
        <f t="shared" si="259"/>
        <v/>
      </c>
    </row>
    <row r="7745" spans="1:8">
      <c r="A7745" s="2"/>
      <c r="B7745" s="12"/>
      <c r="C7745" s="12"/>
      <c r="E7745" t="str">
        <f>IF(LEN(D7745)=0,"",[1]!i_pq_tradedays($B$3,A7746,A7745)-1)</f>
        <v/>
      </c>
      <c r="G7745" s="16" t="str">
        <f t="shared" si="258"/>
        <v/>
      </c>
      <c r="H7745" s="70" t="str">
        <f t="shared" si="259"/>
        <v/>
      </c>
    </row>
    <row r="7746" spans="1:8">
      <c r="A7746" s="2"/>
      <c r="B7746" s="12"/>
      <c r="C7746" s="12"/>
      <c r="E7746" t="str">
        <f>IF(LEN(D7746)=0,"",[1]!i_pq_tradedays($B$3,A7747,A7746)-1)</f>
        <v/>
      </c>
      <c r="G7746" s="16" t="str">
        <f t="shared" si="258"/>
        <v/>
      </c>
      <c r="H7746" s="70" t="str">
        <f t="shared" si="259"/>
        <v/>
      </c>
    </row>
    <row r="7747" spans="1:8">
      <c r="A7747" s="2"/>
      <c r="B7747" s="12"/>
      <c r="C7747" s="12"/>
      <c r="E7747" t="str">
        <f>IF(LEN(D7747)=0,"",[1]!i_pq_tradedays($B$3,A7748,A7747)-1)</f>
        <v/>
      </c>
      <c r="G7747" s="16" t="str">
        <f t="shared" si="258"/>
        <v/>
      </c>
      <c r="H7747" s="70" t="str">
        <f t="shared" si="259"/>
        <v/>
      </c>
    </row>
    <row r="7748" spans="1:8">
      <c r="A7748" s="2"/>
      <c r="B7748" s="12"/>
      <c r="C7748" s="12"/>
      <c r="E7748" t="str">
        <f>IF(LEN(D7748)=0,"",[1]!i_pq_tradedays($B$3,A7749,A7748)-1)</f>
        <v/>
      </c>
      <c r="G7748" s="16" t="str">
        <f t="shared" si="258"/>
        <v/>
      </c>
      <c r="H7748" s="70" t="str">
        <f t="shared" si="259"/>
        <v/>
      </c>
    </row>
    <row r="7749" spans="1:8">
      <c r="A7749" s="2"/>
      <c r="B7749" s="12"/>
      <c r="C7749" s="12"/>
      <c r="E7749" t="str">
        <f>IF(LEN(D7749)=0,"",[1]!i_pq_tradedays($B$3,A7750,A7749)-1)</f>
        <v/>
      </c>
      <c r="G7749" s="16" t="str">
        <f t="shared" si="258"/>
        <v/>
      </c>
      <c r="H7749" s="70" t="str">
        <f t="shared" si="259"/>
        <v/>
      </c>
    </row>
    <row r="7750" spans="1:8">
      <c r="A7750" s="2"/>
      <c r="B7750" s="12"/>
      <c r="C7750" s="12"/>
      <c r="E7750" t="str">
        <f>IF(LEN(D7750)=0,"",[1]!i_pq_tradedays($B$3,A7751,A7750)-1)</f>
        <v/>
      </c>
      <c r="G7750" s="16" t="str">
        <f t="shared" si="258"/>
        <v/>
      </c>
      <c r="H7750" s="70" t="str">
        <f t="shared" si="259"/>
        <v/>
      </c>
    </row>
    <row r="7751" spans="1:8">
      <c r="A7751" s="2"/>
      <c r="B7751" s="12"/>
      <c r="C7751" s="12"/>
      <c r="E7751" t="str">
        <f>IF(LEN(D7751)=0,"",[1]!i_pq_tradedays($B$3,A7752,A7751)-1)</f>
        <v/>
      </c>
      <c r="G7751" s="16" t="str">
        <f t="shared" si="258"/>
        <v/>
      </c>
      <c r="H7751" s="70" t="str">
        <f t="shared" si="259"/>
        <v/>
      </c>
    </row>
    <row r="7752" spans="1:8">
      <c r="A7752" s="2"/>
      <c r="B7752" s="12"/>
      <c r="C7752" s="12"/>
      <c r="E7752" t="str">
        <f>IF(LEN(D7752)=0,"",[1]!i_pq_tradedays($B$3,A7753,A7752)-1)</f>
        <v/>
      </c>
      <c r="G7752" s="16" t="str">
        <f t="shared" si="258"/>
        <v/>
      </c>
      <c r="H7752" s="70" t="str">
        <f t="shared" si="259"/>
        <v/>
      </c>
    </row>
    <row r="7753" spans="1:8">
      <c r="A7753" s="2"/>
      <c r="B7753" s="12"/>
      <c r="C7753" s="12"/>
      <c r="E7753" t="str">
        <f>IF(LEN(D7753)=0,"",[1]!i_pq_tradedays($B$3,A7754,A7753)-1)</f>
        <v/>
      </c>
      <c r="G7753" s="16" t="str">
        <f t="shared" si="258"/>
        <v/>
      </c>
      <c r="H7753" s="70" t="str">
        <f t="shared" si="259"/>
        <v/>
      </c>
    </row>
    <row r="7754" spans="1:8">
      <c r="A7754" s="2"/>
      <c r="B7754" s="12"/>
      <c r="C7754" s="12"/>
      <c r="E7754" t="str">
        <f>IF(LEN(D7754)=0,"",[1]!i_pq_tradedays($B$3,A7755,A7754)-1)</f>
        <v/>
      </c>
      <c r="G7754" s="16" t="str">
        <f t="shared" si="258"/>
        <v/>
      </c>
      <c r="H7754" s="70" t="str">
        <f t="shared" si="259"/>
        <v/>
      </c>
    </row>
    <row r="7755" spans="1:8">
      <c r="A7755" s="2"/>
      <c r="B7755" s="12"/>
      <c r="C7755" s="12"/>
      <c r="E7755" t="str">
        <f>IF(LEN(D7755)=0,"",[1]!i_pq_tradedays($B$3,A7756,A7755)-1)</f>
        <v/>
      </c>
      <c r="G7755" s="16" t="str">
        <f t="shared" si="258"/>
        <v/>
      </c>
      <c r="H7755" s="70" t="str">
        <f t="shared" si="259"/>
        <v/>
      </c>
    </row>
    <row r="7756" spans="1:8">
      <c r="A7756" s="2"/>
      <c r="B7756" s="12"/>
      <c r="C7756" s="12"/>
      <c r="E7756" t="str">
        <f>IF(LEN(D7756)=0,"",[1]!i_pq_tradedays($B$3,A7757,A7756)-1)</f>
        <v/>
      </c>
      <c r="G7756" s="16" t="str">
        <f t="shared" si="258"/>
        <v/>
      </c>
      <c r="H7756" s="70" t="str">
        <f t="shared" si="259"/>
        <v/>
      </c>
    </row>
    <row r="7757" spans="1:8">
      <c r="A7757" s="2"/>
      <c r="B7757" s="12"/>
      <c r="C7757" s="12"/>
      <c r="E7757" t="str">
        <f>IF(LEN(D7757)=0,"",[1]!i_pq_tradedays($B$3,A7758,A7757)-1)</f>
        <v/>
      </c>
      <c r="G7757" s="16" t="str">
        <f t="shared" si="258"/>
        <v/>
      </c>
      <c r="H7757" s="70" t="str">
        <f t="shared" si="259"/>
        <v/>
      </c>
    </row>
    <row r="7758" spans="1:8">
      <c r="A7758" s="2"/>
      <c r="B7758" s="12"/>
      <c r="C7758" s="12"/>
      <c r="E7758" t="str">
        <f>IF(LEN(D7758)=0,"",[1]!i_pq_tradedays($B$3,A7759,A7758)-1)</f>
        <v/>
      </c>
      <c r="G7758" s="16" t="str">
        <f t="shared" si="258"/>
        <v/>
      </c>
      <c r="H7758" s="70" t="str">
        <f t="shared" si="259"/>
        <v/>
      </c>
    </row>
    <row r="7759" spans="1:8">
      <c r="A7759" s="2"/>
      <c r="B7759" s="12"/>
      <c r="C7759" s="12"/>
      <c r="E7759" t="str">
        <f>IF(LEN(D7759)=0,"",[1]!i_pq_tradedays($B$3,A7760,A7759)-1)</f>
        <v/>
      </c>
      <c r="G7759" s="16" t="str">
        <f t="shared" si="258"/>
        <v/>
      </c>
      <c r="H7759" s="70" t="str">
        <f t="shared" si="259"/>
        <v/>
      </c>
    </row>
    <row r="7760" spans="1:8">
      <c r="A7760" s="2"/>
      <c r="B7760" s="12"/>
      <c r="C7760" s="12"/>
      <c r="E7760" t="str">
        <f>IF(LEN(D7760)=0,"",[1]!i_pq_tradedays($B$3,A7761,A7760)-1)</f>
        <v/>
      </c>
      <c r="G7760" s="16" t="str">
        <f t="shared" si="258"/>
        <v/>
      </c>
      <c r="H7760" s="70" t="str">
        <f t="shared" si="259"/>
        <v/>
      </c>
    </row>
    <row r="7761" spans="1:8">
      <c r="A7761" s="2"/>
      <c r="B7761" s="12"/>
      <c r="C7761" s="12"/>
      <c r="E7761" t="str">
        <f>IF(LEN(D7761)=0,"",[1]!i_pq_tradedays($B$3,A7762,A7761)-1)</f>
        <v/>
      </c>
      <c r="G7761" s="16" t="str">
        <f t="shared" si="258"/>
        <v/>
      </c>
      <c r="H7761" s="70" t="str">
        <f t="shared" si="259"/>
        <v/>
      </c>
    </row>
    <row r="7762" spans="1:8">
      <c r="A7762" s="2"/>
      <c r="B7762" s="12"/>
      <c r="C7762" s="12"/>
      <c r="E7762" t="str">
        <f>IF(LEN(D7762)=0,"",[1]!i_pq_tradedays($B$3,A7763,A7762)-1)</f>
        <v/>
      </c>
      <c r="G7762" s="16" t="str">
        <f t="shared" si="258"/>
        <v/>
      </c>
      <c r="H7762" s="70" t="str">
        <f t="shared" si="259"/>
        <v/>
      </c>
    </row>
    <row r="7763" spans="1:8">
      <c r="A7763" s="2"/>
      <c r="B7763" s="12"/>
      <c r="C7763" s="12"/>
      <c r="E7763" t="str">
        <f>IF(LEN(D7763)=0,"",[1]!i_pq_tradedays($B$3,A7764,A7763)-1)</f>
        <v/>
      </c>
      <c r="G7763" s="16" t="str">
        <f t="shared" si="258"/>
        <v/>
      </c>
      <c r="H7763" s="70" t="str">
        <f t="shared" si="259"/>
        <v/>
      </c>
    </row>
    <row r="7764" spans="1:8">
      <c r="A7764" s="2"/>
      <c r="B7764" s="12"/>
      <c r="C7764" s="12"/>
      <c r="E7764" t="str">
        <f>IF(LEN(D7764)=0,"",[1]!i_pq_tradedays($B$3,A7765,A7764)-1)</f>
        <v/>
      </c>
      <c r="G7764" s="16" t="str">
        <f t="shared" si="258"/>
        <v/>
      </c>
      <c r="H7764" s="70" t="str">
        <f t="shared" si="259"/>
        <v/>
      </c>
    </row>
    <row r="7765" spans="1:8">
      <c r="A7765" s="2"/>
      <c r="B7765" s="12"/>
      <c r="C7765" s="12"/>
      <c r="E7765" t="str">
        <f>IF(LEN(D7765)=0,"",[1]!i_pq_tradedays($B$3,A7766,A7765)-1)</f>
        <v/>
      </c>
      <c r="G7765" s="16" t="str">
        <f t="shared" si="258"/>
        <v/>
      </c>
      <c r="H7765" s="70" t="str">
        <f t="shared" si="259"/>
        <v/>
      </c>
    </row>
    <row r="7766" spans="1:8">
      <c r="A7766" s="2"/>
      <c r="B7766" s="12"/>
      <c r="C7766" s="12"/>
      <c r="E7766" t="str">
        <f>IF(LEN(D7766)=0,"",[1]!i_pq_tradedays($B$3,A7767,A7766)-1)</f>
        <v/>
      </c>
      <c r="G7766" s="16" t="str">
        <f t="shared" si="258"/>
        <v/>
      </c>
      <c r="H7766" s="70" t="str">
        <f t="shared" si="259"/>
        <v/>
      </c>
    </row>
    <row r="7767" spans="1:8">
      <c r="A7767" s="2"/>
      <c r="B7767" s="12"/>
      <c r="C7767" s="12"/>
      <c r="E7767" t="str">
        <f>IF(LEN(D7767)=0,"",[1]!i_pq_tradedays($B$3,A7768,A7767)-1)</f>
        <v/>
      </c>
      <c r="G7767" s="16" t="str">
        <f t="shared" si="258"/>
        <v/>
      </c>
      <c r="H7767" s="70" t="str">
        <f t="shared" si="259"/>
        <v/>
      </c>
    </row>
    <row r="7768" spans="1:8">
      <c r="A7768" s="2"/>
      <c r="B7768" s="12"/>
      <c r="C7768" s="12"/>
      <c r="E7768" t="str">
        <f>IF(LEN(D7768)=0,"",[1]!i_pq_tradedays($B$3,A7769,A7768)-1)</f>
        <v/>
      </c>
      <c r="G7768" s="16" t="str">
        <f t="shared" si="258"/>
        <v/>
      </c>
      <c r="H7768" s="70" t="str">
        <f t="shared" si="259"/>
        <v/>
      </c>
    </row>
    <row r="7769" spans="1:8">
      <c r="A7769" s="2"/>
      <c r="B7769" s="12"/>
      <c r="C7769" s="12"/>
      <c r="E7769" t="str">
        <f>IF(LEN(D7769)=0,"",[1]!i_pq_tradedays($B$3,A7770,A7769)-1)</f>
        <v/>
      </c>
      <c r="G7769" s="16" t="str">
        <f t="shared" si="258"/>
        <v/>
      </c>
      <c r="H7769" s="70" t="str">
        <f t="shared" si="259"/>
        <v/>
      </c>
    </row>
    <row r="7770" spans="1:8">
      <c r="A7770" s="2"/>
      <c r="B7770" s="12"/>
      <c r="C7770" s="12"/>
      <c r="E7770" t="str">
        <f>IF(LEN(D7770)=0,"",[1]!i_pq_tradedays($B$3,A7771,A7770)-1)</f>
        <v/>
      </c>
      <c r="G7770" s="16" t="str">
        <f t="shared" si="258"/>
        <v/>
      </c>
      <c r="H7770" s="70" t="str">
        <f t="shared" si="259"/>
        <v/>
      </c>
    </row>
    <row r="7771" spans="1:8">
      <c r="A7771" s="2"/>
      <c r="B7771" s="12"/>
      <c r="C7771" s="12"/>
      <c r="E7771" t="str">
        <f>IF(LEN(D7771)=0,"",[1]!i_pq_tradedays($B$3,A7772,A7771)-1)</f>
        <v/>
      </c>
      <c r="G7771" s="16" t="str">
        <f t="shared" si="258"/>
        <v/>
      </c>
      <c r="H7771" s="70" t="str">
        <f t="shared" si="259"/>
        <v/>
      </c>
    </row>
    <row r="7772" spans="1:8">
      <c r="A7772" s="2"/>
      <c r="B7772" s="12"/>
      <c r="C7772" s="12"/>
      <c r="E7772" t="str">
        <f>IF(LEN(D7772)=0,"",[1]!i_pq_tradedays($B$3,A7773,A7772)-1)</f>
        <v/>
      </c>
      <c r="G7772" s="16" t="str">
        <f t="shared" si="258"/>
        <v/>
      </c>
      <c r="H7772" s="70" t="str">
        <f t="shared" si="259"/>
        <v/>
      </c>
    </row>
    <row r="7773" spans="1:8">
      <c r="A7773" s="2"/>
      <c r="B7773" s="12"/>
      <c r="C7773" s="12"/>
      <c r="E7773" t="str">
        <f>IF(LEN(D7773)=0,"",[1]!i_pq_tradedays($B$3,A7774,A7773)-1)</f>
        <v/>
      </c>
      <c r="G7773" s="16" t="str">
        <f t="shared" si="258"/>
        <v/>
      </c>
      <c r="H7773" s="70" t="str">
        <f t="shared" si="259"/>
        <v/>
      </c>
    </row>
    <row r="7774" spans="1:8">
      <c r="A7774" s="2"/>
      <c r="B7774" s="12"/>
      <c r="C7774" s="12"/>
      <c r="E7774" t="str">
        <f>IF(LEN(D7774)=0,"",[1]!i_pq_tradedays($B$3,A7775,A7774)-1)</f>
        <v/>
      </c>
      <c r="G7774" s="16" t="str">
        <f t="shared" si="258"/>
        <v/>
      </c>
      <c r="H7774" s="70" t="str">
        <f t="shared" si="259"/>
        <v/>
      </c>
    </row>
    <row r="7775" spans="1:8">
      <c r="A7775" s="2"/>
      <c r="B7775" s="12"/>
      <c r="C7775" s="12"/>
      <c r="E7775" t="str">
        <f>IF(LEN(D7775)=0,"",[1]!i_pq_tradedays($B$3,A7776,A7775)-1)</f>
        <v/>
      </c>
      <c r="G7775" s="16" t="str">
        <f t="shared" si="258"/>
        <v/>
      </c>
      <c r="H7775" s="70" t="str">
        <f t="shared" si="259"/>
        <v/>
      </c>
    </row>
    <row r="7776" spans="1:8">
      <c r="A7776" s="2"/>
      <c r="B7776" s="12"/>
      <c r="C7776" s="12"/>
      <c r="E7776" t="str">
        <f>IF(LEN(D7776)=0,"",[1]!i_pq_tradedays($B$3,A7777,A7776)-1)</f>
        <v/>
      </c>
      <c r="G7776" s="16" t="str">
        <f t="shared" si="258"/>
        <v/>
      </c>
      <c r="H7776" s="70" t="str">
        <f t="shared" si="259"/>
        <v/>
      </c>
    </row>
    <row r="7777" spans="1:8">
      <c r="A7777" s="2"/>
      <c r="B7777" s="12"/>
      <c r="C7777" s="12"/>
      <c r="E7777" t="str">
        <f>IF(LEN(D7777)=0,"",[1]!i_pq_tradedays($B$3,A7778,A7777)-1)</f>
        <v/>
      </c>
      <c r="G7777" s="16" t="str">
        <f t="shared" si="258"/>
        <v/>
      </c>
      <c r="H7777" s="70" t="str">
        <f t="shared" si="259"/>
        <v/>
      </c>
    </row>
    <row r="7778" spans="1:8">
      <c r="A7778" s="2"/>
      <c r="B7778" s="12"/>
      <c r="C7778" s="12"/>
      <c r="E7778" t="str">
        <f>IF(LEN(D7778)=0,"",[1]!i_pq_tradedays($B$3,A7779,A7778)-1)</f>
        <v/>
      </c>
      <c r="G7778" s="16" t="str">
        <f t="shared" si="258"/>
        <v/>
      </c>
      <c r="H7778" s="70" t="str">
        <f t="shared" si="259"/>
        <v/>
      </c>
    </row>
    <row r="7779" spans="1:8">
      <c r="A7779" s="2"/>
      <c r="B7779" s="12"/>
      <c r="C7779" s="12"/>
      <c r="E7779" t="str">
        <f>IF(LEN(D7779)=0,"",[1]!i_pq_tradedays($B$3,A7780,A7779)-1)</f>
        <v/>
      </c>
      <c r="G7779" s="16" t="str">
        <f t="shared" si="258"/>
        <v/>
      </c>
      <c r="H7779" s="70" t="str">
        <f t="shared" si="259"/>
        <v/>
      </c>
    </row>
    <row r="7780" spans="1:8">
      <c r="A7780" s="2"/>
      <c r="B7780" s="12"/>
      <c r="C7780" s="12"/>
      <c r="E7780" t="str">
        <f>IF(LEN(D7780)=0,"",[1]!i_pq_tradedays($B$3,A7781,A7780)-1)</f>
        <v/>
      </c>
      <c r="G7780" s="16" t="str">
        <f t="shared" si="258"/>
        <v/>
      </c>
      <c r="H7780" s="70" t="str">
        <f t="shared" si="259"/>
        <v/>
      </c>
    </row>
    <row r="7781" spans="1:8">
      <c r="A7781" s="2"/>
      <c r="B7781" s="12"/>
      <c r="C7781" s="12"/>
      <c r="E7781" t="str">
        <f>IF(LEN(D7781)=0,"",[1]!i_pq_tradedays($B$3,A7782,A7781)-1)</f>
        <v/>
      </c>
      <c r="G7781" s="16" t="str">
        <f t="shared" si="258"/>
        <v/>
      </c>
      <c r="H7781" s="70" t="str">
        <f t="shared" si="259"/>
        <v/>
      </c>
    </row>
    <row r="7782" spans="1:8">
      <c r="A7782" s="2"/>
      <c r="B7782" s="12"/>
      <c r="C7782" s="12"/>
      <c r="E7782" t="str">
        <f>IF(LEN(D7782)=0,"",[1]!i_pq_tradedays($B$3,A7783,A7782)-1)</f>
        <v/>
      </c>
      <c r="G7782" s="16" t="str">
        <f t="shared" si="258"/>
        <v/>
      </c>
      <c r="H7782" s="70" t="str">
        <f t="shared" si="259"/>
        <v/>
      </c>
    </row>
    <row r="7783" spans="1:8">
      <c r="A7783" s="2"/>
      <c r="B7783" s="12"/>
      <c r="C7783" s="12"/>
      <c r="E7783" t="str">
        <f>IF(LEN(D7783)=0,"",[1]!i_pq_tradedays($B$3,A7784,A7783)-1)</f>
        <v/>
      </c>
      <c r="G7783" s="16" t="str">
        <f t="shared" si="258"/>
        <v/>
      </c>
      <c r="H7783" s="70" t="str">
        <f t="shared" si="259"/>
        <v/>
      </c>
    </row>
    <row r="7784" spans="1:8">
      <c r="A7784" s="2"/>
      <c r="B7784" s="12"/>
      <c r="C7784" s="12"/>
      <c r="E7784" t="str">
        <f>IF(LEN(D7784)=0,"",[1]!i_pq_tradedays($B$3,A7785,A7784)-1)</f>
        <v/>
      </c>
      <c r="G7784" s="16" t="str">
        <f t="shared" si="258"/>
        <v/>
      </c>
      <c r="H7784" s="70" t="str">
        <f t="shared" si="259"/>
        <v/>
      </c>
    </row>
    <row r="7785" spans="1:8">
      <c r="A7785" s="2"/>
      <c r="B7785" s="12"/>
      <c r="C7785" s="12"/>
      <c r="E7785" t="str">
        <f>IF(LEN(D7785)=0,"",[1]!i_pq_tradedays($B$3,A7786,A7785)-1)</f>
        <v/>
      </c>
      <c r="G7785" s="16" t="str">
        <f t="shared" si="258"/>
        <v/>
      </c>
      <c r="H7785" s="70" t="str">
        <f t="shared" si="259"/>
        <v/>
      </c>
    </row>
    <row r="7786" spans="1:8">
      <c r="A7786" s="2"/>
      <c r="B7786" s="12"/>
      <c r="C7786" s="12"/>
      <c r="E7786" t="str">
        <f>IF(LEN(D7786)=0,"",[1]!i_pq_tradedays($B$3,A7787,A7786)-1)</f>
        <v/>
      </c>
      <c r="G7786" s="16" t="str">
        <f t="shared" si="258"/>
        <v/>
      </c>
      <c r="H7786" s="70" t="str">
        <f t="shared" si="259"/>
        <v/>
      </c>
    </row>
    <row r="7787" spans="1:8">
      <c r="A7787" s="2"/>
      <c r="B7787" s="12"/>
      <c r="C7787" s="12"/>
      <c r="E7787" t="str">
        <f>IF(LEN(D7787)=0,"",[1]!i_pq_tradedays($B$3,A7788,A7787)-1)</f>
        <v/>
      </c>
      <c r="G7787" s="16" t="str">
        <f t="shared" si="258"/>
        <v/>
      </c>
      <c r="H7787" s="70" t="str">
        <f t="shared" si="259"/>
        <v/>
      </c>
    </row>
    <row r="7788" spans="1:8">
      <c r="A7788" s="2"/>
      <c r="B7788" s="12"/>
      <c r="C7788" s="12"/>
      <c r="E7788" t="str">
        <f>IF(LEN(D7788)=0,"",[1]!i_pq_tradedays($B$3,A7789,A7788)-1)</f>
        <v/>
      </c>
      <c r="G7788" s="16" t="str">
        <f t="shared" si="258"/>
        <v/>
      </c>
      <c r="H7788" s="70" t="str">
        <f t="shared" si="259"/>
        <v/>
      </c>
    </row>
    <row r="7789" spans="1:8">
      <c r="A7789" s="2"/>
      <c r="B7789" s="12"/>
      <c r="C7789" s="12"/>
      <c r="E7789" t="str">
        <f>IF(LEN(D7789)=0,"",[1]!i_pq_tradedays($B$3,A7790,A7789)-1)</f>
        <v/>
      </c>
      <c r="G7789" s="16" t="str">
        <f t="shared" si="258"/>
        <v/>
      </c>
      <c r="H7789" s="70" t="str">
        <f t="shared" si="259"/>
        <v/>
      </c>
    </row>
    <row r="7790" spans="1:8">
      <c r="A7790" s="2"/>
      <c r="B7790" s="12"/>
      <c r="C7790" s="12"/>
      <c r="E7790" t="str">
        <f>IF(LEN(D7790)=0,"",[1]!i_pq_tradedays($B$3,A7791,A7790)-1)</f>
        <v/>
      </c>
      <c r="G7790" s="16" t="str">
        <f t="shared" si="258"/>
        <v/>
      </c>
      <c r="H7790" s="70" t="str">
        <f t="shared" si="259"/>
        <v/>
      </c>
    </row>
    <row r="7791" spans="1:8">
      <c r="A7791" s="2"/>
      <c r="B7791" s="12"/>
      <c r="C7791" s="12"/>
      <c r="E7791" t="str">
        <f>IF(LEN(D7791)=0,"",[1]!i_pq_tradedays($B$3,A7792,A7791)-1)</f>
        <v/>
      </c>
      <c r="G7791" s="16" t="str">
        <f t="shared" si="258"/>
        <v/>
      </c>
      <c r="H7791" s="70" t="str">
        <f t="shared" si="259"/>
        <v/>
      </c>
    </row>
    <row r="7792" spans="1:8">
      <c r="A7792" s="2"/>
      <c r="B7792" s="12"/>
      <c r="C7792" s="12"/>
      <c r="E7792" t="str">
        <f>IF(LEN(D7792)=0,"",[1]!i_pq_tradedays($B$3,A7793,A7792)-1)</f>
        <v/>
      </c>
      <c r="G7792" s="16" t="str">
        <f t="shared" si="258"/>
        <v/>
      </c>
      <c r="H7792" s="70" t="str">
        <f t="shared" si="259"/>
        <v/>
      </c>
    </row>
    <row r="7793" spans="1:8">
      <c r="A7793" s="2"/>
      <c r="B7793" s="12"/>
      <c r="C7793" s="12"/>
      <c r="E7793" t="str">
        <f>IF(LEN(D7793)=0,"",[1]!i_pq_tradedays($B$3,A7794,A7793)-1)</f>
        <v/>
      </c>
      <c r="G7793" s="16" t="str">
        <f t="shared" si="258"/>
        <v/>
      </c>
      <c r="H7793" s="70" t="str">
        <f t="shared" si="259"/>
        <v/>
      </c>
    </row>
    <row r="7794" spans="1:8">
      <c r="A7794" s="2"/>
      <c r="B7794" s="12"/>
      <c r="C7794" s="12"/>
      <c r="E7794" t="str">
        <f>IF(LEN(D7794)=0,"",[1]!i_pq_tradedays($B$3,A7795,A7794)-1)</f>
        <v/>
      </c>
      <c r="G7794" s="16" t="str">
        <f t="shared" si="258"/>
        <v/>
      </c>
      <c r="H7794" s="70" t="str">
        <f t="shared" si="259"/>
        <v/>
      </c>
    </row>
    <row r="7795" spans="1:8">
      <c r="A7795" s="2"/>
      <c r="B7795" s="12"/>
      <c r="C7795" s="12"/>
      <c r="E7795" t="str">
        <f>IF(LEN(D7795)=0,"",[1]!i_pq_tradedays($B$3,A7796,A7795)-1)</f>
        <v/>
      </c>
      <c r="G7795" s="16" t="str">
        <f t="shared" si="258"/>
        <v/>
      </c>
      <c r="H7795" s="70" t="str">
        <f t="shared" si="259"/>
        <v/>
      </c>
    </row>
    <row r="7796" spans="1:8">
      <c r="A7796" s="2"/>
      <c r="B7796" s="12"/>
      <c r="C7796" s="12"/>
      <c r="E7796" t="str">
        <f>IF(LEN(D7796)=0,"",[1]!i_pq_tradedays($B$3,A7797,A7796)-1)</f>
        <v/>
      </c>
      <c r="G7796" s="16" t="str">
        <f t="shared" si="258"/>
        <v/>
      </c>
      <c r="H7796" s="70" t="str">
        <f t="shared" si="259"/>
        <v/>
      </c>
    </row>
    <row r="7797" spans="1:8">
      <c r="A7797" s="2"/>
      <c r="B7797" s="12"/>
      <c r="C7797" s="12"/>
      <c r="E7797" t="str">
        <f>IF(LEN(D7797)=0,"",[1]!i_pq_tradedays($B$3,A7798,A7797)-1)</f>
        <v/>
      </c>
      <c r="G7797" s="16" t="str">
        <f t="shared" ref="G7797:G7860" si="260">IF(LEN(D7797)=0,"",D7797/E7797)</f>
        <v/>
      </c>
      <c r="H7797" s="70" t="str">
        <f t="shared" ref="H7797:H7860" si="261">IF(LEN(D7797)=0,"",G7797/G7798-1)</f>
        <v/>
      </c>
    </row>
    <row r="7798" spans="1:8">
      <c r="A7798" s="2"/>
      <c r="B7798" s="12"/>
      <c r="C7798" s="12"/>
      <c r="E7798" t="str">
        <f>IF(LEN(D7798)=0,"",[1]!i_pq_tradedays($B$3,A7799,A7798)-1)</f>
        <v/>
      </c>
      <c r="G7798" s="16" t="str">
        <f t="shared" si="260"/>
        <v/>
      </c>
      <c r="H7798" s="70" t="str">
        <f t="shared" si="261"/>
        <v/>
      </c>
    </row>
    <row r="7799" spans="1:8">
      <c r="A7799" s="2"/>
      <c r="B7799" s="12"/>
      <c r="C7799" s="12"/>
      <c r="E7799" t="str">
        <f>IF(LEN(D7799)=0,"",[1]!i_pq_tradedays($B$3,A7800,A7799)-1)</f>
        <v/>
      </c>
      <c r="G7799" s="16" t="str">
        <f t="shared" si="260"/>
        <v/>
      </c>
      <c r="H7799" s="70" t="str">
        <f t="shared" si="261"/>
        <v/>
      </c>
    </row>
    <row r="7800" spans="1:8">
      <c r="A7800" s="2"/>
      <c r="B7800" s="12"/>
      <c r="C7800" s="12"/>
      <c r="E7800" t="str">
        <f>IF(LEN(D7800)=0,"",[1]!i_pq_tradedays($B$3,A7801,A7800)-1)</f>
        <v/>
      </c>
      <c r="G7800" s="16" t="str">
        <f t="shared" si="260"/>
        <v/>
      </c>
      <c r="H7800" s="70" t="str">
        <f t="shared" si="261"/>
        <v/>
      </c>
    </row>
    <row r="7801" spans="1:8">
      <c r="A7801" s="2"/>
      <c r="B7801" s="12"/>
      <c r="C7801" s="12"/>
      <c r="E7801" t="str">
        <f>IF(LEN(D7801)=0,"",[1]!i_pq_tradedays($B$3,A7802,A7801)-1)</f>
        <v/>
      </c>
      <c r="G7801" s="16" t="str">
        <f t="shared" si="260"/>
        <v/>
      </c>
      <c r="H7801" s="70" t="str">
        <f t="shared" si="261"/>
        <v/>
      </c>
    </row>
    <row r="7802" spans="1:8">
      <c r="A7802" s="2"/>
      <c r="B7802" s="12"/>
      <c r="C7802" s="12"/>
      <c r="E7802" t="str">
        <f>IF(LEN(D7802)=0,"",[1]!i_pq_tradedays($B$3,A7803,A7802)-1)</f>
        <v/>
      </c>
      <c r="G7802" s="16" t="str">
        <f t="shared" si="260"/>
        <v/>
      </c>
      <c r="H7802" s="70" t="str">
        <f t="shared" si="261"/>
        <v/>
      </c>
    </row>
    <row r="7803" spans="1:8">
      <c r="A7803" s="2"/>
      <c r="B7803" s="12"/>
      <c r="C7803" s="12"/>
      <c r="E7803" t="str">
        <f>IF(LEN(D7803)=0,"",[1]!i_pq_tradedays($B$3,A7804,A7803)-1)</f>
        <v/>
      </c>
      <c r="G7803" s="16" t="str">
        <f t="shared" si="260"/>
        <v/>
      </c>
      <c r="H7803" s="70" t="str">
        <f t="shared" si="261"/>
        <v/>
      </c>
    </row>
    <row r="7804" spans="1:8">
      <c r="A7804" s="2"/>
      <c r="B7804" s="12"/>
      <c r="C7804" s="12"/>
      <c r="E7804" t="str">
        <f>IF(LEN(D7804)=0,"",[1]!i_pq_tradedays($B$3,A7805,A7804)-1)</f>
        <v/>
      </c>
      <c r="G7804" s="16" t="str">
        <f t="shared" si="260"/>
        <v/>
      </c>
      <c r="H7804" s="70" t="str">
        <f t="shared" si="261"/>
        <v/>
      </c>
    </row>
    <row r="7805" spans="1:8">
      <c r="A7805" s="2"/>
      <c r="B7805" s="12"/>
      <c r="C7805" s="12"/>
      <c r="E7805" t="str">
        <f>IF(LEN(D7805)=0,"",[1]!i_pq_tradedays($B$3,A7806,A7805)-1)</f>
        <v/>
      </c>
      <c r="G7805" s="16" t="str">
        <f t="shared" si="260"/>
        <v/>
      </c>
      <c r="H7805" s="70" t="str">
        <f t="shared" si="261"/>
        <v/>
      </c>
    </row>
    <row r="7806" spans="1:8">
      <c r="A7806" s="2"/>
      <c r="B7806" s="12"/>
      <c r="C7806" s="12"/>
      <c r="E7806" t="str">
        <f>IF(LEN(D7806)=0,"",[1]!i_pq_tradedays($B$3,A7807,A7806)-1)</f>
        <v/>
      </c>
      <c r="G7806" s="16" t="str">
        <f t="shared" si="260"/>
        <v/>
      </c>
      <c r="H7806" s="70" t="str">
        <f t="shared" si="261"/>
        <v/>
      </c>
    </row>
    <row r="7807" spans="1:8">
      <c r="A7807" s="2"/>
      <c r="B7807" s="12"/>
      <c r="C7807" s="12"/>
      <c r="E7807" t="str">
        <f>IF(LEN(D7807)=0,"",[1]!i_pq_tradedays($B$3,A7808,A7807)-1)</f>
        <v/>
      </c>
      <c r="G7807" s="16" t="str">
        <f t="shared" si="260"/>
        <v/>
      </c>
      <c r="H7807" s="70" t="str">
        <f t="shared" si="261"/>
        <v/>
      </c>
    </row>
    <row r="7808" spans="1:8">
      <c r="A7808" s="2"/>
      <c r="B7808" s="12"/>
      <c r="C7808" s="12"/>
      <c r="E7808" t="str">
        <f>IF(LEN(D7808)=0,"",[1]!i_pq_tradedays($B$3,A7809,A7808)-1)</f>
        <v/>
      </c>
      <c r="G7808" s="16" t="str">
        <f t="shared" si="260"/>
        <v/>
      </c>
      <c r="H7808" s="70" t="str">
        <f t="shared" si="261"/>
        <v/>
      </c>
    </row>
    <row r="7809" spans="1:8">
      <c r="A7809" s="2"/>
      <c r="B7809" s="12"/>
      <c r="C7809" s="12"/>
      <c r="E7809" t="str">
        <f>IF(LEN(D7809)=0,"",[1]!i_pq_tradedays($B$3,A7810,A7809)-1)</f>
        <v/>
      </c>
      <c r="G7809" s="16" t="str">
        <f t="shared" si="260"/>
        <v/>
      </c>
      <c r="H7809" s="70" t="str">
        <f t="shared" si="261"/>
        <v/>
      </c>
    </row>
    <row r="7810" spans="1:8">
      <c r="A7810" s="2"/>
      <c r="B7810" s="12"/>
      <c r="C7810" s="12"/>
      <c r="E7810" t="str">
        <f>IF(LEN(D7810)=0,"",[1]!i_pq_tradedays($B$3,A7811,A7810)-1)</f>
        <v/>
      </c>
      <c r="G7810" s="16" t="str">
        <f t="shared" si="260"/>
        <v/>
      </c>
      <c r="H7810" s="70" t="str">
        <f t="shared" si="261"/>
        <v/>
      </c>
    </row>
    <row r="7811" spans="1:8">
      <c r="A7811" s="2"/>
      <c r="B7811" s="12"/>
      <c r="C7811" s="12"/>
      <c r="E7811" t="str">
        <f>IF(LEN(D7811)=0,"",[1]!i_pq_tradedays($B$3,A7812,A7811)-1)</f>
        <v/>
      </c>
      <c r="G7811" s="16" t="str">
        <f t="shared" si="260"/>
        <v/>
      </c>
      <c r="H7811" s="70" t="str">
        <f t="shared" si="261"/>
        <v/>
      </c>
    </row>
    <row r="7812" spans="1:8">
      <c r="A7812" s="2"/>
      <c r="B7812" s="12"/>
      <c r="C7812" s="12"/>
      <c r="E7812" t="str">
        <f>IF(LEN(D7812)=0,"",[1]!i_pq_tradedays($B$3,A7813,A7812)-1)</f>
        <v/>
      </c>
      <c r="G7812" s="16" t="str">
        <f t="shared" si="260"/>
        <v/>
      </c>
      <c r="H7812" s="70" t="str">
        <f t="shared" si="261"/>
        <v/>
      </c>
    </row>
    <row r="7813" spans="1:8">
      <c r="A7813" s="2"/>
      <c r="B7813" s="12"/>
      <c r="C7813" s="12"/>
      <c r="E7813" t="str">
        <f>IF(LEN(D7813)=0,"",[1]!i_pq_tradedays($B$3,A7814,A7813)-1)</f>
        <v/>
      </c>
      <c r="G7813" s="16" t="str">
        <f t="shared" si="260"/>
        <v/>
      </c>
      <c r="H7813" s="70" t="str">
        <f t="shared" si="261"/>
        <v/>
      </c>
    </row>
    <row r="7814" spans="1:8">
      <c r="A7814" s="2"/>
      <c r="B7814" s="12"/>
      <c r="C7814" s="12"/>
      <c r="E7814" t="str">
        <f>IF(LEN(D7814)=0,"",[1]!i_pq_tradedays($B$3,A7815,A7814)-1)</f>
        <v/>
      </c>
      <c r="G7814" s="16" t="str">
        <f t="shared" si="260"/>
        <v/>
      </c>
      <c r="H7814" s="70" t="str">
        <f t="shared" si="261"/>
        <v/>
      </c>
    </row>
    <row r="7815" spans="1:8">
      <c r="A7815" s="2"/>
      <c r="B7815" s="12"/>
      <c r="C7815" s="12"/>
      <c r="E7815" t="str">
        <f>IF(LEN(D7815)=0,"",[1]!i_pq_tradedays($B$3,A7816,A7815)-1)</f>
        <v/>
      </c>
      <c r="G7815" s="16" t="str">
        <f t="shared" si="260"/>
        <v/>
      </c>
      <c r="H7815" s="70" t="str">
        <f t="shared" si="261"/>
        <v/>
      </c>
    </row>
    <row r="7816" spans="1:8">
      <c r="A7816" s="2"/>
      <c r="B7816" s="12"/>
      <c r="C7816" s="12"/>
      <c r="E7816" t="str">
        <f>IF(LEN(D7816)=0,"",[1]!i_pq_tradedays($B$3,A7817,A7816)-1)</f>
        <v/>
      </c>
      <c r="G7816" s="16" t="str">
        <f t="shared" si="260"/>
        <v/>
      </c>
      <c r="H7816" s="70" t="str">
        <f t="shared" si="261"/>
        <v/>
      </c>
    </row>
    <row r="7817" spans="1:8">
      <c r="A7817" s="2"/>
      <c r="B7817" s="12"/>
      <c r="C7817" s="12"/>
      <c r="E7817" t="str">
        <f>IF(LEN(D7817)=0,"",[1]!i_pq_tradedays($B$3,A7818,A7817)-1)</f>
        <v/>
      </c>
      <c r="G7817" s="16" t="str">
        <f t="shared" si="260"/>
        <v/>
      </c>
      <c r="H7817" s="70" t="str">
        <f t="shared" si="261"/>
        <v/>
      </c>
    </row>
    <row r="7818" spans="1:8">
      <c r="A7818" s="2"/>
      <c r="B7818" s="12"/>
      <c r="C7818" s="12"/>
      <c r="E7818" t="str">
        <f>IF(LEN(D7818)=0,"",[1]!i_pq_tradedays($B$3,A7819,A7818)-1)</f>
        <v/>
      </c>
      <c r="G7818" s="16" t="str">
        <f t="shared" si="260"/>
        <v/>
      </c>
      <c r="H7818" s="70" t="str">
        <f t="shared" si="261"/>
        <v/>
      </c>
    </row>
    <row r="7819" spans="1:8">
      <c r="A7819" s="2"/>
      <c r="B7819" s="12"/>
      <c r="C7819" s="12"/>
      <c r="E7819" t="str">
        <f>IF(LEN(D7819)=0,"",[1]!i_pq_tradedays($B$3,A7820,A7819)-1)</f>
        <v/>
      </c>
      <c r="G7819" s="16" t="str">
        <f t="shared" si="260"/>
        <v/>
      </c>
      <c r="H7819" s="70" t="str">
        <f t="shared" si="261"/>
        <v/>
      </c>
    </row>
    <row r="7820" spans="1:8">
      <c r="A7820" s="2"/>
      <c r="B7820" s="12"/>
      <c r="C7820" s="12"/>
      <c r="E7820" t="str">
        <f>IF(LEN(D7820)=0,"",[1]!i_pq_tradedays($B$3,A7821,A7820)-1)</f>
        <v/>
      </c>
      <c r="G7820" s="16" t="str">
        <f t="shared" si="260"/>
        <v/>
      </c>
      <c r="H7820" s="70" t="str">
        <f t="shared" si="261"/>
        <v/>
      </c>
    </row>
    <row r="7821" spans="1:8">
      <c r="A7821" s="2"/>
      <c r="B7821" s="12"/>
      <c r="C7821" s="12"/>
      <c r="E7821" t="str">
        <f>IF(LEN(D7821)=0,"",[1]!i_pq_tradedays($B$3,A7822,A7821)-1)</f>
        <v/>
      </c>
      <c r="G7821" s="16" t="str">
        <f t="shared" si="260"/>
        <v/>
      </c>
      <c r="H7821" s="70" t="str">
        <f t="shared" si="261"/>
        <v/>
      </c>
    </row>
    <row r="7822" spans="1:8">
      <c r="A7822" s="2"/>
      <c r="B7822" s="12"/>
      <c r="C7822" s="12"/>
      <c r="E7822" t="str">
        <f>IF(LEN(D7822)=0,"",[1]!i_pq_tradedays($B$3,A7823,A7822)-1)</f>
        <v/>
      </c>
      <c r="G7822" s="16" t="str">
        <f t="shared" si="260"/>
        <v/>
      </c>
      <c r="H7822" s="70" t="str">
        <f t="shared" si="261"/>
        <v/>
      </c>
    </row>
    <row r="7823" spans="1:8">
      <c r="A7823" s="2"/>
      <c r="B7823" s="12"/>
      <c r="C7823" s="12"/>
      <c r="E7823" t="str">
        <f>IF(LEN(D7823)=0,"",[1]!i_pq_tradedays($B$3,A7824,A7823)-1)</f>
        <v/>
      </c>
      <c r="G7823" s="16" t="str">
        <f t="shared" si="260"/>
        <v/>
      </c>
      <c r="H7823" s="70" t="str">
        <f t="shared" si="261"/>
        <v/>
      </c>
    </row>
    <row r="7824" spans="1:8">
      <c r="A7824" s="2"/>
      <c r="B7824" s="12"/>
      <c r="C7824" s="12"/>
      <c r="E7824" t="str">
        <f>IF(LEN(D7824)=0,"",[1]!i_pq_tradedays($B$3,A7825,A7824)-1)</f>
        <v/>
      </c>
      <c r="G7824" s="16" t="str">
        <f t="shared" si="260"/>
        <v/>
      </c>
      <c r="H7824" s="70" t="str">
        <f t="shared" si="261"/>
        <v/>
      </c>
    </row>
    <row r="7825" spans="1:8">
      <c r="A7825" s="2"/>
      <c r="B7825" s="12"/>
      <c r="C7825" s="12"/>
      <c r="E7825" t="str">
        <f>IF(LEN(D7825)=0,"",[1]!i_pq_tradedays($B$3,A7826,A7825)-1)</f>
        <v/>
      </c>
      <c r="G7825" s="16" t="str">
        <f t="shared" si="260"/>
        <v/>
      </c>
      <c r="H7825" s="70" t="str">
        <f t="shared" si="261"/>
        <v/>
      </c>
    </row>
    <row r="7826" spans="1:8">
      <c r="A7826" s="2"/>
      <c r="B7826" s="12"/>
      <c r="C7826" s="12"/>
      <c r="E7826" t="str">
        <f>IF(LEN(D7826)=0,"",[1]!i_pq_tradedays($B$3,A7827,A7826)-1)</f>
        <v/>
      </c>
      <c r="G7826" s="16" t="str">
        <f t="shared" si="260"/>
        <v/>
      </c>
      <c r="H7826" s="70" t="str">
        <f t="shared" si="261"/>
        <v/>
      </c>
    </row>
    <row r="7827" spans="1:8">
      <c r="A7827" s="2"/>
      <c r="B7827" s="12"/>
      <c r="C7827" s="12"/>
      <c r="E7827" t="str">
        <f>IF(LEN(D7827)=0,"",[1]!i_pq_tradedays($B$3,A7828,A7827)-1)</f>
        <v/>
      </c>
      <c r="G7827" s="16" t="str">
        <f t="shared" si="260"/>
        <v/>
      </c>
      <c r="H7827" s="70" t="str">
        <f t="shared" si="261"/>
        <v/>
      </c>
    </row>
    <row r="7828" spans="1:8">
      <c r="A7828" s="2"/>
      <c r="B7828" s="12"/>
      <c r="C7828" s="12"/>
      <c r="E7828" t="str">
        <f>IF(LEN(D7828)=0,"",[1]!i_pq_tradedays($B$3,A7829,A7828)-1)</f>
        <v/>
      </c>
      <c r="G7828" s="16" t="str">
        <f t="shared" si="260"/>
        <v/>
      </c>
      <c r="H7828" s="70" t="str">
        <f t="shared" si="261"/>
        <v/>
      </c>
    </row>
    <row r="7829" spans="1:8">
      <c r="A7829" s="2"/>
      <c r="B7829" s="12"/>
      <c r="C7829" s="12"/>
      <c r="E7829" t="str">
        <f>IF(LEN(D7829)=0,"",[1]!i_pq_tradedays($B$3,A7830,A7829)-1)</f>
        <v/>
      </c>
      <c r="G7829" s="16" t="str">
        <f t="shared" si="260"/>
        <v/>
      </c>
      <c r="H7829" s="70" t="str">
        <f t="shared" si="261"/>
        <v/>
      </c>
    </row>
    <row r="7830" spans="1:8">
      <c r="A7830" s="2"/>
      <c r="B7830" s="12"/>
      <c r="C7830" s="12"/>
      <c r="E7830" t="str">
        <f>IF(LEN(D7830)=0,"",[1]!i_pq_tradedays($B$3,A7831,A7830)-1)</f>
        <v/>
      </c>
      <c r="G7830" s="16" t="str">
        <f t="shared" si="260"/>
        <v/>
      </c>
      <c r="H7830" s="70" t="str">
        <f t="shared" si="261"/>
        <v/>
      </c>
    </row>
    <row r="7831" spans="1:8">
      <c r="A7831" s="2"/>
      <c r="B7831" s="12"/>
      <c r="C7831" s="12"/>
      <c r="E7831" t="str">
        <f>IF(LEN(D7831)=0,"",[1]!i_pq_tradedays($B$3,A7832,A7831)-1)</f>
        <v/>
      </c>
      <c r="G7831" s="16" t="str">
        <f t="shared" si="260"/>
        <v/>
      </c>
      <c r="H7831" s="70" t="str">
        <f t="shared" si="261"/>
        <v/>
      </c>
    </row>
    <row r="7832" spans="1:8">
      <c r="A7832" s="2"/>
      <c r="B7832" s="12"/>
      <c r="C7832" s="12"/>
      <c r="E7832" t="str">
        <f>IF(LEN(D7832)=0,"",[1]!i_pq_tradedays($B$3,A7833,A7832)-1)</f>
        <v/>
      </c>
      <c r="G7832" s="16" t="str">
        <f t="shared" si="260"/>
        <v/>
      </c>
      <c r="H7832" s="70" t="str">
        <f t="shared" si="261"/>
        <v/>
      </c>
    </row>
    <row r="7833" spans="1:8">
      <c r="A7833" s="2"/>
      <c r="B7833" s="12"/>
      <c r="C7833" s="12"/>
      <c r="E7833" t="str">
        <f>IF(LEN(D7833)=0,"",[1]!i_pq_tradedays($B$3,A7834,A7833)-1)</f>
        <v/>
      </c>
      <c r="G7833" s="16" t="str">
        <f t="shared" si="260"/>
        <v/>
      </c>
      <c r="H7833" s="70" t="str">
        <f t="shared" si="261"/>
        <v/>
      </c>
    </row>
    <row r="7834" spans="1:8">
      <c r="A7834" s="2"/>
      <c r="B7834" s="12"/>
      <c r="C7834" s="12"/>
      <c r="E7834" t="str">
        <f>IF(LEN(D7834)=0,"",[1]!i_pq_tradedays($B$3,A7835,A7834)-1)</f>
        <v/>
      </c>
      <c r="G7834" s="16" t="str">
        <f t="shared" si="260"/>
        <v/>
      </c>
      <c r="H7834" s="70" t="str">
        <f t="shared" si="261"/>
        <v/>
      </c>
    </row>
    <row r="7835" spans="1:8">
      <c r="A7835" s="2"/>
      <c r="B7835" s="12"/>
      <c r="C7835" s="12"/>
      <c r="E7835" t="str">
        <f>IF(LEN(D7835)=0,"",[1]!i_pq_tradedays($B$3,A7836,A7835)-1)</f>
        <v/>
      </c>
      <c r="G7835" s="16" t="str">
        <f t="shared" si="260"/>
        <v/>
      </c>
      <c r="H7835" s="70" t="str">
        <f t="shared" si="261"/>
        <v/>
      </c>
    </row>
    <row r="7836" spans="1:8">
      <c r="A7836" s="2"/>
      <c r="B7836" s="12"/>
      <c r="C7836" s="12"/>
      <c r="E7836" t="str">
        <f>IF(LEN(D7836)=0,"",[1]!i_pq_tradedays($B$3,A7837,A7836)-1)</f>
        <v/>
      </c>
      <c r="G7836" s="16" t="str">
        <f t="shared" si="260"/>
        <v/>
      </c>
      <c r="H7836" s="70" t="str">
        <f t="shared" si="261"/>
        <v/>
      </c>
    </row>
    <row r="7837" spans="1:8">
      <c r="A7837" s="2"/>
      <c r="B7837" s="12"/>
      <c r="C7837" s="12"/>
      <c r="E7837" t="str">
        <f>IF(LEN(D7837)=0,"",[1]!i_pq_tradedays($B$3,A7838,A7837)-1)</f>
        <v/>
      </c>
      <c r="G7837" s="16" t="str">
        <f t="shared" si="260"/>
        <v/>
      </c>
      <c r="H7837" s="70" t="str">
        <f t="shared" si="261"/>
        <v/>
      </c>
    </row>
    <row r="7838" spans="1:8">
      <c r="A7838" s="2"/>
      <c r="B7838" s="12"/>
      <c r="C7838" s="12"/>
      <c r="E7838" t="str">
        <f>IF(LEN(D7838)=0,"",[1]!i_pq_tradedays($B$3,A7839,A7838)-1)</f>
        <v/>
      </c>
      <c r="G7838" s="16" t="str">
        <f t="shared" si="260"/>
        <v/>
      </c>
      <c r="H7838" s="70" t="str">
        <f t="shared" si="261"/>
        <v/>
      </c>
    </row>
    <row r="7839" spans="1:8">
      <c r="A7839" s="2"/>
      <c r="B7839" s="12"/>
      <c r="C7839" s="12"/>
      <c r="E7839" t="str">
        <f>IF(LEN(D7839)=0,"",[1]!i_pq_tradedays($B$3,A7840,A7839)-1)</f>
        <v/>
      </c>
      <c r="G7839" s="16" t="str">
        <f t="shared" si="260"/>
        <v/>
      </c>
      <c r="H7839" s="70" t="str">
        <f t="shared" si="261"/>
        <v/>
      </c>
    </row>
    <row r="7840" spans="1:8">
      <c r="A7840" s="2"/>
      <c r="B7840" s="12"/>
      <c r="C7840" s="12"/>
      <c r="E7840" t="str">
        <f>IF(LEN(D7840)=0,"",[1]!i_pq_tradedays($B$3,A7841,A7840)-1)</f>
        <v/>
      </c>
      <c r="G7840" s="16" t="str">
        <f t="shared" si="260"/>
        <v/>
      </c>
      <c r="H7840" s="70" t="str">
        <f t="shared" si="261"/>
        <v/>
      </c>
    </row>
    <row r="7841" spans="1:8">
      <c r="A7841" s="2"/>
      <c r="B7841" s="12"/>
      <c r="C7841" s="12"/>
      <c r="E7841" t="str">
        <f>IF(LEN(D7841)=0,"",[1]!i_pq_tradedays($B$3,A7842,A7841)-1)</f>
        <v/>
      </c>
      <c r="G7841" s="16" t="str">
        <f t="shared" si="260"/>
        <v/>
      </c>
      <c r="H7841" s="70" t="str">
        <f t="shared" si="261"/>
        <v/>
      </c>
    </row>
    <row r="7842" spans="1:8">
      <c r="A7842" s="2"/>
      <c r="B7842" s="12"/>
      <c r="C7842" s="12"/>
      <c r="E7842" t="str">
        <f>IF(LEN(D7842)=0,"",[1]!i_pq_tradedays($B$3,A7843,A7842)-1)</f>
        <v/>
      </c>
      <c r="G7842" s="16" t="str">
        <f t="shared" si="260"/>
        <v/>
      </c>
      <c r="H7842" s="70" t="str">
        <f t="shared" si="261"/>
        <v/>
      </c>
    </row>
    <row r="7843" spans="1:8">
      <c r="A7843" s="2"/>
      <c r="B7843" s="12"/>
      <c r="C7843" s="12"/>
      <c r="E7843" t="str">
        <f>IF(LEN(D7843)=0,"",[1]!i_pq_tradedays($B$3,A7844,A7843)-1)</f>
        <v/>
      </c>
      <c r="G7843" s="16" t="str">
        <f t="shared" si="260"/>
        <v/>
      </c>
      <c r="H7843" s="70" t="str">
        <f t="shared" si="261"/>
        <v/>
      </c>
    </row>
    <row r="7844" spans="1:8">
      <c r="A7844" s="2"/>
      <c r="B7844" s="12"/>
      <c r="C7844" s="12"/>
      <c r="E7844" t="str">
        <f>IF(LEN(D7844)=0,"",[1]!i_pq_tradedays($B$3,A7845,A7844)-1)</f>
        <v/>
      </c>
      <c r="G7844" s="16" t="str">
        <f t="shared" si="260"/>
        <v/>
      </c>
      <c r="H7844" s="70" t="str">
        <f t="shared" si="261"/>
        <v/>
      </c>
    </row>
    <row r="7845" spans="1:8">
      <c r="A7845" s="2"/>
      <c r="B7845" s="12"/>
      <c r="C7845" s="12"/>
      <c r="E7845" t="str">
        <f>IF(LEN(D7845)=0,"",[1]!i_pq_tradedays($B$3,A7846,A7845)-1)</f>
        <v/>
      </c>
      <c r="G7845" s="16" t="str">
        <f t="shared" si="260"/>
        <v/>
      </c>
      <c r="H7845" s="70" t="str">
        <f t="shared" si="261"/>
        <v/>
      </c>
    </row>
    <row r="7846" spans="1:8">
      <c r="A7846" s="2"/>
      <c r="B7846" s="12"/>
      <c r="C7846" s="12"/>
      <c r="E7846" t="str">
        <f>IF(LEN(D7846)=0,"",[1]!i_pq_tradedays($B$3,A7847,A7846)-1)</f>
        <v/>
      </c>
      <c r="G7846" s="16" t="str">
        <f t="shared" si="260"/>
        <v/>
      </c>
      <c r="H7846" s="70" t="str">
        <f t="shared" si="261"/>
        <v/>
      </c>
    </row>
    <row r="7847" spans="1:8">
      <c r="A7847" s="2"/>
      <c r="B7847" s="12"/>
      <c r="C7847" s="12"/>
      <c r="E7847" t="str">
        <f>IF(LEN(D7847)=0,"",[1]!i_pq_tradedays($B$3,A7848,A7847)-1)</f>
        <v/>
      </c>
      <c r="G7847" s="16" t="str">
        <f t="shared" si="260"/>
        <v/>
      </c>
      <c r="H7847" s="70" t="str">
        <f t="shared" si="261"/>
        <v/>
      </c>
    </row>
    <row r="7848" spans="1:8">
      <c r="A7848" s="2"/>
      <c r="B7848" s="12"/>
      <c r="C7848" s="12"/>
      <c r="E7848" t="str">
        <f>IF(LEN(D7848)=0,"",[1]!i_pq_tradedays($B$3,A7849,A7848)-1)</f>
        <v/>
      </c>
      <c r="G7848" s="16" t="str">
        <f t="shared" si="260"/>
        <v/>
      </c>
      <c r="H7848" s="70" t="str">
        <f t="shared" si="261"/>
        <v/>
      </c>
    </row>
    <row r="7849" spans="1:8">
      <c r="A7849" s="2"/>
      <c r="B7849" s="12"/>
      <c r="C7849" s="12"/>
      <c r="E7849" t="str">
        <f>IF(LEN(D7849)=0,"",[1]!i_pq_tradedays($B$3,A7850,A7849)-1)</f>
        <v/>
      </c>
      <c r="G7849" s="16" t="str">
        <f t="shared" si="260"/>
        <v/>
      </c>
      <c r="H7849" s="70" t="str">
        <f t="shared" si="261"/>
        <v/>
      </c>
    </row>
    <row r="7850" spans="1:8">
      <c r="A7850" s="2"/>
      <c r="B7850" s="12"/>
      <c r="C7850" s="12"/>
      <c r="E7850" t="str">
        <f>IF(LEN(D7850)=0,"",[1]!i_pq_tradedays($B$3,A7851,A7850)-1)</f>
        <v/>
      </c>
      <c r="G7850" s="16" t="str">
        <f t="shared" si="260"/>
        <v/>
      </c>
      <c r="H7850" s="70" t="str">
        <f t="shared" si="261"/>
        <v/>
      </c>
    </row>
    <row r="7851" spans="1:8">
      <c r="A7851" s="2"/>
      <c r="B7851" s="12"/>
      <c r="C7851" s="12"/>
      <c r="E7851" t="str">
        <f>IF(LEN(D7851)=0,"",[1]!i_pq_tradedays($B$3,A7852,A7851)-1)</f>
        <v/>
      </c>
      <c r="G7851" s="16" t="str">
        <f t="shared" si="260"/>
        <v/>
      </c>
      <c r="H7851" s="70" t="str">
        <f t="shared" si="261"/>
        <v/>
      </c>
    </row>
    <row r="7852" spans="1:8">
      <c r="A7852" s="2"/>
      <c r="B7852" s="12"/>
      <c r="C7852" s="12"/>
      <c r="E7852" t="str">
        <f>IF(LEN(D7852)=0,"",[1]!i_pq_tradedays($B$3,A7853,A7852)-1)</f>
        <v/>
      </c>
      <c r="G7852" s="16" t="str">
        <f t="shared" si="260"/>
        <v/>
      </c>
      <c r="H7852" s="70" t="str">
        <f t="shared" si="261"/>
        <v/>
      </c>
    </row>
    <row r="7853" spans="1:8">
      <c r="A7853" s="2"/>
      <c r="B7853" s="12"/>
      <c r="C7853" s="12"/>
      <c r="E7853" t="str">
        <f>IF(LEN(D7853)=0,"",[1]!i_pq_tradedays($B$3,A7854,A7853)-1)</f>
        <v/>
      </c>
      <c r="G7853" s="16" t="str">
        <f t="shared" si="260"/>
        <v/>
      </c>
      <c r="H7853" s="70" t="str">
        <f t="shared" si="261"/>
        <v/>
      </c>
    </row>
    <row r="7854" spans="1:8">
      <c r="A7854" s="2"/>
      <c r="B7854" s="12"/>
      <c r="C7854" s="12"/>
      <c r="E7854" t="str">
        <f>IF(LEN(D7854)=0,"",[1]!i_pq_tradedays($B$3,A7855,A7854)-1)</f>
        <v/>
      </c>
      <c r="G7854" s="16" t="str">
        <f t="shared" si="260"/>
        <v/>
      </c>
      <c r="H7854" s="70" t="str">
        <f t="shared" si="261"/>
        <v/>
      </c>
    </row>
    <row r="7855" spans="1:8">
      <c r="A7855" s="2"/>
      <c r="B7855" s="12"/>
      <c r="C7855" s="12"/>
      <c r="E7855" t="str">
        <f>IF(LEN(D7855)=0,"",[1]!i_pq_tradedays($B$3,A7856,A7855)-1)</f>
        <v/>
      </c>
      <c r="G7855" s="16" t="str">
        <f t="shared" si="260"/>
        <v/>
      </c>
      <c r="H7855" s="70" t="str">
        <f t="shared" si="261"/>
        <v/>
      </c>
    </row>
    <row r="7856" spans="1:8">
      <c r="A7856" s="2"/>
      <c r="B7856" s="12"/>
      <c r="C7856" s="12"/>
      <c r="E7856" t="str">
        <f>IF(LEN(D7856)=0,"",[1]!i_pq_tradedays($B$3,A7857,A7856)-1)</f>
        <v/>
      </c>
      <c r="G7856" s="16" t="str">
        <f t="shared" si="260"/>
        <v/>
      </c>
      <c r="H7856" s="70" t="str">
        <f t="shared" si="261"/>
        <v/>
      </c>
    </row>
    <row r="7857" spans="1:8">
      <c r="A7857" s="2"/>
      <c r="B7857" s="12"/>
      <c r="C7857" s="12"/>
      <c r="E7857" t="str">
        <f>IF(LEN(D7857)=0,"",[1]!i_pq_tradedays($B$3,A7858,A7857)-1)</f>
        <v/>
      </c>
      <c r="G7857" s="16" t="str">
        <f t="shared" si="260"/>
        <v/>
      </c>
      <c r="H7857" s="70" t="str">
        <f t="shared" si="261"/>
        <v/>
      </c>
    </row>
    <row r="7858" spans="1:8">
      <c r="A7858" s="2"/>
      <c r="B7858" s="12"/>
      <c r="C7858" s="12"/>
      <c r="E7858" t="str">
        <f>IF(LEN(D7858)=0,"",[1]!i_pq_tradedays($B$3,A7859,A7858)-1)</f>
        <v/>
      </c>
      <c r="G7858" s="16" t="str">
        <f t="shared" si="260"/>
        <v/>
      </c>
      <c r="H7858" s="70" t="str">
        <f t="shared" si="261"/>
        <v/>
      </c>
    </row>
    <row r="7859" spans="1:8">
      <c r="A7859" s="2"/>
      <c r="B7859" s="12"/>
      <c r="C7859" s="12"/>
      <c r="E7859" t="str">
        <f>IF(LEN(D7859)=0,"",[1]!i_pq_tradedays($B$3,A7860,A7859)-1)</f>
        <v/>
      </c>
      <c r="G7859" s="16" t="str">
        <f t="shared" si="260"/>
        <v/>
      </c>
      <c r="H7859" s="70" t="str">
        <f t="shared" si="261"/>
        <v/>
      </c>
    </row>
    <row r="7860" spans="1:8">
      <c r="A7860" s="2"/>
      <c r="B7860" s="12"/>
      <c r="C7860" s="12"/>
      <c r="E7860" t="str">
        <f>IF(LEN(D7860)=0,"",[1]!i_pq_tradedays($B$3,A7861,A7860)-1)</f>
        <v/>
      </c>
      <c r="G7860" s="16" t="str">
        <f t="shared" si="260"/>
        <v/>
      </c>
      <c r="H7860" s="70" t="str">
        <f t="shared" si="261"/>
        <v/>
      </c>
    </row>
    <row r="7861" spans="1:8">
      <c r="A7861" s="2"/>
      <c r="B7861" s="12"/>
      <c r="C7861" s="12"/>
      <c r="E7861" t="str">
        <f>IF(LEN(D7861)=0,"",[1]!i_pq_tradedays($B$3,A7862,A7861)-1)</f>
        <v/>
      </c>
      <c r="G7861" s="16" t="str">
        <f t="shared" ref="G7861:G7924" si="262">IF(LEN(D7861)=0,"",D7861/E7861)</f>
        <v/>
      </c>
      <c r="H7861" s="70" t="str">
        <f t="shared" ref="H7861:H7924" si="263">IF(LEN(D7861)=0,"",G7861/G7862-1)</f>
        <v/>
      </c>
    </row>
    <row r="7862" spans="1:8">
      <c r="A7862" s="2"/>
      <c r="B7862" s="12"/>
      <c r="C7862" s="12"/>
      <c r="E7862" t="str">
        <f>IF(LEN(D7862)=0,"",[1]!i_pq_tradedays($B$3,A7863,A7862)-1)</f>
        <v/>
      </c>
      <c r="G7862" s="16" t="str">
        <f t="shared" si="262"/>
        <v/>
      </c>
      <c r="H7862" s="70" t="str">
        <f t="shared" si="263"/>
        <v/>
      </c>
    </row>
    <row r="7863" spans="1:8">
      <c r="A7863" s="2"/>
      <c r="B7863" s="12"/>
      <c r="C7863" s="12"/>
      <c r="E7863" t="str">
        <f>IF(LEN(D7863)=0,"",[1]!i_pq_tradedays($B$3,A7864,A7863)-1)</f>
        <v/>
      </c>
      <c r="G7863" s="16" t="str">
        <f t="shared" si="262"/>
        <v/>
      </c>
      <c r="H7863" s="70" t="str">
        <f t="shared" si="263"/>
        <v/>
      </c>
    </row>
    <row r="7864" spans="1:8">
      <c r="A7864" s="2"/>
      <c r="B7864" s="12"/>
      <c r="C7864" s="12"/>
      <c r="E7864" t="str">
        <f>IF(LEN(D7864)=0,"",[1]!i_pq_tradedays($B$3,A7865,A7864)-1)</f>
        <v/>
      </c>
      <c r="G7864" s="16" t="str">
        <f t="shared" si="262"/>
        <v/>
      </c>
      <c r="H7864" s="70" t="str">
        <f t="shared" si="263"/>
        <v/>
      </c>
    </row>
    <row r="7865" spans="1:8">
      <c r="A7865" s="2"/>
      <c r="B7865" s="12"/>
      <c r="C7865" s="12"/>
      <c r="E7865" t="str">
        <f>IF(LEN(D7865)=0,"",[1]!i_pq_tradedays($B$3,A7866,A7865)-1)</f>
        <v/>
      </c>
      <c r="G7865" s="16" t="str">
        <f t="shared" si="262"/>
        <v/>
      </c>
      <c r="H7865" s="70" t="str">
        <f t="shared" si="263"/>
        <v/>
      </c>
    </row>
    <row r="7866" spans="1:8">
      <c r="A7866" s="2"/>
      <c r="B7866" s="12"/>
      <c r="C7866" s="12"/>
      <c r="E7866" t="str">
        <f>IF(LEN(D7866)=0,"",[1]!i_pq_tradedays($B$3,A7867,A7866)-1)</f>
        <v/>
      </c>
      <c r="G7866" s="16" t="str">
        <f t="shared" si="262"/>
        <v/>
      </c>
      <c r="H7866" s="70" t="str">
        <f t="shared" si="263"/>
        <v/>
      </c>
    </row>
    <row r="7867" spans="1:8">
      <c r="A7867" s="2"/>
      <c r="B7867" s="12"/>
      <c r="C7867" s="12"/>
      <c r="E7867" t="str">
        <f>IF(LEN(D7867)=0,"",[1]!i_pq_tradedays($B$3,A7868,A7867)-1)</f>
        <v/>
      </c>
      <c r="G7867" s="16" t="str">
        <f t="shared" si="262"/>
        <v/>
      </c>
      <c r="H7867" s="70" t="str">
        <f t="shared" si="263"/>
        <v/>
      </c>
    </row>
    <row r="7868" spans="1:8">
      <c r="A7868" s="2"/>
      <c r="B7868" s="12"/>
      <c r="C7868" s="12"/>
      <c r="E7868" t="str">
        <f>IF(LEN(D7868)=0,"",[1]!i_pq_tradedays($B$3,A7869,A7868)-1)</f>
        <v/>
      </c>
      <c r="G7868" s="16" t="str">
        <f t="shared" si="262"/>
        <v/>
      </c>
      <c r="H7868" s="70" t="str">
        <f t="shared" si="263"/>
        <v/>
      </c>
    </row>
    <row r="7869" spans="1:8">
      <c r="A7869" s="2"/>
      <c r="B7869" s="12"/>
      <c r="C7869" s="12"/>
      <c r="E7869" t="str">
        <f>IF(LEN(D7869)=0,"",[1]!i_pq_tradedays($B$3,A7870,A7869)-1)</f>
        <v/>
      </c>
      <c r="G7869" s="16" t="str">
        <f t="shared" si="262"/>
        <v/>
      </c>
      <c r="H7869" s="70" t="str">
        <f t="shared" si="263"/>
        <v/>
      </c>
    </row>
    <row r="7870" spans="1:8">
      <c r="A7870" s="2"/>
      <c r="B7870" s="12"/>
      <c r="C7870" s="12"/>
      <c r="E7870" t="str">
        <f>IF(LEN(D7870)=0,"",[1]!i_pq_tradedays($B$3,A7871,A7870)-1)</f>
        <v/>
      </c>
      <c r="G7870" s="16" t="str">
        <f t="shared" si="262"/>
        <v/>
      </c>
      <c r="H7870" s="70" t="str">
        <f t="shared" si="263"/>
        <v/>
      </c>
    </row>
    <row r="7871" spans="1:8">
      <c r="A7871" s="2"/>
      <c r="B7871" s="12"/>
      <c r="C7871" s="12"/>
      <c r="E7871" t="str">
        <f>IF(LEN(D7871)=0,"",[1]!i_pq_tradedays($B$3,A7872,A7871)-1)</f>
        <v/>
      </c>
      <c r="G7871" s="16" t="str">
        <f t="shared" si="262"/>
        <v/>
      </c>
      <c r="H7871" s="70" t="str">
        <f t="shared" si="263"/>
        <v/>
      </c>
    </row>
    <row r="7872" spans="1:8">
      <c r="A7872" s="2"/>
      <c r="B7872" s="12"/>
      <c r="C7872" s="12"/>
      <c r="E7872" t="str">
        <f>IF(LEN(D7872)=0,"",[1]!i_pq_tradedays($B$3,A7873,A7872)-1)</f>
        <v/>
      </c>
      <c r="G7872" s="16" t="str">
        <f t="shared" si="262"/>
        <v/>
      </c>
      <c r="H7872" s="70" t="str">
        <f t="shared" si="263"/>
        <v/>
      </c>
    </row>
    <row r="7873" spans="1:8">
      <c r="A7873" s="2"/>
      <c r="B7873" s="12"/>
      <c r="C7873" s="12"/>
      <c r="E7873" t="str">
        <f>IF(LEN(D7873)=0,"",[1]!i_pq_tradedays($B$3,A7874,A7873)-1)</f>
        <v/>
      </c>
      <c r="G7873" s="16" t="str">
        <f t="shared" si="262"/>
        <v/>
      </c>
      <c r="H7873" s="70" t="str">
        <f t="shared" si="263"/>
        <v/>
      </c>
    </row>
    <row r="7874" spans="1:8">
      <c r="A7874" s="2"/>
      <c r="B7874" s="12"/>
      <c r="C7874" s="12"/>
      <c r="E7874" t="str">
        <f>IF(LEN(D7874)=0,"",[1]!i_pq_tradedays($B$3,A7875,A7874)-1)</f>
        <v/>
      </c>
      <c r="G7874" s="16" t="str">
        <f t="shared" si="262"/>
        <v/>
      </c>
      <c r="H7874" s="70" t="str">
        <f t="shared" si="263"/>
        <v/>
      </c>
    </row>
    <row r="7875" spans="1:8">
      <c r="A7875" s="2"/>
      <c r="B7875" s="12"/>
      <c r="C7875" s="12"/>
      <c r="E7875" t="str">
        <f>IF(LEN(D7875)=0,"",[1]!i_pq_tradedays($B$3,A7876,A7875)-1)</f>
        <v/>
      </c>
      <c r="G7875" s="16" t="str">
        <f t="shared" si="262"/>
        <v/>
      </c>
      <c r="H7875" s="70" t="str">
        <f t="shared" si="263"/>
        <v/>
      </c>
    </row>
    <row r="7876" spans="1:8">
      <c r="A7876" s="2"/>
      <c r="B7876" s="12"/>
      <c r="C7876" s="12"/>
      <c r="E7876" t="str">
        <f>IF(LEN(D7876)=0,"",[1]!i_pq_tradedays($B$3,A7877,A7876)-1)</f>
        <v/>
      </c>
      <c r="G7876" s="16" t="str">
        <f t="shared" si="262"/>
        <v/>
      </c>
      <c r="H7876" s="70" t="str">
        <f t="shared" si="263"/>
        <v/>
      </c>
    </row>
    <row r="7877" spans="1:8">
      <c r="A7877" s="2"/>
      <c r="B7877" s="12"/>
      <c r="C7877" s="12"/>
      <c r="E7877" t="str">
        <f>IF(LEN(D7877)=0,"",[1]!i_pq_tradedays($B$3,A7878,A7877)-1)</f>
        <v/>
      </c>
      <c r="G7877" s="16" t="str">
        <f t="shared" si="262"/>
        <v/>
      </c>
      <c r="H7877" s="70" t="str">
        <f t="shared" si="263"/>
        <v/>
      </c>
    </row>
    <row r="7878" spans="1:8">
      <c r="A7878" s="2"/>
      <c r="B7878" s="12"/>
      <c r="C7878" s="12"/>
      <c r="E7878" t="str">
        <f>IF(LEN(D7878)=0,"",[1]!i_pq_tradedays($B$3,A7879,A7878)-1)</f>
        <v/>
      </c>
      <c r="G7878" s="16" t="str">
        <f t="shared" si="262"/>
        <v/>
      </c>
      <c r="H7878" s="70" t="str">
        <f t="shared" si="263"/>
        <v/>
      </c>
    </row>
    <row r="7879" spans="1:8">
      <c r="A7879" s="2"/>
      <c r="B7879" s="12"/>
      <c r="C7879" s="12"/>
      <c r="E7879" t="str">
        <f>IF(LEN(D7879)=0,"",[1]!i_pq_tradedays($B$3,A7880,A7879)-1)</f>
        <v/>
      </c>
      <c r="G7879" s="16" t="str">
        <f t="shared" si="262"/>
        <v/>
      </c>
      <c r="H7879" s="70" t="str">
        <f t="shared" si="263"/>
        <v/>
      </c>
    </row>
    <row r="7880" spans="1:8">
      <c r="A7880" s="2"/>
      <c r="B7880" s="12"/>
      <c r="C7880" s="12"/>
      <c r="E7880" t="str">
        <f>IF(LEN(D7880)=0,"",[1]!i_pq_tradedays($B$3,A7881,A7880)-1)</f>
        <v/>
      </c>
      <c r="G7880" s="16" t="str">
        <f t="shared" si="262"/>
        <v/>
      </c>
      <c r="H7880" s="70" t="str">
        <f t="shared" si="263"/>
        <v/>
      </c>
    </row>
    <row r="7881" spans="1:8">
      <c r="A7881" s="2"/>
      <c r="B7881" s="12"/>
      <c r="C7881" s="12"/>
      <c r="E7881" t="str">
        <f>IF(LEN(D7881)=0,"",[1]!i_pq_tradedays($B$3,A7882,A7881)-1)</f>
        <v/>
      </c>
      <c r="G7881" s="16" t="str">
        <f t="shared" si="262"/>
        <v/>
      </c>
      <c r="H7881" s="70" t="str">
        <f t="shared" si="263"/>
        <v/>
      </c>
    </row>
    <row r="7882" spans="1:8">
      <c r="A7882" s="2"/>
      <c r="B7882" s="12"/>
      <c r="C7882" s="12"/>
      <c r="E7882" t="str">
        <f>IF(LEN(D7882)=0,"",[1]!i_pq_tradedays($B$3,A7883,A7882)-1)</f>
        <v/>
      </c>
      <c r="G7882" s="16" t="str">
        <f t="shared" si="262"/>
        <v/>
      </c>
      <c r="H7882" s="70" t="str">
        <f t="shared" si="263"/>
        <v/>
      </c>
    </row>
    <row r="7883" spans="1:8">
      <c r="A7883" s="2"/>
      <c r="B7883" s="12"/>
      <c r="C7883" s="12"/>
      <c r="E7883" t="str">
        <f>IF(LEN(D7883)=0,"",[1]!i_pq_tradedays($B$3,A7884,A7883)-1)</f>
        <v/>
      </c>
      <c r="G7883" s="16" t="str">
        <f t="shared" si="262"/>
        <v/>
      </c>
      <c r="H7883" s="70" t="str">
        <f t="shared" si="263"/>
        <v/>
      </c>
    </row>
    <row r="7884" spans="1:8">
      <c r="A7884" s="2"/>
      <c r="B7884" s="12"/>
      <c r="C7884" s="12"/>
      <c r="E7884" t="str">
        <f>IF(LEN(D7884)=0,"",[1]!i_pq_tradedays($B$3,A7885,A7884)-1)</f>
        <v/>
      </c>
      <c r="G7884" s="16" t="str">
        <f t="shared" si="262"/>
        <v/>
      </c>
      <c r="H7884" s="70" t="str">
        <f t="shared" si="263"/>
        <v/>
      </c>
    </row>
    <row r="7885" spans="1:8">
      <c r="A7885" s="2"/>
      <c r="B7885" s="12"/>
      <c r="C7885" s="12"/>
      <c r="E7885" t="str">
        <f>IF(LEN(D7885)=0,"",[1]!i_pq_tradedays($B$3,A7886,A7885)-1)</f>
        <v/>
      </c>
      <c r="G7885" s="16" t="str">
        <f t="shared" si="262"/>
        <v/>
      </c>
      <c r="H7885" s="70" t="str">
        <f t="shared" si="263"/>
        <v/>
      </c>
    </row>
    <row r="7886" spans="1:8">
      <c r="A7886" s="2"/>
      <c r="B7886" s="12"/>
      <c r="C7886" s="12"/>
      <c r="E7886" t="str">
        <f>IF(LEN(D7886)=0,"",[1]!i_pq_tradedays($B$3,A7887,A7886)-1)</f>
        <v/>
      </c>
      <c r="G7886" s="16" t="str">
        <f t="shared" si="262"/>
        <v/>
      </c>
      <c r="H7886" s="70" t="str">
        <f t="shared" si="263"/>
        <v/>
      </c>
    </row>
    <row r="7887" spans="1:8">
      <c r="A7887" s="2"/>
      <c r="B7887" s="12"/>
      <c r="C7887" s="12"/>
      <c r="E7887" t="str">
        <f>IF(LEN(D7887)=0,"",[1]!i_pq_tradedays($B$3,A7888,A7887)-1)</f>
        <v/>
      </c>
      <c r="G7887" s="16" t="str">
        <f t="shared" si="262"/>
        <v/>
      </c>
      <c r="H7887" s="70" t="str">
        <f t="shared" si="263"/>
        <v/>
      </c>
    </row>
    <row r="7888" spans="1:8">
      <c r="A7888" s="2"/>
      <c r="B7888" s="12"/>
      <c r="C7888" s="12"/>
      <c r="E7888" t="str">
        <f>IF(LEN(D7888)=0,"",[1]!i_pq_tradedays($B$3,A7889,A7888)-1)</f>
        <v/>
      </c>
      <c r="G7888" s="16" t="str">
        <f t="shared" si="262"/>
        <v/>
      </c>
      <c r="H7888" s="70" t="str">
        <f t="shared" si="263"/>
        <v/>
      </c>
    </row>
    <row r="7889" spans="1:8">
      <c r="A7889" s="2"/>
      <c r="B7889" s="12"/>
      <c r="C7889" s="12"/>
      <c r="E7889" t="str">
        <f>IF(LEN(D7889)=0,"",[1]!i_pq_tradedays($B$3,A7890,A7889)-1)</f>
        <v/>
      </c>
      <c r="G7889" s="16" t="str">
        <f t="shared" si="262"/>
        <v/>
      </c>
      <c r="H7889" s="70" t="str">
        <f t="shared" si="263"/>
        <v/>
      </c>
    </row>
    <row r="7890" spans="1:8">
      <c r="A7890" s="2"/>
      <c r="B7890" s="12"/>
      <c r="C7890" s="12"/>
      <c r="E7890" t="str">
        <f>IF(LEN(D7890)=0,"",[1]!i_pq_tradedays($B$3,A7891,A7890)-1)</f>
        <v/>
      </c>
      <c r="G7890" s="16" t="str">
        <f t="shared" si="262"/>
        <v/>
      </c>
      <c r="H7890" s="70" t="str">
        <f t="shared" si="263"/>
        <v/>
      </c>
    </row>
    <row r="7891" spans="1:8">
      <c r="A7891" s="2"/>
      <c r="B7891" s="12"/>
      <c r="C7891" s="12"/>
      <c r="E7891" t="str">
        <f>IF(LEN(D7891)=0,"",[1]!i_pq_tradedays($B$3,A7892,A7891)-1)</f>
        <v/>
      </c>
      <c r="G7891" s="16" t="str">
        <f t="shared" si="262"/>
        <v/>
      </c>
      <c r="H7891" s="70" t="str">
        <f t="shared" si="263"/>
        <v/>
      </c>
    </row>
    <row r="7892" spans="1:8">
      <c r="A7892" s="2"/>
      <c r="B7892" s="12"/>
      <c r="C7892" s="12"/>
      <c r="E7892" t="str">
        <f>IF(LEN(D7892)=0,"",[1]!i_pq_tradedays($B$3,A7893,A7892)-1)</f>
        <v/>
      </c>
      <c r="G7892" s="16" t="str">
        <f t="shared" si="262"/>
        <v/>
      </c>
      <c r="H7892" s="70" t="str">
        <f t="shared" si="263"/>
        <v/>
      </c>
    </row>
    <row r="7893" spans="1:8">
      <c r="A7893" s="2"/>
      <c r="B7893" s="12"/>
      <c r="C7893" s="12"/>
      <c r="E7893" t="str">
        <f>IF(LEN(D7893)=0,"",[1]!i_pq_tradedays($B$3,A7894,A7893)-1)</f>
        <v/>
      </c>
      <c r="G7893" s="16" t="str">
        <f t="shared" si="262"/>
        <v/>
      </c>
      <c r="H7893" s="70" t="str">
        <f t="shared" si="263"/>
        <v/>
      </c>
    </row>
    <row r="7894" spans="1:8">
      <c r="A7894" s="2"/>
      <c r="B7894" s="12"/>
      <c r="C7894" s="12"/>
      <c r="E7894" t="str">
        <f>IF(LEN(D7894)=0,"",[1]!i_pq_tradedays($B$3,A7895,A7894)-1)</f>
        <v/>
      </c>
      <c r="G7894" s="16" t="str">
        <f t="shared" si="262"/>
        <v/>
      </c>
      <c r="H7894" s="70" t="str">
        <f t="shared" si="263"/>
        <v/>
      </c>
    </row>
    <row r="7895" spans="1:8">
      <c r="A7895" s="2"/>
      <c r="B7895" s="12"/>
      <c r="C7895" s="12"/>
      <c r="E7895" t="str">
        <f>IF(LEN(D7895)=0,"",[1]!i_pq_tradedays($B$3,A7896,A7895)-1)</f>
        <v/>
      </c>
      <c r="G7895" s="16" t="str">
        <f t="shared" si="262"/>
        <v/>
      </c>
      <c r="H7895" s="70" t="str">
        <f t="shared" si="263"/>
        <v/>
      </c>
    </row>
    <row r="7896" spans="1:8">
      <c r="A7896" s="2"/>
      <c r="B7896" s="12"/>
      <c r="C7896" s="12"/>
      <c r="E7896" t="str">
        <f>IF(LEN(D7896)=0,"",[1]!i_pq_tradedays($B$3,A7897,A7896)-1)</f>
        <v/>
      </c>
      <c r="G7896" s="16" t="str">
        <f t="shared" si="262"/>
        <v/>
      </c>
      <c r="H7896" s="70" t="str">
        <f t="shared" si="263"/>
        <v/>
      </c>
    </row>
    <row r="7897" spans="1:8">
      <c r="A7897" s="2"/>
      <c r="B7897" s="12"/>
      <c r="C7897" s="12"/>
      <c r="E7897" t="str">
        <f>IF(LEN(D7897)=0,"",[1]!i_pq_tradedays($B$3,A7898,A7897)-1)</f>
        <v/>
      </c>
      <c r="G7897" s="16" t="str">
        <f t="shared" si="262"/>
        <v/>
      </c>
      <c r="H7897" s="70" t="str">
        <f t="shared" si="263"/>
        <v/>
      </c>
    </row>
    <row r="7898" spans="1:8">
      <c r="A7898" s="2"/>
      <c r="B7898" s="12"/>
      <c r="C7898" s="12"/>
      <c r="E7898" t="str">
        <f>IF(LEN(D7898)=0,"",[1]!i_pq_tradedays($B$3,A7899,A7898)-1)</f>
        <v/>
      </c>
      <c r="G7898" s="16" t="str">
        <f t="shared" si="262"/>
        <v/>
      </c>
      <c r="H7898" s="70" t="str">
        <f t="shared" si="263"/>
        <v/>
      </c>
    </row>
    <row r="7899" spans="1:8">
      <c r="A7899" s="2"/>
      <c r="B7899" s="12"/>
      <c r="C7899" s="12"/>
      <c r="E7899" t="str">
        <f>IF(LEN(D7899)=0,"",[1]!i_pq_tradedays($B$3,A7900,A7899)-1)</f>
        <v/>
      </c>
      <c r="G7899" s="16" t="str">
        <f t="shared" si="262"/>
        <v/>
      </c>
      <c r="H7899" s="70" t="str">
        <f t="shared" si="263"/>
        <v/>
      </c>
    </row>
    <row r="7900" spans="1:8">
      <c r="A7900" s="2"/>
      <c r="B7900" s="12"/>
      <c r="C7900" s="12"/>
      <c r="E7900" t="str">
        <f>IF(LEN(D7900)=0,"",[1]!i_pq_tradedays($B$3,A7901,A7900)-1)</f>
        <v/>
      </c>
      <c r="G7900" s="16" t="str">
        <f t="shared" si="262"/>
        <v/>
      </c>
      <c r="H7900" s="70" t="str">
        <f t="shared" si="263"/>
        <v/>
      </c>
    </row>
    <row r="7901" spans="1:8">
      <c r="A7901" s="2"/>
      <c r="B7901" s="12"/>
      <c r="C7901" s="12"/>
      <c r="E7901" t="str">
        <f>IF(LEN(D7901)=0,"",[1]!i_pq_tradedays($B$3,A7902,A7901)-1)</f>
        <v/>
      </c>
      <c r="G7901" s="16" t="str">
        <f t="shared" si="262"/>
        <v/>
      </c>
      <c r="H7901" s="70" t="str">
        <f t="shared" si="263"/>
        <v/>
      </c>
    </row>
    <row r="7902" spans="1:8">
      <c r="A7902" s="2"/>
      <c r="B7902" s="12"/>
      <c r="C7902" s="12"/>
      <c r="E7902" t="str">
        <f>IF(LEN(D7902)=0,"",[1]!i_pq_tradedays($B$3,A7903,A7902)-1)</f>
        <v/>
      </c>
      <c r="G7902" s="16" t="str">
        <f t="shared" si="262"/>
        <v/>
      </c>
      <c r="H7902" s="70" t="str">
        <f t="shared" si="263"/>
        <v/>
      </c>
    </row>
    <row r="7903" spans="1:8">
      <c r="A7903" s="2"/>
      <c r="B7903" s="12"/>
      <c r="C7903" s="12"/>
      <c r="E7903" t="str">
        <f>IF(LEN(D7903)=0,"",[1]!i_pq_tradedays($B$3,A7904,A7903)-1)</f>
        <v/>
      </c>
      <c r="G7903" s="16" t="str">
        <f t="shared" si="262"/>
        <v/>
      </c>
      <c r="H7903" s="70" t="str">
        <f t="shared" si="263"/>
        <v/>
      </c>
    </row>
    <row r="7904" spans="1:8">
      <c r="A7904" s="2"/>
      <c r="B7904" s="12"/>
      <c r="C7904" s="12"/>
      <c r="E7904" t="str">
        <f>IF(LEN(D7904)=0,"",[1]!i_pq_tradedays($B$3,A7905,A7904)-1)</f>
        <v/>
      </c>
      <c r="G7904" s="16" t="str">
        <f t="shared" si="262"/>
        <v/>
      </c>
      <c r="H7904" s="70" t="str">
        <f t="shared" si="263"/>
        <v/>
      </c>
    </row>
    <row r="7905" spans="1:8">
      <c r="A7905" s="2"/>
      <c r="B7905" s="12"/>
      <c r="C7905" s="12"/>
      <c r="E7905" t="str">
        <f>IF(LEN(D7905)=0,"",[1]!i_pq_tradedays($B$3,A7906,A7905)-1)</f>
        <v/>
      </c>
      <c r="G7905" s="16" t="str">
        <f t="shared" si="262"/>
        <v/>
      </c>
      <c r="H7905" s="70" t="str">
        <f t="shared" si="263"/>
        <v/>
      </c>
    </row>
    <row r="7906" spans="1:8">
      <c r="A7906" s="2"/>
      <c r="B7906" s="12"/>
      <c r="C7906" s="12"/>
      <c r="E7906" t="str">
        <f>IF(LEN(D7906)=0,"",[1]!i_pq_tradedays($B$3,A7907,A7906)-1)</f>
        <v/>
      </c>
      <c r="G7906" s="16" t="str">
        <f t="shared" si="262"/>
        <v/>
      </c>
      <c r="H7906" s="70" t="str">
        <f t="shared" si="263"/>
        <v/>
      </c>
    </row>
    <row r="7907" spans="1:8">
      <c r="A7907" s="2"/>
      <c r="B7907" s="12"/>
      <c r="C7907" s="12"/>
      <c r="E7907" t="str">
        <f>IF(LEN(D7907)=0,"",[1]!i_pq_tradedays($B$3,A7908,A7907)-1)</f>
        <v/>
      </c>
      <c r="G7907" s="16" t="str">
        <f t="shared" si="262"/>
        <v/>
      </c>
      <c r="H7907" s="70" t="str">
        <f t="shared" si="263"/>
        <v/>
      </c>
    </row>
    <row r="7908" spans="1:8">
      <c r="A7908" s="2"/>
      <c r="B7908" s="12"/>
      <c r="C7908" s="12"/>
      <c r="E7908" t="str">
        <f>IF(LEN(D7908)=0,"",[1]!i_pq_tradedays($B$3,A7909,A7908)-1)</f>
        <v/>
      </c>
      <c r="G7908" s="16" t="str">
        <f t="shared" si="262"/>
        <v/>
      </c>
      <c r="H7908" s="70" t="str">
        <f t="shared" si="263"/>
        <v/>
      </c>
    </row>
    <row r="7909" spans="1:8">
      <c r="A7909" s="2"/>
      <c r="B7909" s="12"/>
      <c r="C7909" s="12"/>
      <c r="E7909" t="str">
        <f>IF(LEN(D7909)=0,"",[1]!i_pq_tradedays($B$3,A7910,A7909)-1)</f>
        <v/>
      </c>
      <c r="G7909" s="16" t="str">
        <f t="shared" si="262"/>
        <v/>
      </c>
      <c r="H7909" s="70" t="str">
        <f t="shared" si="263"/>
        <v/>
      </c>
    </row>
    <row r="7910" spans="1:8">
      <c r="A7910" s="2"/>
      <c r="B7910" s="12"/>
      <c r="C7910" s="12"/>
      <c r="E7910" t="str">
        <f>IF(LEN(D7910)=0,"",[1]!i_pq_tradedays($B$3,A7911,A7910)-1)</f>
        <v/>
      </c>
      <c r="G7910" s="16" t="str">
        <f t="shared" si="262"/>
        <v/>
      </c>
      <c r="H7910" s="70" t="str">
        <f t="shared" si="263"/>
        <v/>
      </c>
    </row>
    <row r="7911" spans="1:8">
      <c r="A7911" s="2"/>
      <c r="B7911" s="12"/>
      <c r="C7911" s="12"/>
      <c r="E7911" t="str">
        <f>IF(LEN(D7911)=0,"",[1]!i_pq_tradedays($B$3,A7912,A7911)-1)</f>
        <v/>
      </c>
      <c r="G7911" s="16" t="str">
        <f t="shared" si="262"/>
        <v/>
      </c>
      <c r="H7911" s="70" t="str">
        <f t="shared" si="263"/>
        <v/>
      </c>
    </row>
    <row r="7912" spans="1:8">
      <c r="A7912" s="2"/>
      <c r="B7912" s="12"/>
      <c r="C7912" s="12"/>
      <c r="E7912" t="str">
        <f>IF(LEN(D7912)=0,"",[1]!i_pq_tradedays($B$3,A7913,A7912)-1)</f>
        <v/>
      </c>
      <c r="G7912" s="16" t="str">
        <f t="shared" si="262"/>
        <v/>
      </c>
      <c r="H7912" s="70" t="str">
        <f t="shared" si="263"/>
        <v/>
      </c>
    </row>
    <row r="7913" spans="1:8">
      <c r="A7913" s="2"/>
      <c r="B7913" s="12"/>
      <c r="C7913" s="12"/>
      <c r="E7913" t="str">
        <f>IF(LEN(D7913)=0,"",[1]!i_pq_tradedays($B$3,A7914,A7913)-1)</f>
        <v/>
      </c>
      <c r="G7913" s="16" t="str">
        <f t="shared" si="262"/>
        <v/>
      </c>
      <c r="H7913" s="70" t="str">
        <f t="shared" si="263"/>
        <v/>
      </c>
    </row>
    <row r="7914" spans="1:8">
      <c r="A7914" s="2"/>
      <c r="B7914" s="12"/>
      <c r="C7914" s="12"/>
      <c r="E7914" t="str">
        <f>IF(LEN(D7914)=0,"",[1]!i_pq_tradedays($B$3,A7915,A7914)-1)</f>
        <v/>
      </c>
      <c r="G7914" s="16" t="str">
        <f t="shared" si="262"/>
        <v/>
      </c>
      <c r="H7914" s="70" t="str">
        <f t="shared" si="263"/>
        <v/>
      </c>
    </row>
    <row r="7915" spans="1:8">
      <c r="A7915" s="2"/>
      <c r="B7915" s="12"/>
      <c r="C7915" s="12"/>
      <c r="E7915" t="str">
        <f>IF(LEN(D7915)=0,"",[1]!i_pq_tradedays($B$3,A7916,A7915)-1)</f>
        <v/>
      </c>
      <c r="G7915" s="16" t="str">
        <f t="shared" si="262"/>
        <v/>
      </c>
      <c r="H7915" s="70" t="str">
        <f t="shared" si="263"/>
        <v/>
      </c>
    </row>
    <row r="7916" spans="1:8">
      <c r="A7916" s="2"/>
      <c r="B7916" s="12"/>
      <c r="C7916" s="12"/>
      <c r="E7916" t="str">
        <f>IF(LEN(D7916)=0,"",[1]!i_pq_tradedays($B$3,A7917,A7916)-1)</f>
        <v/>
      </c>
      <c r="G7916" s="16" t="str">
        <f t="shared" si="262"/>
        <v/>
      </c>
      <c r="H7916" s="70" t="str">
        <f t="shared" si="263"/>
        <v/>
      </c>
    </row>
    <row r="7917" spans="1:8">
      <c r="A7917" s="2"/>
      <c r="B7917" s="12"/>
      <c r="C7917" s="12"/>
      <c r="E7917" t="str">
        <f>IF(LEN(D7917)=0,"",[1]!i_pq_tradedays($B$3,A7918,A7917)-1)</f>
        <v/>
      </c>
      <c r="G7917" s="16" t="str">
        <f t="shared" si="262"/>
        <v/>
      </c>
      <c r="H7917" s="70" t="str">
        <f t="shared" si="263"/>
        <v/>
      </c>
    </row>
    <row r="7918" spans="1:8">
      <c r="A7918" s="2"/>
      <c r="B7918" s="12"/>
      <c r="C7918" s="12"/>
      <c r="E7918" t="str">
        <f>IF(LEN(D7918)=0,"",[1]!i_pq_tradedays($B$3,A7919,A7918)-1)</f>
        <v/>
      </c>
      <c r="G7918" s="16" t="str">
        <f t="shared" si="262"/>
        <v/>
      </c>
      <c r="H7918" s="70" t="str">
        <f t="shared" si="263"/>
        <v/>
      </c>
    </row>
    <row r="7919" spans="1:8">
      <c r="A7919" s="2"/>
      <c r="B7919" s="12"/>
      <c r="C7919" s="12"/>
      <c r="E7919" t="str">
        <f>IF(LEN(D7919)=0,"",[1]!i_pq_tradedays($B$3,A7920,A7919)-1)</f>
        <v/>
      </c>
      <c r="G7919" s="16" t="str">
        <f t="shared" si="262"/>
        <v/>
      </c>
      <c r="H7919" s="70" t="str">
        <f t="shared" si="263"/>
        <v/>
      </c>
    </row>
    <row r="7920" spans="1:8">
      <c r="A7920" s="2"/>
      <c r="B7920" s="12"/>
      <c r="C7920" s="12"/>
      <c r="E7920" t="str">
        <f>IF(LEN(D7920)=0,"",[1]!i_pq_tradedays($B$3,A7921,A7920)-1)</f>
        <v/>
      </c>
      <c r="G7920" s="16" t="str">
        <f t="shared" si="262"/>
        <v/>
      </c>
      <c r="H7920" s="70" t="str">
        <f t="shared" si="263"/>
        <v/>
      </c>
    </row>
    <row r="7921" spans="1:8">
      <c r="A7921" s="2"/>
      <c r="B7921" s="12"/>
      <c r="C7921" s="12"/>
      <c r="E7921" t="str">
        <f>IF(LEN(D7921)=0,"",[1]!i_pq_tradedays($B$3,A7922,A7921)-1)</f>
        <v/>
      </c>
      <c r="G7921" s="16" t="str">
        <f t="shared" si="262"/>
        <v/>
      </c>
      <c r="H7921" s="70" t="str">
        <f t="shared" si="263"/>
        <v/>
      </c>
    </row>
    <row r="7922" spans="1:8">
      <c r="A7922" s="2"/>
      <c r="B7922" s="12"/>
      <c r="C7922" s="12"/>
      <c r="E7922" t="str">
        <f>IF(LEN(D7922)=0,"",[1]!i_pq_tradedays($B$3,A7923,A7922)-1)</f>
        <v/>
      </c>
      <c r="G7922" s="16" t="str">
        <f t="shared" si="262"/>
        <v/>
      </c>
      <c r="H7922" s="70" t="str">
        <f t="shared" si="263"/>
        <v/>
      </c>
    </row>
    <row r="7923" spans="1:8">
      <c r="A7923" s="2"/>
      <c r="B7923" s="12"/>
      <c r="C7923" s="12"/>
      <c r="E7923" t="str">
        <f>IF(LEN(D7923)=0,"",[1]!i_pq_tradedays($B$3,A7924,A7923)-1)</f>
        <v/>
      </c>
      <c r="G7923" s="16" t="str">
        <f t="shared" si="262"/>
        <v/>
      </c>
      <c r="H7923" s="70" t="str">
        <f t="shared" si="263"/>
        <v/>
      </c>
    </row>
    <row r="7924" spans="1:8">
      <c r="A7924" s="2"/>
      <c r="B7924" s="12"/>
      <c r="C7924" s="12"/>
      <c r="E7924" t="str">
        <f>IF(LEN(D7924)=0,"",[1]!i_pq_tradedays($B$3,A7925,A7924)-1)</f>
        <v/>
      </c>
      <c r="G7924" s="16" t="str">
        <f t="shared" si="262"/>
        <v/>
      </c>
      <c r="H7924" s="70" t="str">
        <f t="shared" si="263"/>
        <v/>
      </c>
    </row>
    <row r="7925" spans="1:8">
      <c r="A7925" s="2"/>
      <c r="B7925" s="12"/>
      <c r="C7925" s="12"/>
      <c r="E7925" t="str">
        <f>IF(LEN(D7925)=0,"",[1]!i_pq_tradedays($B$3,A7926,A7925)-1)</f>
        <v/>
      </c>
      <c r="G7925" s="16" t="str">
        <f t="shared" ref="G7925:G7988" si="264">IF(LEN(D7925)=0,"",D7925/E7925)</f>
        <v/>
      </c>
      <c r="H7925" s="70" t="str">
        <f t="shared" ref="H7925:H7988" si="265">IF(LEN(D7925)=0,"",G7925/G7926-1)</f>
        <v/>
      </c>
    </row>
    <row r="7926" spans="1:8">
      <c r="A7926" s="2"/>
      <c r="B7926" s="12"/>
      <c r="C7926" s="12"/>
      <c r="E7926" t="str">
        <f>IF(LEN(D7926)=0,"",[1]!i_pq_tradedays($B$3,A7927,A7926)-1)</f>
        <v/>
      </c>
      <c r="G7926" s="16" t="str">
        <f t="shared" si="264"/>
        <v/>
      </c>
      <c r="H7926" s="70" t="str">
        <f t="shared" si="265"/>
        <v/>
      </c>
    </row>
    <row r="7927" spans="1:8">
      <c r="A7927" s="2"/>
      <c r="B7927" s="12"/>
      <c r="C7927" s="12"/>
      <c r="E7927" t="str">
        <f>IF(LEN(D7927)=0,"",[1]!i_pq_tradedays($B$3,A7928,A7927)-1)</f>
        <v/>
      </c>
      <c r="G7927" s="16" t="str">
        <f t="shared" si="264"/>
        <v/>
      </c>
      <c r="H7927" s="70" t="str">
        <f t="shared" si="265"/>
        <v/>
      </c>
    </row>
    <row r="7928" spans="1:8">
      <c r="A7928" s="2"/>
      <c r="B7928" s="12"/>
      <c r="C7928" s="12"/>
      <c r="E7928" t="str">
        <f>IF(LEN(D7928)=0,"",[1]!i_pq_tradedays($B$3,A7929,A7928)-1)</f>
        <v/>
      </c>
      <c r="G7928" s="16" t="str">
        <f t="shared" si="264"/>
        <v/>
      </c>
      <c r="H7928" s="70" t="str">
        <f t="shared" si="265"/>
        <v/>
      </c>
    </row>
    <row r="7929" spans="1:8">
      <c r="A7929" s="2"/>
      <c r="B7929" s="12"/>
      <c r="C7929" s="12"/>
      <c r="E7929" t="str">
        <f>IF(LEN(D7929)=0,"",[1]!i_pq_tradedays($B$3,A7930,A7929)-1)</f>
        <v/>
      </c>
      <c r="G7929" s="16" t="str">
        <f t="shared" si="264"/>
        <v/>
      </c>
      <c r="H7929" s="70" t="str">
        <f t="shared" si="265"/>
        <v/>
      </c>
    </row>
    <row r="7930" spans="1:8">
      <c r="A7930" s="2"/>
      <c r="B7930" s="12"/>
      <c r="C7930" s="12"/>
      <c r="E7930" t="str">
        <f>IF(LEN(D7930)=0,"",[1]!i_pq_tradedays($B$3,A7931,A7930)-1)</f>
        <v/>
      </c>
      <c r="G7930" s="16" t="str">
        <f t="shared" si="264"/>
        <v/>
      </c>
      <c r="H7930" s="70" t="str">
        <f t="shared" si="265"/>
        <v/>
      </c>
    </row>
    <row r="7931" spans="1:8">
      <c r="A7931" s="2"/>
      <c r="B7931" s="12"/>
      <c r="C7931" s="12"/>
      <c r="E7931" t="str">
        <f>IF(LEN(D7931)=0,"",[1]!i_pq_tradedays($B$3,A7932,A7931)-1)</f>
        <v/>
      </c>
      <c r="G7931" s="16" t="str">
        <f t="shared" si="264"/>
        <v/>
      </c>
      <c r="H7931" s="70" t="str">
        <f t="shared" si="265"/>
        <v/>
      </c>
    </row>
    <row r="7932" spans="1:8">
      <c r="A7932" s="2"/>
      <c r="B7932" s="12"/>
      <c r="C7932" s="12"/>
      <c r="E7932" t="str">
        <f>IF(LEN(D7932)=0,"",[1]!i_pq_tradedays($B$3,A7933,A7932)-1)</f>
        <v/>
      </c>
      <c r="G7932" s="16" t="str">
        <f t="shared" si="264"/>
        <v/>
      </c>
      <c r="H7932" s="70" t="str">
        <f t="shared" si="265"/>
        <v/>
      </c>
    </row>
    <row r="7933" spans="1:8">
      <c r="A7933" s="2"/>
      <c r="B7933" s="12"/>
      <c r="C7933" s="12"/>
      <c r="E7933" t="str">
        <f>IF(LEN(D7933)=0,"",[1]!i_pq_tradedays($B$3,A7934,A7933)-1)</f>
        <v/>
      </c>
      <c r="G7933" s="16" t="str">
        <f t="shared" si="264"/>
        <v/>
      </c>
      <c r="H7933" s="70" t="str">
        <f t="shared" si="265"/>
        <v/>
      </c>
    </row>
    <row r="7934" spans="1:8">
      <c r="A7934" s="2"/>
      <c r="B7934" s="12"/>
      <c r="C7934" s="12"/>
      <c r="E7934" t="str">
        <f>IF(LEN(D7934)=0,"",[1]!i_pq_tradedays($B$3,A7935,A7934)-1)</f>
        <v/>
      </c>
      <c r="G7934" s="16" t="str">
        <f t="shared" si="264"/>
        <v/>
      </c>
      <c r="H7934" s="70" t="str">
        <f t="shared" si="265"/>
        <v/>
      </c>
    </row>
    <row r="7935" spans="1:8">
      <c r="A7935" s="2"/>
      <c r="B7935" s="12"/>
      <c r="C7935" s="12"/>
      <c r="E7935" t="str">
        <f>IF(LEN(D7935)=0,"",[1]!i_pq_tradedays($B$3,A7936,A7935)-1)</f>
        <v/>
      </c>
      <c r="G7935" s="16" t="str">
        <f t="shared" si="264"/>
        <v/>
      </c>
      <c r="H7935" s="70" t="str">
        <f t="shared" si="265"/>
        <v/>
      </c>
    </row>
    <row r="7936" spans="1:8">
      <c r="A7936" s="2"/>
      <c r="B7936" s="12"/>
      <c r="C7936" s="12"/>
      <c r="E7936" t="str">
        <f>IF(LEN(D7936)=0,"",[1]!i_pq_tradedays($B$3,A7937,A7936)-1)</f>
        <v/>
      </c>
      <c r="G7936" s="16" t="str">
        <f t="shared" si="264"/>
        <v/>
      </c>
      <c r="H7936" s="70" t="str">
        <f t="shared" si="265"/>
        <v/>
      </c>
    </row>
    <row r="7937" spans="1:8">
      <c r="A7937" s="2"/>
      <c r="B7937" s="12"/>
      <c r="C7937" s="12"/>
      <c r="E7937" t="str">
        <f>IF(LEN(D7937)=0,"",[1]!i_pq_tradedays($B$3,A7938,A7937)-1)</f>
        <v/>
      </c>
      <c r="G7937" s="16" t="str">
        <f t="shared" si="264"/>
        <v/>
      </c>
      <c r="H7937" s="70" t="str">
        <f t="shared" si="265"/>
        <v/>
      </c>
    </row>
    <row r="7938" spans="1:8">
      <c r="A7938" s="2"/>
      <c r="B7938" s="12"/>
      <c r="C7938" s="12"/>
      <c r="E7938" t="str">
        <f>IF(LEN(D7938)=0,"",[1]!i_pq_tradedays($B$3,A7939,A7938)-1)</f>
        <v/>
      </c>
      <c r="G7938" s="16" t="str">
        <f t="shared" si="264"/>
        <v/>
      </c>
      <c r="H7938" s="70" t="str">
        <f t="shared" si="265"/>
        <v/>
      </c>
    </row>
    <row r="7939" spans="1:8">
      <c r="A7939" s="2"/>
      <c r="B7939" s="12"/>
      <c r="C7939" s="12"/>
      <c r="E7939" t="str">
        <f>IF(LEN(D7939)=0,"",[1]!i_pq_tradedays($B$3,A7940,A7939)-1)</f>
        <v/>
      </c>
      <c r="G7939" s="16" t="str">
        <f t="shared" si="264"/>
        <v/>
      </c>
      <c r="H7939" s="70" t="str">
        <f t="shared" si="265"/>
        <v/>
      </c>
    </row>
    <row r="7940" spans="1:8">
      <c r="A7940" s="2"/>
      <c r="B7940" s="12"/>
      <c r="C7940" s="12"/>
      <c r="E7940" t="str">
        <f>IF(LEN(D7940)=0,"",[1]!i_pq_tradedays($B$3,A7941,A7940)-1)</f>
        <v/>
      </c>
      <c r="G7940" s="16" t="str">
        <f t="shared" si="264"/>
        <v/>
      </c>
      <c r="H7940" s="70" t="str">
        <f t="shared" si="265"/>
        <v/>
      </c>
    </row>
    <row r="7941" spans="1:8">
      <c r="A7941" s="2"/>
      <c r="B7941" s="12"/>
      <c r="C7941" s="12"/>
      <c r="E7941" t="str">
        <f>IF(LEN(D7941)=0,"",[1]!i_pq_tradedays($B$3,A7942,A7941)-1)</f>
        <v/>
      </c>
      <c r="G7941" s="16" t="str">
        <f t="shared" si="264"/>
        <v/>
      </c>
      <c r="H7941" s="70" t="str">
        <f t="shared" si="265"/>
        <v/>
      </c>
    </row>
    <row r="7942" spans="1:8">
      <c r="A7942" s="2"/>
      <c r="B7942" s="12"/>
      <c r="C7942" s="12"/>
      <c r="E7942" t="str">
        <f>IF(LEN(D7942)=0,"",[1]!i_pq_tradedays($B$3,A7943,A7942)-1)</f>
        <v/>
      </c>
      <c r="G7942" s="16" t="str">
        <f t="shared" si="264"/>
        <v/>
      </c>
      <c r="H7942" s="70" t="str">
        <f t="shared" si="265"/>
        <v/>
      </c>
    </row>
    <row r="7943" spans="1:8">
      <c r="A7943" s="2"/>
      <c r="B7943" s="12"/>
      <c r="C7943" s="12"/>
      <c r="E7943" t="str">
        <f>IF(LEN(D7943)=0,"",[1]!i_pq_tradedays($B$3,A7944,A7943)-1)</f>
        <v/>
      </c>
      <c r="G7943" s="16" t="str">
        <f t="shared" si="264"/>
        <v/>
      </c>
      <c r="H7943" s="70" t="str">
        <f t="shared" si="265"/>
        <v/>
      </c>
    </row>
    <row r="7944" spans="1:8">
      <c r="A7944" s="2"/>
      <c r="B7944" s="12"/>
      <c r="C7944" s="12"/>
      <c r="E7944" t="str">
        <f>IF(LEN(D7944)=0,"",[1]!i_pq_tradedays($B$3,A7945,A7944)-1)</f>
        <v/>
      </c>
      <c r="G7944" s="16" t="str">
        <f t="shared" si="264"/>
        <v/>
      </c>
      <c r="H7944" s="70" t="str">
        <f t="shared" si="265"/>
        <v/>
      </c>
    </row>
    <row r="7945" spans="1:8">
      <c r="A7945" s="2"/>
      <c r="B7945" s="12"/>
      <c r="C7945" s="12"/>
      <c r="E7945" t="str">
        <f>IF(LEN(D7945)=0,"",[1]!i_pq_tradedays($B$3,A7946,A7945)-1)</f>
        <v/>
      </c>
      <c r="G7945" s="16" t="str">
        <f t="shared" si="264"/>
        <v/>
      </c>
      <c r="H7945" s="70" t="str">
        <f t="shared" si="265"/>
        <v/>
      </c>
    </row>
    <row r="7946" spans="1:8">
      <c r="A7946" s="2"/>
      <c r="B7946" s="12"/>
      <c r="C7946" s="12"/>
      <c r="E7946" t="str">
        <f>IF(LEN(D7946)=0,"",[1]!i_pq_tradedays($B$3,A7947,A7946)-1)</f>
        <v/>
      </c>
      <c r="G7946" s="16" t="str">
        <f t="shared" si="264"/>
        <v/>
      </c>
      <c r="H7946" s="70" t="str">
        <f t="shared" si="265"/>
        <v/>
      </c>
    </row>
    <row r="7947" spans="1:8">
      <c r="A7947" s="2"/>
      <c r="B7947" s="12"/>
      <c r="C7947" s="12"/>
      <c r="E7947" t="str">
        <f>IF(LEN(D7947)=0,"",[1]!i_pq_tradedays($B$3,A7948,A7947)-1)</f>
        <v/>
      </c>
      <c r="G7947" s="16" t="str">
        <f t="shared" si="264"/>
        <v/>
      </c>
      <c r="H7947" s="70" t="str">
        <f t="shared" si="265"/>
        <v/>
      </c>
    </row>
    <row r="7948" spans="1:8">
      <c r="A7948" s="2"/>
      <c r="B7948" s="12"/>
      <c r="C7948" s="12"/>
      <c r="E7948" t="str">
        <f>IF(LEN(D7948)=0,"",[1]!i_pq_tradedays($B$3,A7949,A7948)-1)</f>
        <v/>
      </c>
      <c r="G7948" s="16" t="str">
        <f t="shared" si="264"/>
        <v/>
      </c>
      <c r="H7948" s="70" t="str">
        <f t="shared" si="265"/>
        <v/>
      </c>
    </row>
    <row r="7949" spans="1:8">
      <c r="A7949" s="2"/>
      <c r="B7949" s="12"/>
      <c r="C7949" s="12"/>
      <c r="E7949" t="str">
        <f>IF(LEN(D7949)=0,"",[1]!i_pq_tradedays($B$3,A7950,A7949)-1)</f>
        <v/>
      </c>
      <c r="G7949" s="16" t="str">
        <f t="shared" si="264"/>
        <v/>
      </c>
      <c r="H7949" s="70" t="str">
        <f t="shared" si="265"/>
        <v/>
      </c>
    </row>
    <row r="7950" spans="1:8">
      <c r="A7950" s="2"/>
      <c r="B7950" s="12"/>
      <c r="C7950" s="12"/>
      <c r="E7950" t="str">
        <f>IF(LEN(D7950)=0,"",[1]!i_pq_tradedays($B$3,A7951,A7950)-1)</f>
        <v/>
      </c>
      <c r="G7950" s="16" t="str">
        <f t="shared" si="264"/>
        <v/>
      </c>
      <c r="H7950" s="70" t="str">
        <f t="shared" si="265"/>
        <v/>
      </c>
    </row>
    <row r="7951" spans="1:8">
      <c r="A7951" s="2"/>
      <c r="B7951" s="12"/>
      <c r="C7951" s="12"/>
      <c r="E7951" t="str">
        <f>IF(LEN(D7951)=0,"",[1]!i_pq_tradedays($B$3,A7952,A7951)-1)</f>
        <v/>
      </c>
      <c r="G7951" s="16" t="str">
        <f t="shared" si="264"/>
        <v/>
      </c>
      <c r="H7951" s="70" t="str">
        <f t="shared" si="265"/>
        <v/>
      </c>
    </row>
    <row r="7952" spans="1:8">
      <c r="A7952" s="2"/>
      <c r="B7952" s="12"/>
      <c r="C7952" s="12"/>
      <c r="E7952" t="str">
        <f>IF(LEN(D7952)=0,"",[1]!i_pq_tradedays($B$3,A7953,A7952)-1)</f>
        <v/>
      </c>
      <c r="G7952" s="16" t="str">
        <f t="shared" si="264"/>
        <v/>
      </c>
      <c r="H7952" s="70" t="str">
        <f t="shared" si="265"/>
        <v/>
      </c>
    </row>
    <row r="7953" spans="1:8">
      <c r="A7953" s="2"/>
      <c r="B7953" s="12"/>
      <c r="C7953" s="12"/>
      <c r="E7953" t="str">
        <f>IF(LEN(D7953)=0,"",[1]!i_pq_tradedays($B$3,A7954,A7953)-1)</f>
        <v/>
      </c>
      <c r="G7953" s="16" t="str">
        <f t="shared" si="264"/>
        <v/>
      </c>
      <c r="H7953" s="70" t="str">
        <f t="shared" si="265"/>
        <v/>
      </c>
    </row>
    <row r="7954" spans="1:8">
      <c r="A7954" s="2"/>
      <c r="B7954" s="12"/>
      <c r="C7954" s="12"/>
      <c r="E7954" t="str">
        <f>IF(LEN(D7954)=0,"",[1]!i_pq_tradedays($B$3,A7955,A7954)-1)</f>
        <v/>
      </c>
      <c r="G7954" s="16" t="str">
        <f t="shared" si="264"/>
        <v/>
      </c>
      <c r="H7954" s="70" t="str">
        <f t="shared" si="265"/>
        <v/>
      </c>
    </row>
    <row r="7955" spans="1:8">
      <c r="A7955" s="2"/>
      <c r="B7955" s="12"/>
      <c r="C7955" s="12"/>
      <c r="E7955" t="str">
        <f>IF(LEN(D7955)=0,"",[1]!i_pq_tradedays($B$3,A7956,A7955)-1)</f>
        <v/>
      </c>
      <c r="G7955" s="16" t="str">
        <f t="shared" si="264"/>
        <v/>
      </c>
      <c r="H7955" s="70" t="str">
        <f t="shared" si="265"/>
        <v/>
      </c>
    </row>
    <row r="7956" spans="1:8">
      <c r="A7956" s="2"/>
      <c r="B7956" s="12"/>
      <c r="C7956" s="12"/>
      <c r="E7956" t="str">
        <f>IF(LEN(D7956)=0,"",[1]!i_pq_tradedays($B$3,A7957,A7956)-1)</f>
        <v/>
      </c>
      <c r="G7956" s="16" t="str">
        <f t="shared" si="264"/>
        <v/>
      </c>
      <c r="H7956" s="70" t="str">
        <f t="shared" si="265"/>
        <v/>
      </c>
    </row>
    <row r="7957" spans="1:8">
      <c r="A7957" s="2"/>
      <c r="B7957" s="12"/>
      <c r="C7957" s="12"/>
      <c r="E7957" t="str">
        <f>IF(LEN(D7957)=0,"",[1]!i_pq_tradedays($B$3,A7958,A7957)-1)</f>
        <v/>
      </c>
      <c r="G7957" s="16" t="str">
        <f t="shared" si="264"/>
        <v/>
      </c>
      <c r="H7957" s="70" t="str">
        <f t="shared" si="265"/>
        <v/>
      </c>
    </row>
    <row r="7958" spans="1:8">
      <c r="A7958" s="2"/>
      <c r="B7958" s="12"/>
      <c r="C7958" s="12"/>
      <c r="E7958" t="str">
        <f>IF(LEN(D7958)=0,"",[1]!i_pq_tradedays($B$3,A7959,A7958)-1)</f>
        <v/>
      </c>
      <c r="G7958" s="16" t="str">
        <f t="shared" si="264"/>
        <v/>
      </c>
      <c r="H7958" s="70" t="str">
        <f t="shared" si="265"/>
        <v/>
      </c>
    </row>
    <row r="7959" spans="1:8">
      <c r="A7959" s="2"/>
      <c r="B7959" s="12"/>
      <c r="C7959" s="12"/>
      <c r="E7959" t="str">
        <f>IF(LEN(D7959)=0,"",[1]!i_pq_tradedays($B$3,A7960,A7959)-1)</f>
        <v/>
      </c>
      <c r="G7959" s="16" t="str">
        <f t="shared" si="264"/>
        <v/>
      </c>
      <c r="H7959" s="70" t="str">
        <f t="shared" si="265"/>
        <v/>
      </c>
    </row>
    <row r="7960" spans="1:8">
      <c r="A7960" s="2"/>
      <c r="B7960" s="12"/>
      <c r="C7960" s="12"/>
      <c r="E7960" t="str">
        <f>IF(LEN(D7960)=0,"",[1]!i_pq_tradedays($B$3,A7961,A7960)-1)</f>
        <v/>
      </c>
      <c r="G7960" s="16" t="str">
        <f t="shared" si="264"/>
        <v/>
      </c>
      <c r="H7960" s="70" t="str">
        <f t="shared" si="265"/>
        <v/>
      </c>
    </row>
    <row r="7961" spans="1:8">
      <c r="A7961" s="2"/>
      <c r="B7961" s="12"/>
      <c r="C7961" s="12"/>
      <c r="E7961" t="str">
        <f>IF(LEN(D7961)=0,"",[1]!i_pq_tradedays($B$3,A7962,A7961)-1)</f>
        <v/>
      </c>
      <c r="G7961" s="16" t="str">
        <f t="shared" si="264"/>
        <v/>
      </c>
      <c r="H7961" s="70" t="str">
        <f t="shared" si="265"/>
        <v/>
      </c>
    </row>
    <row r="7962" spans="1:8">
      <c r="A7962" s="2"/>
      <c r="B7962" s="12"/>
      <c r="C7962" s="12"/>
      <c r="E7962" t="str">
        <f>IF(LEN(D7962)=0,"",[1]!i_pq_tradedays($B$3,A7963,A7962)-1)</f>
        <v/>
      </c>
      <c r="G7962" s="16" t="str">
        <f t="shared" si="264"/>
        <v/>
      </c>
      <c r="H7962" s="70" t="str">
        <f t="shared" si="265"/>
        <v/>
      </c>
    </row>
    <row r="7963" spans="1:8">
      <c r="A7963" s="2"/>
      <c r="B7963" s="12"/>
      <c r="C7963" s="12"/>
      <c r="E7963" t="str">
        <f>IF(LEN(D7963)=0,"",[1]!i_pq_tradedays($B$3,A7964,A7963)-1)</f>
        <v/>
      </c>
      <c r="G7963" s="16" t="str">
        <f t="shared" si="264"/>
        <v/>
      </c>
      <c r="H7963" s="70" t="str">
        <f t="shared" si="265"/>
        <v/>
      </c>
    </row>
    <row r="7964" spans="1:8">
      <c r="A7964" s="2"/>
      <c r="B7964" s="12"/>
      <c r="C7964" s="12"/>
      <c r="E7964" t="str">
        <f>IF(LEN(D7964)=0,"",[1]!i_pq_tradedays($B$3,A7965,A7964)-1)</f>
        <v/>
      </c>
      <c r="G7964" s="16" t="str">
        <f t="shared" si="264"/>
        <v/>
      </c>
      <c r="H7964" s="70" t="str">
        <f t="shared" si="265"/>
        <v/>
      </c>
    </row>
    <row r="7965" spans="1:8">
      <c r="A7965" s="2"/>
      <c r="B7965" s="12"/>
      <c r="C7965" s="12"/>
      <c r="E7965" t="str">
        <f>IF(LEN(D7965)=0,"",[1]!i_pq_tradedays($B$3,A7966,A7965)-1)</f>
        <v/>
      </c>
      <c r="G7965" s="16" t="str">
        <f t="shared" si="264"/>
        <v/>
      </c>
      <c r="H7965" s="70" t="str">
        <f t="shared" si="265"/>
        <v/>
      </c>
    </row>
    <row r="7966" spans="1:8">
      <c r="A7966" s="2"/>
      <c r="B7966" s="12"/>
      <c r="C7966" s="12"/>
      <c r="E7966" t="str">
        <f>IF(LEN(D7966)=0,"",[1]!i_pq_tradedays($B$3,A7967,A7966)-1)</f>
        <v/>
      </c>
      <c r="G7966" s="16" t="str">
        <f t="shared" si="264"/>
        <v/>
      </c>
      <c r="H7966" s="70" t="str">
        <f t="shared" si="265"/>
        <v/>
      </c>
    </row>
    <row r="7967" spans="1:8">
      <c r="A7967" s="2"/>
      <c r="B7967" s="12"/>
      <c r="C7967" s="12"/>
      <c r="E7967" t="str">
        <f>IF(LEN(D7967)=0,"",[1]!i_pq_tradedays($B$3,A7968,A7967)-1)</f>
        <v/>
      </c>
      <c r="G7967" s="16" t="str">
        <f t="shared" si="264"/>
        <v/>
      </c>
      <c r="H7967" s="70" t="str">
        <f t="shared" si="265"/>
        <v/>
      </c>
    </row>
    <row r="7968" spans="1:8">
      <c r="A7968" s="2"/>
      <c r="B7968" s="12"/>
      <c r="C7968" s="12"/>
      <c r="E7968" t="str">
        <f>IF(LEN(D7968)=0,"",[1]!i_pq_tradedays($B$3,A7969,A7968)-1)</f>
        <v/>
      </c>
      <c r="G7968" s="16" t="str">
        <f t="shared" si="264"/>
        <v/>
      </c>
      <c r="H7968" s="70" t="str">
        <f t="shared" si="265"/>
        <v/>
      </c>
    </row>
    <row r="7969" spans="1:8">
      <c r="A7969" s="2"/>
      <c r="B7969" s="12"/>
      <c r="C7969" s="12"/>
      <c r="E7969" t="str">
        <f>IF(LEN(D7969)=0,"",[1]!i_pq_tradedays($B$3,A7970,A7969)-1)</f>
        <v/>
      </c>
      <c r="G7969" s="16" t="str">
        <f t="shared" si="264"/>
        <v/>
      </c>
      <c r="H7969" s="70" t="str">
        <f t="shared" si="265"/>
        <v/>
      </c>
    </row>
    <row r="7970" spans="1:8">
      <c r="A7970" s="2"/>
      <c r="B7970" s="12"/>
      <c r="C7970" s="12"/>
      <c r="E7970" t="str">
        <f>IF(LEN(D7970)=0,"",[1]!i_pq_tradedays($B$3,A7971,A7970)-1)</f>
        <v/>
      </c>
      <c r="G7970" s="16" t="str">
        <f t="shared" si="264"/>
        <v/>
      </c>
      <c r="H7970" s="70" t="str">
        <f t="shared" si="265"/>
        <v/>
      </c>
    </row>
    <row r="7971" spans="1:8">
      <c r="A7971" s="2"/>
      <c r="B7971" s="12"/>
      <c r="C7971" s="12"/>
      <c r="E7971" t="str">
        <f>IF(LEN(D7971)=0,"",[1]!i_pq_tradedays($B$3,A7972,A7971)-1)</f>
        <v/>
      </c>
      <c r="G7971" s="16" t="str">
        <f t="shared" si="264"/>
        <v/>
      </c>
      <c r="H7971" s="70" t="str">
        <f t="shared" si="265"/>
        <v/>
      </c>
    </row>
    <row r="7972" spans="1:8">
      <c r="A7972" s="2"/>
      <c r="B7972" s="12"/>
      <c r="C7972" s="12"/>
      <c r="E7972" t="str">
        <f>IF(LEN(D7972)=0,"",[1]!i_pq_tradedays($B$3,A7973,A7972)-1)</f>
        <v/>
      </c>
      <c r="G7972" s="16" t="str">
        <f t="shared" si="264"/>
        <v/>
      </c>
      <c r="H7972" s="70" t="str">
        <f t="shared" si="265"/>
        <v/>
      </c>
    </row>
    <row r="7973" spans="1:8">
      <c r="A7973" s="2"/>
      <c r="B7973" s="12"/>
      <c r="C7973" s="12"/>
      <c r="E7973" t="str">
        <f>IF(LEN(D7973)=0,"",[1]!i_pq_tradedays($B$3,A7974,A7973)-1)</f>
        <v/>
      </c>
      <c r="G7973" s="16" t="str">
        <f t="shared" si="264"/>
        <v/>
      </c>
      <c r="H7973" s="70" t="str">
        <f t="shared" si="265"/>
        <v/>
      </c>
    </row>
    <row r="7974" spans="1:8">
      <c r="A7974" s="2"/>
      <c r="B7974" s="12"/>
      <c r="C7974" s="12"/>
      <c r="E7974" t="str">
        <f>IF(LEN(D7974)=0,"",[1]!i_pq_tradedays($B$3,A7975,A7974)-1)</f>
        <v/>
      </c>
      <c r="G7974" s="16" t="str">
        <f t="shared" si="264"/>
        <v/>
      </c>
      <c r="H7974" s="70" t="str">
        <f t="shared" si="265"/>
        <v/>
      </c>
    </row>
    <row r="7975" spans="1:8">
      <c r="A7975" s="2"/>
      <c r="B7975" s="12"/>
      <c r="C7975" s="12"/>
      <c r="E7975" t="str">
        <f>IF(LEN(D7975)=0,"",[1]!i_pq_tradedays($B$3,A7976,A7975)-1)</f>
        <v/>
      </c>
      <c r="G7975" s="16" t="str">
        <f t="shared" si="264"/>
        <v/>
      </c>
      <c r="H7975" s="70" t="str">
        <f t="shared" si="265"/>
        <v/>
      </c>
    </row>
    <row r="7976" spans="1:8">
      <c r="A7976" s="2"/>
      <c r="B7976" s="12"/>
      <c r="C7976" s="12"/>
      <c r="E7976" t="str">
        <f>IF(LEN(D7976)=0,"",[1]!i_pq_tradedays($B$3,A7977,A7976)-1)</f>
        <v/>
      </c>
      <c r="G7976" s="16" t="str">
        <f t="shared" si="264"/>
        <v/>
      </c>
      <c r="H7976" s="70" t="str">
        <f t="shared" si="265"/>
        <v/>
      </c>
    </row>
    <row r="7977" spans="1:8">
      <c r="A7977" s="2"/>
      <c r="B7977" s="12"/>
      <c r="C7977" s="12"/>
      <c r="E7977" t="str">
        <f>IF(LEN(D7977)=0,"",[1]!i_pq_tradedays($B$3,A7978,A7977)-1)</f>
        <v/>
      </c>
      <c r="G7977" s="16" t="str">
        <f t="shared" si="264"/>
        <v/>
      </c>
      <c r="H7977" s="70" t="str">
        <f t="shared" si="265"/>
        <v/>
      </c>
    </row>
    <row r="7978" spans="1:8">
      <c r="A7978" s="2"/>
      <c r="B7978" s="12"/>
      <c r="C7978" s="12"/>
      <c r="E7978" t="str">
        <f>IF(LEN(D7978)=0,"",[1]!i_pq_tradedays($B$3,A7979,A7978)-1)</f>
        <v/>
      </c>
      <c r="G7978" s="16" t="str">
        <f t="shared" si="264"/>
        <v/>
      </c>
      <c r="H7978" s="70" t="str">
        <f t="shared" si="265"/>
        <v/>
      </c>
    </row>
    <row r="7979" spans="1:8">
      <c r="A7979" s="2"/>
      <c r="B7979" s="12"/>
      <c r="C7979" s="12"/>
      <c r="E7979" t="str">
        <f>IF(LEN(D7979)=0,"",[1]!i_pq_tradedays($B$3,A7980,A7979)-1)</f>
        <v/>
      </c>
      <c r="G7979" s="16" t="str">
        <f t="shared" si="264"/>
        <v/>
      </c>
      <c r="H7979" s="70" t="str">
        <f t="shared" si="265"/>
        <v/>
      </c>
    </row>
    <row r="7980" spans="1:8">
      <c r="A7980" s="2"/>
      <c r="B7980" s="12"/>
      <c r="C7980" s="12"/>
      <c r="E7980" t="str">
        <f>IF(LEN(D7980)=0,"",[1]!i_pq_tradedays($B$3,A7981,A7980)-1)</f>
        <v/>
      </c>
      <c r="G7980" s="16" t="str">
        <f t="shared" si="264"/>
        <v/>
      </c>
      <c r="H7980" s="70" t="str">
        <f t="shared" si="265"/>
        <v/>
      </c>
    </row>
    <row r="7981" spans="1:8">
      <c r="A7981" s="2"/>
      <c r="B7981" s="12"/>
      <c r="C7981" s="12"/>
      <c r="E7981" t="str">
        <f>IF(LEN(D7981)=0,"",[1]!i_pq_tradedays($B$3,A7982,A7981)-1)</f>
        <v/>
      </c>
      <c r="G7981" s="16" t="str">
        <f t="shared" si="264"/>
        <v/>
      </c>
      <c r="H7981" s="70" t="str">
        <f t="shared" si="265"/>
        <v/>
      </c>
    </row>
    <row r="7982" spans="1:8">
      <c r="A7982" s="2"/>
      <c r="B7982" s="12"/>
      <c r="C7982" s="12"/>
      <c r="E7982" t="str">
        <f>IF(LEN(D7982)=0,"",[1]!i_pq_tradedays($B$3,A7983,A7982)-1)</f>
        <v/>
      </c>
      <c r="G7982" s="16" t="str">
        <f t="shared" si="264"/>
        <v/>
      </c>
      <c r="H7982" s="70" t="str">
        <f t="shared" si="265"/>
        <v/>
      </c>
    </row>
    <row r="7983" spans="1:8">
      <c r="A7983" s="2"/>
      <c r="B7983" s="12"/>
      <c r="C7983" s="12"/>
      <c r="E7983" t="str">
        <f>IF(LEN(D7983)=0,"",[1]!i_pq_tradedays($B$3,A7984,A7983)-1)</f>
        <v/>
      </c>
      <c r="G7983" s="16" t="str">
        <f t="shared" si="264"/>
        <v/>
      </c>
      <c r="H7983" s="70" t="str">
        <f t="shared" si="265"/>
        <v/>
      </c>
    </row>
    <row r="7984" spans="1:8">
      <c r="A7984" s="2"/>
      <c r="B7984" s="12"/>
      <c r="C7984" s="12"/>
      <c r="E7984" t="str">
        <f>IF(LEN(D7984)=0,"",[1]!i_pq_tradedays($B$3,A7985,A7984)-1)</f>
        <v/>
      </c>
      <c r="G7984" s="16" t="str">
        <f t="shared" si="264"/>
        <v/>
      </c>
      <c r="H7984" s="70" t="str">
        <f t="shared" si="265"/>
        <v/>
      </c>
    </row>
    <row r="7985" spans="1:8">
      <c r="A7985" s="2"/>
      <c r="B7985" s="12"/>
      <c r="C7985" s="12"/>
      <c r="E7985" t="str">
        <f>IF(LEN(D7985)=0,"",[1]!i_pq_tradedays($B$3,A7986,A7985)-1)</f>
        <v/>
      </c>
      <c r="G7985" s="16" t="str">
        <f t="shared" si="264"/>
        <v/>
      </c>
      <c r="H7985" s="70" t="str">
        <f t="shared" si="265"/>
        <v/>
      </c>
    </row>
    <row r="7986" spans="1:8">
      <c r="A7986" s="2"/>
      <c r="B7986" s="12"/>
      <c r="C7986" s="12"/>
      <c r="E7986" t="str">
        <f>IF(LEN(D7986)=0,"",[1]!i_pq_tradedays($B$3,A7987,A7986)-1)</f>
        <v/>
      </c>
      <c r="G7986" s="16" t="str">
        <f t="shared" si="264"/>
        <v/>
      </c>
      <c r="H7986" s="70" t="str">
        <f t="shared" si="265"/>
        <v/>
      </c>
    </row>
    <row r="7987" spans="1:8">
      <c r="A7987" s="2"/>
      <c r="B7987" s="12"/>
      <c r="C7987" s="12"/>
      <c r="E7987" t="str">
        <f>IF(LEN(D7987)=0,"",[1]!i_pq_tradedays($B$3,A7988,A7987)-1)</f>
        <v/>
      </c>
      <c r="G7987" s="16" t="str">
        <f t="shared" si="264"/>
        <v/>
      </c>
      <c r="H7987" s="70" t="str">
        <f t="shared" si="265"/>
        <v/>
      </c>
    </row>
    <row r="7988" spans="1:8">
      <c r="A7988" s="2"/>
      <c r="B7988" s="12"/>
      <c r="C7988" s="12"/>
      <c r="E7988" t="str">
        <f>IF(LEN(D7988)=0,"",[1]!i_pq_tradedays($B$3,A7989,A7988)-1)</f>
        <v/>
      </c>
      <c r="G7988" s="16" t="str">
        <f t="shared" si="264"/>
        <v/>
      </c>
      <c r="H7988" s="70" t="str">
        <f t="shared" si="265"/>
        <v/>
      </c>
    </row>
    <row r="7989" spans="1:8">
      <c r="A7989" s="2"/>
      <c r="B7989" s="12"/>
      <c r="C7989" s="12"/>
      <c r="E7989" t="str">
        <f>IF(LEN(D7989)=0,"",[1]!i_pq_tradedays($B$3,A7990,A7989)-1)</f>
        <v/>
      </c>
      <c r="G7989" s="16" t="str">
        <f t="shared" ref="G7989:G8034" si="266">IF(LEN(D7989)=0,"",D7989/E7989)</f>
        <v/>
      </c>
      <c r="H7989" s="70" t="str">
        <f t="shared" ref="H7989:H8034" si="267">IF(LEN(D7989)=0,"",G7989/G7990-1)</f>
        <v/>
      </c>
    </row>
    <row r="7990" spans="1:8">
      <c r="A7990" s="2"/>
      <c r="B7990" s="12"/>
      <c r="C7990" s="12"/>
      <c r="E7990" t="str">
        <f>IF(LEN(D7990)=0,"",[1]!i_pq_tradedays($B$3,A7991,A7990)-1)</f>
        <v/>
      </c>
      <c r="G7990" s="16" t="str">
        <f t="shared" si="266"/>
        <v/>
      </c>
      <c r="H7990" s="70" t="str">
        <f t="shared" si="267"/>
        <v/>
      </c>
    </row>
    <row r="7991" spans="1:8">
      <c r="A7991" s="2"/>
      <c r="B7991" s="12"/>
      <c r="C7991" s="12"/>
      <c r="E7991" t="str">
        <f>IF(LEN(D7991)=0,"",[1]!i_pq_tradedays($B$3,A7992,A7991)-1)</f>
        <v/>
      </c>
      <c r="G7991" s="16" t="str">
        <f t="shared" si="266"/>
        <v/>
      </c>
      <c r="H7991" s="70" t="str">
        <f t="shared" si="267"/>
        <v/>
      </c>
    </row>
    <row r="7992" spans="1:8">
      <c r="A7992" s="2"/>
      <c r="B7992" s="12"/>
      <c r="C7992" s="12"/>
      <c r="E7992" t="str">
        <f>IF(LEN(D7992)=0,"",[1]!i_pq_tradedays($B$3,A7993,A7992)-1)</f>
        <v/>
      </c>
      <c r="G7992" s="16" t="str">
        <f t="shared" si="266"/>
        <v/>
      </c>
      <c r="H7992" s="70" t="str">
        <f t="shared" si="267"/>
        <v/>
      </c>
    </row>
    <row r="7993" spans="1:8">
      <c r="A7993" s="2"/>
      <c r="B7993" s="12"/>
      <c r="C7993" s="12"/>
      <c r="E7993" t="str">
        <f>IF(LEN(D7993)=0,"",[1]!i_pq_tradedays($B$3,A7994,A7993)-1)</f>
        <v/>
      </c>
      <c r="G7993" s="16" t="str">
        <f t="shared" si="266"/>
        <v/>
      </c>
      <c r="H7993" s="70" t="str">
        <f t="shared" si="267"/>
        <v/>
      </c>
    </row>
    <row r="7994" spans="1:8">
      <c r="A7994" s="2"/>
      <c r="B7994" s="12"/>
      <c r="C7994" s="12"/>
      <c r="E7994" t="str">
        <f>IF(LEN(D7994)=0,"",[1]!i_pq_tradedays($B$3,A7995,A7994)-1)</f>
        <v/>
      </c>
      <c r="G7994" s="16" t="str">
        <f t="shared" si="266"/>
        <v/>
      </c>
      <c r="H7994" s="70" t="str">
        <f t="shared" si="267"/>
        <v/>
      </c>
    </row>
    <row r="7995" spans="1:8">
      <c r="A7995" s="2"/>
      <c r="B7995" s="12"/>
      <c r="C7995" s="12"/>
      <c r="E7995" t="str">
        <f>IF(LEN(D7995)=0,"",[1]!i_pq_tradedays($B$3,A7996,A7995)-1)</f>
        <v/>
      </c>
      <c r="G7995" s="16" t="str">
        <f t="shared" si="266"/>
        <v/>
      </c>
      <c r="H7995" s="70" t="str">
        <f t="shared" si="267"/>
        <v/>
      </c>
    </row>
    <row r="7996" spans="1:8">
      <c r="A7996" s="2"/>
      <c r="B7996" s="12"/>
      <c r="C7996" s="12"/>
      <c r="E7996" t="str">
        <f>IF(LEN(D7996)=0,"",[1]!i_pq_tradedays($B$3,A7997,A7996)-1)</f>
        <v/>
      </c>
      <c r="G7996" s="16" t="str">
        <f t="shared" si="266"/>
        <v/>
      </c>
      <c r="H7996" s="70" t="str">
        <f t="shared" si="267"/>
        <v/>
      </c>
    </row>
    <row r="7997" spans="1:8">
      <c r="A7997" s="2"/>
      <c r="B7997" s="12"/>
      <c r="C7997" s="12"/>
      <c r="E7997" t="str">
        <f>IF(LEN(D7997)=0,"",[1]!i_pq_tradedays($B$3,A7998,A7997)-1)</f>
        <v/>
      </c>
      <c r="G7997" s="16" t="str">
        <f t="shared" si="266"/>
        <v/>
      </c>
      <c r="H7997" s="70" t="str">
        <f t="shared" si="267"/>
        <v/>
      </c>
    </row>
    <row r="7998" spans="1:8">
      <c r="A7998" s="2"/>
      <c r="B7998" s="12"/>
      <c r="C7998" s="12"/>
      <c r="E7998" t="str">
        <f>IF(LEN(D7998)=0,"",[1]!i_pq_tradedays($B$3,A7999,A7998)-1)</f>
        <v/>
      </c>
      <c r="G7998" s="16" t="str">
        <f t="shared" si="266"/>
        <v/>
      </c>
      <c r="H7998" s="70" t="str">
        <f t="shared" si="267"/>
        <v/>
      </c>
    </row>
    <row r="7999" spans="1:8">
      <c r="A7999" s="2"/>
      <c r="B7999" s="12"/>
      <c r="C7999" s="12"/>
      <c r="E7999" t="str">
        <f>IF(LEN(D7999)=0,"",[1]!i_pq_tradedays($B$3,A8000,A7999)-1)</f>
        <v/>
      </c>
      <c r="G7999" s="16" t="str">
        <f t="shared" si="266"/>
        <v/>
      </c>
      <c r="H7999" s="70" t="str">
        <f t="shared" si="267"/>
        <v/>
      </c>
    </row>
    <row r="8000" spans="1:8">
      <c r="A8000" s="2"/>
      <c r="B8000" s="12"/>
      <c r="C8000" s="12"/>
      <c r="E8000" t="str">
        <f>IF(LEN(D8000)=0,"",[1]!i_pq_tradedays($B$3,A8001,A8000)-1)</f>
        <v/>
      </c>
      <c r="G8000" s="16" t="str">
        <f t="shared" si="266"/>
        <v/>
      </c>
      <c r="H8000" s="70" t="str">
        <f t="shared" si="267"/>
        <v/>
      </c>
    </row>
    <row r="8001" spans="1:8">
      <c r="A8001" s="2"/>
      <c r="B8001" s="12"/>
      <c r="C8001" s="12"/>
      <c r="E8001" t="str">
        <f>IF(LEN(D8001)=0,"",[1]!i_pq_tradedays($B$3,A8002,A8001)-1)</f>
        <v/>
      </c>
      <c r="G8001" s="16" t="str">
        <f t="shared" si="266"/>
        <v/>
      </c>
      <c r="H8001" s="70" t="str">
        <f t="shared" si="267"/>
        <v/>
      </c>
    </row>
    <row r="8002" spans="1:8">
      <c r="A8002" s="2"/>
      <c r="B8002" s="12"/>
      <c r="C8002" s="12"/>
      <c r="E8002" t="str">
        <f>IF(LEN(D8002)=0,"",[1]!i_pq_tradedays($B$3,A8003,A8002)-1)</f>
        <v/>
      </c>
      <c r="G8002" s="16" t="str">
        <f t="shared" si="266"/>
        <v/>
      </c>
      <c r="H8002" s="70" t="str">
        <f t="shared" si="267"/>
        <v/>
      </c>
    </row>
    <row r="8003" spans="1:8">
      <c r="A8003" s="2"/>
      <c r="B8003" s="12"/>
      <c r="C8003" s="12"/>
      <c r="E8003" t="str">
        <f>IF(LEN(D8003)=0,"",[1]!i_pq_tradedays($B$3,A8004,A8003)-1)</f>
        <v/>
      </c>
      <c r="G8003" s="16" t="str">
        <f t="shared" si="266"/>
        <v/>
      </c>
      <c r="H8003" s="70" t="str">
        <f t="shared" si="267"/>
        <v/>
      </c>
    </row>
    <row r="8004" spans="1:8">
      <c r="A8004" s="2"/>
      <c r="B8004" s="12"/>
      <c r="C8004" s="12"/>
      <c r="E8004" t="str">
        <f>IF(LEN(D8004)=0,"",[1]!i_pq_tradedays($B$3,A8005,A8004)-1)</f>
        <v/>
      </c>
      <c r="G8004" s="16" t="str">
        <f t="shared" si="266"/>
        <v/>
      </c>
      <c r="H8004" s="70" t="str">
        <f t="shared" si="267"/>
        <v/>
      </c>
    </row>
    <row r="8005" spans="1:8">
      <c r="A8005" s="2"/>
      <c r="B8005" s="12"/>
      <c r="C8005" s="12"/>
      <c r="E8005" t="str">
        <f>IF(LEN(D8005)=0,"",[1]!i_pq_tradedays($B$3,A8006,A8005)-1)</f>
        <v/>
      </c>
      <c r="G8005" s="16" t="str">
        <f t="shared" si="266"/>
        <v/>
      </c>
      <c r="H8005" s="70" t="str">
        <f t="shared" si="267"/>
        <v/>
      </c>
    </row>
    <row r="8006" spans="1:8">
      <c r="A8006" s="2"/>
      <c r="B8006" s="12"/>
      <c r="C8006" s="12"/>
      <c r="E8006" t="str">
        <f>IF(LEN(D8006)=0,"",[1]!i_pq_tradedays($B$3,A8007,A8006)-1)</f>
        <v/>
      </c>
      <c r="G8006" s="16" t="str">
        <f t="shared" si="266"/>
        <v/>
      </c>
      <c r="H8006" s="70" t="str">
        <f t="shared" si="267"/>
        <v/>
      </c>
    </row>
    <row r="8007" spans="1:8">
      <c r="A8007" s="2"/>
      <c r="B8007" s="12"/>
      <c r="C8007" s="12"/>
      <c r="E8007" t="str">
        <f>IF(LEN(D8007)=0,"",[1]!i_pq_tradedays($B$3,A8008,A8007)-1)</f>
        <v/>
      </c>
      <c r="G8007" s="16" t="str">
        <f t="shared" si="266"/>
        <v/>
      </c>
      <c r="H8007" s="70" t="str">
        <f t="shared" si="267"/>
        <v/>
      </c>
    </row>
    <row r="8008" spans="1:8">
      <c r="A8008" s="2"/>
      <c r="B8008" s="12"/>
      <c r="C8008" s="12"/>
      <c r="E8008" t="str">
        <f>IF(LEN(D8008)=0,"",[1]!i_pq_tradedays($B$3,A8009,A8008)-1)</f>
        <v/>
      </c>
      <c r="G8008" s="16" t="str">
        <f t="shared" si="266"/>
        <v/>
      </c>
      <c r="H8008" s="70" t="str">
        <f t="shared" si="267"/>
        <v/>
      </c>
    </row>
    <row r="8009" spans="1:8">
      <c r="A8009" s="2"/>
      <c r="B8009" s="12"/>
      <c r="C8009" s="12"/>
      <c r="E8009" t="str">
        <f>IF(LEN(D8009)=0,"",[1]!i_pq_tradedays($B$3,A8010,A8009)-1)</f>
        <v/>
      </c>
      <c r="G8009" s="16" t="str">
        <f t="shared" si="266"/>
        <v/>
      </c>
      <c r="H8009" s="70" t="str">
        <f t="shared" si="267"/>
        <v/>
      </c>
    </row>
    <row r="8010" spans="1:8">
      <c r="A8010" s="2"/>
      <c r="B8010" s="12"/>
      <c r="C8010" s="12"/>
      <c r="E8010" t="str">
        <f>IF(LEN(D8010)=0,"",[1]!i_pq_tradedays($B$3,A8011,A8010)-1)</f>
        <v/>
      </c>
      <c r="G8010" s="16" t="str">
        <f t="shared" si="266"/>
        <v/>
      </c>
      <c r="H8010" s="70" t="str">
        <f t="shared" si="267"/>
        <v/>
      </c>
    </row>
    <row r="8011" spans="1:8">
      <c r="A8011" s="2"/>
      <c r="B8011" s="12"/>
      <c r="C8011" s="12"/>
      <c r="E8011" t="str">
        <f>IF(LEN(D8011)=0,"",[1]!i_pq_tradedays($B$3,A8012,A8011)-1)</f>
        <v/>
      </c>
      <c r="G8011" s="16" t="str">
        <f t="shared" si="266"/>
        <v/>
      </c>
      <c r="H8011" s="70" t="str">
        <f t="shared" si="267"/>
        <v/>
      </c>
    </row>
    <row r="8012" spans="1:8">
      <c r="A8012" s="2"/>
      <c r="B8012" s="12"/>
      <c r="C8012" s="12"/>
      <c r="E8012" t="str">
        <f>IF(LEN(D8012)=0,"",[1]!i_pq_tradedays($B$3,A8013,A8012)-1)</f>
        <v/>
      </c>
      <c r="G8012" s="16" t="str">
        <f t="shared" si="266"/>
        <v/>
      </c>
      <c r="H8012" s="70" t="str">
        <f t="shared" si="267"/>
        <v/>
      </c>
    </row>
    <row r="8013" spans="1:8">
      <c r="A8013" s="2"/>
      <c r="B8013" s="12"/>
      <c r="C8013" s="12"/>
      <c r="E8013" t="str">
        <f>IF(LEN(D8013)=0,"",[1]!i_pq_tradedays($B$3,A8014,A8013)-1)</f>
        <v/>
      </c>
      <c r="G8013" s="16" t="str">
        <f t="shared" si="266"/>
        <v/>
      </c>
      <c r="H8013" s="70" t="str">
        <f t="shared" si="267"/>
        <v/>
      </c>
    </row>
    <row r="8014" spans="1:8">
      <c r="A8014" s="2"/>
      <c r="B8014" s="12"/>
      <c r="C8014" s="12"/>
      <c r="E8014" t="str">
        <f>IF(LEN(D8014)=0,"",[1]!i_pq_tradedays($B$3,A8015,A8014)-1)</f>
        <v/>
      </c>
      <c r="G8014" s="16" t="str">
        <f t="shared" si="266"/>
        <v/>
      </c>
      <c r="H8014" s="70" t="str">
        <f t="shared" si="267"/>
        <v/>
      </c>
    </row>
    <row r="8015" spans="1:8">
      <c r="A8015" s="2"/>
      <c r="B8015" s="12"/>
      <c r="C8015" s="12"/>
      <c r="E8015" t="str">
        <f>IF(LEN(D8015)=0,"",[1]!i_pq_tradedays($B$3,A8016,A8015)-1)</f>
        <v/>
      </c>
      <c r="G8015" s="16" t="str">
        <f t="shared" si="266"/>
        <v/>
      </c>
      <c r="H8015" s="70" t="str">
        <f t="shared" si="267"/>
        <v/>
      </c>
    </row>
    <row r="8016" spans="1:8">
      <c r="A8016" s="2"/>
      <c r="B8016" s="12"/>
      <c r="C8016" s="12"/>
      <c r="E8016" t="str">
        <f>IF(LEN(D8016)=0,"",[1]!i_pq_tradedays($B$3,A8017,A8016)-1)</f>
        <v/>
      </c>
      <c r="G8016" s="16" t="str">
        <f t="shared" si="266"/>
        <v/>
      </c>
      <c r="H8016" s="70" t="str">
        <f t="shared" si="267"/>
        <v/>
      </c>
    </row>
    <row r="8017" spans="1:8">
      <c r="A8017" s="2"/>
      <c r="B8017" s="12"/>
      <c r="C8017" s="12"/>
      <c r="E8017" t="str">
        <f>IF(LEN(D8017)=0,"",[1]!i_pq_tradedays($B$3,A8018,A8017)-1)</f>
        <v/>
      </c>
      <c r="G8017" s="16" t="str">
        <f t="shared" si="266"/>
        <v/>
      </c>
      <c r="H8017" s="70" t="str">
        <f t="shared" si="267"/>
        <v/>
      </c>
    </row>
    <row r="8018" spans="1:8">
      <c r="A8018" s="2"/>
      <c r="B8018" s="12"/>
      <c r="C8018" s="12"/>
      <c r="E8018" t="str">
        <f>IF(LEN(D8018)=0,"",[1]!i_pq_tradedays($B$3,A8019,A8018)-1)</f>
        <v/>
      </c>
      <c r="G8018" s="16" t="str">
        <f t="shared" si="266"/>
        <v/>
      </c>
      <c r="H8018" s="70" t="str">
        <f t="shared" si="267"/>
        <v/>
      </c>
    </row>
    <row r="8019" spans="1:8">
      <c r="A8019" s="2"/>
      <c r="B8019" s="12"/>
      <c r="C8019" s="12"/>
      <c r="E8019" t="str">
        <f>IF(LEN(D8019)=0,"",[1]!i_pq_tradedays($B$3,A8020,A8019)-1)</f>
        <v/>
      </c>
      <c r="G8019" s="16" t="str">
        <f t="shared" si="266"/>
        <v/>
      </c>
      <c r="H8019" s="70" t="str">
        <f t="shared" si="267"/>
        <v/>
      </c>
    </row>
    <row r="8020" spans="1:8">
      <c r="A8020" s="2"/>
      <c r="B8020" s="12"/>
      <c r="C8020" s="12"/>
      <c r="E8020" t="str">
        <f>IF(LEN(D8020)=0,"",[1]!i_pq_tradedays($B$3,A8021,A8020)-1)</f>
        <v/>
      </c>
      <c r="G8020" s="16" t="str">
        <f t="shared" si="266"/>
        <v/>
      </c>
      <c r="H8020" s="70" t="str">
        <f t="shared" si="267"/>
        <v/>
      </c>
    </row>
    <row r="8021" spans="1:8">
      <c r="A8021" s="2"/>
      <c r="B8021" s="12"/>
      <c r="C8021" s="12"/>
      <c r="E8021" t="str">
        <f>IF(LEN(D8021)=0,"",[1]!i_pq_tradedays($B$3,A8022,A8021)-1)</f>
        <v/>
      </c>
      <c r="G8021" s="16" t="str">
        <f t="shared" si="266"/>
        <v/>
      </c>
      <c r="H8021" s="70" t="str">
        <f t="shared" si="267"/>
        <v/>
      </c>
    </row>
    <row r="8022" spans="1:8">
      <c r="A8022" s="2"/>
      <c r="B8022" s="12"/>
      <c r="C8022" s="12"/>
      <c r="E8022" t="str">
        <f>IF(LEN(D8022)=0,"",[1]!i_pq_tradedays($B$3,A8023,A8022)-1)</f>
        <v/>
      </c>
      <c r="G8022" s="16" t="str">
        <f t="shared" si="266"/>
        <v/>
      </c>
      <c r="H8022" s="70" t="str">
        <f t="shared" si="267"/>
        <v/>
      </c>
    </row>
    <row r="8023" spans="1:8">
      <c r="A8023" s="2"/>
      <c r="B8023" s="12"/>
      <c r="C8023" s="12"/>
      <c r="E8023" t="str">
        <f>IF(LEN(D8023)=0,"",[1]!i_pq_tradedays($B$3,A8024,A8023)-1)</f>
        <v/>
      </c>
      <c r="G8023" s="16" t="str">
        <f t="shared" si="266"/>
        <v/>
      </c>
      <c r="H8023" s="70" t="str">
        <f t="shared" si="267"/>
        <v/>
      </c>
    </row>
    <row r="8024" spans="1:8">
      <c r="A8024" s="2"/>
      <c r="B8024" s="12"/>
      <c r="C8024" s="12"/>
      <c r="E8024" t="str">
        <f>IF(LEN(D8024)=0,"",[1]!i_pq_tradedays($B$3,A8025,A8024)-1)</f>
        <v/>
      </c>
      <c r="G8024" s="16" t="str">
        <f t="shared" si="266"/>
        <v/>
      </c>
      <c r="H8024" s="70" t="str">
        <f t="shared" si="267"/>
        <v/>
      </c>
    </row>
    <row r="8025" spans="1:8">
      <c r="A8025" s="2"/>
      <c r="B8025" s="12"/>
      <c r="C8025" s="12"/>
      <c r="E8025" t="str">
        <f>IF(LEN(D8025)=0,"",[1]!i_pq_tradedays($B$3,A8026,A8025)-1)</f>
        <v/>
      </c>
      <c r="G8025" s="16" t="str">
        <f t="shared" si="266"/>
        <v/>
      </c>
      <c r="H8025" s="70" t="str">
        <f t="shared" si="267"/>
        <v/>
      </c>
    </row>
    <row r="8026" spans="1:8">
      <c r="A8026" s="2"/>
      <c r="B8026" s="12"/>
      <c r="C8026" s="12"/>
      <c r="E8026" t="str">
        <f>IF(LEN(D8026)=0,"",[1]!i_pq_tradedays($B$3,A8027,A8026)-1)</f>
        <v/>
      </c>
      <c r="G8026" s="16" t="str">
        <f t="shared" si="266"/>
        <v/>
      </c>
      <c r="H8026" s="70" t="str">
        <f t="shared" si="267"/>
        <v/>
      </c>
    </row>
    <row r="8027" spans="1:8">
      <c r="A8027" s="2"/>
      <c r="B8027" s="12"/>
      <c r="C8027" s="12"/>
      <c r="E8027" t="str">
        <f>IF(LEN(D8027)=0,"",[1]!i_pq_tradedays($B$3,A8028,A8027)-1)</f>
        <v/>
      </c>
      <c r="G8027" s="16" t="str">
        <f t="shared" si="266"/>
        <v/>
      </c>
      <c r="H8027" s="70" t="str">
        <f t="shared" si="267"/>
        <v/>
      </c>
    </row>
    <row r="8028" spans="1:8">
      <c r="A8028" s="2"/>
      <c r="B8028" s="12"/>
      <c r="C8028" s="12"/>
      <c r="E8028" t="str">
        <f>IF(LEN(D8028)=0,"",[1]!i_pq_tradedays($B$3,A8029,A8028)-1)</f>
        <v/>
      </c>
      <c r="G8028" s="16" t="str">
        <f t="shared" si="266"/>
        <v/>
      </c>
      <c r="H8028" s="70" t="str">
        <f t="shared" si="267"/>
        <v/>
      </c>
    </row>
    <row r="8029" spans="1:8">
      <c r="A8029" s="2"/>
      <c r="B8029" s="12"/>
      <c r="C8029" s="12"/>
      <c r="E8029" t="str">
        <f>IF(LEN(D8029)=0,"",[1]!i_pq_tradedays($B$3,A8030,A8029)-1)</f>
        <v/>
      </c>
      <c r="G8029" s="16" t="str">
        <f t="shared" si="266"/>
        <v/>
      </c>
      <c r="H8029" s="70" t="str">
        <f t="shared" si="267"/>
        <v/>
      </c>
    </row>
    <row r="8030" spans="1:8">
      <c r="A8030" s="2"/>
      <c r="B8030" s="12"/>
      <c r="C8030" s="12"/>
      <c r="E8030" t="str">
        <f>IF(LEN(D8030)=0,"",[1]!i_pq_tradedays($B$3,A8031,A8030)-1)</f>
        <v/>
      </c>
      <c r="G8030" s="16" t="str">
        <f t="shared" si="266"/>
        <v/>
      </c>
      <c r="H8030" s="70" t="str">
        <f t="shared" si="267"/>
        <v/>
      </c>
    </row>
    <row r="8031" spans="1:8">
      <c r="A8031" s="2"/>
      <c r="B8031" s="12"/>
      <c r="C8031" s="12"/>
      <c r="E8031" t="str">
        <f>IF(LEN(D8031)=0,"",[1]!i_pq_tradedays($B$3,A8032,A8031)-1)</f>
        <v/>
      </c>
      <c r="G8031" s="16" t="str">
        <f t="shared" si="266"/>
        <v/>
      </c>
      <c r="H8031" s="70" t="str">
        <f t="shared" si="267"/>
        <v/>
      </c>
    </row>
    <row r="8032" spans="1:8">
      <c r="A8032" s="2"/>
      <c r="B8032" s="12"/>
      <c r="C8032" s="12"/>
      <c r="E8032" t="str">
        <f>IF(LEN(D8032)=0,"",[1]!i_pq_tradedays($B$3,A8033,A8032)-1)</f>
        <v/>
      </c>
      <c r="G8032" s="16" t="str">
        <f t="shared" si="266"/>
        <v/>
      </c>
      <c r="H8032" s="70" t="str">
        <f t="shared" si="267"/>
        <v/>
      </c>
    </row>
    <row r="8033" spans="1:8">
      <c r="A8033" s="2"/>
      <c r="B8033" s="12"/>
      <c r="C8033" s="12"/>
      <c r="E8033" t="str">
        <f>IF(LEN(D8033)=0,"",[1]!i_pq_tradedays($B$3,A8034,A8033)-1)</f>
        <v/>
      </c>
      <c r="G8033" s="16" t="str">
        <f t="shared" si="266"/>
        <v/>
      </c>
      <c r="H8033" s="70" t="str">
        <f t="shared" si="267"/>
        <v/>
      </c>
    </row>
    <row r="8034" spans="1:8">
      <c r="A8034" s="2"/>
      <c r="B8034" s="12"/>
      <c r="C8034" s="12"/>
      <c r="E8034" t="str">
        <f>IF(LEN(D8034)=0,"",[1]!i_pq_tradedays($B$3,A8035,A8034)-1)</f>
        <v/>
      </c>
      <c r="G8034" s="16" t="str">
        <f t="shared" si="266"/>
        <v/>
      </c>
      <c r="H8034" s="70" t="str">
        <f t="shared" si="267"/>
        <v/>
      </c>
    </row>
  </sheetData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45"/>
  <sheetViews>
    <sheetView workbookViewId="0">
      <selection activeCell="C2" sqref="C2"/>
    </sheetView>
  </sheetViews>
  <sheetFormatPr defaultRowHeight="14.25"/>
  <cols>
    <col min="1" max="1" width="9" style="51"/>
    <col min="2" max="5" width="18.125" bestFit="1" customWidth="1"/>
    <col min="6" max="6" width="17.125" bestFit="1" customWidth="1"/>
    <col min="9" max="9" width="14.25" bestFit="1" customWidth="1"/>
    <col min="10" max="10" width="16.5" bestFit="1" customWidth="1"/>
  </cols>
  <sheetData>
    <row r="1" spans="1:10">
      <c r="A1" s="51" t="s">
        <v>25</v>
      </c>
      <c r="B1" s="1" t="s">
        <v>21</v>
      </c>
      <c r="C1" s="1" t="s">
        <v>22</v>
      </c>
      <c r="D1" s="22" t="s">
        <v>23</v>
      </c>
      <c r="E1" s="1" t="s">
        <v>24</v>
      </c>
      <c r="F1" s="1" t="s">
        <v>30</v>
      </c>
    </row>
    <row r="2" spans="1:10">
      <c r="A2" s="51">
        <v>0.39583333333333331</v>
      </c>
      <c r="B2" s="21">
        <f>沪市成交情况!B4+深市成交情况!B4</f>
        <v>130046348100</v>
      </c>
      <c r="C2" s="21">
        <f ca="1">IF(沪深两市成交分析!$E$7&lt;&gt;TODAY(),沪市成交情况!D4+深市成交情况!D4,IF(NOW()-TODAY()-A2&gt;0.0007,沪市成交情况!D4+深市成交情况!D4,0))</f>
        <v>222592675100</v>
      </c>
      <c r="D2" s="21">
        <f>SUM(B$2:B2)/100000000</f>
        <v>1300.463481</v>
      </c>
      <c r="E2" s="21">
        <f ca="1">IF(C2=0,NA(),SUM(C$2:C2)/100000000)</f>
        <v>2225.926751</v>
      </c>
      <c r="F2" s="21">
        <f ca="1">IF(C2=0,0,E2-D2)</f>
        <v>925.46326999999997</v>
      </c>
      <c r="H2" s="49"/>
      <c r="I2" s="20"/>
    </row>
    <row r="3" spans="1:10">
      <c r="A3" s="51">
        <v>0.39652777777777781</v>
      </c>
      <c r="B3" s="21">
        <f>沪市成交情况!B5+深市成交情况!B5</f>
        <v>59453842500</v>
      </c>
      <c r="C3" s="21">
        <f ca="1">IF(沪深两市成交分析!$E$7&lt;&gt;TODAY(),沪市成交情况!D5+深市成交情况!D5,IF(NOW()-TODAY()-A3&gt;0.0007,沪市成交情况!D5+深市成交情况!D5,0))</f>
        <v>67912915700</v>
      </c>
      <c r="D3" s="21">
        <f>SUM(B$2:B3)/100000000</f>
        <v>1895.001906</v>
      </c>
      <c r="E3" s="21">
        <f ca="1">IF(C3=0,NA(),SUM(C$2:C3)/100000000)</f>
        <v>2905.0559079999998</v>
      </c>
      <c r="F3" s="21">
        <f t="shared" ref="F3:F66" ca="1" si="0">IF(C3=0,0,E3-D3)</f>
        <v>1010.0540019999999</v>
      </c>
    </row>
    <row r="4" spans="1:10">
      <c r="A4" s="51">
        <v>0.39722222222222198</v>
      </c>
      <c r="B4" s="21">
        <f>沪市成交情况!B6+深市成交情况!B6</f>
        <v>45667410300</v>
      </c>
      <c r="C4" s="21">
        <f ca="1">IF(沪深两市成交分析!$E$7&lt;&gt;TODAY(),沪市成交情况!D6+深市成交情况!D6,IF(NOW()-TODAY()-A4&gt;0.0007,沪市成交情况!D6+深市成交情况!D6,0))</f>
        <v>54204303400</v>
      </c>
      <c r="D4" s="21">
        <f>SUM(B$2:B4)/100000000</f>
        <v>2351.6760089999998</v>
      </c>
      <c r="E4" s="21">
        <f ca="1">IF(C4=0,NA(),SUM(C$2:C4)/100000000)</f>
        <v>3447.0989420000001</v>
      </c>
      <c r="F4" s="21">
        <f t="shared" ca="1" si="0"/>
        <v>1095.4229330000003</v>
      </c>
    </row>
    <row r="5" spans="1:10">
      <c r="A5" s="51">
        <v>0.39791666666666697</v>
      </c>
      <c r="B5" s="21">
        <f>沪市成交情况!B7+深市成交情况!B7</f>
        <v>40411378600</v>
      </c>
      <c r="C5" s="21">
        <f ca="1">IF(沪深两市成交分析!$E$7&lt;&gt;TODAY(),沪市成交情况!D7+深市成交情况!D7,IF(NOW()-TODAY()-A5&gt;0.0007,沪市成交情况!D7+深市成交情况!D7,0))</f>
        <v>50646606500</v>
      </c>
      <c r="D5" s="21">
        <f>SUM(B$2:B5)/100000000</f>
        <v>2755.7897950000001</v>
      </c>
      <c r="E5" s="21">
        <f ca="1">IF(C5=0,NA(),SUM(C$2:C5)/100000000)</f>
        <v>3953.5650070000002</v>
      </c>
      <c r="F5" s="21">
        <f t="shared" ca="1" si="0"/>
        <v>1197.775212</v>
      </c>
    </row>
    <row r="6" spans="1:10">
      <c r="A6" s="51">
        <v>0.39861111111111103</v>
      </c>
      <c r="B6" s="21">
        <f>沪市成交情况!B8+深市成交情况!B8</f>
        <v>38990879900</v>
      </c>
      <c r="C6" s="21">
        <f ca="1">IF(沪深两市成交分析!$E$7&lt;&gt;TODAY(),沪市成交情况!D8+深市成交情况!D8,IF(NOW()-TODAY()-A6&gt;0.0007,沪市成交情况!D8+深市成交情况!D8,0))</f>
        <v>46264056800</v>
      </c>
      <c r="D6" s="21">
        <f>SUM(B$2:B6)/100000000</f>
        <v>3145.698594</v>
      </c>
      <c r="E6" s="21">
        <f ca="1">IF(C6=0,NA(),SUM(C$2:C6)/100000000)</f>
        <v>4416.205575</v>
      </c>
      <c r="F6" s="21">
        <f t="shared" ca="1" si="0"/>
        <v>1270.506981</v>
      </c>
    </row>
    <row r="7" spans="1:10">
      <c r="A7" s="51">
        <v>0.39930555555555602</v>
      </c>
      <c r="B7" s="21">
        <f>沪市成交情况!B9+深市成交情况!B9</f>
        <v>35530323900</v>
      </c>
      <c r="C7" s="21">
        <f ca="1">IF(沪深两市成交分析!$E$7&lt;&gt;TODAY(),沪市成交情况!D9+深市成交情况!D9,IF(NOW()-TODAY()-A7&gt;0.0007,沪市成交情况!D9+深市成交情况!D9,0))</f>
        <v>44429552300</v>
      </c>
      <c r="D7" s="21">
        <f>SUM(B$2:B7)/100000000</f>
        <v>3501.0018329999998</v>
      </c>
      <c r="E7" s="21">
        <f ca="1">IF(C7=0,NA(),SUM(C$2:C7)/100000000)</f>
        <v>4860.5010979999997</v>
      </c>
      <c r="F7" s="21">
        <f t="shared" ca="1" si="0"/>
        <v>1359.4992649999999</v>
      </c>
    </row>
    <row r="8" spans="1:10">
      <c r="A8" s="51">
        <v>0.4</v>
      </c>
      <c r="B8" s="21">
        <f>沪市成交情况!B10+深市成交情况!B10</f>
        <v>33437907800</v>
      </c>
      <c r="C8" s="21">
        <f ca="1">IF(沪深两市成交分析!$E$7&lt;&gt;TODAY(),沪市成交情况!D10+深市成交情况!D10,IF(NOW()-TODAY()-A8&gt;0.0007,沪市成交情况!D10+深市成交情况!D10,0))</f>
        <v>39461889600</v>
      </c>
      <c r="D8" s="21">
        <f>SUM(B$2:B8)/100000000</f>
        <v>3835.3809110000002</v>
      </c>
      <c r="E8" s="21">
        <f ca="1">IF(C8=0,NA(),SUM(C$2:C8)/100000000)</f>
        <v>5255.1199939999997</v>
      </c>
      <c r="F8" s="21">
        <f t="shared" ca="1" si="0"/>
        <v>1419.7390829999995</v>
      </c>
    </row>
    <row r="9" spans="1:10">
      <c r="A9" s="51">
        <v>0.40069444444444446</v>
      </c>
      <c r="B9" s="21">
        <f>沪市成交情况!B11+深市成交情况!B11</f>
        <v>30179651300</v>
      </c>
      <c r="C9" s="21">
        <f ca="1">IF(沪深两市成交分析!$E$7&lt;&gt;TODAY(),沪市成交情况!D11+深市成交情况!D11,IF(NOW()-TODAY()-A9&gt;0.0007,沪市成交情况!D11+深市成交情况!D11,0))</f>
        <v>37627257300</v>
      </c>
      <c r="D9" s="21">
        <f>SUM(B$2:B9)/100000000</f>
        <v>4137.1774240000004</v>
      </c>
      <c r="E9" s="21">
        <f ca="1">IF(C9=0,NA(),SUM(C$2:C9)/100000000)</f>
        <v>5631.3925669999999</v>
      </c>
      <c r="F9" s="21">
        <f t="shared" ca="1" si="0"/>
        <v>1494.2151429999994</v>
      </c>
    </row>
    <row r="10" spans="1:10">
      <c r="A10" s="51">
        <v>0.40138888888888902</v>
      </c>
      <c r="B10" s="21">
        <f>沪市成交情况!B12+深市成交情况!B12</f>
        <v>30923059200</v>
      </c>
      <c r="C10" s="21">
        <f ca="1">IF(沪深两市成交分析!$E$7&lt;&gt;TODAY(),沪市成交情况!D12+深市成交情况!D12,IF(NOW()-TODAY()-A10&gt;0.0007,沪市成交情况!D12+深市成交情况!D12,0))</f>
        <v>36585759900</v>
      </c>
      <c r="D10" s="21">
        <f>SUM(B$2:B10)/100000000</f>
        <v>4446.4080160000003</v>
      </c>
      <c r="E10" s="21">
        <f ca="1">IF(C10=0,NA(),SUM(C$2:C10)/100000000)</f>
        <v>5997.2501659999998</v>
      </c>
      <c r="F10" s="21">
        <f t="shared" ca="1" si="0"/>
        <v>1550.8421499999995</v>
      </c>
    </row>
    <row r="11" spans="1:10">
      <c r="A11" s="51">
        <v>0.40208333333333401</v>
      </c>
      <c r="B11" s="21">
        <f>沪市成交情况!B13+深市成交情况!B13</f>
        <v>32669457000</v>
      </c>
      <c r="C11" s="21">
        <f ca="1">IF(沪深两市成交分析!$E$7&lt;&gt;TODAY(),沪市成交情况!D13+深市成交情况!D13,IF(NOW()-TODAY()-A11&gt;0.0007,沪市成交情况!D13+深市成交情况!D13,0))</f>
        <v>38715426300</v>
      </c>
      <c r="D11" s="21">
        <f>SUM(B$2:B11)/100000000</f>
        <v>4773.102586</v>
      </c>
      <c r="E11" s="21">
        <f ca="1">IF(C11=0,NA(),SUM(C$2:C11)/100000000)</f>
        <v>6384.4044290000002</v>
      </c>
      <c r="F11" s="21">
        <f t="shared" ca="1" si="0"/>
        <v>1611.3018430000002</v>
      </c>
    </row>
    <row r="12" spans="1:10">
      <c r="A12" s="51">
        <v>0.40277777777777801</v>
      </c>
      <c r="B12" s="21">
        <f>沪市成交情况!B14+深市成交情况!B14</f>
        <v>35779855400</v>
      </c>
      <c r="C12" s="21">
        <f ca="1">IF(沪深两市成交分析!$E$7&lt;&gt;TODAY(),沪市成交情况!D14+深市成交情况!D14,IF(NOW()-TODAY()-A12&gt;0.0007,沪市成交情况!D14+深市成交情况!D14,0))</f>
        <v>41132595100</v>
      </c>
      <c r="D12" s="21">
        <f>SUM(B$2:B12)/100000000</f>
        <v>5130.9011399999999</v>
      </c>
      <c r="E12" s="21">
        <f ca="1">IF(C12=0,NA(),SUM(C$2:C12)/100000000)</f>
        <v>6795.73038</v>
      </c>
      <c r="F12" s="21">
        <f t="shared" ca="1" si="0"/>
        <v>1664.82924</v>
      </c>
    </row>
    <row r="13" spans="1:10">
      <c r="A13" s="51">
        <v>0.40347222222222301</v>
      </c>
      <c r="B13" s="21">
        <f>沪市成交情况!B15+深市成交情况!B15</f>
        <v>31093196600</v>
      </c>
      <c r="C13" s="21">
        <f ca="1">IF(沪深两市成交分析!$E$7&lt;&gt;TODAY(),沪市成交情况!D15+深市成交情况!D15,IF(NOW()-TODAY()-A13&gt;0.0007,沪市成交情况!D15+深市成交情况!D15,0))</f>
        <v>36220022700</v>
      </c>
      <c r="D13" s="21">
        <f>SUM(B$2:B13)/100000000</f>
        <v>5441.833106</v>
      </c>
      <c r="E13" s="21">
        <f ca="1">IF(C13=0,NA(),SUM(C$2:C13)/100000000)</f>
        <v>7157.9306070000002</v>
      </c>
      <c r="F13" s="21">
        <f t="shared" ca="1" si="0"/>
        <v>1716.0975010000002</v>
      </c>
      <c r="J13" s="48"/>
    </row>
    <row r="14" spans="1:10">
      <c r="A14" s="51">
        <v>0.40416666666666701</v>
      </c>
      <c r="B14" s="21">
        <f>沪市成交情况!B16+深市成交情况!B16</f>
        <v>25397862900</v>
      </c>
      <c r="C14" s="21">
        <f ca="1">IF(沪深两市成交分析!$E$7&lt;&gt;TODAY(),沪市成交情况!D16+深市成交情况!D16,IF(NOW()-TODAY()-A14&gt;0.0007,沪市成交情况!D16+深市成交情况!D16,0))</f>
        <v>35813377000</v>
      </c>
      <c r="D14" s="21">
        <f>SUM(B$2:B14)/100000000</f>
        <v>5695.8117350000002</v>
      </c>
      <c r="E14" s="21">
        <f ca="1">IF(C14=0,NA(),SUM(C$2:C14)/100000000)</f>
        <v>7516.0643769999997</v>
      </c>
      <c r="F14" s="21">
        <f t="shared" ca="1" si="0"/>
        <v>1820.2526419999995</v>
      </c>
    </row>
    <row r="15" spans="1:10">
      <c r="A15" s="51">
        <v>0.404861111111112</v>
      </c>
      <c r="B15" s="21">
        <f>沪市成交情况!B17+深市成交情况!B17</f>
        <v>21862703900</v>
      </c>
      <c r="C15" s="21">
        <f ca="1">IF(沪深两市成交分析!$E$7&lt;&gt;TODAY(),沪市成交情况!D17+深市成交情况!D17,IF(NOW()-TODAY()-A15&gt;0.0007,沪市成交情况!D17+深市成交情况!D17,0))</f>
        <v>38003265400</v>
      </c>
      <c r="D15" s="21">
        <f>SUM(B$2:B15)/100000000</f>
        <v>5914.4387740000002</v>
      </c>
      <c r="E15" s="21">
        <f ca="1">IF(C15=0,NA(),SUM(C$2:C15)/100000000)</f>
        <v>7896.0970310000002</v>
      </c>
      <c r="F15" s="21">
        <f t="shared" ca="1" si="0"/>
        <v>1981.658257</v>
      </c>
    </row>
    <row r="16" spans="1:10">
      <c r="A16" s="51">
        <v>0.405555555555556</v>
      </c>
      <c r="B16" s="21">
        <f>沪市成交情况!B18+深市成交情况!B18</f>
        <v>24503999100</v>
      </c>
      <c r="C16" s="21">
        <f ca="1">IF(沪深两市成交分析!$E$7&lt;&gt;TODAY(),沪市成交情况!D18+深市成交情况!D18,IF(NOW()-TODAY()-A16&gt;0.0007,沪市成交情况!D18+深市成交情况!D18,0))</f>
        <v>38084258900</v>
      </c>
      <c r="D16" s="21">
        <f>SUM(B$2:B16)/100000000</f>
        <v>6159.4787649999998</v>
      </c>
      <c r="E16" s="21">
        <f ca="1">IF(C16=0,NA(),SUM(C$2:C16)/100000000)</f>
        <v>8276.9396199999992</v>
      </c>
      <c r="F16" s="21">
        <f t="shared" ca="1" si="0"/>
        <v>2117.4608549999994</v>
      </c>
    </row>
    <row r="17" spans="1:6">
      <c r="A17" s="51">
        <v>0.406250000000001</v>
      </c>
      <c r="B17" s="21">
        <f>沪市成交情况!B19+深市成交情况!B19</f>
        <v>25010834900</v>
      </c>
      <c r="C17" s="21">
        <f ca="1">IF(沪深两市成交分析!$E$7&lt;&gt;TODAY(),沪市成交情况!D19+深市成交情况!D19,IF(NOW()-TODAY()-A17&gt;0.0007,沪市成交情况!D19+深市成交情况!D19,0))</f>
        <v>41357208100</v>
      </c>
      <c r="D17" s="21">
        <f>SUM(B$2:B17)/100000000</f>
        <v>6409.5871139999999</v>
      </c>
      <c r="E17" s="21">
        <f ca="1">IF(C17=0,NA(),SUM(C$2:C17)/100000000)</f>
        <v>8690.5117009999994</v>
      </c>
      <c r="F17" s="21">
        <f t="shared" ca="1" si="0"/>
        <v>2280.9245869999995</v>
      </c>
    </row>
    <row r="18" spans="1:6">
      <c r="A18" s="51">
        <v>0.406944444444445</v>
      </c>
      <c r="B18" s="21">
        <f>沪市成交情况!B20+深市成交情况!B20</f>
        <v>21914401100</v>
      </c>
      <c r="C18" s="21">
        <f ca="1">IF(沪深两市成交分析!$E$7&lt;&gt;TODAY(),沪市成交情况!D20+深市成交情况!D20,IF(NOW()-TODAY()-A18&gt;0.0007,沪市成交情况!D20+深市成交情况!D20,0))</f>
        <v>36927811200</v>
      </c>
      <c r="D18" s="21">
        <f>SUM(B$2:B18)/100000000</f>
        <v>6628.7311250000002</v>
      </c>
      <c r="E18" s="21">
        <f ca="1">IF(C18=0,NA(),SUM(C$2:C18)/100000000)</f>
        <v>9059.7898129999994</v>
      </c>
      <c r="F18" s="21">
        <f t="shared" ca="1" si="0"/>
        <v>2431.0586879999992</v>
      </c>
    </row>
    <row r="19" spans="1:6">
      <c r="A19" s="51">
        <v>0.40763888888888999</v>
      </c>
      <c r="B19" s="21">
        <f>沪市成交情况!B21+深市成交情况!B21</f>
        <v>24314246400</v>
      </c>
      <c r="C19" s="21">
        <f ca="1">IF(沪深两市成交分析!$E$7&lt;&gt;TODAY(),沪市成交情况!D21+深市成交情况!D21,IF(NOW()-TODAY()-A19&gt;0.0007,沪市成交情况!D21+深市成交情况!D21,0))</f>
        <v>31300206600</v>
      </c>
      <c r="D19" s="21">
        <f>SUM(B$2:B19)/100000000</f>
        <v>6871.8735889999998</v>
      </c>
      <c r="E19" s="21">
        <f ca="1">IF(C19=0,NA(),SUM(C$2:C19)/100000000)</f>
        <v>9372.7918790000003</v>
      </c>
      <c r="F19" s="21">
        <f t="shared" ca="1" si="0"/>
        <v>2500.9182900000005</v>
      </c>
    </row>
    <row r="20" spans="1:6">
      <c r="A20" s="51">
        <v>0.40833333333333399</v>
      </c>
      <c r="B20" s="21">
        <f>沪市成交情况!B22+深市成交情况!B22</f>
        <v>25980782800</v>
      </c>
      <c r="C20" s="21">
        <f ca="1">IF(沪深两市成交分析!$E$7&lt;&gt;TODAY(),沪市成交情况!D22+深市成交情况!D22,IF(NOW()-TODAY()-A20&gt;0.0007,沪市成交情况!D22+深市成交情况!D22,0))</f>
        <v>30104331400</v>
      </c>
      <c r="D20" s="21">
        <f>SUM(B$2:B20)/100000000</f>
        <v>7131.6814169999998</v>
      </c>
      <c r="E20" s="21">
        <f ca="1">IF(C20=0,NA(),SUM(C$2:C20)/100000000)</f>
        <v>9673.8351930000008</v>
      </c>
      <c r="F20" s="21">
        <f t="shared" ca="1" si="0"/>
        <v>2542.153776000001</v>
      </c>
    </row>
    <row r="21" spans="1:6">
      <c r="A21" s="51">
        <v>0.40902777777777899</v>
      </c>
      <c r="B21" s="21">
        <f>沪市成交情况!B23+深市成交情况!B23</f>
        <v>20525649300</v>
      </c>
      <c r="C21" s="21">
        <f ca="1">IF(沪深两市成交分析!$E$7&lt;&gt;TODAY(),沪市成交情况!D23+深市成交情况!D23,IF(NOW()-TODAY()-A21&gt;0.0007,沪市成交情况!D23+深市成交情况!D23,0))</f>
        <v>28891346500</v>
      </c>
      <c r="D21" s="21">
        <f>SUM(B$2:B21)/100000000</f>
        <v>7336.9379099999996</v>
      </c>
      <c r="E21" s="21">
        <f ca="1">IF(C21=0,NA(),SUM(C$2:C21)/100000000)</f>
        <v>9962.7486580000004</v>
      </c>
      <c r="F21" s="21">
        <f t="shared" ca="1" si="0"/>
        <v>2625.8107480000008</v>
      </c>
    </row>
    <row r="22" spans="1:6">
      <c r="A22" s="51">
        <v>0.40972222222222299</v>
      </c>
      <c r="B22" s="21">
        <f>沪市成交情况!B24+深市成交情况!B24</f>
        <v>22492960900</v>
      </c>
      <c r="C22" s="21">
        <f ca="1">IF(沪深两市成交分析!$E$7&lt;&gt;TODAY(),沪市成交情况!D24+深市成交情况!D24,IF(NOW()-TODAY()-A22&gt;0.0007,沪市成交情况!D24+深市成交情况!D24,0))</f>
        <v>28160646800</v>
      </c>
      <c r="D22" s="21">
        <f>SUM(B$2:B22)/100000000</f>
        <v>7561.8675190000004</v>
      </c>
      <c r="E22" s="21">
        <f ca="1">IF(C22=0,NA(),SUM(C$2:C22)/100000000)</f>
        <v>10244.355126</v>
      </c>
      <c r="F22" s="21">
        <f t="shared" ca="1" si="0"/>
        <v>2682.487607</v>
      </c>
    </row>
    <row r="23" spans="1:6">
      <c r="A23" s="51">
        <v>0.41041666666666798</v>
      </c>
      <c r="B23" s="21">
        <f>沪市成交情况!B25+深市成交情况!B25</f>
        <v>24205146200</v>
      </c>
      <c r="C23" s="21">
        <f ca="1">IF(沪深两市成交分析!$E$7&lt;&gt;TODAY(),沪市成交情况!D25+深市成交情况!D25,IF(NOW()-TODAY()-A23&gt;0.0007,沪市成交情况!D25+深市成交情况!D25,0))</f>
        <v>24826147600</v>
      </c>
      <c r="D23" s="21">
        <f>SUM(B$2:B23)/100000000</f>
        <v>7803.9189809999998</v>
      </c>
      <c r="E23" s="21">
        <f ca="1">IF(C23=0,NA(),SUM(C$2:C23)/100000000)</f>
        <v>10492.616602</v>
      </c>
      <c r="F23" s="21">
        <f t="shared" ca="1" si="0"/>
        <v>2688.6976210000003</v>
      </c>
    </row>
    <row r="24" spans="1:6">
      <c r="A24" s="51">
        <v>0.41111111111111198</v>
      </c>
      <c r="B24" s="21">
        <f>沪市成交情况!B26+深市成交情况!B26</f>
        <v>25648426200</v>
      </c>
      <c r="C24" s="21">
        <f ca="1">IF(沪深两市成交分析!$E$7&lt;&gt;TODAY(),沪市成交情况!D26+深市成交情况!D26,IF(NOW()-TODAY()-A24&gt;0.0007,沪市成交情况!D26+深市成交情况!D26,0))</f>
        <v>23049885800</v>
      </c>
      <c r="D24" s="21">
        <f>SUM(B$2:B24)/100000000</f>
        <v>8060.4032429999997</v>
      </c>
      <c r="E24" s="21">
        <f ca="1">IF(C24=0,NA(),SUM(C$2:C24)/100000000)</f>
        <v>10723.115460000001</v>
      </c>
      <c r="F24" s="21">
        <f t="shared" ca="1" si="0"/>
        <v>2662.7122170000011</v>
      </c>
    </row>
    <row r="25" spans="1:6">
      <c r="A25" s="51">
        <v>0.41180555555555698</v>
      </c>
      <c r="B25" s="21">
        <f>沪市成交情况!B27+深市成交情况!B27</f>
        <v>25571393600</v>
      </c>
      <c r="C25" s="21">
        <f ca="1">IF(沪深两市成交分析!$E$7&lt;&gt;TODAY(),沪市成交情况!D27+深市成交情况!D27,IF(NOW()-TODAY()-A25&gt;0.0007,沪市成交情况!D27+深市成交情况!D27,0))</f>
        <v>21402736500</v>
      </c>
      <c r="D25" s="21">
        <f>SUM(B$2:B25)/100000000</f>
        <v>8316.1171790000008</v>
      </c>
      <c r="E25" s="21">
        <f ca="1">IF(C25=0,NA(),SUM(C$2:C25)/100000000)</f>
        <v>10937.142825000001</v>
      </c>
      <c r="F25" s="21">
        <f t="shared" ca="1" si="0"/>
        <v>2621.0256460000001</v>
      </c>
    </row>
    <row r="26" spans="1:6">
      <c r="A26" s="51">
        <v>0.41250000000000098</v>
      </c>
      <c r="B26" s="21">
        <f>沪市成交情况!B28+深市成交情况!B28</f>
        <v>19704449700</v>
      </c>
      <c r="C26" s="21">
        <f ca="1">IF(沪深两市成交分析!$E$7&lt;&gt;TODAY(),沪市成交情况!D28+深市成交情况!D28,IF(NOW()-TODAY()-A26&gt;0.0007,沪市成交情况!D28+深市成交情况!D28,0))</f>
        <v>18526717900</v>
      </c>
      <c r="D26" s="21">
        <f>SUM(B$2:B26)/100000000</f>
        <v>8513.1616759999997</v>
      </c>
      <c r="E26" s="21">
        <f ca="1">IF(C26=0,NA(),SUM(C$2:C26)/100000000)</f>
        <v>11122.410003999999</v>
      </c>
      <c r="F26" s="21">
        <f t="shared" ca="1" si="0"/>
        <v>2609.2483279999997</v>
      </c>
    </row>
    <row r="27" spans="1:6">
      <c r="A27" s="51">
        <v>0.41319444444444597</v>
      </c>
      <c r="B27" s="21">
        <f>沪市成交情况!B29+深市成交情况!B29</f>
        <v>18280709400</v>
      </c>
      <c r="C27" s="21">
        <f ca="1">IF(沪深两市成交分析!$E$7&lt;&gt;TODAY(),沪市成交情况!D29+深市成交情况!D29,IF(NOW()-TODAY()-A27&gt;0.0007,沪市成交情况!D29+深市成交情况!D29,0))</f>
        <v>18199571600</v>
      </c>
      <c r="D27" s="21">
        <f>SUM(B$2:B27)/100000000</f>
        <v>8695.9687699999995</v>
      </c>
      <c r="E27" s="21">
        <f ca="1">IF(C27=0,NA(),SUM(C$2:C27)/100000000)</f>
        <v>11304.405720000001</v>
      </c>
      <c r="F27" s="21">
        <f t="shared" ca="1" si="0"/>
        <v>2608.4369500000012</v>
      </c>
    </row>
    <row r="28" spans="1:6">
      <c r="A28" s="51">
        <v>0.41388888888889003</v>
      </c>
      <c r="B28" s="21">
        <f>沪市成交情况!B30+深市成交情况!B30</f>
        <v>16569860400</v>
      </c>
      <c r="C28" s="21">
        <f ca="1">IF(沪深两市成交分析!$E$7&lt;&gt;TODAY(),沪市成交情况!D30+深市成交情况!D30,IF(NOW()-TODAY()-A28&gt;0.0007,沪市成交情况!D30+深市成交情况!D30,0))</f>
        <v>17184501400</v>
      </c>
      <c r="D28" s="21">
        <f>SUM(B$2:B28)/100000000</f>
        <v>8861.6673740000006</v>
      </c>
      <c r="E28" s="21">
        <f ca="1">IF(C28=0,NA(),SUM(C$2:C28)/100000000)</f>
        <v>11476.250733999999</v>
      </c>
      <c r="F28" s="21">
        <f t="shared" ca="1" si="0"/>
        <v>2614.5833599999987</v>
      </c>
    </row>
    <row r="29" spans="1:6">
      <c r="A29" s="51">
        <v>0.41458333333333502</v>
      </c>
      <c r="B29" s="21">
        <f>沪市成交情况!B31+深市成交情况!B31</f>
        <v>16510667800</v>
      </c>
      <c r="C29" s="21">
        <f ca="1">IF(沪深两市成交分析!$E$7&lt;&gt;TODAY(),沪市成交情况!D31+深市成交情况!D31,IF(NOW()-TODAY()-A29&gt;0.0007,沪市成交情况!D31+深市成交情况!D31,0))</f>
        <v>16094503400</v>
      </c>
      <c r="D29" s="21">
        <f>SUM(B$2:B29)/100000000</f>
        <v>9026.7740520000007</v>
      </c>
      <c r="E29" s="21">
        <f ca="1">IF(C29=0,NA(),SUM(C$2:C29)/100000000)</f>
        <v>11637.195768</v>
      </c>
      <c r="F29" s="21">
        <f t="shared" ca="1" si="0"/>
        <v>2610.4217159999989</v>
      </c>
    </row>
    <row r="30" spans="1:6">
      <c r="A30" s="51">
        <v>0.41527777777777902</v>
      </c>
      <c r="B30" s="21">
        <f>沪市成交情况!B32+深市成交情况!B32</f>
        <v>13450581000</v>
      </c>
      <c r="C30" s="21">
        <f ca="1">IF(沪深两市成交分析!$E$7&lt;&gt;TODAY(),沪市成交情况!D32+深市成交情况!D32,IF(NOW()-TODAY()-A30&gt;0.0007,沪市成交情况!D32+深市成交情况!D32,0))</f>
        <v>15064617600</v>
      </c>
      <c r="D30" s="21">
        <f>SUM(B$2:B30)/100000000</f>
        <v>9161.2798619999994</v>
      </c>
      <c r="E30" s="21">
        <f ca="1">IF(C30=0,NA(),SUM(C$2:C30)/100000000)</f>
        <v>11787.841944</v>
      </c>
      <c r="F30" s="21">
        <f t="shared" ca="1" si="0"/>
        <v>2626.5620820000004</v>
      </c>
    </row>
    <row r="31" spans="1:6">
      <c r="A31" s="51">
        <v>0.41597222222222402</v>
      </c>
      <c r="B31" s="21">
        <f>沪市成交情况!B33+深市成交情况!B33</f>
        <v>13810472700</v>
      </c>
      <c r="C31" s="21">
        <f ca="1">IF(沪深两市成交分析!$E$7&lt;&gt;TODAY(),沪市成交情况!D33+深市成交情况!D33,IF(NOW()-TODAY()-A31&gt;0.0007,沪市成交情况!D33+深市成交情况!D33,0))</f>
        <v>14455401300</v>
      </c>
      <c r="D31" s="21">
        <f>SUM(B$2:B31)/100000000</f>
        <v>9299.3845889999993</v>
      </c>
      <c r="E31" s="21">
        <f ca="1">IF(C31=0,NA(),SUM(C$2:C31)/100000000)</f>
        <v>11932.395957000001</v>
      </c>
      <c r="F31" s="21">
        <f t="shared" ca="1" si="0"/>
        <v>2633.0113680000013</v>
      </c>
    </row>
    <row r="32" spans="1:6">
      <c r="A32" s="51">
        <v>0.41666666666666802</v>
      </c>
      <c r="B32" s="21">
        <f>沪市成交情况!B34+深市成交情况!B34</f>
        <v>15681252900</v>
      </c>
      <c r="C32" s="21">
        <f ca="1">IF(沪深两市成交分析!$E$7&lt;&gt;TODAY(),沪市成交情况!D34+深市成交情况!D34,IF(NOW()-TODAY()-A32&gt;0.0007,沪市成交情况!D34+深市成交情况!D34,0))</f>
        <v>16285557800</v>
      </c>
      <c r="D32" s="21">
        <f>SUM(B$2:B32)/100000000</f>
        <v>9456.197118</v>
      </c>
      <c r="E32" s="21">
        <f ca="1">IF(C32=0,NA(),SUM(C$2:C32)/100000000)</f>
        <v>12095.251534999999</v>
      </c>
      <c r="F32" s="21">
        <f t="shared" ca="1" si="0"/>
        <v>2639.0544169999994</v>
      </c>
    </row>
    <row r="33" spans="1:6">
      <c r="A33" s="51">
        <v>0.41736111111111301</v>
      </c>
      <c r="B33" s="21">
        <f>沪市成交情况!B35+深市成交情况!B35</f>
        <v>12823824600</v>
      </c>
      <c r="C33" s="21">
        <f ca="1">IF(沪深两市成交分析!$E$7&lt;&gt;TODAY(),沪市成交情况!D35+深市成交情况!D35,IF(NOW()-TODAY()-A33&gt;0.0007,沪市成交情况!D35+深市成交情况!D35,0))</f>
        <v>14325908900</v>
      </c>
      <c r="D33" s="21">
        <f>SUM(B$2:B33)/100000000</f>
        <v>9584.4353640000008</v>
      </c>
      <c r="E33" s="21">
        <f ca="1">IF(C33=0,NA(),SUM(C$2:C33)/100000000)</f>
        <v>12238.510624</v>
      </c>
      <c r="F33" s="21">
        <f t="shared" ca="1" si="0"/>
        <v>2654.0752599999996</v>
      </c>
    </row>
    <row r="34" spans="1:6">
      <c r="A34" s="51">
        <v>0.41805555555555701</v>
      </c>
      <c r="B34" s="21">
        <f>沪市成交情况!B36+深市成交情况!B36</f>
        <v>11558024900</v>
      </c>
      <c r="C34" s="21">
        <f ca="1">IF(沪深两市成交分析!$E$7&lt;&gt;TODAY(),沪市成交情况!D36+深市成交情况!D36,IF(NOW()-TODAY()-A34&gt;0.0007,沪市成交情况!D36+深市成交情况!D36,0))</f>
        <v>14504975200</v>
      </c>
      <c r="D34" s="21">
        <f>SUM(B$2:B34)/100000000</f>
        <v>9700.0156129999996</v>
      </c>
      <c r="E34" s="21">
        <f ca="1">IF(C34=0,NA(),SUM(C$2:C34)/100000000)</f>
        <v>12383.560375999999</v>
      </c>
      <c r="F34" s="21">
        <f t="shared" ca="1" si="0"/>
        <v>2683.5447629999999</v>
      </c>
    </row>
    <row r="35" spans="1:6">
      <c r="A35" s="51">
        <v>0.41875000000000201</v>
      </c>
      <c r="B35" s="21">
        <f>沪市成交情况!B37+深市成交情况!B37</f>
        <v>13892930900</v>
      </c>
      <c r="C35" s="21">
        <f ca="1">IF(沪深两市成交分析!$E$7&lt;&gt;TODAY(),沪市成交情况!D37+深市成交情况!D37,IF(NOW()-TODAY()-A35&gt;0.0007,沪市成交情况!D37+深市成交情况!D37,0))</f>
        <v>14474305300</v>
      </c>
      <c r="D35" s="21">
        <f>SUM(B$2:B35)/100000000</f>
        <v>9838.9449220000006</v>
      </c>
      <c r="E35" s="21">
        <f ca="1">IF(C35=0,NA(),SUM(C$2:C35)/100000000)</f>
        <v>12528.303429</v>
      </c>
      <c r="F35" s="21">
        <f t="shared" ca="1" si="0"/>
        <v>2689.358506999999</v>
      </c>
    </row>
    <row r="36" spans="1:6">
      <c r="A36" s="51">
        <v>0.41944444444444601</v>
      </c>
      <c r="B36" s="21">
        <f>沪市成交情况!B38+深市成交情况!B38</f>
        <v>13433805300</v>
      </c>
      <c r="C36" s="21">
        <f ca="1">IF(沪深两市成交分析!$E$7&lt;&gt;TODAY(),沪市成交情况!D38+深市成交情况!D38,IF(NOW()-TODAY()-A36&gt;0.0007,沪市成交情况!D38+深市成交情况!D38,0))</f>
        <v>13965167700</v>
      </c>
      <c r="D36" s="21">
        <f>SUM(B$2:B36)/100000000</f>
        <v>9973.2829750000001</v>
      </c>
      <c r="E36" s="21">
        <f ca="1">IF(C36=0,NA(),SUM(C$2:C36)/100000000)</f>
        <v>12667.955105999999</v>
      </c>
      <c r="F36" s="21">
        <f t="shared" ca="1" si="0"/>
        <v>2694.6721309999994</v>
      </c>
    </row>
    <row r="37" spans="1:6">
      <c r="A37" s="51">
        <v>0.420138888888891</v>
      </c>
      <c r="B37" s="21">
        <f>沪市成交情况!B39+深市成交情况!B39</f>
        <v>12557152400</v>
      </c>
      <c r="C37" s="21">
        <f ca="1">IF(沪深两市成交分析!$E$7&lt;&gt;TODAY(),沪市成交情况!D39+深市成交情况!D39,IF(NOW()-TODAY()-A37&gt;0.0007,沪市成交情况!D39+深市成交情况!D39,0))</f>
        <v>14281268000</v>
      </c>
      <c r="D37" s="21">
        <f>SUM(B$2:B37)/100000000</f>
        <v>10098.854498999999</v>
      </c>
      <c r="E37" s="21">
        <f ca="1">IF(C37=0,NA(),SUM(C$2:C37)/100000000)</f>
        <v>12810.767786</v>
      </c>
      <c r="F37" s="21">
        <f t="shared" ca="1" si="0"/>
        <v>2711.9132870000012</v>
      </c>
    </row>
    <row r="38" spans="1:6">
      <c r="A38" s="51">
        <v>0.420833333333335</v>
      </c>
      <c r="B38" s="21">
        <f>沪市成交情况!B40+深市成交情况!B40</f>
        <v>11595427900</v>
      </c>
      <c r="C38" s="21">
        <f ca="1">IF(沪深两市成交分析!$E$7&lt;&gt;TODAY(),沪市成交情况!D40+深市成交情况!D40,IF(NOW()-TODAY()-A38&gt;0.0007,沪市成交情况!D40+深市成交情况!D40,0))</f>
        <v>12849887200</v>
      </c>
      <c r="D38" s="21">
        <f>SUM(B$2:B38)/100000000</f>
        <v>10214.808778000001</v>
      </c>
      <c r="E38" s="21">
        <f ca="1">IF(C38=0,NA(),SUM(C$2:C38)/100000000)</f>
        <v>12939.266658</v>
      </c>
      <c r="F38" s="21">
        <f t="shared" ca="1" si="0"/>
        <v>2724.4578799999999</v>
      </c>
    </row>
    <row r="39" spans="1:6">
      <c r="A39" s="51">
        <v>0.42152777777778</v>
      </c>
      <c r="B39" s="21">
        <f>沪市成交情况!B41+深市成交情况!B41</f>
        <v>11522522100</v>
      </c>
      <c r="C39" s="21">
        <f ca="1">IF(沪深两市成交分析!$E$7&lt;&gt;TODAY(),沪市成交情况!D41+深市成交情况!D41,IF(NOW()-TODAY()-A39&gt;0.0007,沪市成交情况!D41+深市成交情况!D41,0))</f>
        <v>12600079900</v>
      </c>
      <c r="D39" s="21">
        <f>SUM(B$2:B39)/100000000</f>
        <v>10330.033998999999</v>
      </c>
      <c r="E39" s="21">
        <f ca="1">IF(C39=0,NA(),SUM(C$2:C39)/100000000)</f>
        <v>13065.267457</v>
      </c>
      <c r="F39" s="21">
        <f t="shared" ca="1" si="0"/>
        <v>2735.2334580000006</v>
      </c>
    </row>
    <row r="40" spans="1:6">
      <c r="A40" s="51">
        <v>0.422222222222224</v>
      </c>
      <c r="B40" s="21">
        <f>沪市成交情况!B42+深市成交情况!B42</f>
        <v>10029190700</v>
      </c>
      <c r="C40" s="21">
        <f ca="1">IF(沪深两市成交分析!$E$7&lt;&gt;TODAY(),沪市成交情况!D42+深市成交情况!D42,IF(NOW()-TODAY()-A40&gt;0.0007,沪市成交情况!D42+深市成交情况!D42,0))</f>
        <v>15647117800</v>
      </c>
      <c r="D40" s="21">
        <f>SUM(B$2:B40)/100000000</f>
        <v>10430.325906</v>
      </c>
      <c r="E40" s="21">
        <f ca="1">IF(C40=0,NA(),SUM(C$2:C40)/100000000)</f>
        <v>13221.738635</v>
      </c>
      <c r="F40" s="21">
        <f t="shared" ca="1" si="0"/>
        <v>2791.4127289999997</v>
      </c>
    </row>
    <row r="41" spans="1:6">
      <c r="A41" s="51">
        <v>0.42291666666666899</v>
      </c>
      <c r="B41" s="21">
        <f>沪市成交情况!B43+深市成交情况!B43</f>
        <v>10768874800</v>
      </c>
      <c r="C41" s="21">
        <f ca="1">IF(沪深两市成交分析!$E$7&lt;&gt;TODAY(),沪市成交情况!D43+深市成交情况!D43,IF(NOW()-TODAY()-A41&gt;0.0007,沪市成交情况!D43+深市成交情况!D43,0))</f>
        <v>17828438300</v>
      </c>
      <c r="D41" s="21">
        <f>SUM(B$2:B41)/100000000</f>
        <v>10538.014654000001</v>
      </c>
      <c r="E41" s="21">
        <f ca="1">IF(C41=0,NA(),SUM(C$2:C41)/100000000)</f>
        <v>13400.023018</v>
      </c>
      <c r="F41" s="21">
        <f t="shared" ca="1" si="0"/>
        <v>2862.0083639999993</v>
      </c>
    </row>
    <row r="42" spans="1:6">
      <c r="A42" s="51">
        <v>0.42361111111111299</v>
      </c>
      <c r="B42" s="21">
        <f>沪市成交情况!B44+深市成交情况!B44</f>
        <v>10364159400</v>
      </c>
      <c r="C42" s="21">
        <f ca="1">IF(沪深两市成交分析!$E$7&lt;&gt;TODAY(),沪市成交情况!D44+深市成交情况!D44,IF(NOW()-TODAY()-A42&gt;0.0007,沪市成交情况!D44+深市成交情况!D44,0))</f>
        <v>15644066900</v>
      </c>
      <c r="D42" s="21">
        <f>SUM(B$2:B42)/100000000</f>
        <v>10641.656247999999</v>
      </c>
      <c r="E42" s="21">
        <f ca="1">IF(C42=0,NA(),SUM(C$2:C42)/100000000)</f>
        <v>13556.463686999999</v>
      </c>
      <c r="F42" s="21">
        <f t="shared" ca="1" si="0"/>
        <v>2914.8074390000002</v>
      </c>
    </row>
    <row r="43" spans="1:6">
      <c r="A43" s="51">
        <v>0.42430555555555799</v>
      </c>
      <c r="B43" s="21">
        <f>沪市成交情况!B45+深市成交情况!B45</f>
        <v>9571080900</v>
      </c>
      <c r="C43" s="21">
        <f ca="1">IF(沪深两市成交分析!$E$7&lt;&gt;TODAY(),沪市成交情况!D45+深市成交情况!D45,IF(NOW()-TODAY()-A43&gt;0.0007,沪市成交情况!D45+深市成交情况!D45,0))</f>
        <v>15838713600</v>
      </c>
      <c r="D43" s="21">
        <f>SUM(B$2:B43)/100000000</f>
        <v>10737.367056999999</v>
      </c>
      <c r="E43" s="21">
        <f ca="1">IF(C43=0,NA(),SUM(C$2:C43)/100000000)</f>
        <v>13714.850823000001</v>
      </c>
      <c r="F43" s="21">
        <f t="shared" ca="1" si="0"/>
        <v>2977.4837660000012</v>
      </c>
    </row>
    <row r="44" spans="1:6">
      <c r="A44" s="51">
        <v>0.42500000000000199</v>
      </c>
      <c r="B44" s="21">
        <f>沪市成交情况!B46+深市成交情况!B46</f>
        <v>10118953800</v>
      </c>
      <c r="C44" s="21">
        <f ca="1">IF(沪深两市成交分析!$E$7&lt;&gt;TODAY(),沪市成交情况!D46+深市成交情况!D46,IF(NOW()-TODAY()-A44&gt;0.0007,沪市成交情况!D46+深市成交情况!D46,0))</f>
        <v>17594080500</v>
      </c>
      <c r="D44" s="21">
        <f>SUM(B$2:B44)/100000000</f>
        <v>10838.556595</v>
      </c>
      <c r="E44" s="21">
        <f ca="1">IF(C44=0,NA(),SUM(C$2:C44)/100000000)</f>
        <v>13890.791628000001</v>
      </c>
      <c r="F44" s="21">
        <f t="shared" ca="1" si="0"/>
        <v>3052.2350330000008</v>
      </c>
    </row>
    <row r="45" spans="1:6">
      <c r="A45" s="51">
        <v>0.42569444444444698</v>
      </c>
      <c r="B45" s="21">
        <f>沪市成交情况!B47+深市成交情况!B47</f>
        <v>8867579100</v>
      </c>
      <c r="C45" s="21">
        <f ca="1">IF(沪深两市成交分析!$E$7&lt;&gt;TODAY(),沪市成交情况!D47+深市成交情况!D47,IF(NOW()-TODAY()-A45&gt;0.0007,沪市成交情况!D47+深市成交情况!D47,0))</f>
        <v>18615236800</v>
      </c>
      <c r="D45" s="21">
        <f>SUM(B$2:B45)/100000000</f>
        <v>10927.232386</v>
      </c>
      <c r="E45" s="21">
        <f ca="1">IF(C45=0,NA(),SUM(C$2:C45)/100000000)</f>
        <v>14076.943996</v>
      </c>
      <c r="F45" s="21">
        <f t="shared" ca="1" si="0"/>
        <v>3149.7116100000003</v>
      </c>
    </row>
    <row r="46" spans="1:6">
      <c r="A46" s="51">
        <v>0.42638888888889098</v>
      </c>
      <c r="B46" s="21">
        <f>沪市成交情况!B48+深市成交情况!B48</f>
        <v>9028526700</v>
      </c>
      <c r="C46" s="21">
        <f ca="1">IF(沪深两市成交分析!$E$7&lt;&gt;TODAY(),沪市成交情况!D48+深市成交情况!D48,IF(NOW()-TODAY()-A46&gt;0.0007,沪市成交情况!D48+深市成交情况!D48,0))</f>
        <v>20272830800</v>
      </c>
      <c r="D46" s="21">
        <f>SUM(B$2:B46)/100000000</f>
        <v>11017.517653000001</v>
      </c>
      <c r="E46" s="21">
        <f ca="1">IF(C46=0,NA(),SUM(C$2:C46)/100000000)</f>
        <v>14279.672304</v>
      </c>
      <c r="F46" s="21">
        <f t="shared" ca="1" si="0"/>
        <v>3262.1546509999989</v>
      </c>
    </row>
    <row r="47" spans="1:6">
      <c r="A47" s="51">
        <v>0.42708333333333598</v>
      </c>
      <c r="B47" s="21">
        <f>沪市成交情况!B49+深市成交情况!B49</f>
        <v>8180526900</v>
      </c>
      <c r="C47" s="21">
        <f ca="1">IF(沪深两市成交分析!$E$7&lt;&gt;TODAY(),沪市成交情况!D49+深市成交情况!D49,IF(NOW()-TODAY()-A47&gt;0.0007,沪市成交情况!D49+深市成交情况!D49,0))</f>
        <v>23635302300</v>
      </c>
      <c r="D47" s="21">
        <f>SUM(B$2:B47)/100000000</f>
        <v>11099.322921999999</v>
      </c>
      <c r="E47" s="21">
        <f ca="1">IF(C47=0,NA(),SUM(C$2:C47)/100000000)</f>
        <v>14516.025326999999</v>
      </c>
      <c r="F47" s="21">
        <f t="shared" ca="1" si="0"/>
        <v>3416.702405</v>
      </c>
    </row>
    <row r="48" spans="1:6">
      <c r="A48" s="51">
        <v>0.42777777777777998</v>
      </c>
      <c r="B48" s="21">
        <f>沪市成交情况!B50+深市成交情况!B50</f>
        <v>8643388200</v>
      </c>
      <c r="C48" s="21">
        <f ca="1">IF(沪深两市成交分析!$E$7&lt;&gt;TODAY(),沪市成交情况!D50+深市成交情况!D50,IF(NOW()-TODAY()-A48&gt;0.0007,沪市成交情况!D50+深市成交情况!D50,0))</f>
        <v>18038308400</v>
      </c>
      <c r="D48" s="21">
        <f>SUM(B$2:B48)/100000000</f>
        <v>11185.756804000001</v>
      </c>
      <c r="E48" s="21">
        <f ca="1">IF(C48=0,NA(),SUM(C$2:C48)/100000000)</f>
        <v>14696.408411</v>
      </c>
      <c r="F48" s="21">
        <f t="shared" ca="1" si="0"/>
        <v>3510.6516069999998</v>
      </c>
    </row>
    <row r="49" spans="1:6">
      <c r="A49" s="51">
        <v>0.42847222222222497</v>
      </c>
      <c r="B49" s="21">
        <f>沪市成交情况!B51+深市成交情况!B51</f>
        <v>8176896900</v>
      </c>
      <c r="C49" s="21">
        <f ca="1">IF(沪深两市成交分析!$E$7&lt;&gt;TODAY(),沪市成交情况!D51+深市成交情况!D51,IF(NOW()-TODAY()-A49&gt;0.0007,沪市成交情况!D51+深市成交情况!D51,0))</f>
        <v>15126664000</v>
      </c>
      <c r="D49" s="21">
        <f>SUM(B$2:B49)/100000000</f>
        <v>11267.525772999999</v>
      </c>
      <c r="E49" s="21">
        <f ca="1">IF(C49=0,NA(),SUM(C$2:C49)/100000000)</f>
        <v>14847.675051</v>
      </c>
      <c r="F49" s="21">
        <f t="shared" ca="1" si="0"/>
        <v>3580.1492780000008</v>
      </c>
    </row>
    <row r="50" spans="1:6">
      <c r="A50" s="51">
        <v>0.42916666666666903</v>
      </c>
      <c r="B50" s="21">
        <f>沪市成交情况!B52+深市成交情况!B52</f>
        <v>9968553400</v>
      </c>
      <c r="C50" s="21">
        <f ca="1">IF(沪深两市成交分析!$E$7&lt;&gt;TODAY(),沪市成交情况!D52+深市成交情况!D52,IF(NOW()-TODAY()-A50&gt;0.0007,沪市成交情况!D52+深市成交情况!D52,0))</f>
        <v>13412174100</v>
      </c>
      <c r="D50" s="21">
        <f>SUM(B$2:B50)/100000000</f>
        <v>11367.211307</v>
      </c>
      <c r="E50" s="21">
        <f ca="1">IF(C50=0,NA(),SUM(C$2:C50)/100000000)</f>
        <v>14981.796791999999</v>
      </c>
      <c r="F50" s="21">
        <f t="shared" ca="1" si="0"/>
        <v>3614.5854849999996</v>
      </c>
    </row>
    <row r="51" spans="1:6">
      <c r="A51" s="51">
        <v>0.42986111111111402</v>
      </c>
      <c r="B51" s="21">
        <f>沪市成交情况!B53+深市成交情况!B53</f>
        <v>10620306400</v>
      </c>
      <c r="C51" s="21">
        <f ca="1">IF(沪深两市成交分析!$E$7&lt;&gt;TODAY(),沪市成交情况!D53+深市成交情况!D53,IF(NOW()-TODAY()-A51&gt;0.0007,沪市成交情况!D53+深市成交情况!D53,0))</f>
        <v>12232760000</v>
      </c>
      <c r="D51" s="21">
        <f>SUM(B$2:B51)/100000000</f>
        <v>11473.414371000001</v>
      </c>
      <c r="E51" s="21">
        <f ca="1">IF(C51=0,NA(),SUM(C$2:C51)/100000000)</f>
        <v>15104.124392</v>
      </c>
      <c r="F51" s="21">
        <f t="shared" ca="1" si="0"/>
        <v>3630.710020999999</v>
      </c>
    </row>
    <row r="52" spans="1:6">
      <c r="A52" s="51">
        <v>0.43055555555555802</v>
      </c>
      <c r="B52" s="21">
        <f>沪市成交情况!B54+深市成交情况!B54</f>
        <v>12795429800</v>
      </c>
      <c r="C52" s="21">
        <f ca="1">IF(沪深两市成交分析!$E$7&lt;&gt;TODAY(),沪市成交情况!D54+深市成交情况!D54,IF(NOW()-TODAY()-A52&gt;0.0007,沪市成交情况!D54+深市成交情况!D54,0))</f>
        <v>12147586300</v>
      </c>
      <c r="D52" s="21">
        <f>SUM(B$2:B52)/100000000</f>
        <v>11601.368668999999</v>
      </c>
      <c r="E52" s="21">
        <f ca="1">IF(C52=0,NA(),SUM(C$2:C52)/100000000)</f>
        <v>15225.600254999999</v>
      </c>
      <c r="F52" s="21">
        <f t="shared" ca="1" si="0"/>
        <v>3624.2315859999999</v>
      </c>
    </row>
    <row r="53" spans="1:6">
      <c r="A53" s="51">
        <v>0.43125000000000302</v>
      </c>
      <c r="B53" s="21">
        <f>沪市成交情况!B55+深市成交情况!B55</f>
        <v>12113330600</v>
      </c>
      <c r="C53" s="21">
        <f ca="1">IF(沪深两市成交分析!$E$7&lt;&gt;TODAY(),沪市成交情况!D55+深市成交情况!D55,IF(NOW()-TODAY()-A53&gt;0.0007,沪市成交情况!D55+深市成交情况!D55,0))</f>
        <v>12491596900</v>
      </c>
      <c r="D53" s="21">
        <f>SUM(B$2:B53)/100000000</f>
        <v>11722.501974999999</v>
      </c>
      <c r="E53" s="21">
        <f ca="1">IF(C53=0,NA(),SUM(C$2:C53)/100000000)</f>
        <v>15350.516224000001</v>
      </c>
      <c r="F53" s="21">
        <f t="shared" ca="1" si="0"/>
        <v>3628.0142490000017</v>
      </c>
    </row>
    <row r="54" spans="1:6">
      <c r="A54" s="51">
        <v>0.43194444444444702</v>
      </c>
      <c r="B54" s="21">
        <f>沪市成交情况!B56+深市成交情况!B56</f>
        <v>12387459700</v>
      </c>
      <c r="C54" s="21">
        <f ca="1">IF(沪深两市成交分析!$E$7&lt;&gt;TODAY(),沪市成交情况!D56+深市成交情况!D56,IF(NOW()-TODAY()-A54&gt;0.0007,沪市成交情况!D56+深市成交情况!D56,0))</f>
        <v>10191924300</v>
      </c>
      <c r="D54" s="21">
        <f>SUM(B$2:B54)/100000000</f>
        <v>11846.376571999999</v>
      </c>
      <c r="E54" s="21">
        <f ca="1">IF(C54=0,NA(),SUM(C$2:C54)/100000000)</f>
        <v>15452.435466999999</v>
      </c>
      <c r="F54" s="21">
        <f t="shared" ca="1" si="0"/>
        <v>3606.0588950000001</v>
      </c>
    </row>
    <row r="55" spans="1:6">
      <c r="A55" s="51">
        <v>0.43263888888889201</v>
      </c>
      <c r="B55" s="21">
        <f>沪市成交情况!B57+深市成交情况!B57</f>
        <v>10732676300</v>
      </c>
      <c r="C55" s="21">
        <f ca="1">IF(沪深两市成交分析!$E$7&lt;&gt;TODAY(),沪市成交情况!D57+深市成交情况!D57,IF(NOW()-TODAY()-A55&gt;0.0007,沪市成交情况!D57+深市成交情况!D57,0))</f>
        <v>9942956300</v>
      </c>
      <c r="D55" s="21">
        <f>SUM(B$2:B55)/100000000</f>
        <v>11953.703335</v>
      </c>
      <c r="E55" s="21">
        <f ca="1">IF(C55=0,NA(),SUM(C$2:C55)/100000000)</f>
        <v>15551.865030000001</v>
      </c>
      <c r="F55" s="21">
        <f t="shared" ca="1" si="0"/>
        <v>3598.1616950000007</v>
      </c>
    </row>
    <row r="56" spans="1:6">
      <c r="A56" s="51">
        <v>0.43333333333333601</v>
      </c>
      <c r="B56" s="21">
        <f>沪市成交情况!B58+深市成交情况!B58</f>
        <v>10940386400</v>
      </c>
      <c r="C56" s="21">
        <f ca="1">IF(沪深两市成交分析!$E$7&lt;&gt;TODAY(),沪市成交情况!D58+深市成交情况!D58,IF(NOW()-TODAY()-A56&gt;0.0007,沪市成交情况!D58+深市成交情况!D58,0))</f>
        <v>11394495500</v>
      </c>
      <c r="D56" s="21">
        <f>SUM(B$2:B56)/100000000</f>
        <v>12063.107199</v>
      </c>
      <c r="E56" s="21">
        <f ca="1">IF(C56=0,NA(),SUM(C$2:C56)/100000000)</f>
        <v>15665.809985</v>
      </c>
      <c r="F56" s="21">
        <f t="shared" ca="1" si="0"/>
        <v>3602.7027859999998</v>
      </c>
    </row>
    <row r="57" spans="1:6">
      <c r="A57" s="51">
        <v>0.43402777777778101</v>
      </c>
      <c r="B57" s="21">
        <f>沪市成交情况!B59+深市成交情况!B59</f>
        <v>10780552500</v>
      </c>
      <c r="C57" s="21">
        <f ca="1">IF(沪深两市成交分析!$E$7&lt;&gt;TODAY(),沪市成交情况!D59+深市成交情况!D59,IF(NOW()-TODAY()-A57&gt;0.0007,沪市成交情况!D59+深市成交情况!D59,0))</f>
        <v>11773062100</v>
      </c>
      <c r="D57" s="21">
        <f>SUM(B$2:B57)/100000000</f>
        <v>12170.912724</v>
      </c>
      <c r="E57" s="21">
        <f ca="1">IF(C57=0,NA(),SUM(C$2:C57)/100000000)</f>
        <v>15783.540606</v>
      </c>
      <c r="F57" s="21">
        <f t="shared" ca="1" si="0"/>
        <v>3612.6278820000007</v>
      </c>
    </row>
    <row r="58" spans="1:6">
      <c r="A58" s="51">
        <v>0.43472222222222501</v>
      </c>
      <c r="B58" s="21">
        <f>沪市成交情况!B60+深市成交情况!B60</f>
        <v>10678209800</v>
      </c>
      <c r="C58" s="21">
        <f ca="1">IF(沪深两市成交分析!$E$7&lt;&gt;TODAY(),沪市成交情况!D60+深市成交情况!D60,IF(NOW()-TODAY()-A58&gt;0.0007,沪市成交情况!D60+深市成交情况!D60,0))</f>
        <v>12077349300</v>
      </c>
      <c r="D58" s="21">
        <f>SUM(B$2:B58)/100000000</f>
        <v>12277.694821999999</v>
      </c>
      <c r="E58" s="21">
        <f ca="1">IF(C58=0,NA(),SUM(C$2:C58)/100000000)</f>
        <v>15904.314098999999</v>
      </c>
      <c r="F58" s="21">
        <f t="shared" ca="1" si="0"/>
        <v>3626.6192769999998</v>
      </c>
    </row>
    <row r="59" spans="1:6">
      <c r="A59" s="51">
        <v>0.43541666666667</v>
      </c>
      <c r="B59" s="21">
        <f>沪市成交情况!B61+深市成交情况!B61</f>
        <v>9974699400</v>
      </c>
      <c r="C59" s="21">
        <f ca="1">IF(沪深两市成交分析!$E$7&lt;&gt;TODAY(),沪市成交情况!D61+深市成交情况!D61,IF(NOW()-TODAY()-A59&gt;0.0007,沪市成交情况!D61+深市成交情况!D61,0))</f>
        <v>12311349500</v>
      </c>
      <c r="D59" s="21">
        <f>SUM(B$2:B59)/100000000</f>
        <v>12377.441816</v>
      </c>
      <c r="E59" s="21">
        <f ca="1">IF(C59=0,NA(),SUM(C$2:C59)/100000000)</f>
        <v>16027.427594000001</v>
      </c>
      <c r="F59" s="21">
        <f t="shared" ca="1" si="0"/>
        <v>3649.9857780000002</v>
      </c>
    </row>
    <row r="60" spans="1:6">
      <c r="A60" s="51">
        <v>0.436111111111114</v>
      </c>
      <c r="B60" s="21">
        <f>沪市成交情况!B62+深市成交情况!B62</f>
        <v>9218263300</v>
      </c>
      <c r="C60" s="21">
        <f ca="1">IF(沪深两市成交分析!$E$7&lt;&gt;TODAY(),沪市成交情况!D62+深市成交情况!D62,IF(NOW()-TODAY()-A60&gt;0.0007,沪市成交情况!D62+深市成交情况!D62,0))</f>
        <v>14387835300</v>
      </c>
      <c r="D60" s="21">
        <f>SUM(B$2:B60)/100000000</f>
        <v>12469.624449000001</v>
      </c>
      <c r="E60" s="21">
        <f ca="1">IF(C60=0,NA(),SUM(C$2:C60)/100000000)</f>
        <v>16171.305947000001</v>
      </c>
      <c r="F60" s="21">
        <f t="shared" ca="1" si="0"/>
        <v>3701.6814979999999</v>
      </c>
    </row>
    <row r="61" spans="1:6">
      <c r="A61" s="51">
        <v>0.436805555555559</v>
      </c>
      <c r="B61" s="21">
        <f>沪市成交情况!B63+深市成交情况!B63</f>
        <v>8657459700</v>
      </c>
      <c r="C61" s="21">
        <f ca="1">IF(沪深两市成交分析!$E$7&lt;&gt;TODAY(),沪市成交情况!D63+深市成交情况!D63,IF(NOW()-TODAY()-A61&gt;0.0007,沪市成交情况!D63+深市成交情况!D63,0))</f>
        <v>15680348700</v>
      </c>
      <c r="D61" s="21">
        <f>SUM(B$2:B61)/100000000</f>
        <v>12556.199046</v>
      </c>
      <c r="E61" s="21">
        <f ca="1">IF(C61=0,NA(),SUM(C$2:C61)/100000000)</f>
        <v>16328.109434</v>
      </c>
      <c r="F61" s="21">
        <f t="shared" ca="1" si="0"/>
        <v>3771.9103880000002</v>
      </c>
    </row>
    <row r="62" spans="1:6">
      <c r="A62" s="51">
        <v>0.437500000000003</v>
      </c>
      <c r="B62" s="21">
        <f>沪市成交情况!B64+深市成交情况!B64</f>
        <v>9025447000</v>
      </c>
      <c r="C62" s="21">
        <f ca="1">IF(沪深两市成交分析!$E$7&lt;&gt;TODAY(),沪市成交情况!D64+深市成交情况!D64,IF(NOW()-TODAY()-A62&gt;0.0007,沪市成交情况!D64+深市成交情况!D64,0))</f>
        <v>17515865700</v>
      </c>
      <c r="D62" s="21">
        <f>SUM(B$2:B62)/100000000</f>
        <v>12646.453516</v>
      </c>
      <c r="E62" s="21">
        <f ca="1">IF(C62=0,NA(),SUM(C$2:C62)/100000000)</f>
        <v>16503.268091000002</v>
      </c>
      <c r="F62" s="21">
        <f t="shared" ca="1" si="0"/>
        <v>3856.8145750000022</v>
      </c>
    </row>
    <row r="63" spans="1:6">
      <c r="A63" s="51">
        <v>0.43819444444444799</v>
      </c>
      <c r="B63" s="21">
        <f>沪市成交情况!B65+深市成交情况!B65</f>
        <v>9742644200</v>
      </c>
      <c r="C63" s="21">
        <f ca="1">IF(沪深两市成交分析!$E$7&lt;&gt;TODAY(),沪市成交情况!D65+深市成交情况!D65,IF(NOW()-TODAY()-A63&gt;0.0007,沪市成交情况!D65+深市成交情况!D65,0))</f>
        <v>17156584200</v>
      </c>
      <c r="D63" s="21">
        <f>SUM(B$2:B63)/100000000</f>
        <v>12743.879958</v>
      </c>
      <c r="E63" s="21">
        <f ca="1">IF(C63=0,NA(),SUM(C$2:C63)/100000000)</f>
        <v>16674.833933000002</v>
      </c>
      <c r="F63" s="21">
        <f t="shared" ca="1" si="0"/>
        <v>3930.9539750000022</v>
      </c>
    </row>
    <row r="64" spans="1:6">
      <c r="A64" s="51">
        <v>0.43888888888889199</v>
      </c>
      <c r="B64" s="21">
        <f>沪市成交情况!B66+深市成交情况!B66</f>
        <v>8609976200</v>
      </c>
      <c r="C64" s="21">
        <f ca="1">IF(沪深两市成交分析!$E$7&lt;&gt;TODAY(),沪市成交情况!D66+深市成交情况!D66,IF(NOW()-TODAY()-A64&gt;0.0007,沪市成交情况!D66+深市成交情况!D66,0))</f>
        <v>21277060400</v>
      </c>
      <c r="D64" s="21">
        <f>SUM(B$2:B64)/100000000</f>
        <v>12829.979719999999</v>
      </c>
      <c r="E64" s="21">
        <f ca="1">IF(C64=0,NA(),SUM(C$2:C64)/100000000)</f>
        <v>16887.604536999999</v>
      </c>
      <c r="F64" s="21">
        <f t="shared" ca="1" si="0"/>
        <v>4057.6248169999999</v>
      </c>
    </row>
    <row r="65" spans="1:6">
      <c r="A65" s="51">
        <v>0.43958333333333699</v>
      </c>
      <c r="B65" s="21">
        <f>沪市成交情况!B67+深市成交情况!B67</f>
        <v>7587995400</v>
      </c>
      <c r="C65" s="21">
        <f ca="1">IF(沪深两市成交分析!$E$7&lt;&gt;TODAY(),沪市成交情况!D67+深市成交情况!D67,IF(NOW()-TODAY()-A65&gt;0.0007,沪市成交情况!D67+深市成交情况!D67,0))</f>
        <v>24034243500</v>
      </c>
      <c r="D65" s="21">
        <f>SUM(B$2:B65)/100000000</f>
        <v>12905.859673999999</v>
      </c>
      <c r="E65" s="21">
        <f ca="1">IF(C65=0,NA(),SUM(C$2:C65)/100000000)</f>
        <v>17127.946972000002</v>
      </c>
      <c r="F65" s="21">
        <f t="shared" ca="1" si="0"/>
        <v>4222.0872980000022</v>
      </c>
    </row>
    <row r="66" spans="1:6">
      <c r="A66" s="51">
        <v>0.44027777777778099</v>
      </c>
      <c r="B66" s="21">
        <f>沪市成交情况!B68+深市成交情况!B68</f>
        <v>6718204100</v>
      </c>
      <c r="C66" s="21">
        <f ca="1">IF(沪深两市成交分析!$E$7&lt;&gt;TODAY(),沪市成交情况!D68+深市成交情况!D68,IF(NOW()-TODAY()-A66&gt;0.0007,沪市成交情况!D68+深市成交情况!D68,0))</f>
        <v>31538712500</v>
      </c>
      <c r="D66" s="21">
        <f>SUM(B$2:B66)/100000000</f>
        <v>12973.041714999999</v>
      </c>
      <c r="E66" s="21">
        <f ca="1">IF(C66=0,NA(),SUM(C$2:C66)/100000000)</f>
        <v>17443.334096999999</v>
      </c>
      <c r="F66" s="21">
        <f t="shared" ca="1" si="0"/>
        <v>4470.2923819999996</v>
      </c>
    </row>
    <row r="67" spans="1:6">
      <c r="A67" s="51">
        <v>0.44097222222222598</v>
      </c>
      <c r="B67" s="21">
        <f>沪市成交情况!B69+深市成交情况!B69</f>
        <v>6405231200</v>
      </c>
      <c r="C67" s="21">
        <f ca="1">IF(沪深两市成交分析!$E$7&lt;&gt;TODAY(),沪市成交情况!D69+深市成交情况!D69,IF(NOW()-TODAY()-A67&gt;0.0007,沪市成交情况!D69+深市成交情况!D69,0))</f>
        <v>37699446200</v>
      </c>
      <c r="D67" s="21">
        <f>SUM(B$2:B67)/100000000</f>
        <v>13037.094026999999</v>
      </c>
      <c r="E67" s="21">
        <f ca="1">IF(C67=0,NA(),SUM(C$2:C67)/100000000)</f>
        <v>17820.328559000001</v>
      </c>
      <c r="F67" s="21">
        <f t="shared" ref="F67:F130" ca="1" si="1">IF(C67=0,0,E67-D67)</f>
        <v>4783.2345320000022</v>
      </c>
    </row>
    <row r="68" spans="1:6">
      <c r="A68" s="51">
        <v>0.44166666666666998</v>
      </c>
      <c r="B68" s="21">
        <f>沪市成交情况!B70+深市成交情况!B70</f>
        <v>6213713100</v>
      </c>
      <c r="C68" s="21">
        <f ca="1">IF(沪深两市成交分析!$E$7&lt;&gt;TODAY(),沪市成交情况!D70+深市成交情况!D70,IF(NOW()-TODAY()-A68&gt;0.0007,沪市成交情况!D70+深市成交情况!D70,0))</f>
        <v>39740486300</v>
      </c>
      <c r="D68" s="21">
        <f>SUM(B$2:B68)/100000000</f>
        <v>13099.231158000001</v>
      </c>
      <c r="E68" s="21">
        <f ca="1">IF(C68=0,NA(),SUM(C$2:C68)/100000000)</f>
        <v>18217.733422000001</v>
      </c>
      <c r="F68" s="21">
        <f t="shared" ca="1" si="1"/>
        <v>5118.5022640000007</v>
      </c>
    </row>
    <row r="69" spans="1:6">
      <c r="A69" s="51">
        <v>0.44236111111111498</v>
      </c>
      <c r="B69" s="21">
        <f>沪市成交情况!B71+深市成交情况!B71</f>
        <v>6444768900</v>
      </c>
      <c r="C69" s="21">
        <f ca="1">IF(沪深两市成交分析!$E$7&lt;&gt;TODAY(),沪市成交情况!D71+深市成交情况!D71,IF(NOW()-TODAY()-A69&gt;0.0007,沪市成交情况!D71+深市成交情况!D71,0))</f>
        <v>44240099800</v>
      </c>
      <c r="D69" s="21">
        <f>SUM(B$2:B69)/100000000</f>
        <v>13163.678846999999</v>
      </c>
      <c r="E69" s="21">
        <f ca="1">IF(C69=0,NA(),SUM(C$2:C69)/100000000)</f>
        <v>18660.134419999998</v>
      </c>
      <c r="F69" s="21">
        <f t="shared" ca="1" si="1"/>
        <v>5496.4555729999993</v>
      </c>
    </row>
    <row r="70" spans="1:6">
      <c r="A70" s="51">
        <v>0.44305555555555898</v>
      </c>
      <c r="B70" s="21">
        <f>沪市成交情况!B72+深市成交情况!B72</f>
        <v>6200490800</v>
      </c>
      <c r="C70" s="21">
        <f ca="1">IF(沪深两市成交分析!$E$7&lt;&gt;TODAY(),沪市成交情况!D72+深市成交情况!D72,IF(NOW()-TODAY()-A70&gt;0.0007,沪市成交情况!D72+深市成交情况!D72,0))</f>
        <v>38909865500</v>
      </c>
      <c r="D70" s="21">
        <f>SUM(B$2:B70)/100000000</f>
        <v>13225.683755</v>
      </c>
      <c r="E70" s="21">
        <f ca="1">IF(C70=0,NA(),SUM(C$2:C70)/100000000)</f>
        <v>19049.233075</v>
      </c>
      <c r="F70" s="21">
        <f t="shared" ca="1" si="1"/>
        <v>5823.5493200000001</v>
      </c>
    </row>
    <row r="71" spans="1:6">
      <c r="A71" s="51">
        <v>0.44375000000000397</v>
      </c>
      <c r="B71" s="21">
        <f>沪市成交情况!B73+深市成交情况!B73</f>
        <v>5519933500</v>
      </c>
      <c r="C71" s="21">
        <f ca="1">IF(沪深两市成交分析!$E$7&lt;&gt;TODAY(),沪市成交情况!D73+深市成交情况!D73,IF(NOW()-TODAY()-A71&gt;0.0007,沪市成交情况!D73+深市成交情况!D73,0))</f>
        <v>35300298400</v>
      </c>
      <c r="D71" s="21">
        <f>SUM(B$2:B71)/100000000</f>
        <v>13280.883089999999</v>
      </c>
      <c r="E71" s="21">
        <f ca="1">IF(C71=0,NA(),SUM(C$2:C71)/100000000)</f>
        <v>19402.236058999999</v>
      </c>
      <c r="F71" s="21">
        <f t="shared" ca="1" si="1"/>
        <v>6121.3529689999996</v>
      </c>
    </row>
    <row r="72" spans="1:6">
      <c r="A72" s="51">
        <v>0.44444444444444797</v>
      </c>
      <c r="B72" s="21">
        <f>沪市成交情况!B74+深市成交情况!B74</f>
        <v>6832039200</v>
      </c>
      <c r="C72" s="21">
        <f ca="1">IF(沪深两市成交分析!$E$7&lt;&gt;TODAY(),沪市成交情况!D74+深市成交情况!D74,IF(NOW()-TODAY()-A72&gt;0.0007,沪市成交情况!D74+深市成交情况!D74,0))</f>
        <v>30841640200</v>
      </c>
      <c r="D72" s="21">
        <f>SUM(B$2:B72)/100000000</f>
        <v>13349.203482000001</v>
      </c>
      <c r="E72" s="21">
        <f ca="1">IF(C72=0,NA(),SUM(C$2:C72)/100000000)</f>
        <v>19710.652461000001</v>
      </c>
      <c r="F72" s="21">
        <f t="shared" ca="1" si="1"/>
        <v>6361.4489790000007</v>
      </c>
    </row>
    <row r="73" spans="1:6">
      <c r="A73" s="51">
        <v>0.44513888888889303</v>
      </c>
      <c r="B73" s="21">
        <f>沪市成交情况!B75+深市成交情况!B75</f>
        <v>7289647500</v>
      </c>
      <c r="C73" s="21">
        <f ca="1">IF(沪深两市成交分析!$E$7&lt;&gt;TODAY(),沪市成交情况!D75+深市成交情况!D75,IF(NOW()-TODAY()-A73&gt;0.0007,沪市成交情况!D75+深市成交情况!D75,0))</f>
        <v>26164031500</v>
      </c>
      <c r="D73" s="21">
        <f>SUM(B$2:B73)/100000000</f>
        <v>13422.099957</v>
      </c>
      <c r="E73" s="21">
        <f ca="1">IF(C73=0,NA(),SUM(C$2:C73)/100000000)</f>
        <v>19972.292775999998</v>
      </c>
      <c r="F73" s="21">
        <f t="shared" ca="1" si="1"/>
        <v>6550.1928189999981</v>
      </c>
    </row>
    <row r="74" spans="1:6">
      <c r="A74" s="51">
        <v>0.44583333333333702</v>
      </c>
      <c r="B74" s="21">
        <f>沪市成交情况!B76+深市成交情况!B76</f>
        <v>7656488500</v>
      </c>
      <c r="C74" s="21">
        <f ca="1">IF(沪深两市成交分析!$E$7&lt;&gt;TODAY(),沪市成交情况!D76+深市成交情况!D76,IF(NOW()-TODAY()-A74&gt;0.0007,沪市成交情况!D76+深市成交情况!D76,0))</f>
        <v>24131864600</v>
      </c>
      <c r="D74" s="21">
        <f>SUM(B$2:B74)/100000000</f>
        <v>13498.664842</v>
      </c>
      <c r="E74" s="21">
        <f ca="1">IF(C74=0,NA(),SUM(C$2:C74)/100000000)</f>
        <v>20213.611422000002</v>
      </c>
      <c r="F74" s="21">
        <f t="shared" ca="1" si="1"/>
        <v>6714.9465800000016</v>
      </c>
    </row>
    <row r="75" spans="1:6">
      <c r="A75" s="51">
        <v>0.44652777777778202</v>
      </c>
      <c r="B75" s="21">
        <f>沪市成交情况!B77+深市成交情况!B77</f>
        <v>7321578600</v>
      </c>
      <c r="C75" s="21">
        <f ca="1">IF(沪深两市成交分析!$E$7&lt;&gt;TODAY(),沪市成交情况!D77+深市成交情况!D77,IF(NOW()-TODAY()-A75&gt;0.0007,沪市成交情况!D77+深市成交情况!D77,0))</f>
        <v>20921570000</v>
      </c>
      <c r="D75" s="21">
        <f>SUM(B$2:B75)/100000000</f>
        <v>13571.880628000001</v>
      </c>
      <c r="E75" s="21">
        <f ca="1">IF(C75=0,NA(),SUM(C$2:C75)/100000000)</f>
        <v>20422.827121999999</v>
      </c>
      <c r="F75" s="21">
        <f t="shared" ca="1" si="1"/>
        <v>6850.946493999998</v>
      </c>
    </row>
    <row r="76" spans="1:6">
      <c r="A76" s="51">
        <v>0.44722222222222602</v>
      </c>
      <c r="B76" s="21">
        <f>沪市成交情况!B78+深市成交情况!B78</f>
        <v>6914505400</v>
      </c>
      <c r="C76" s="21">
        <f ca="1">IF(沪深两市成交分析!$E$7&lt;&gt;TODAY(),沪市成交情况!D78+深市成交情况!D78,IF(NOW()-TODAY()-A76&gt;0.0007,沪市成交情况!D78+深市成交情况!D78,0))</f>
        <v>18496762300</v>
      </c>
      <c r="D76" s="21">
        <f>SUM(B$2:B76)/100000000</f>
        <v>13641.025682</v>
      </c>
      <c r="E76" s="21">
        <f ca="1">IF(C76=0,NA(),SUM(C$2:C76)/100000000)</f>
        <v>20607.794744999999</v>
      </c>
      <c r="F76" s="21">
        <f t="shared" ca="1" si="1"/>
        <v>6966.7690629999997</v>
      </c>
    </row>
    <row r="77" spans="1:6">
      <c r="A77" s="51">
        <v>0.44791666666667102</v>
      </c>
      <c r="B77" s="21">
        <f>沪市成交情况!B79+深市成交情况!B79</f>
        <v>7114110600</v>
      </c>
      <c r="C77" s="21">
        <f ca="1">IF(沪深两市成交分析!$E$7&lt;&gt;TODAY(),沪市成交情况!D79+深市成交情况!D79,IF(NOW()-TODAY()-A77&gt;0.0007,沪市成交情况!D79+深市成交情况!D79,0))</f>
        <v>16812661500</v>
      </c>
      <c r="D77" s="21">
        <f>SUM(B$2:B77)/100000000</f>
        <v>13712.166788</v>
      </c>
      <c r="E77" s="21">
        <f ca="1">IF(C77=0,NA(),SUM(C$2:C77)/100000000)</f>
        <v>20775.92136</v>
      </c>
      <c r="F77" s="21">
        <f t="shared" ca="1" si="1"/>
        <v>7063.7545719999998</v>
      </c>
    </row>
    <row r="78" spans="1:6">
      <c r="A78" s="51">
        <v>0.44861111111111501</v>
      </c>
      <c r="B78" s="21">
        <f>沪市成交情况!B80+深市成交情况!B80</f>
        <v>8175012600</v>
      </c>
      <c r="C78" s="21">
        <f ca="1">IF(沪深两市成交分析!$E$7&lt;&gt;TODAY(),沪市成交情况!D80+深市成交情况!D80,IF(NOW()-TODAY()-A78&gt;0.0007,沪市成交情况!D80+深市成交情况!D80,0))</f>
        <v>14909144000</v>
      </c>
      <c r="D78" s="21">
        <f>SUM(B$2:B78)/100000000</f>
        <v>13793.916913999999</v>
      </c>
      <c r="E78" s="21">
        <f ca="1">IF(C78=0,NA(),SUM(C$2:C78)/100000000)</f>
        <v>20925.0128</v>
      </c>
      <c r="F78" s="21">
        <f t="shared" ca="1" si="1"/>
        <v>7131.095886000001</v>
      </c>
    </row>
    <row r="79" spans="1:6">
      <c r="A79" s="51">
        <v>0.44930555555556001</v>
      </c>
      <c r="B79" s="21">
        <f>沪市成交情况!B81+深市成交情况!B81</f>
        <v>8878470100</v>
      </c>
      <c r="C79" s="21">
        <f ca="1">IF(沪深两市成交分析!$E$7&lt;&gt;TODAY(),沪市成交情况!D81+深市成交情况!D81,IF(NOW()-TODAY()-A79&gt;0.0007,沪市成交情况!D81+深市成交情况!D81,0))</f>
        <v>12262611200</v>
      </c>
      <c r="D79" s="21">
        <f>SUM(B$2:B79)/100000000</f>
        <v>13882.701615</v>
      </c>
      <c r="E79" s="21">
        <f ca="1">IF(C79=0,NA(),SUM(C$2:C79)/100000000)</f>
        <v>21047.638911999999</v>
      </c>
      <c r="F79" s="21">
        <f t="shared" ca="1" si="1"/>
        <v>7164.9372969999986</v>
      </c>
    </row>
    <row r="80" spans="1:6">
      <c r="A80" s="51">
        <v>0.45000000000000401</v>
      </c>
      <c r="B80" s="21">
        <f>沪市成交情况!B82+深市成交情况!B82</f>
        <v>8967003600</v>
      </c>
      <c r="C80" s="21">
        <f ca="1">IF(沪深两市成交分析!$E$7&lt;&gt;TODAY(),沪市成交情况!D82+深市成交情况!D82,IF(NOW()-TODAY()-A80&gt;0.0007,沪市成交情况!D82+深市成交情况!D82,0))</f>
        <v>11612498300</v>
      </c>
      <c r="D80" s="21">
        <f>SUM(B$2:B80)/100000000</f>
        <v>13972.371650999999</v>
      </c>
      <c r="E80" s="21">
        <f ca="1">IF(C80=0,NA(),SUM(C$2:C80)/100000000)</f>
        <v>21163.763895</v>
      </c>
      <c r="F80" s="21">
        <f t="shared" ca="1" si="1"/>
        <v>7191.3922440000006</v>
      </c>
    </row>
    <row r="81" spans="1:6">
      <c r="A81" s="51">
        <v>0.450694444444449</v>
      </c>
      <c r="B81" s="21">
        <f>沪市成交情况!B83+深市成交情况!B83</f>
        <v>8083191000</v>
      </c>
      <c r="C81" s="21">
        <f ca="1">IF(沪深两市成交分析!$E$7&lt;&gt;TODAY(),沪市成交情况!D83+深市成交情况!D83,IF(NOW()-TODAY()-A81&gt;0.0007,沪市成交情况!D83+深市成交情况!D83,0))</f>
        <v>11043039300</v>
      </c>
      <c r="D81" s="21">
        <f>SUM(B$2:B81)/100000000</f>
        <v>14053.203561</v>
      </c>
      <c r="E81" s="21">
        <f ca="1">IF(C81=0,NA(),SUM(C$2:C81)/100000000)</f>
        <v>21274.194287999999</v>
      </c>
      <c r="F81" s="21">
        <f t="shared" ca="1" si="1"/>
        <v>7220.9907269999985</v>
      </c>
    </row>
    <row r="82" spans="1:6">
      <c r="A82" s="51">
        <v>0.451388888888893</v>
      </c>
      <c r="B82" s="21">
        <f>沪市成交情况!B84+深市成交情况!B84</f>
        <v>8252157800</v>
      </c>
      <c r="C82" s="21">
        <f ca="1">IF(沪深两市成交分析!$E$7&lt;&gt;TODAY(),沪市成交情况!D84+深市成交情况!D84,IF(NOW()-TODAY()-A82&gt;0.0007,沪市成交情况!D84+深市成交情况!D84,0))</f>
        <v>11293549700</v>
      </c>
      <c r="D82" s="21">
        <f>SUM(B$2:B82)/100000000</f>
        <v>14135.725139</v>
      </c>
      <c r="E82" s="21">
        <f ca="1">IF(C82=0,NA(),SUM(C$2:C82)/100000000)</f>
        <v>21387.129785000001</v>
      </c>
      <c r="F82" s="21">
        <f t="shared" ca="1" si="1"/>
        <v>7251.4046460000009</v>
      </c>
    </row>
    <row r="83" spans="1:6">
      <c r="A83" s="51">
        <v>0.452083333333338</v>
      </c>
      <c r="B83" s="21">
        <f>沪市成交情况!B85+深市成交情况!B85</f>
        <v>8088871800</v>
      </c>
      <c r="C83" s="21">
        <f ca="1">IF(沪深两市成交分析!$E$7&lt;&gt;TODAY(),沪市成交情况!D85+深市成交情况!D85,IF(NOW()-TODAY()-A83&gt;0.0007,沪市成交情况!D85+深市成交情况!D85,0))</f>
        <v>12309567700</v>
      </c>
      <c r="D83" s="21">
        <f>SUM(B$2:B83)/100000000</f>
        <v>14216.613857</v>
      </c>
      <c r="E83" s="21">
        <f ca="1">IF(C83=0,NA(),SUM(C$2:C83)/100000000)</f>
        <v>21510.225461999999</v>
      </c>
      <c r="F83" s="21">
        <f t="shared" ca="1" si="1"/>
        <v>7293.6116049999982</v>
      </c>
    </row>
    <row r="84" spans="1:6">
      <c r="A84" s="51">
        <v>0.452777777777782</v>
      </c>
      <c r="B84" s="21">
        <f>沪市成交情况!B86+深市成交情况!B86</f>
        <v>8717280700</v>
      </c>
      <c r="C84" s="21">
        <f ca="1">IF(沪深两市成交分析!$E$7&lt;&gt;TODAY(),沪市成交情况!D86+深市成交情况!D86,IF(NOW()-TODAY()-A84&gt;0.0007,沪市成交情况!D86+深市成交情况!D86,0))</f>
        <v>10844550900</v>
      </c>
      <c r="D84" s="21">
        <f>SUM(B$2:B84)/100000000</f>
        <v>14303.786663999999</v>
      </c>
      <c r="E84" s="21">
        <f ca="1">IF(C84=0,NA(),SUM(C$2:C84)/100000000)</f>
        <v>21618.670971</v>
      </c>
      <c r="F84" s="21">
        <f t="shared" ca="1" si="1"/>
        <v>7314.8843070000003</v>
      </c>
    </row>
    <row r="85" spans="1:6">
      <c r="A85" s="51">
        <v>0.45347222222222699</v>
      </c>
      <c r="B85" s="21">
        <f>沪市成交情况!B87+深市成交情况!B87</f>
        <v>9058098200</v>
      </c>
      <c r="C85" s="21">
        <f ca="1">IF(沪深两市成交分析!$E$7&lt;&gt;TODAY(),沪市成交情况!D87+深市成交情况!D87,IF(NOW()-TODAY()-A85&gt;0.0007,沪市成交情况!D87+深市成交情况!D87,0))</f>
        <v>9724379000</v>
      </c>
      <c r="D85" s="21">
        <f>SUM(B$2:B85)/100000000</f>
        <v>14394.367646000001</v>
      </c>
      <c r="E85" s="21">
        <f ca="1">IF(C85=0,NA(),SUM(C$2:C85)/100000000)</f>
        <v>21715.914761</v>
      </c>
      <c r="F85" s="21">
        <f t="shared" ca="1" si="1"/>
        <v>7321.5471149999994</v>
      </c>
    </row>
    <row r="86" spans="1:6">
      <c r="A86" s="51">
        <v>0.45416666666667099</v>
      </c>
      <c r="B86" s="21">
        <f>沪市成交情况!B88+深市成交情况!B88</f>
        <v>8985782800</v>
      </c>
      <c r="C86" s="21">
        <f ca="1">IF(沪深两市成交分析!$E$7&lt;&gt;TODAY(),沪市成交情况!D88+深市成交情况!D88,IF(NOW()-TODAY()-A86&gt;0.0007,沪市成交情况!D88+深市成交情况!D88,0))</f>
        <v>10483991400</v>
      </c>
      <c r="D86" s="21">
        <f>SUM(B$2:B86)/100000000</f>
        <v>14484.225474000001</v>
      </c>
      <c r="E86" s="21">
        <f ca="1">IF(C86=0,NA(),SUM(C$2:C86)/100000000)</f>
        <v>21820.754675</v>
      </c>
      <c r="F86" s="21">
        <f t="shared" ca="1" si="1"/>
        <v>7336.5292009999994</v>
      </c>
    </row>
    <row r="87" spans="1:6">
      <c r="A87" s="51">
        <v>0.45486111111111599</v>
      </c>
      <c r="B87" s="21">
        <f>沪市成交情况!B89+深市成交情况!B89</f>
        <v>8705107000</v>
      </c>
      <c r="C87" s="21">
        <f ca="1">IF(沪深两市成交分析!$E$7&lt;&gt;TODAY(),沪市成交情况!D89+深市成交情况!D89,IF(NOW()-TODAY()-A87&gt;0.0007,沪市成交情况!D89+深市成交情况!D89,0))</f>
        <v>9365683700</v>
      </c>
      <c r="D87" s="21">
        <f>SUM(B$2:B87)/100000000</f>
        <v>14571.276544</v>
      </c>
      <c r="E87" s="21">
        <f ca="1">IF(C87=0,NA(),SUM(C$2:C87)/100000000)</f>
        <v>21914.411511999999</v>
      </c>
      <c r="F87" s="21">
        <f t="shared" ca="1" si="1"/>
        <v>7343.1349679999985</v>
      </c>
    </row>
    <row r="88" spans="1:6">
      <c r="A88" s="51">
        <v>0.45555555555555999</v>
      </c>
      <c r="B88" s="21">
        <f>沪市成交情况!B90+深市成交情况!B90</f>
        <v>8340443400</v>
      </c>
      <c r="C88" s="21">
        <f ca="1">IF(沪深两市成交分析!$E$7&lt;&gt;TODAY(),沪市成交情况!D90+深市成交情况!D90,IF(NOW()-TODAY()-A88&gt;0.0007,沪市成交情况!D90+深市成交情况!D90,0))</f>
        <v>8260997700</v>
      </c>
      <c r="D88" s="21">
        <f>SUM(B$2:B88)/100000000</f>
        <v>14654.680978</v>
      </c>
      <c r="E88" s="21">
        <f ca="1">IF(C88=0,NA(),SUM(C$2:C88)/100000000)</f>
        <v>21997.021488999999</v>
      </c>
      <c r="F88" s="21">
        <f t="shared" ca="1" si="1"/>
        <v>7342.3405109999985</v>
      </c>
    </row>
    <row r="89" spans="1:6">
      <c r="A89" s="51">
        <v>0.45625000000000498</v>
      </c>
      <c r="B89" s="21">
        <f>沪市成交情况!B91+深市成交情况!B91</f>
        <v>8129073900</v>
      </c>
      <c r="C89" s="21">
        <f ca="1">IF(沪深两市成交分析!$E$7&lt;&gt;TODAY(),沪市成交情况!D91+深市成交情况!D91,IF(NOW()-TODAY()-A89&gt;0.0007,沪市成交情况!D91+深市成交情况!D91,0))</f>
        <v>8149938900</v>
      </c>
      <c r="D89" s="21">
        <f>SUM(B$2:B89)/100000000</f>
        <v>14735.971717</v>
      </c>
      <c r="E89" s="21">
        <f ca="1">IF(C89=0,NA(),SUM(C$2:C89)/100000000)</f>
        <v>22078.520877999999</v>
      </c>
      <c r="F89" s="21">
        <f t="shared" ca="1" si="1"/>
        <v>7342.549160999999</v>
      </c>
    </row>
    <row r="90" spans="1:6">
      <c r="A90" s="51">
        <v>0.45694444444444898</v>
      </c>
      <c r="B90" s="21">
        <f>沪市成交情况!B92+深市成交情况!B92</f>
        <v>7856120100</v>
      </c>
      <c r="C90" s="21">
        <f ca="1">IF(沪深两市成交分析!$E$7&lt;&gt;TODAY(),沪市成交情况!D92+深市成交情况!D92,IF(NOW()-TODAY()-A90&gt;0.0007,沪市成交情况!D92+深市成交情况!D92,0))</f>
        <v>7512232100</v>
      </c>
      <c r="D90" s="21">
        <f>SUM(B$2:B90)/100000000</f>
        <v>14814.532918000001</v>
      </c>
      <c r="E90" s="21">
        <f ca="1">IF(C90=0,NA(),SUM(C$2:C90)/100000000)</f>
        <v>22153.643198999998</v>
      </c>
      <c r="F90" s="21">
        <f t="shared" ca="1" si="1"/>
        <v>7339.1102809999975</v>
      </c>
    </row>
    <row r="91" spans="1:6">
      <c r="A91" s="51">
        <v>0.45763888888889398</v>
      </c>
      <c r="B91" s="21">
        <f>沪市成交情况!B93+深市成交情况!B93</f>
        <v>7962917900</v>
      </c>
      <c r="C91" s="21">
        <f ca="1">IF(沪深两市成交分析!$E$7&lt;&gt;TODAY(),沪市成交情况!D93+深市成交情况!D93,IF(NOW()-TODAY()-A91&gt;0.0007,沪市成交情况!D93+深市成交情况!D93,0))</f>
        <v>8335918000</v>
      </c>
      <c r="D91" s="21">
        <f>SUM(B$2:B91)/100000000</f>
        <v>14894.162097</v>
      </c>
      <c r="E91" s="21">
        <f ca="1">IF(C91=0,NA(),SUM(C$2:C91)/100000000)</f>
        <v>22237.002379000001</v>
      </c>
      <c r="F91" s="21">
        <f t="shared" ca="1" si="1"/>
        <v>7342.840282000001</v>
      </c>
    </row>
    <row r="92" spans="1:6">
      <c r="A92" s="51">
        <v>0.45833333333333798</v>
      </c>
      <c r="B92" s="21">
        <f>沪市成交情况!B94+深市成交情况!B94</f>
        <v>8573712000</v>
      </c>
      <c r="C92" s="21">
        <f ca="1">IF(沪深两市成交分析!$E$7&lt;&gt;TODAY(),沪市成交情况!D94+深市成交情况!D94,IF(NOW()-TODAY()-A92&gt;0.0007,沪市成交情况!D94+深市成交情况!D94,0))</f>
        <v>9109364900</v>
      </c>
      <c r="D92" s="21">
        <f>SUM(B$2:B92)/100000000</f>
        <v>14979.899217</v>
      </c>
      <c r="E92" s="21">
        <f ca="1">IF(C92=0,NA(),SUM(C$2:C92)/100000000)</f>
        <v>22328.096028</v>
      </c>
      <c r="F92" s="21">
        <f t="shared" ca="1" si="1"/>
        <v>7348.1968109999998</v>
      </c>
    </row>
    <row r="93" spans="1:6">
      <c r="A93" s="51">
        <v>0.45902777777778297</v>
      </c>
      <c r="B93" s="21">
        <f>沪市成交情况!B95+深市成交情况!B95</f>
        <v>9555683900</v>
      </c>
      <c r="C93" s="21">
        <f ca="1">IF(沪深两市成交分析!$E$7&lt;&gt;TODAY(),沪市成交情况!D95+深市成交情况!D95,IF(NOW()-TODAY()-A93&gt;0.0007,沪市成交情况!D95+深市成交情况!D95,0))</f>
        <v>9578681900</v>
      </c>
      <c r="D93" s="21">
        <f>SUM(B$2:B93)/100000000</f>
        <v>15075.456056000001</v>
      </c>
      <c r="E93" s="21">
        <f ca="1">IF(C93=0,NA(),SUM(C$2:C93)/100000000)</f>
        <v>22423.882847000001</v>
      </c>
      <c r="F93" s="21">
        <f t="shared" ca="1" si="1"/>
        <v>7348.4267909999999</v>
      </c>
    </row>
    <row r="94" spans="1:6">
      <c r="A94" s="51">
        <v>0.45972222222222697</v>
      </c>
      <c r="B94" s="21">
        <f>沪市成交情况!B96+深市成交情况!B96</f>
        <v>7531791300</v>
      </c>
      <c r="C94" s="21">
        <f ca="1">IF(沪深两市成交分析!$E$7&lt;&gt;TODAY(),沪市成交情况!D96+深市成交情况!D96,IF(NOW()-TODAY()-A94&gt;0.0007,沪市成交情况!D96+深市成交情况!D96,0))</f>
        <v>8861801100</v>
      </c>
      <c r="D94" s="21">
        <f>SUM(B$2:B94)/100000000</f>
        <v>15150.773969</v>
      </c>
      <c r="E94" s="21">
        <f ca="1">IF(C94=0,NA(),SUM(C$2:C94)/100000000)</f>
        <v>22512.500857999999</v>
      </c>
      <c r="F94" s="21">
        <f t="shared" ca="1" si="1"/>
        <v>7361.7268889999996</v>
      </c>
    </row>
    <row r="95" spans="1:6">
      <c r="A95" s="51">
        <v>0.46041666666667203</v>
      </c>
      <c r="B95" s="21">
        <f>沪市成交情况!B97+深市成交情况!B97</f>
        <v>6947828300</v>
      </c>
      <c r="C95" s="21">
        <f ca="1">IF(沪深两市成交分析!$E$7&lt;&gt;TODAY(),沪市成交情况!D97+深市成交情况!D97,IF(NOW()-TODAY()-A95&gt;0.0007,沪市成交情况!D97+深市成交情况!D97,0))</f>
        <v>9438300300</v>
      </c>
      <c r="D95" s="21">
        <f>SUM(B$2:B95)/100000000</f>
        <v>15220.252252</v>
      </c>
      <c r="E95" s="21">
        <f ca="1">IF(C95=0,NA(),SUM(C$2:C95)/100000000)</f>
        <v>22606.883860999998</v>
      </c>
      <c r="F95" s="21">
        <f t="shared" ca="1" si="1"/>
        <v>7386.6316089999982</v>
      </c>
    </row>
    <row r="96" spans="1:6">
      <c r="A96" s="51">
        <v>0.46111111111111602</v>
      </c>
      <c r="B96" s="21">
        <f>沪市成交情况!B98+深市成交情况!B98</f>
        <v>7549427600</v>
      </c>
      <c r="C96" s="21">
        <f ca="1">IF(沪深两市成交分析!$E$7&lt;&gt;TODAY(),沪市成交情况!D98+深市成交情况!D98,IF(NOW()-TODAY()-A96&gt;0.0007,沪市成交情况!D98+深市成交情况!D98,0))</f>
        <v>9164560000</v>
      </c>
      <c r="D96" s="21">
        <f>SUM(B$2:B96)/100000000</f>
        <v>15295.746528</v>
      </c>
      <c r="E96" s="21">
        <f ca="1">IF(C96=0,NA(),SUM(C$2:C96)/100000000)</f>
        <v>22698.529460999998</v>
      </c>
      <c r="F96" s="21">
        <f t="shared" ca="1" si="1"/>
        <v>7402.7829329999986</v>
      </c>
    </row>
    <row r="97" spans="1:6">
      <c r="A97" s="51">
        <v>0.46180555555556102</v>
      </c>
      <c r="B97" s="21">
        <f>沪市成交情况!B99+深市成交情况!B99</f>
        <v>7472357300</v>
      </c>
      <c r="C97" s="21">
        <f ca="1">IF(沪深两市成交分析!$E$7&lt;&gt;TODAY(),沪市成交情况!D99+深市成交情况!D99,IF(NOW()-TODAY()-A97&gt;0.0007,沪市成交情况!D99+深市成交情况!D99,0))</f>
        <v>10195027100</v>
      </c>
      <c r="D97" s="21">
        <f>SUM(B$2:B97)/100000000</f>
        <v>15370.470101000001</v>
      </c>
      <c r="E97" s="21">
        <f ca="1">IF(C97=0,NA(),SUM(C$2:C97)/100000000)</f>
        <v>22800.479732</v>
      </c>
      <c r="F97" s="21">
        <f t="shared" ca="1" si="1"/>
        <v>7430.009630999999</v>
      </c>
    </row>
    <row r="98" spans="1:6">
      <c r="A98" s="51">
        <v>0.46250000000000502</v>
      </c>
      <c r="B98" s="21">
        <f>沪市成交情况!B100+深市成交情况!B100</f>
        <v>7871793500</v>
      </c>
      <c r="C98" s="21">
        <f ca="1">IF(沪深两市成交分析!$E$7&lt;&gt;TODAY(),沪市成交情况!D100+深市成交情况!D100,IF(NOW()-TODAY()-A98&gt;0.0007,沪市成交情况!D100+深市成交情况!D100,0))</f>
        <v>10645960300</v>
      </c>
      <c r="D98" s="21">
        <f>SUM(B$2:B98)/100000000</f>
        <v>15449.188036</v>
      </c>
      <c r="E98" s="21">
        <f ca="1">IF(C98=0,NA(),SUM(C$2:C98)/100000000)</f>
        <v>22906.939334999999</v>
      </c>
      <c r="F98" s="21">
        <f t="shared" ca="1" si="1"/>
        <v>7457.7512989999996</v>
      </c>
    </row>
    <row r="99" spans="1:6">
      <c r="A99" s="51">
        <v>0.46319444444445002</v>
      </c>
      <c r="B99" s="21">
        <f>沪市成交情况!B101+深市成交情况!B101</f>
        <v>6200104300</v>
      </c>
      <c r="C99" s="21">
        <f ca="1">IF(沪深两市成交分析!$E$7&lt;&gt;TODAY(),沪市成交情况!D101+深市成交情况!D101,IF(NOW()-TODAY()-A99&gt;0.0007,沪市成交情况!D101+深市成交情况!D101,0))</f>
        <v>10479248000</v>
      </c>
      <c r="D99" s="21">
        <f>SUM(B$2:B99)/100000000</f>
        <v>15511.189079</v>
      </c>
      <c r="E99" s="21">
        <f ca="1">IF(C99=0,NA(),SUM(C$2:C99)/100000000)</f>
        <v>23011.731814999999</v>
      </c>
      <c r="F99" s="21">
        <f t="shared" ca="1" si="1"/>
        <v>7500.5427359999994</v>
      </c>
    </row>
    <row r="100" spans="1:6">
      <c r="A100" s="51">
        <v>0.46388888888889401</v>
      </c>
      <c r="B100" s="21">
        <f>沪市成交情况!B102+深市成交情况!B102</f>
        <v>6597797500</v>
      </c>
      <c r="C100" s="21">
        <f ca="1">IF(沪深两市成交分析!$E$7&lt;&gt;TODAY(),沪市成交情况!D102+深市成交情况!D102,IF(NOW()-TODAY()-A100&gt;0.0007,沪市成交情况!D102+深市成交情况!D102,0))</f>
        <v>11102776200</v>
      </c>
      <c r="D100" s="21">
        <f>SUM(B$2:B100)/100000000</f>
        <v>15577.167054</v>
      </c>
      <c r="E100" s="21">
        <f ca="1">IF(C100=0,NA(),SUM(C$2:C100)/100000000)</f>
        <v>23122.759577000001</v>
      </c>
      <c r="F100" s="21">
        <f t="shared" ca="1" si="1"/>
        <v>7545.5925230000012</v>
      </c>
    </row>
    <row r="101" spans="1:6">
      <c r="A101" s="51">
        <v>0.46458333333333901</v>
      </c>
      <c r="B101" s="21">
        <f>沪市成交情况!B103+深市成交情况!B103</f>
        <v>5164602500</v>
      </c>
      <c r="C101" s="21">
        <f ca="1">IF(沪深两市成交分析!$E$7&lt;&gt;TODAY(),沪市成交情况!D103+深市成交情况!D103,IF(NOW()-TODAY()-A101&gt;0.0007,沪市成交情况!D103+深市成交情况!D103,0))</f>
        <v>9947701100</v>
      </c>
      <c r="D101" s="21">
        <f>SUM(B$2:B101)/100000000</f>
        <v>15628.813079</v>
      </c>
      <c r="E101" s="21">
        <f ca="1">IF(C101=0,NA(),SUM(C$2:C101)/100000000)</f>
        <v>23222.236588</v>
      </c>
      <c r="F101" s="21">
        <f t="shared" ca="1" si="1"/>
        <v>7593.4235090000002</v>
      </c>
    </row>
    <row r="102" spans="1:6">
      <c r="A102" s="51">
        <v>0.46527777777778301</v>
      </c>
      <c r="B102" s="21">
        <f>沪市成交情况!B104+深市成交情况!B104</f>
        <v>4601917900</v>
      </c>
      <c r="C102" s="21">
        <f ca="1">IF(沪深两市成交分析!$E$7&lt;&gt;TODAY(),沪市成交情况!D104+深市成交情况!D104,IF(NOW()-TODAY()-A102&gt;0.0007,沪市成交情况!D104+深市成交情况!D104,0))</f>
        <v>10757540500</v>
      </c>
      <c r="D102" s="21">
        <f>SUM(B$2:B102)/100000000</f>
        <v>15674.832258</v>
      </c>
      <c r="E102" s="21">
        <f ca="1">IF(C102=0,NA(),SUM(C$2:C102)/100000000)</f>
        <v>23329.811992999999</v>
      </c>
      <c r="F102" s="21">
        <f t="shared" ca="1" si="1"/>
        <v>7654.979734999999</v>
      </c>
    </row>
    <row r="103" spans="1:6">
      <c r="A103" s="51">
        <v>0.46597222222222801</v>
      </c>
      <c r="B103" s="21">
        <f>沪市成交情况!B105+深市成交情况!B105</f>
        <v>4433127300</v>
      </c>
      <c r="C103" s="21">
        <f ca="1">IF(沪深两市成交分析!$E$7&lt;&gt;TODAY(),沪市成交情况!D105+深市成交情况!D105,IF(NOW()-TODAY()-A103&gt;0.0007,沪市成交情况!D105+深市成交情况!D105,0))</f>
        <v>9046501600</v>
      </c>
      <c r="D103" s="21">
        <f>SUM(B$2:B103)/100000000</f>
        <v>15719.163531</v>
      </c>
      <c r="E103" s="21">
        <f ca="1">IF(C103=0,NA(),SUM(C$2:C103)/100000000)</f>
        <v>23420.277009000001</v>
      </c>
      <c r="F103" s="21">
        <f t="shared" ca="1" si="1"/>
        <v>7701.1134780000011</v>
      </c>
    </row>
    <row r="104" spans="1:6">
      <c r="A104" s="51">
        <v>0.466666666666672</v>
      </c>
      <c r="B104" s="21">
        <f>沪市成交情况!B106+深市成交情况!B106</f>
        <v>4515882600</v>
      </c>
      <c r="C104" s="21">
        <f ca="1">IF(沪深两市成交分析!$E$7&lt;&gt;TODAY(),沪市成交情况!D106+深市成交情况!D106,IF(NOW()-TODAY()-A104&gt;0.0007,沪市成交情况!D106+深市成交情况!D106,0))</f>
        <v>8471493100</v>
      </c>
      <c r="D104" s="21">
        <f>SUM(B$2:B104)/100000000</f>
        <v>15764.322356999999</v>
      </c>
      <c r="E104" s="21">
        <f ca="1">IF(C104=0,NA(),SUM(C$2:C104)/100000000)</f>
        <v>23504.99194</v>
      </c>
      <c r="F104" s="21">
        <f t="shared" ca="1" si="1"/>
        <v>7740.6695830000008</v>
      </c>
    </row>
    <row r="105" spans="1:6">
      <c r="A105" s="51">
        <v>0.467361111111117</v>
      </c>
      <c r="B105" s="21">
        <f>沪市成交情况!B107+深市成交情况!B107</f>
        <v>4409309000</v>
      </c>
      <c r="C105" s="21">
        <f ca="1">IF(沪深两市成交分析!$E$7&lt;&gt;TODAY(),沪市成交情况!D107+深市成交情况!D107,IF(NOW()-TODAY()-A105&gt;0.0007,沪市成交情况!D107+深市成交情况!D107,0))</f>
        <v>8601326000</v>
      </c>
      <c r="D105" s="21">
        <f>SUM(B$2:B105)/100000000</f>
        <v>15808.415446999999</v>
      </c>
      <c r="E105" s="21">
        <f ca="1">IF(C105=0,NA(),SUM(C$2:C105)/100000000)</f>
        <v>23591.0052</v>
      </c>
      <c r="F105" s="21">
        <f t="shared" ca="1" si="1"/>
        <v>7782.5897530000002</v>
      </c>
    </row>
    <row r="106" spans="1:6">
      <c r="A106" s="51">
        <v>0.468055555555561</v>
      </c>
      <c r="B106" s="21">
        <f>沪市成交情况!B108+深市成交情况!B108</f>
        <v>4312632000</v>
      </c>
      <c r="C106" s="21">
        <f ca="1">IF(沪深两市成交分析!$E$7&lt;&gt;TODAY(),沪市成交情况!D108+深市成交情况!D108,IF(NOW()-TODAY()-A106&gt;0.0007,沪市成交情况!D108+深市成交情况!D108,0))</f>
        <v>8611900700</v>
      </c>
      <c r="D106" s="21">
        <f>SUM(B$2:B106)/100000000</f>
        <v>15851.541767000001</v>
      </c>
      <c r="E106" s="21">
        <f ca="1">IF(C106=0,NA(),SUM(C$2:C106)/100000000)</f>
        <v>23677.124207000001</v>
      </c>
      <c r="F106" s="21">
        <f t="shared" ca="1" si="1"/>
        <v>7825.5824400000001</v>
      </c>
    </row>
    <row r="107" spans="1:6">
      <c r="A107" s="51">
        <v>0.468750000000005</v>
      </c>
      <c r="B107" s="21">
        <f>沪市成交情况!B109+深市成交情况!B109</f>
        <v>4529720900</v>
      </c>
      <c r="C107" s="21">
        <f ca="1">IF(沪深两市成交分析!$E$7&lt;&gt;TODAY(),沪市成交情况!D109+深市成交情况!D109,IF(NOW()-TODAY()-A107&gt;0.0007,沪市成交情况!D109+深市成交情况!D109,0))</f>
        <v>9071778900</v>
      </c>
      <c r="D107" s="21">
        <f>SUM(B$2:B107)/100000000</f>
        <v>15896.838975999999</v>
      </c>
      <c r="E107" s="21">
        <f ca="1">IF(C107=0,NA(),SUM(C$2:C107)/100000000)</f>
        <v>23767.841995999999</v>
      </c>
      <c r="F107" s="21">
        <f t="shared" ca="1" si="1"/>
        <v>7871.0030200000001</v>
      </c>
    </row>
    <row r="108" spans="1:6">
      <c r="A108" s="51">
        <v>0.46944444444444999</v>
      </c>
      <c r="B108" s="21">
        <f>沪市成交情况!B110+深市成交情况!B110</f>
        <v>4850296800</v>
      </c>
      <c r="C108" s="21">
        <f ca="1">IF(沪深两市成交分析!$E$7&lt;&gt;TODAY(),沪市成交情况!D110+深市成交情况!D110,IF(NOW()-TODAY()-A108&gt;0.0007,沪市成交情况!D110+深市成交情况!D110,0))</f>
        <v>9813025000</v>
      </c>
      <c r="D108" s="21">
        <f>SUM(B$2:B108)/100000000</f>
        <v>15945.341944</v>
      </c>
      <c r="E108" s="21">
        <f ca="1">IF(C108=0,NA(),SUM(C$2:C108)/100000000)</f>
        <v>23865.972246000001</v>
      </c>
      <c r="F108" s="21">
        <f t="shared" ca="1" si="1"/>
        <v>7920.6303020000014</v>
      </c>
    </row>
    <row r="109" spans="1:6">
      <c r="A109" s="51">
        <v>0.47013888888889499</v>
      </c>
      <c r="B109" s="21">
        <f>沪市成交情况!B111+深市成交情况!B111</f>
        <v>4460064900</v>
      </c>
      <c r="C109" s="21">
        <f ca="1">IF(沪深两市成交分析!$E$7&lt;&gt;TODAY(),沪市成交情况!D111+深市成交情况!D111,IF(NOW()-TODAY()-A109&gt;0.0007,沪市成交情况!D111+深市成交情况!D111,0))</f>
        <v>9884542400</v>
      </c>
      <c r="D109" s="21">
        <f>SUM(B$2:B109)/100000000</f>
        <v>15989.942593</v>
      </c>
      <c r="E109" s="21">
        <f ca="1">IF(C109=0,NA(),SUM(C$2:C109)/100000000)</f>
        <v>23964.81767</v>
      </c>
      <c r="F109" s="21">
        <f t="shared" ca="1" si="1"/>
        <v>7974.8750770000006</v>
      </c>
    </row>
    <row r="110" spans="1:6">
      <c r="A110" s="51">
        <v>0.47083333333333899</v>
      </c>
      <c r="B110" s="21">
        <f>沪市成交情况!B112+深市成交情况!B112</f>
        <v>4805951200</v>
      </c>
      <c r="C110" s="21">
        <f ca="1">IF(沪深两市成交分析!$E$7&lt;&gt;TODAY(),沪市成交情况!D112+深市成交情况!D112,IF(NOW()-TODAY()-A110&gt;0.0007,沪市成交情况!D112+深市成交情况!D112,0))</f>
        <v>10025896800</v>
      </c>
      <c r="D110" s="21">
        <f>SUM(B$2:B110)/100000000</f>
        <v>16038.002105</v>
      </c>
      <c r="E110" s="21">
        <f ca="1">IF(C110=0,NA(),SUM(C$2:C110)/100000000)</f>
        <v>24065.076637999999</v>
      </c>
      <c r="F110" s="21">
        <f t="shared" ca="1" si="1"/>
        <v>8027.0745329999991</v>
      </c>
    </row>
    <row r="111" spans="1:6">
      <c r="A111" s="51">
        <v>0.47152777777778399</v>
      </c>
      <c r="B111" s="21">
        <f>沪市成交情况!B113+深市成交情况!B113</f>
        <v>4936258600</v>
      </c>
      <c r="C111" s="21">
        <f ca="1">IF(沪深两市成交分析!$E$7&lt;&gt;TODAY(),沪市成交情况!D113+深市成交情况!D113,IF(NOW()-TODAY()-A111&gt;0.0007,沪市成交情况!D113+深市成交情况!D113,0))</f>
        <v>10373664300</v>
      </c>
      <c r="D111" s="21">
        <f>SUM(B$2:B111)/100000000</f>
        <v>16087.364691000001</v>
      </c>
      <c r="E111" s="21">
        <f ca="1">IF(C111=0,NA(),SUM(C$2:C111)/100000000)</f>
        <v>24168.813280999999</v>
      </c>
      <c r="F111" s="21">
        <f t="shared" ca="1" si="1"/>
        <v>8081.4485899999981</v>
      </c>
    </row>
    <row r="112" spans="1:6">
      <c r="A112" s="51">
        <v>0.47222222222222798</v>
      </c>
      <c r="B112" s="21">
        <f>沪市成交情况!B114+深市成交情况!B114</f>
        <v>5112255800</v>
      </c>
      <c r="C112" s="21">
        <f ca="1">IF(沪深两市成交分析!$E$7&lt;&gt;TODAY(),沪市成交情况!D114+深市成交情况!D114,IF(NOW()-TODAY()-A112&gt;0.0007,沪市成交情况!D114+深市成交情况!D114,0))</f>
        <v>8275545500</v>
      </c>
      <c r="D112" s="21">
        <f>SUM(B$2:B112)/100000000</f>
        <v>16138.487249</v>
      </c>
      <c r="E112" s="21">
        <f ca="1">IF(C112=0,NA(),SUM(C$2:C112)/100000000)</f>
        <v>24251.568736000001</v>
      </c>
      <c r="F112" s="21">
        <f t="shared" ca="1" si="1"/>
        <v>8113.0814870000013</v>
      </c>
    </row>
    <row r="113" spans="1:6">
      <c r="A113" s="51">
        <v>0.47291666666667298</v>
      </c>
      <c r="B113" s="21">
        <f>沪市成交情况!B115+深市成交情况!B115</f>
        <v>4632066900</v>
      </c>
      <c r="C113" s="21">
        <f ca="1">IF(沪深两市成交分析!$E$7&lt;&gt;TODAY(),沪市成交情况!D115+深市成交情况!D115,IF(NOW()-TODAY()-A113&gt;0.0007,沪市成交情况!D115+深市成交情况!D115,0))</f>
        <v>8345597600</v>
      </c>
      <c r="D113" s="21">
        <f>SUM(B$2:B113)/100000000</f>
        <v>16184.807918</v>
      </c>
      <c r="E113" s="21">
        <f ca="1">IF(C113=0,NA(),SUM(C$2:C113)/100000000)</f>
        <v>24335.024711999999</v>
      </c>
      <c r="F113" s="21">
        <f t="shared" ca="1" si="1"/>
        <v>8150.2167939999981</v>
      </c>
    </row>
    <row r="114" spans="1:6">
      <c r="A114" s="51">
        <v>0.47361111111111698</v>
      </c>
      <c r="B114" s="21">
        <f>沪市成交情况!B116+深市成交情况!B116</f>
        <v>4895531200</v>
      </c>
      <c r="C114" s="21">
        <f ca="1">IF(沪深两市成交分析!$E$7&lt;&gt;TODAY(),沪市成交情况!D116+深市成交情况!D116,IF(NOW()-TODAY()-A114&gt;0.0007,沪市成交情况!D116+深市成交情况!D116,0))</f>
        <v>7037259600</v>
      </c>
      <c r="D114" s="21">
        <f>SUM(B$2:B114)/100000000</f>
        <v>16233.76323</v>
      </c>
      <c r="E114" s="21">
        <f ca="1">IF(C114=0,NA(),SUM(C$2:C114)/100000000)</f>
        <v>24405.397308</v>
      </c>
      <c r="F114" s="21">
        <f t="shared" ca="1" si="1"/>
        <v>8171.6340779999991</v>
      </c>
    </row>
    <row r="115" spans="1:6">
      <c r="A115" s="51">
        <v>0.47430555555556198</v>
      </c>
      <c r="B115" s="21">
        <f>沪市成交情况!B117+深市成交情况!B117</f>
        <v>4630219100</v>
      </c>
      <c r="C115" s="21">
        <f ca="1">IF(沪深两市成交分析!$E$7&lt;&gt;TODAY(),沪市成交情况!D117+深市成交情况!D117,IF(NOW()-TODAY()-A115&gt;0.0007,沪市成交情况!D117+深市成交情况!D117,0))</f>
        <v>5621540400</v>
      </c>
      <c r="D115" s="21">
        <f>SUM(B$2:B115)/100000000</f>
        <v>16280.065420999999</v>
      </c>
      <c r="E115" s="21">
        <f ca="1">IF(C115=0,NA(),SUM(C$2:C115)/100000000)</f>
        <v>24461.612711999998</v>
      </c>
      <c r="F115" s="21">
        <f t="shared" ca="1" si="1"/>
        <v>8181.5472909999989</v>
      </c>
    </row>
    <row r="116" spans="1:6">
      <c r="A116" s="51">
        <v>0.47500000000000597</v>
      </c>
      <c r="B116" s="21">
        <f>沪市成交情况!B118+深市成交情况!B118</f>
        <v>4739033600</v>
      </c>
      <c r="C116" s="21">
        <f ca="1">IF(沪深两市成交分析!$E$7&lt;&gt;TODAY(),沪市成交情况!D118+深市成交情况!D118,IF(NOW()-TODAY()-A116&gt;0.0007,沪市成交情况!D118+深市成交情况!D118,0))</f>
        <v>5534308600</v>
      </c>
      <c r="D116" s="21">
        <f>SUM(B$2:B116)/100000000</f>
        <v>16327.455757</v>
      </c>
      <c r="E116" s="21">
        <f ca="1">IF(C116=0,NA(),SUM(C$2:C116)/100000000)</f>
        <v>24516.955797999999</v>
      </c>
      <c r="F116" s="21">
        <f t="shared" ca="1" si="1"/>
        <v>8189.5000409999993</v>
      </c>
    </row>
    <row r="117" spans="1:6">
      <c r="A117" s="51">
        <v>0.47569444444445103</v>
      </c>
      <c r="B117" s="21">
        <f>沪市成交情况!B119+深市成交情况!B119</f>
        <v>4730396000</v>
      </c>
      <c r="C117" s="21">
        <f ca="1">IF(沪深两市成交分析!$E$7&lt;&gt;TODAY(),沪市成交情况!D119+深市成交情况!D119,IF(NOW()-TODAY()-A117&gt;0.0007,沪市成交情况!D119+深市成交情况!D119,0))</f>
        <v>5569816600</v>
      </c>
      <c r="D117" s="21">
        <f>SUM(B$2:B117)/100000000</f>
        <v>16374.759717000001</v>
      </c>
      <c r="E117" s="21">
        <f ca="1">IF(C117=0,NA(),SUM(C$2:C117)/100000000)</f>
        <v>24572.653964000001</v>
      </c>
      <c r="F117" s="21">
        <f t="shared" ca="1" si="1"/>
        <v>8197.8942470000002</v>
      </c>
    </row>
    <row r="118" spans="1:6">
      <c r="A118" s="51">
        <v>0.47638888888889502</v>
      </c>
      <c r="B118" s="21">
        <f>沪市成交情况!B120+深市成交情况!B120</f>
        <v>5060151500</v>
      </c>
      <c r="C118" s="21">
        <f ca="1">IF(沪深两市成交分析!$E$7&lt;&gt;TODAY(),沪市成交情况!D120+深市成交情况!D120,IF(NOW()-TODAY()-A118&gt;0.0007,沪市成交情况!D120+深市成交情况!D120,0))</f>
        <v>6045875200</v>
      </c>
      <c r="D118" s="21">
        <f>SUM(B$2:B118)/100000000</f>
        <v>16425.361231999999</v>
      </c>
      <c r="E118" s="21">
        <f ca="1">IF(C118=0,NA(),SUM(C$2:C118)/100000000)</f>
        <v>24633.112716</v>
      </c>
      <c r="F118" s="21">
        <f t="shared" ca="1" si="1"/>
        <v>8207.7514840000003</v>
      </c>
    </row>
    <row r="119" spans="1:6">
      <c r="A119" s="51">
        <v>0.47708333333334002</v>
      </c>
      <c r="B119" s="21">
        <f>沪市成交情况!B121+深市成交情况!B121</f>
        <v>4942425500</v>
      </c>
      <c r="C119" s="21">
        <f ca="1">IF(沪深两市成交分析!$E$7&lt;&gt;TODAY(),沪市成交情况!D121+深市成交情况!D121,IF(NOW()-TODAY()-A119&gt;0.0007,沪市成交情况!D121+深市成交情况!D121,0))</f>
        <v>5541699500</v>
      </c>
      <c r="D119" s="21">
        <f>SUM(B$2:B119)/100000000</f>
        <v>16474.785487000001</v>
      </c>
      <c r="E119" s="21">
        <f ca="1">IF(C119=0,NA(),SUM(C$2:C119)/100000000)</f>
        <v>24688.529710999999</v>
      </c>
      <c r="F119" s="21">
        <f t="shared" ca="1" si="1"/>
        <v>8213.7442239999982</v>
      </c>
    </row>
    <row r="120" spans="1:6">
      <c r="A120" s="51">
        <v>0.47777777777778402</v>
      </c>
      <c r="B120" s="21">
        <f>沪市成交情况!B122+深市成交情况!B122</f>
        <v>5631483000</v>
      </c>
      <c r="C120" s="21">
        <f ca="1">IF(沪深两市成交分析!$E$7&lt;&gt;TODAY(),沪市成交情况!D122+深市成交情况!D122,IF(NOW()-TODAY()-A120&gt;0.0007,沪市成交情况!D122+深市成交情况!D122,0))</f>
        <v>5492313000</v>
      </c>
      <c r="D120" s="21">
        <f>SUM(B$2:B120)/100000000</f>
        <v>16531.100317</v>
      </c>
      <c r="E120" s="21">
        <f ca="1">IF(C120=0,NA(),SUM(C$2:C120)/100000000)</f>
        <v>24743.452840999998</v>
      </c>
      <c r="F120" s="21">
        <f t="shared" ca="1" si="1"/>
        <v>8212.3525239999981</v>
      </c>
    </row>
    <row r="121" spans="1:6">
      <c r="A121" s="51">
        <v>0.47847222222222902</v>
      </c>
      <c r="B121" s="21">
        <f>沪市成交情况!B123+深市成交情况!B123</f>
        <v>5793726900</v>
      </c>
      <c r="C121" s="21">
        <f ca="1">IF(沪深两市成交分析!$E$7&lt;&gt;TODAY(),沪市成交情况!D123+深市成交情况!D123,IF(NOW()-TODAY()-A121&gt;0.0007,沪市成交情况!D123+深市成交情况!D123,0))</f>
        <v>5602510700</v>
      </c>
      <c r="D121" s="21">
        <f>SUM(B$2:B121)/100000000</f>
        <v>16589.037585999999</v>
      </c>
      <c r="E121" s="21">
        <f ca="1">IF(C121=0,NA(),SUM(C$2:C121)/100000000)</f>
        <v>24799.477948</v>
      </c>
      <c r="F121" s="21">
        <f t="shared" ca="1" si="1"/>
        <v>8210.4403620000012</v>
      </c>
    </row>
    <row r="122" spans="1:6">
      <c r="A122" s="51">
        <v>0.47916666666667301</v>
      </c>
      <c r="B122" s="21">
        <f>沪市成交情况!B124+深市成交情况!B124</f>
        <v>173378400</v>
      </c>
      <c r="C122" s="21">
        <f ca="1">IF(沪深两市成交分析!$E$7&lt;&gt;TODAY(),沪市成交情况!D124+深市成交情况!D124,IF(NOW()-TODAY()-A122&gt;0.0007,沪市成交情况!D124+深市成交情况!D124,0))</f>
        <v>134011900</v>
      </c>
      <c r="D122" s="21">
        <f>SUM(B$2:B122)/100000000</f>
        <v>16590.771369999999</v>
      </c>
      <c r="E122" s="21">
        <f ca="1">IF(C122=0,NA(),SUM(C$2:C122)/100000000)</f>
        <v>24800.818067</v>
      </c>
      <c r="F122" s="21">
        <f t="shared" ca="1" si="1"/>
        <v>8210.0466970000016</v>
      </c>
    </row>
    <row r="123" spans="1:6">
      <c r="A123" s="51">
        <v>0.54166666666666663</v>
      </c>
      <c r="B123" s="21">
        <f>沪市成交情况!B125+深市成交情况!B125</f>
        <v>32129564100</v>
      </c>
      <c r="C123" s="21">
        <f ca="1">IF(沪深两市成交分析!$E$7&lt;&gt;TODAY(),沪市成交情况!D125+深市成交情况!D125,IF(NOW()-TODAY()-A123&gt;0.0007,沪市成交情况!D125+深市成交情况!D125,0))</f>
        <v>23442344200</v>
      </c>
      <c r="D123" s="21">
        <f>SUM(B$2:B123)/100000000</f>
        <v>16912.067010999999</v>
      </c>
      <c r="E123" s="21">
        <f ca="1">IF(C123=0,NA(),SUM(C$2:C123)/100000000)</f>
        <v>25035.241508999999</v>
      </c>
      <c r="F123" s="21">
        <f t="shared" ca="1" si="1"/>
        <v>8123.1744980000003</v>
      </c>
    </row>
    <row r="124" spans="1:6">
      <c r="A124" s="51">
        <v>0.54236111111111118</v>
      </c>
      <c r="B124" s="21">
        <f>沪市成交情况!B126+深市成交情况!B126</f>
        <v>15589554500</v>
      </c>
      <c r="C124" s="21">
        <f ca="1">IF(沪深两市成交分析!$E$7&lt;&gt;TODAY(),沪市成交情况!D126+深市成交情况!D126,IF(NOW()-TODAY()-A124&gt;0.0007,沪市成交情况!D126+深市成交情况!D126,0))</f>
        <v>9693441100</v>
      </c>
      <c r="D124" s="21">
        <f>SUM(B$2:B124)/100000000</f>
        <v>17067.962555999999</v>
      </c>
      <c r="E124" s="21">
        <f ca="1">IF(C124=0,NA(),SUM(C$2:C124)/100000000)</f>
        <v>25132.175920000001</v>
      </c>
      <c r="F124" s="21">
        <f t="shared" ca="1" si="1"/>
        <v>8064.2133640000029</v>
      </c>
    </row>
    <row r="125" spans="1:6">
      <c r="A125" s="51">
        <v>0.54305555555555596</v>
      </c>
      <c r="B125" s="21">
        <f>沪市成交情况!B127+深市成交情况!B127</f>
        <v>13829814400</v>
      </c>
      <c r="C125" s="21">
        <f ca="1">IF(沪深两市成交分析!$E$7&lt;&gt;TODAY(),沪市成交情况!D127+深市成交情况!D127,IF(NOW()-TODAY()-A125&gt;0.0007,沪市成交情况!D127+深市成交情况!D127,0))</f>
        <v>9319349500</v>
      </c>
      <c r="D125" s="21">
        <f>SUM(B$2:B125)/100000000</f>
        <v>17206.260699999999</v>
      </c>
      <c r="E125" s="21">
        <f ca="1">IF(C125=0,NA(),SUM(C$2:C125)/100000000)</f>
        <v>25225.369415000001</v>
      </c>
      <c r="F125" s="21">
        <f t="shared" ca="1" si="1"/>
        <v>8019.1087150000021</v>
      </c>
    </row>
    <row r="126" spans="1:6">
      <c r="A126" s="51">
        <v>0.54374999999999996</v>
      </c>
      <c r="B126" s="21">
        <f>沪市成交情况!B128+深市成交情况!B128</f>
        <v>12254746000</v>
      </c>
      <c r="C126" s="21">
        <f ca="1">IF(沪深两市成交分析!$E$7&lt;&gt;TODAY(),沪市成交情况!D128+深市成交情况!D128,IF(NOW()-TODAY()-A126&gt;0.0007,沪市成交情况!D128+深市成交情况!D128,0))</f>
        <v>8542682600</v>
      </c>
      <c r="D126" s="21">
        <f>SUM(B$2:B126)/100000000</f>
        <v>17328.80816</v>
      </c>
      <c r="E126" s="21">
        <f ca="1">IF(C126=0,NA(),SUM(C$2:C126)/100000000)</f>
        <v>25310.796241</v>
      </c>
      <c r="F126" s="21">
        <f t="shared" ca="1" si="1"/>
        <v>7981.9880809999995</v>
      </c>
    </row>
    <row r="127" spans="1:6">
      <c r="A127" s="51">
        <v>0.54444444444444495</v>
      </c>
      <c r="B127" s="21">
        <f>沪市成交情况!B129+深市成交情况!B129</f>
        <v>11639381600</v>
      </c>
      <c r="C127" s="21">
        <f ca="1">IF(沪深两市成交分析!$E$7&lt;&gt;TODAY(),沪市成交情况!D129+深市成交情况!D129,IF(NOW()-TODAY()-A127&gt;0.0007,沪市成交情况!D129+深市成交情况!D129,0))</f>
        <v>10425103300</v>
      </c>
      <c r="D127" s="21">
        <f>SUM(B$2:B127)/100000000</f>
        <v>17445.201976</v>
      </c>
      <c r="E127" s="21">
        <f ca="1">IF(C127=0,NA(),SUM(C$2:C127)/100000000)</f>
        <v>25415.047274</v>
      </c>
      <c r="F127" s="21">
        <f t="shared" ca="1" si="1"/>
        <v>7969.8452980000002</v>
      </c>
    </row>
    <row r="128" spans="1:6">
      <c r="A128" s="51">
        <v>0.54513888888888895</v>
      </c>
      <c r="B128" s="21">
        <f>沪市成交情况!B130+深市成交情况!B130</f>
        <v>10828027500</v>
      </c>
      <c r="C128" s="21">
        <f ca="1">IF(沪深两市成交分析!$E$7&lt;&gt;TODAY(),沪市成交情况!D130+深市成交情况!D130,IF(NOW()-TODAY()-A128&gt;0.0007,沪市成交情况!D130+深市成交情况!D130,0))</f>
        <v>10310172200</v>
      </c>
      <c r="D128" s="21">
        <f>SUM(B$2:B128)/100000000</f>
        <v>17553.482251000001</v>
      </c>
      <c r="E128" s="21">
        <f ca="1">IF(C128=0,NA(),SUM(C$2:C128)/100000000)</f>
        <v>25518.148996</v>
      </c>
      <c r="F128" s="21">
        <f t="shared" ca="1" si="1"/>
        <v>7964.6667449999986</v>
      </c>
    </row>
    <row r="129" spans="1:6">
      <c r="A129" s="51">
        <v>0.54583333333333395</v>
      </c>
      <c r="B129" s="21">
        <f>沪市成交情况!B131+深市成交情况!B131</f>
        <v>10395529600</v>
      </c>
      <c r="C129" s="21">
        <f ca="1">IF(沪深两市成交分析!$E$7&lt;&gt;TODAY(),沪市成交情况!D131+深市成交情况!D131,IF(NOW()-TODAY()-A129&gt;0.0007,沪市成交情况!D131+深市成交情况!D131,0))</f>
        <v>8681352800</v>
      </c>
      <c r="D129" s="21">
        <f>SUM(B$2:B129)/100000000</f>
        <v>17657.437547000001</v>
      </c>
      <c r="E129" s="21">
        <f ca="1">IF(C129=0,NA(),SUM(C$2:C129)/100000000)</f>
        <v>25604.962523999999</v>
      </c>
      <c r="F129" s="21">
        <f t="shared" ca="1" si="1"/>
        <v>7947.5249769999973</v>
      </c>
    </row>
    <row r="130" spans="1:6">
      <c r="A130" s="51">
        <v>0.54652777777777894</v>
      </c>
      <c r="B130" s="21">
        <f>沪市成交情况!B132+深市成交情况!B132</f>
        <v>9605706400</v>
      </c>
      <c r="C130" s="21">
        <f ca="1">IF(沪深两市成交分析!$E$7&lt;&gt;TODAY(),沪市成交情况!D132+深市成交情况!D132,IF(NOW()-TODAY()-A130&gt;0.0007,沪市成交情况!D132+深市成交情况!D132,0))</f>
        <v>7180093300</v>
      </c>
      <c r="D130" s="21">
        <f>SUM(B$2:B130)/100000000</f>
        <v>17753.494610999998</v>
      </c>
      <c r="E130" s="21">
        <f ca="1">IF(C130=0,NA(),SUM(C$2:C130)/100000000)</f>
        <v>25676.763457000001</v>
      </c>
      <c r="F130" s="21">
        <f t="shared" ca="1" si="1"/>
        <v>7923.2688460000027</v>
      </c>
    </row>
    <row r="131" spans="1:6">
      <c r="A131" s="51">
        <v>0.54722222222222305</v>
      </c>
      <c r="B131" s="21">
        <f>沪市成交情况!B133+深市成交情况!B133</f>
        <v>9449715000</v>
      </c>
      <c r="C131" s="21">
        <f ca="1">IF(沪深两市成交分析!$E$7&lt;&gt;TODAY(),沪市成交情况!D133+深市成交情况!D133,IF(NOW()-TODAY()-A131&gt;0.0007,沪市成交情况!D133+深市成交情况!D133,0))</f>
        <v>6737976800</v>
      </c>
      <c r="D131" s="21">
        <f>SUM(B$2:B131)/100000000</f>
        <v>17847.991761000001</v>
      </c>
      <c r="E131" s="21">
        <f ca="1">IF(C131=0,NA(),SUM(C$2:C131)/100000000)</f>
        <v>25744.143225</v>
      </c>
      <c r="F131" s="21">
        <f t="shared" ref="F131:F194" ca="1" si="2">IF(C131=0,0,E131-D131)</f>
        <v>7896.1514639999987</v>
      </c>
    </row>
    <row r="132" spans="1:6">
      <c r="A132" s="51">
        <v>0.54791666666666805</v>
      </c>
      <c r="B132" s="21">
        <f>沪市成交情况!B134+深市成交情况!B134</f>
        <v>9412777400</v>
      </c>
      <c r="C132" s="21">
        <f ca="1">IF(沪深两市成交分析!$E$7&lt;&gt;TODAY(),沪市成交情况!D134+深市成交情况!D134,IF(NOW()-TODAY()-A132&gt;0.0007,沪市成交情况!D134+深市成交情况!D134,0))</f>
        <v>7245121000</v>
      </c>
      <c r="D132" s="21">
        <f>SUM(B$2:B132)/100000000</f>
        <v>17942.119535000002</v>
      </c>
      <c r="E132" s="21">
        <f ca="1">IF(C132=0,NA(),SUM(C$2:C132)/100000000)</f>
        <v>25816.594434999999</v>
      </c>
      <c r="F132" s="21">
        <f t="shared" ca="1" si="2"/>
        <v>7874.4748999999974</v>
      </c>
    </row>
    <row r="133" spans="1:6">
      <c r="A133" s="51">
        <v>0.54861111111111205</v>
      </c>
      <c r="B133" s="21">
        <f>沪市成交情况!B135+深市成交情况!B135</f>
        <v>9963941600</v>
      </c>
      <c r="C133" s="21">
        <f ca="1">IF(沪深两市成交分析!$E$7&lt;&gt;TODAY(),沪市成交情况!D135+深市成交情况!D135,IF(NOW()-TODAY()-A133&gt;0.0007,沪市成交情况!D135+深市成交情况!D135,0))</f>
        <v>7374495000</v>
      </c>
      <c r="D133" s="21">
        <f>SUM(B$2:B133)/100000000</f>
        <v>18041.758951</v>
      </c>
      <c r="E133" s="21">
        <f ca="1">IF(C133=0,NA(),SUM(C$2:C133)/100000000)</f>
        <v>25890.339384999999</v>
      </c>
      <c r="F133" s="21">
        <f t="shared" ca="1" si="2"/>
        <v>7848.5804339999995</v>
      </c>
    </row>
    <row r="134" spans="1:6">
      <c r="A134" s="51">
        <v>0.54930555555555705</v>
      </c>
      <c r="B134" s="21">
        <f>沪市成交情况!B136+深市成交情况!B136</f>
        <v>11207549200</v>
      </c>
      <c r="C134" s="21">
        <f ca="1">IF(沪深两市成交分析!$E$7&lt;&gt;TODAY(),沪市成交情况!D136+深市成交情况!D136,IF(NOW()-TODAY()-A134&gt;0.0007,沪市成交情况!D136+深市成交情况!D136,0))</f>
        <v>6802223100</v>
      </c>
      <c r="D134" s="21">
        <f>SUM(B$2:B134)/100000000</f>
        <v>18153.834443</v>
      </c>
      <c r="E134" s="21">
        <f ca="1">IF(C134=0,NA(),SUM(C$2:C134)/100000000)</f>
        <v>25958.361615999998</v>
      </c>
      <c r="F134" s="21">
        <f t="shared" ca="1" si="2"/>
        <v>7804.5271729999986</v>
      </c>
    </row>
    <row r="135" spans="1:6">
      <c r="A135" s="51">
        <v>0.55000000000000104</v>
      </c>
      <c r="B135" s="21">
        <f>沪市成交情况!B137+深市成交情况!B137</f>
        <v>9744851800</v>
      </c>
      <c r="C135" s="21">
        <f ca="1">IF(沪深两市成交分析!$E$7&lt;&gt;TODAY(),沪市成交情况!D137+深市成交情况!D137,IF(NOW()-TODAY()-A135&gt;0.0007,沪市成交情况!D137+深市成交情况!D137,0))</f>
        <v>6707746400</v>
      </c>
      <c r="D135" s="21">
        <f>SUM(B$2:B135)/100000000</f>
        <v>18251.282961000001</v>
      </c>
      <c r="E135" s="21">
        <f ca="1">IF(C135=0,NA(),SUM(C$2:C135)/100000000)</f>
        <v>26025.43908</v>
      </c>
      <c r="F135" s="21">
        <f t="shared" ca="1" si="2"/>
        <v>7774.1561189999993</v>
      </c>
    </row>
    <row r="136" spans="1:6">
      <c r="A136" s="51">
        <v>0.55069444444444604</v>
      </c>
      <c r="B136" s="21">
        <f>沪市成交情况!B138+深市成交情况!B138</f>
        <v>9265818500</v>
      </c>
      <c r="C136" s="21">
        <f ca="1">IF(沪深两市成交分析!$E$7&lt;&gt;TODAY(),沪市成交情况!D138+深市成交情况!D138,IF(NOW()-TODAY()-A136&gt;0.0007,沪市成交情况!D138+深市成交情况!D138,0))</f>
        <v>7049790700</v>
      </c>
      <c r="D136" s="21">
        <f>SUM(B$2:B136)/100000000</f>
        <v>18343.941146000001</v>
      </c>
      <c r="E136" s="21">
        <f ca="1">IF(C136=0,NA(),SUM(C$2:C136)/100000000)</f>
        <v>26095.936987000001</v>
      </c>
      <c r="F136" s="21">
        <f t="shared" ca="1" si="2"/>
        <v>7751.9958409999999</v>
      </c>
    </row>
    <row r="137" spans="1:6">
      <c r="A137" s="51">
        <v>0.55138888888889004</v>
      </c>
      <c r="B137" s="21">
        <f>沪市成交情况!B139+深市成交情况!B139</f>
        <v>8605291900</v>
      </c>
      <c r="C137" s="21">
        <f ca="1">IF(沪深两市成交分析!$E$7&lt;&gt;TODAY(),沪市成交情况!D139+深市成交情况!D139,IF(NOW()-TODAY()-A137&gt;0.0007,沪市成交情况!D139+深市成交情况!D139,0))</f>
        <v>6314352900</v>
      </c>
      <c r="D137" s="21">
        <f>SUM(B$2:B137)/100000000</f>
        <v>18429.994064999999</v>
      </c>
      <c r="E137" s="21">
        <f ca="1">IF(C137=0,NA(),SUM(C$2:C137)/100000000)</f>
        <v>26159.080516000002</v>
      </c>
      <c r="F137" s="21">
        <f t="shared" ca="1" si="2"/>
        <v>7729.0864510000029</v>
      </c>
    </row>
    <row r="138" spans="1:6">
      <c r="A138" s="51">
        <v>0.55208333333333504</v>
      </c>
      <c r="B138" s="21">
        <f>沪市成交情况!B140+深市成交情况!B140</f>
        <v>8577978200</v>
      </c>
      <c r="C138" s="21">
        <f ca="1">IF(沪深两市成交分析!$E$7&lt;&gt;TODAY(),沪市成交情况!D140+深市成交情况!D140,IF(NOW()-TODAY()-A138&gt;0.0007,沪市成交情况!D140+深市成交情况!D140,0))</f>
        <v>7297031900</v>
      </c>
      <c r="D138" s="21">
        <f>SUM(B$2:B138)/100000000</f>
        <v>18515.773847</v>
      </c>
      <c r="E138" s="21">
        <f ca="1">IF(C138=0,NA(),SUM(C$2:C138)/100000000)</f>
        <v>26232.050834999998</v>
      </c>
      <c r="F138" s="21">
        <f t="shared" ca="1" si="2"/>
        <v>7716.2769879999978</v>
      </c>
    </row>
    <row r="139" spans="1:6">
      <c r="A139" s="51">
        <v>0.55277777777777903</v>
      </c>
      <c r="B139" s="21">
        <f>沪市成交情况!B141+深市成交情况!B141</f>
        <v>8229341400</v>
      </c>
      <c r="C139" s="21">
        <f ca="1">IF(沪深两市成交分析!$E$7&lt;&gt;TODAY(),沪市成交情况!D141+深市成交情况!D141,IF(NOW()-TODAY()-A139&gt;0.0007,沪市成交情况!D141+深市成交情况!D141,0))</f>
        <v>7379572600</v>
      </c>
      <c r="D139" s="21">
        <f>SUM(B$2:B139)/100000000</f>
        <v>18598.067261</v>
      </c>
      <c r="E139" s="21">
        <f ca="1">IF(C139=0,NA(),SUM(C$2:C139)/100000000)</f>
        <v>26305.846560999998</v>
      </c>
      <c r="F139" s="21">
        <f t="shared" ca="1" si="2"/>
        <v>7707.7792999999983</v>
      </c>
    </row>
    <row r="140" spans="1:6">
      <c r="A140" s="51">
        <v>0.55347222222222403</v>
      </c>
      <c r="B140" s="21">
        <f>沪市成交情况!B142+深市成交情况!B142</f>
        <v>6084279100</v>
      </c>
      <c r="C140" s="21">
        <f ca="1">IF(沪深两市成交分析!$E$7&lt;&gt;TODAY(),沪市成交情况!D142+深市成交情况!D142,IF(NOW()-TODAY()-A140&gt;0.0007,沪市成交情况!D142+深市成交情况!D142,0))</f>
        <v>6821884700</v>
      </c>
      <c r="D140" s="21">
        <f>SUM(B$2:B140)/100000000</f>
        <v>18658.910051999999</v>
      </c>
      <c r="E140" s="21">
        <f ca="1">IF(C140=0,NA(),SUM(C$2:C140)/100000000)</f>
        <v>26374.065407999999</v>
      </c>
      <c r="F140" s="21">
        <f t="shared" ca="1" si="2"/>
        <v>7715.1553559999993</v>
      </c>
    </row>
    <row r="141" spans="1:6">
      <c r="A141" s="51">
        <v>0.55416666666666903</v>
      </c>
      <c r="B141" s="21">
        <f>沪市成交情况!B143+深市成交情况!B143</f>
        <v>5725737500</v>
      </c>
      <c r="C141" s="21">
        <f ca="1">IF(沪深两市成交分析!$E$7&lt;&gt;TODAY(),沪市成交情况!D143+深市成交情况!D143,IF(NOW()-TODAY()-A141&gt;0.0007,沪市成交情况!D143+深市成交情况!D143,0))</f>
        <v>6061602100</v>
      </c>
      <c r="D141" s="21">
        <f>SUM(B$2:B141)/100000000</f>
        <v>18716.167427</v>
      </c>
      <c r="E141" s="21">
        <f ca="1">IF(C141=0,NA(),SUM(C$2:C141)/100000000)</f>
        <v>26434.681429</v>
      </c>
      <c r="F141" s="21">
        <f t="shared" ca="1" si="2"/>
        <v>7718.5140019999999</v>
      </c>
    </row>
    <row r="142" spans="1:6">
      <c r="A142" s="51">
        <v>0.55486111111111303</v>
      </c>
      <c r="B142" s="21">
        <f>沪市成交情况!B144+深市成交情况!B144</f>
        <v>5425638400</v>
      </c>
      <c r="C142" s="21">
        <f ca="1">IF(沪深两市成交分析!$E$7&lt;&gt;TODAY(),沪市成交情况!D144+深市成交情况!D144,IF(NOW()-TODAY()-A142&gt;0.0007,沪市成交情况!D144+深市成交情况!D144,0))</f>
        <v>6357001800</v>
      </c>
      <c r="D142" s="21">
        <f>SUM(B$2:B142)/100000000</f>
        <v>18770.423811000001</v>
      </c>
      <c r="E142" s="21">
        <f ca="1">IF(C142=0,NA(),SUM(C$2:C142)/100000000)</f>
        <v>26498.251446999999</v>
      </c>
      <c r="F142" s="21">
        <f t="shared" ca="1" si="2"/>
        <v>7727.8276359999982</v>
      </c>
    </row>
    <row r="143" spans="1:6">
      <c r="A143" s="51">
        <v>0.55555555555555802</v>
      </c>
      <c r="B143" s="21">
        <f>沪市成交情况!B145+深市成交情况!B145</f>
        <v>6188608400</v>
      </c>
      <c r="C143" s="21">
        <f ca="1">IF(沪深两市成交分析!$E$7&lt;&gt;TODAY(),沪市成交情况!D145+深市成交情况!D145,IF(NOW()-TODAY()-A143&gt;0.0007,沪市成交情况!D145+深市成交情况!D145,0))</f>
        <v>8124112400</v>
      </c>
      <c r="D143" s="21">
        <f>SUM(B$2:B143)/100000000</f>
        <v>18832.309894999999</v>
      </c>
      <c r="E143" s="21">
        <f ca="1">IF(C143=0,NA(),SUM(C$2:C143)/100000000)</f>
        <v>26579.492570999999</v>
      </c>
      <c r="F143" s="21">
        <f t="shared" ca="1" si="2"/>
        <v>7747.1826760000004</v>
      </c>
    </row>
    <row r="144" spans="1:6">
      <c r="A144" s="51">
        <v>0.55625000000000202</v>
      </c>
      <c r="B144" s="21">
        <f>沪市成交情况!B146+深市成交情况!B146</f>
        <v>5508418000</v>
      </c>
      <c r="C144" s="21">
        <f ca="1">IF(沪深两市成交分析!$E$7&lt;&gt;TODAY(),沪市成交情况!D146+深市成交情况!D146,IF(NOW()-TODAY()-A144&gt;0.0007,沪市成交情况!D146+深市成交情况!D146,0))</f>
        <v>7552033600</v>
      </c>
      <c r="D144" s="21">
        <f>SUM(B$2:B144)/100000000</f>
        <v>18887.394075</v>
      </c>
      <c r="E144" s="21">
        <f ca="1">IF(C144=0,NA(),SUM(C$2:C144)/100000000)</f>
        <v>26655.012907</v>
      </c>
      <c r="F144" s="21">
        <f t="shared" ca="1" si="2"/>
        <v>7767.6188320000001</v>
      </c>
    </row>
    <row r="145" spans="1:6">
      <c r="A145" s="51">
        <v>0.55694444444444702</v>
      </c>
      <c r="B145" s="21">
        <f>沪市成交情况!B147+深市成交情况!B147</f>
        <v>6104264400</v>
      </c>
      <c r="C145" s="21">
        <f ca="1">IF(沪深两市成交分析!$E$7&lt;&gt;TODAY(),沪市成交情况!D147+深市成交情况!D147,IF(NOW()-TODAY()-A145&gt;0.0007,沪市成交情况!D147+深市成交情况!D147,0))</f>
        <v>6921353300</v>
      </c>
      <c r="D145" s="21">
        <f>SUM(B$2:B145)/100000000</f>
        <v>18948.436719000001</v>
      </c>
      <c r="E145" s="21">
        <f ca="1">IF(C145=0,NA(),SUM(C$2:C145)/100000000)</f>
        <v>26724.226439999999</v>
      </c>
      <c r="F145" s="21">
        <f t="shared" ca="1" si="2"/>
        <v>7775.7897209999974</v>
      </c>
    </row>
    <row r="146" spans="1:6">
      <c r="A146" s="51">
        <v>0.55763888888889102</v>
      </c>
      <c r="B146" s="21">
        <f>沪市成交情况!B148+深市成交情况!B148</f>
        <v>5481874800</v>
      </c>
      <c r="C146" s="21">
        <f ca="1">IF(沪深两市成交分析!$E$7&lt;&gt;TODAY(),沪市成交情况!D148+深市成交情况!D148,IF(NOW()-TODAY()-A146&gt;0.0007,沪市成交情况!D148+深市成交情况!D148,0))</f>
        <v>6970969100</v>
      </c>
      <c r="D146" s="21">
        <f>SUM(B$2:B146)/100000000</f>
        <v>19003.255466999999</v>
      </c>
      <c r="E146" s="21">
        <f ca="1">IF(C146=0,NA(),SUM(C$2:C146)/100000000)</f>
        <v>26793.936130999999</v>
      </c>
      <c r="F146" s="21">
        <f t="shared" ca="1" si="2"/>
        <v>7790.6806639999995</v>
      </c>
    </row>
    <row r="147" spans="1:6">
      <c r="A147" s="51">
        <v>0.55833333333333601</v>
      </c>
      <c r="B147" s="21">
        <f>沪市成交情况!B149+深市成交情况!B149</f>
        <v>5615263600</v>
      </c>
      <c r="C147" s="21">
        <f ca="1">IF(沪深两市成交分析!$E$7&lt;&gt;TODAY(),沪市成交情况!D149+深市成交情况!D149,IF(NOW()-TODAY()-A147&gt;0.0007,沪市成交情况!D149+深市成交情况!D149,0))</f>
        <v>6941881900</v>
      </c>
      <c r="D147" s="21">
        <f>SUM(B$2:B147)/100000000</f>
        <v>19059.408103000002</v>
      </c>
      <c r="E147" s="21">
        <f ca="1">IF(C147=0,NA(),SUM(C$2:C147)/100000000)</f>
        <v>26863.354950000001</v>
      </c>
      <c r="F147" s="21">
        <f t="shared" ca="1" si="2"/>
        <v>7803.9468469999993</v>
      </c>
    </row>
    <row r="148" spans="1:6">
      <c r="A148" s="51">
        <v>0.55902777777778001</v>
      </c>
      <c r="B148" s="21">
        <f>沪市成交情况!B150+深市成交情况!B150</f>
        <v>5352147100</v>
      </c>
      <c r="C148" s="21">
        <f ca="1">IF(沪深两市成交分析!$E$7&lt;&gt;TODAY(),沪市成交情况!D150+深市成交情况!D150,IF(NOW()-TODAY()-A148&gt;0.0007,沪市成交情况!D150+深市成交情况!D150,0))</f>
        <v>7026144100</v>
      </c>
      <c r="D148" s="21">
        <f>SUM(B$2:B148)/100000000</f>
        <v>19112.929574000002</v>
      </c>
      <c r="E148" s="21">
        <f ca="1">IF(C148=0,NA(),SUM(C$2:C148)/100000000)</f>
        <v>26933.616391</v>
      </c>
      <c r="F148" s="21">
        <f t="shared" ca="1" si="2"/>
        <v>7820.686816999998</v>
      </c>
    </row>
    <row r="149" spans="1:6">
      <c r="A149" s="51">
        <v>0.55972222222222501</v>
      </c>
      <c r="B149" s="21">
        <f>沪市成交情况!B151+深市成交情况!B151</f>
        <v>5550696300</v>
      </c>
      <c r="C149" s="21">
        <f ca="1">IF(沪深两市成交分析!$E$7&lt;&gt;TODAY(),沪市成交情况!D151+深市成交情况!D151,IF(NOW()-TODAY()-A149&gt;0.0007,沪市成交情况!D151+深市成交情况!D151,0))</f>
        <v>8136794400</v>
      </c>
      <c r="D149" s="21">
        <f>SUM(B$2:B149)/100000000</f>
        <v>19168.436537000001</v>
      </c>
      <c r="E149" s="21">
        <f ca="1">IF(C149=0,NA(),SUM(C$2:C149)/100000000)</f>
        <v>27014.984335000001</v>
      </c>
      <c r="F149" s="21">
        <f t="shared" ca="1" si="2"/>
        <v>7846.5477979999996</v>
      </c>
    </row>
    <row r="150" spans="1:6">
      <c r="A150" s="51">
        <v>0.56041666666667</v>
      </c>
      <c r="B150" s="21">
        <f>沪市成交情况!B152+深市成交情况!B152</f>
        <v>5583650500</v>
      </c>
      <c r="C150" s="21">
        <f ca="1">IF(沪深两市成交分析!$E$7&lt;&gt;TODAY(),沪市成交情况!D152+深市成交情况!D152,IF(NOW()-TODAY()-A150&gt;0.0007,沪市成交情况!D152+深市成交情况!D152,0))</f>
        <v>6651799500</v>
      </c>
      <c r="D150" s="21">
        <f>SUM(B$2:B150)/100000000</f>
        <v>19224.273042000001</v>
      </c>
      <c r="E150" s="21">
        <f ca="1">IF(C150=0,NA(),SUM(C$2:C150)/100000000)</f>
        <v>27081.502329999999</v>
      </c>
      <c r="F150" s="21">
        <f t="shared" ca="1" si="2"/>
        <v>7857.2292879999986</v>
      </c>
    </row>
    <row r="151" spans="1:6">
      <c r="A151" s="51">
        <v>0.561111111111114</v>
      </c>
      <c r="B151" s="21">
        <f>沪市成交情况!B153+深市成交情况!B153</f>
        <v>6005718000</v>
      </c>
      <c r="C151" s="21">
        <f ca="1">IF(沪深两市成交分析!$E$7&lt;&gt;TODAY(),沪市成交情况!D153+深市成交情况!D153,IF(NOW()-TODAY()-A151&gt;0.0007,沪市成交情况!D153+深市成交情况!D153,0))</f>
        <v>6243949300</v>
      </c>
      <c r="D151" s="21">
        <f>SUM(B$2:B151)/100000000</f>
        <v>19284.330222000001</v>
      </c>
      <c r="E151" s="21">
        <f ca="1">IF(C151=0,NA(),SUM(C$2:C151)/100000000)</f>
        <v>27143.941823000001</v>
      </c>
      <c r="F151" s="21">
        <f t="shared" ca="1" si="2"/>
        <v>7859.6116010000005</v>
      </c>
    </row>
    <row r="152" spans="1:6">
      <c r="A152" s="51">
        <v>0.561805555555559</v>
      </c>
      <c r="B152" s="21">
        <f>沪市成交情况!B154+深市成交情况!B154</f>
        <v>5281272300</v>
      </c>
      <c r="C152" s="21">
        <f ca="1">IF(沪深两市成交分析!$E$7&lt;&gt;TODAY(),沪市成交情况!D154+深市成交情况!D154,IF(NOW()-TODAY()-A152&gt;0.0007,沪市成交情况!D154+深市成交情况!D154,0))</f>
        <v>6212714600</v>
      </c>
      <c r="D152" s="21">
        <f>SUM(B$2:B152)/100000000</f>
        <v>19337.142945</v>
      </c>
      <c r="E152" s="21">
        <f ca="1">IF(C152=0,NA(),SUM(C$2:C152)/100000000)</f>
        <v>27206.068969</v>
      </c>
      <c r="F152" s="21">
        <f t="shared" ca="1" si="2"/>
        <v>7868.9260240000003</v>
      </c>
    </row>
    <row r="153" spans="1:6">
      <c r="A153" s="51">
        <v>0.562500000000003</v>
      </c>
      <c r="B153" s="21">
        <f>沪市成交情况!B155+深市成交情况!B155</f>
        <v>6176129800</v>
      </c>
      <c r="C153" s="21">
        <f ca="1">IF(沪深两市成交分析!$E$7&lt;&gt;TODAY(),沪市成交情况!D155+深市成交情况!D155,IF(NOW()-TODAY()-A153&gt;0.0007,沪市成交情况!D155+深市成交情况!D155,0))</f>
        <v>6789484200</v>
      </c>
      <c r="D153" s="21">
        <f>SUM(B$2:B153)/100000000</f>
        <v>19398.904243000001</v>
      </c>
      <c r="E153" s="21">
        <f ca="1">IF(C153=0,NA(),SUM(C$2:C153)/100000000)</f>
        <v>27273.963811000001</v>
      </c>
      <c r="F153" s="21">
        <f t="shared" ca="1" si="2"/>
        <v>7875.0595680000006</v>
      </c>
    </row>
    <row r="154" spans="1:6">
      <c r="A154" s="51">
        <v>0.56319444444444799</v>
      </c>
      <c r="B154" s="21">
        <f>沪市成交情况!B156+深市成交情况!B156</f>
        <v>5985741700</v>
      </c>
      <c r="C154" s="21">
        <f ca="1">IF(沪深两市成交分析!$E$7&lt;&gt;TODAY(),沪市成交情况!D156+深市成交情况!D156,IF(NOW()-TODAY()-A154&gt;0.0007,沪市成交情况!D156+深市成交情况!D156,0))</f>
        <v>7184705000</v>
      </c>
      <c r="D154" s="21">
        <f>SUM(B$2:B154)/100000000</f>
        <v>19458.76166</v>
      </c>
      <c r="E154" s="21">
        <f ca="1">IF(C154=0,NA(),SUM(C$2:C154)/100000000)</f>
        <v>27345.810861000002</v>
      </c>
      <c r="F154" s="21">
        <f t="shared" ca="1" si="2"/>
        <v>7887.0492010000016</v>
      </c>
    </row>
    <row r="155" spans="1:6">
      <c r="A155" s="51">
        <v>0.56388888888889199</v>
      </c>
      <c r="B155" s="21">
        <f>沪市成交情况!B157+深市成交情况!B157</f>
        <v>6080326600</v>
      </c>
      <c r="C155" s="21">
        <f ca="1">IF(沪深两市成交分析!$E$7&lt;&gt;TODAY(),沪市成交情况!D157+深市成交情况!D157,IF(NOW()-TODAY()-A155&gt;0.0007,沪市成交情况!D157+深市成交情况!D157,0))</f>
        <v>6625257200</v>
      </c>
      <c r="D155" s="21">
        <f>SUM(B$2:B155)/100000000</f>
        <v>19519.564925999999</v>
      </c>
      <c r="E155" s="21">
        <f ca="1">IF(C155=0,NA(),SUM(C$2:C155)/100000000)</f>
        <v>27412.063432999999</v>
      </c>
      <c r="F155" s="21">
        <f t="shared" ca="1" si="2"/>
        <v>7892.4985070000002</v>
      </c>
    </row>
    <row r="156" spans="1:6">
      <c r="A156" s="51">
        <v>0.56458333333333699</v>
      </c>
      <c r="B156" s="21">
        <f>沪市成交情况!B158+深市成交情况!B158</f>
        <v>6376124700</v>
      </c>
      <c r="C156" s="21">
        <f ca="1">IF(沪深两市成交分析!$E$7&lt;&gt;TODAY(),沪市成交情况!D158+深市成交情况!D158,IF(NOW()-TODAY()-A156&gt;0.0007,沪市成交情况!D158+深市成交情况!D158,0))</f>
        <v>6709546500</v>
      </c>
      <c r="D156" s="21">
        <f>SUM(B$2:B156)/100000000</f>
        <v>19583.326173000001</v>
      </c>
      <c r="E156" s="21">
        <f ca="1">IF(C156=0,NA(),SUM(C$2:C156)/100000000)</f>
        <v>27479.158898000001</v>
      </c>
      <c r="F156" s="21">
        <f t="shared" ca="1" si="2"/>
        <v>7895.8327250000002</v>
      </c>
    </row>
    <row r="157" spans="1:6">
      <c r="A157" s="51">
        <v>0.56527777777778099</v>
      </c>
      <c r="B157" s="21">
        <f>沪市成交情况!B159+深市成交情况!B159</f>
        <v>6133176700</v>
      </c>
      <c r="C157" s="21">
        <f ca="1">IF(沪深两市成交分析!$E$7&lt;&gt;TODAY(),沪市成交情况!D159+深市成交情况!D159,IF(NOW()-TODAY()-A157&gt;0.0007,沪市成交情况!D159+深市成交情况!D159,0))</f>
        <v>6367839000</v>
      </c>
      <c r="D157" s="21">
        <f>SUM(B$2:B157)/100000000</f>
        <v>19644.657940000001</v>
      </c>
      <c r="E157" s="21">
        <f ca="1">IF(C157=0,NA(),SUM(C$2:C157)/100000000)</f>
        <v>27542.837287999999</v>
      </c>
      <c r="F157" s="21">
        <f t="shared" ca="1" si="2"/>
        <v>7898.1793479999978</v>
      </c>
    </row>
    <row r="158" spans="1:6">
      <c r="A158" s="51">
        <v>0.56597222222222598</v>
      </c>
      <c r="B158" s="21">
        <f>沪市成交情况!B160+深市成交情况!B160</f>
        <v>5928990100</v>
      </c>
      <c r="C158" s="21">
        <f ca="1">IF(沪深两市成交分析!$E$7&lt;&gt;TODAY(),沪市成交情况!D160+深市成交情况!D160,IF(NOW()-TODAY()-A158&gt;0.0007,沪市成交情况!D160+深市成交情况!D160,0))</f>
        <v>6626102500</v>
      </c>
      <c r="D158" s="21">
        <f>SUM(B$2:B158)/100000000</f>
        <v>19703.947841000001</v>
      </c>
      <c r="E158" s="21">
        <f ca="1">IF(C158=0,NA(),SUM(C$2:C158)/100000000)</f>
        <v>27609.098312999999</v>
      </c>
      <c r="F158" s="21">
        <f t="shared" ca="1" si="2"/>
        <v>7905.1504719999975</v>
      </c>
    </row>
    <row r="159" spans="1:6">
      <c r="A159" s="51">
        <v>0.56666666666667098</v>
      </c>
      <c r="B159" s="21">
        <f>沪市成交情况!B161+深市成交情况!B161</f>
        <v>6244189000</v>
      </c>
      <c r="C159" s="21">
        <f ca="1">IF(沪深两市成交分析!$E$7&lt;&gt;TODAY(),沪市成交情况!D161+深市成交情况!D161,IF(NOW()-TODAY()-A159&gt;0.0007,沪市成交情况!D161+深市成交情况!D161,0))</f>
        <v>7343550700</v>
      </c>
      <c r="D159" s="21">
        <f>SUM(B$2:B159)/100000000</f>
        <v>19766.389730999999</v>
      </c>
      <c r="E159" s="21">
        <f ca="1">IF(C159=0,NA(),SUM(C$2:C159)/100000000)</f>
        <v>27682.533820000001</v>
      </c>
      <c r="F159" s="21">
        <f t="shared" ca="1" si="2"/>
        <v>7916.1440890000013</v>
      </c>
    </row>
    <row r="160" spans="1:6">
      <c r="A160" s="51">
        <v>0.56736111111111498</v>
      </c>
      <c r="B160" s="21">
        <f>沪市成交情况!B162+深市成交情况!B162</f>
        <v>6424860200</v>
      </c>
      <c r="C160" s="21">
        <f ca="1">IF(沪深两市成交分析!$E$7&lt;&gt;TODAY(),沪市成交情况!D162+深市成交情况!D162,IF(NOW()-TODAY()-A160&gt;0.0007,沪市成交情况!D162+深市成交情况!D162,0))</f>
        <v>6088638100</v>
      </c>
      <c r="D160" s="21">
        <f>SUM(B$2:B160)/100000000</f>
        <v>19830.638332999999</v>
      </c>
      <c r="E160" s="21">
        <f ca="1">IF(C160=0,NA(),SUM(C$2:C160)/100000000)</f>
        <v>27743.420201000001</v>
      </c>
      <c r="F160" s="21">
        <f t="shared" ca="1" si="2"/>
        <v>7912.7818680000019</v>
      </c>
    </row>
    <row r="161" spans="1:6">
      <c r="A161" s="51">
        <v>0.56805555555555998</v>
      </c>
      <c r="B161" s="21">
        <f>沪市成交情况!B163+深市成交情况!B163</f>
        <v>6211487500</v>
      </c>
      <c r="C161" s="21">
        <f ca="1">IF(沪深两市成交分析!$E$7&lt;&gt;TODAY(),沪市成交情况!D163+深市成交情况!D163,IF(NOW()-TODAY()-A161&gt;0.0007,沪市成交情况!D163+深市成交情况!D163,0))</f>
        <v>6808555100</v>
      </c>
      <c r="D161" s="21">
        <f>SUM(B$2:B161)/100000000</f>
        <v>19892.753207999998</v>
      </c>
      <c r="E161" s="21">
        <f ca="1">IF(C161=0,NA(),SUM(C$2:C161)/100000000)</f>
        <v>27811.505752000001</v>
      </c>
      <c r="F161" s="21">
        <f t="shared" ca="1" si="2"/>
        <v>7918.7525440000027</v>
      </c>
    </row>
    <row r="162" spans="1:6">
      <c r="A162" s="51">
        <v>0.56875000000000397</v>
      </c>
      <c r="B162" s="21">
        <f>沪市成交情况!B164+深市成交情况!B164</f>
        <v>6347489000</v>
      </c>
      <c r="C162" s="21">
        <f ca="1">IF(沪深两市成交分析!$E$7&lt;&gt;TODAY(),沪市成交情况!D164+深市成交情况!D164,IF(NOW()-TODAY()-A162&gt;0.0007,沪市成交情况!D164+深市成交情况!D164,0))</f>
        <v>6742252500</v>
      </c>
      <c r="D162" s="21">
        <f>SUM(B$2:B162)/100000000</f>
        <v>19956.228098</v>
      </c>
      <c r="E162" s="21">
        <f ca="1">IF(C162=0,NA(),SUM(C$2:C162)/100000000)</f>
        <v>27878.928276999999</v>
      </c>
      <c r="F162" s="21">
        <f t="shared" ca="1" si="2"/>
        <v>7922.7001789999995</v>
      </c>
    </row>
    <row r="163" spans="1:6">
      <c r="A163" s="51">
        <v>0.56944444444444897</v>
      </c>
      <c r="B163" s="21">
        <f>沪市成交情况!B165+深市成交情况!B165</f>
        <v>7110829800</v>
      </c>
      <c r="C163" s="21">
        <f ca="1">IF(沪深两市成交分析!$E$7&lt;&gt;TODAY(),沪市成交情况!D165+深市成交情况!D165,IF(NOW()-TODAY()-A163&gt;0.0007,沪市成交情况!D165+深市成交情况!D165,0))</f>
        <v>7585083300</v>
      </c>
      <c r="D163" s="21">
        <f>SUM(B$2:B163)/100000000</f>
        <v>20027.336395999999</v>
      </c>
      <c r="E163" s="21">
        <f ca="1">IF(C163=0,NA(),SUM(C$2:C163)/100000000)</f>
        <v>27954.779109999999</v>
      </c>
      <c r="F163" s="21">
        <f t="shared" ca="1" si="2"/>
        <v>7927.4427140000007</v>
      </c>
    </row>
    <row r="164" spans="1:6">
      <c r="A164" s="51">
        <v>0.57013888888889297</v>
      </c>
      <c r="B164" s="21">
        <f>沪市成交情况!B166+深市成交情况!B166</f>
        <v>7233882900</v>
      </c>
      <c r="C164" s="21">
        <f ca="1">IF(沪深两市成交分析!$E$7&lt;&gt;TODAY(),沪市成交情况!D166+深市成交情况!D166,IF(NOW()-TODAY()-A164&gt;0.0007,沪市成交情况!D166+深市成交情况!D166,0))</f>
        <v>7642121100</v>
      </c>
      <c r="D164" s="21">
        <f>SUM(B$2:B164)/100000000</f>
        <v>20099.675224999999</v>
      </c>
      <c r="E164" s="21">
        <f ca="1">IF(C164=0,NA(),SUM(C$2:C164)/100000000)</f>
        <v>28031.200321</v>
      </c>
      <c r="F164" s="21">
        <f t="shared" ca="1" si="2"/>
        <v>7931.5250960000012</v>
      </c>
    </row>
    <row r="165" spans="1:6">
      <c r="A165" s="51">
        <v>0.57083333333333797</v>
      </c>
      <c r="B165" s="21">
        <f>沪市成交情况!B167+深市成交情况!B167</f>
        <v>6432243800</v>
      </c>
      <c r="C165" s="21">
        <f ca="1">IF(沪深两市成交分析!$E$7&lt;&gt;TODAY(),沪市成交情况!D167+深市成交情况!D167,IF(NOW()-TODAY()-A165&gt;0.0007,沪市成交情况!D167+深市成交情况!D167,0))</f>
        <v>6848147900</v>
      </c>
      <c r="D165" s="21">
        <f>SUM(B$2:B165)/100000000</f>
        <v>20163.997662999998</v>
      </c>
      <c r="E165" s="21">
        <f ca="1">IF(C165=0,NA(),SUM(C$2:C165)/100000000)</f>
        <v>28099.681799999998</v>
      </c>
      <c r="F165" s="21">
        <f t="shared" ca="1" si="2"/>
        <v>7935.6841370000002</v>
      </c>
    </row>
    <row r="166" spans="1:6">
      <c r="A166" s="51">
        <v>0.57152777777778196</v>
      </c>
      <c r="B166" s="21">
        <f>沪市成交情况!B168+深市成交情况!B168</f>
        <v>6376457300</v>
      </c>
      <c r="C166" s="21">
        <f ca="1">IF(沪深两市成交分析!$E$7&lt;&gt;TODAY(),沪市成交情况!D168+深市成交情况!D168,IF(NOW()-TODAY()-A166&gt;0.0007,沪市成交情况!D168+深市成交情况!D168,0))</f>
        <v>6263517100</v>
      </c>
      <c r="D166" s="21">
        <f>SUM(B$2:B166)/100000000</f>
        <v>20227.762235999999</v>
      </c>
      <c r="E166" s="21">
        <f ca="1">IF(C166=0,NA(),SUM(C$2:C166)/100000000)</f>
        <v>28162.316971</v>
      </c>
      <c r="F166" s="21">
        <f t="shared" ca="1" si="2"/>
        <v>7934.5547350000015</v>
      </c>
    </row>
    <row r="167" spans="1:6">
      <c r="A167" s="51">
        <v>0.57222222222222696</v>
      </c>
      <c r="B167" s="21">
        <f>沪市成交情况!B169+深市成交情况!B169</f>
        <v>7057007100</v>
      </c>
      <c r="C167" s="21">
        <f ca="1">IF(沪深两市成交分析!$E$7&lt;&gt;TODAY(),沪市成交情况!D169+深市成交情况!D169,IF(NOW()-TODAY()-A167&gt;0.0007,沪市成交情况!D169+深市成交情况!D169,0))</f>
        <v>5146723100</v>
      </c>
      <c r="D167" s="21">
        <f>SUM(B$2:B167)/100000000</f>
        <v>20298.332307000001</v>
      </c>
      <c r="E167" s="21">
        <f ca="1">IF(C167=0,NA(),SUM(C$2:C167)/100000000)</f>
        <v>28213.784201999999</v>
      </c>
      <c r="F167" s="21">
        <f t="shared" ca="1" si="2"/>
        <v>7915.4518949999983</v>
      </c>
    </row>
    <row r="168" spans="1:6">
      <c r="A168" s="51">
        <v>0.57291666666667196</v>
      </c>
      <c r="B168" s="21">
        <f>沪市成交情况!B170+深市成交情况!B170</f>
        <v>7752220100</v>
      </c>
      <c r="C168" s="21">
        <f ca="1">IF(沪深两市成交分析!$E$7&lt;&gt;TODAY(),沪市成交情况!D170+深市成交情况!D170,IF(NOW()-TODAY()-A168&gt;0.0007,沪市成交情况!D170+深市成交情况!D170,0))</f>
        <v>5662163700</v>
      </c>
      <c r="D168" s="21">
        <f>SUM(B$2:B168)/100000000</f>
        <v>20375.854508</v>
      </c>
      <c r="E168" s="21">
        <f ca="1">IF(C168=0,NA(),SUM(C$2:C168)/100000000)</f>
        <v>28270.405838999999</v>
      </c>
      <c r="F168" s="21">
        <f t="shared" ca="1" si="2"/>
        <v>7894.5513309999988</v>
      </c>
    </row>
    <row r="169" spans="1:6">
      <c r="A169" s="51">
        <v>0.57361111111111596</v>
      </c>
      <c r="B169" s="21">
        <f>沪市成交情况!B171+深市成交情况!B171</f>
        <v>5970787700</v>
      </c>
      <c r="C169" s="21">
        <f ca="1">IF(沪深两市成交分析!$E$7&lt;&gt;TODAY(),沪市成交情况!D171+深市成交情况!D171,IF(NOW()-TODAY()-A169&gt;0.0007,沪市成交情况!D171+深市成交情况!D171,0))</f>
        <v>5611486600</v>
      </c>
      <c r="D169" s="21">
        <f>SUM(B$2:B169)/100000000</f>
        <v>20435.562385000001</v>
      </c>
      <c r="E169" s="21">
        <f ca="1">IF(C169=0,NA(),SUM(C$2:C169)/100000000)</f>
        <v>28326.520704999999</v>
      </c>
      <c r="F169" s="21">
        <f t="shared" ca="1" si="2"/>
        <v>7890.9583199999979</v>
      </c>
    </row>
    <row r="170" spans="1:6">
      <c r="A170" s="51">
        <v>0.57430555555556095</v>
      </c>
      <c r="B170" s="21">
        <f>沪市成交情况!B172+深市成交情况!B172</f>
        <v>6254974600</v>
      </c>
      <c r="C170" s="21">
        <f ca="1">IF(沪深两市成交分析!$E$7&lt;&gt;TODAY(),沪市成交情况!D172+深市成交情况!D172,IF(NOW()-TODAY()-A170&gt;0.0007,沪市成交情况!D172+深市成交情况!D172,0))</f>
        <v>6383753000</v>
      </c>
      <c r="D170" s="21">
        <f>SUM(B$2:B170)/100000000</f>
        <v>20498.112131000002</v>
      </c>
      <c r="E170" s="21">
        <f ca="1">IF(C170=0,NA(),SUM(C$2:C170)/100000000)</f>
        <v>28390.358235</v>
      </c>
      <c r="F170" s="21">
        <f t="shared" ca="1" si="2"/>
        <v>7892.246103999998</v>
      </c>
    </row>
    <row r="171" spans="1:6">
      <c r="A171" s="51">
        <v>0.57500000000000495</v>
      </c>
      <c r="B171" s="21">
        <f>沪市成交情况!B173+深市成交情况!B173</f>
        <v>6835625500</v>
      </c>
      <c r="C171" s="21">
        <f ca="1">IF(沪深两市成交分析!$E$7&lt;&gt;TODAY(),沪市成交情况!D173+深市成交情况!D173,IF(NOW()-TODAY()-A171&gt;0.0007,沪市成交情况!D173+深市成交情况!D173,0))</f>
        <v>5550852800</v>
      </c>
      <c r="D171" s="21">
        <f>SUM(B$2:B171)/100000000</f>
        <v>20566.468386</v>
      </c>
      <c r="E171" s="21">
        <f ca="1">IF(C171=0,NA(),SUM(C$2:C171)/100000000)</f>
        <v>28445.866763000002</v>
      </c>
      <c r="F171" s="21">
        <f t="shared" ca="1" si="2"/>
        <v>7879.3983770000013</v>
      </c>
    </row>
    <row r="172" spans="1:6">
      <c r="A172" s="51">
        <v>0.57569444444444995</v>
      </c>
      <c r="B172" s="21">
        <f>沪市成交情况!B174+深市成交情况!B174</f>
        <v>7079504500</v>
      </c>
      <c r="C172" s="21">
        <f ca="1">IF(沪深两市成交分析!$E$7&lt;&gt;TODAY(),沪市成交情况!D174+深市成交情况!D174,IF(NOW()-TODAY()-A172&gt;0.0007,沪市成交情况!D174+深市成交情况!D174,0))</f>
        <v>6152886900</v>
      </c>
      <c r="D172" s="21">
        <f>SUM(B$2:B172)/100000000</f>
        <v>20637.263430999999</v>
      </c>
      <c r="E172" s="21">
        <f ca="1">IF(C172=0,NA(),SUM(C$2:C172)/100000000)</f>
        <v>28507.395632</v>
      </c>
      <c r="F172" s="21">
        <f t="shared" ca="1" si="2"/>
        <v>7870.1322010000004</v>
      </c>
    </row>
    <row r="173" spans="1:6">
      <c r="A173" s="51">
        <v>0.57638888888889395</v>
      </c>
      <c r="B173" s="21">
        <f>沪市成交情况!B175+深市成交情况!B175</f>
        <v>7284345500</v>
      </c>
      <c r="C173" s="21">
        <f ca="1">IF(沪深两市成交分析!$E$7&lt;&gt;TODAY(),沪市成交情况!D175+深市成交情况!D175,IF(NOW()-TODAY()-A173&gt;0.0007,沪市成交情况!D175+深市成交情况!D175,0))</f>
        <v>6091727500</v>
      </c>
      <c r="D173" s="21">
        <f>SUM(B$2:B173)/100000000</f>
        <v>20710.106886000001</v>
      </c>
      <c r="E173" s="21">
        <f ca="1">IF(C173=0,NA(),SUM(C$2:C173)/100000000)</f>
        <v>28568.312907</v>
      </c>
      <c r="F173" s="21">
        <f t="shared" ca="1" si="2"/>
        <v>7858.2060209999981</v>
      </c>
    </row>
    <row r="174" spans="1:6">
      <c r="A174" s="51">
        <v>0.57708333333333905</v>
      </c>
      <c r="B174" s="21">
        <f>沪市成交情况!B176+深市成交情况!B176</f>
        <v>6474581600</v>
      </c>
      <c r="C174" s="21">
        <f ca="1">IF(沪深两市成交分析!$E$7&lt;&gt;TODAY(),沪市成交情况!D176+深市成交情况!D176,IF(NOW()-TODAY()-A174&gt;0.0007,沪市成交情况!D176+深市成交情况!D176,0))</f>
        <v>6475220700</v>
      </c>
      <c r="D174" s="21">
        <f>SUM(B$2:B174)/100000000</f>
        <v>20774.852702</v>
      </c>
      <c r="E174" s="21">
        <f ca="1">IF(C174=0,NA(),SUM(C$2:C174)/100000000)</f>
        <v>28633.065114000001</v>
      </c>
      <c r="F174" s="21">
        <f t="shared" ca="1" si="2"/>
        <v>7858.2124120000008</v>
      </c>
    </row>
    <row r="175" spans="1:6">
      <c r="A175" s="51">
        <v>0.57777777777778305</v>
      </c>
      <c r="B175" s="21">
        <f>沪市成交情况!B177+深市成交情况!B177</f>
        <v>6004936900</v>
      </c>
      <c r="C175" s="21">
        <f ca="1">IF(沪深两市成交分析!$E$7&lt;&gt;TODAY(),沪市成交情况!D177+深市成交情况!D177,IF(NOW()-TODAY()-A175&gt;0.0007,沪市成交情况!D177+深市成交情况!D177,0))</f>
        <v>7017156600</v>
      </c>
      <c r="D175" s="21">
        <f>SUM(B$2:B175)/100000000</f>
        <v>20834.902071</v>
      </c>
      <c r="E175" s="21">
        <f ca="1">IF(C175=0,NA(),SUM(C$2:C175)/100000000)</f>
        <v>28703.236680000002</v>
      </c>
      <c r="F175" s="21">
        <f t="shared" ca="1" si="2"/>
        <v>7868.3346090000014</v>
      </c>
    </row>
    <row r="176" spans="1:6">
      <c r="A176" s="51">
        <v>0.57847222222222805</v>
      </c>
      <c r="B176" s="21">
        <f>沪市成交情况!B178+深市成交情况!B178</f>
        <v>6052949400</v>
      </c>
      <c r="C176" s="21">
        <f ca="1">IF(沪深两市成交分析!$E$7&lt;&gt;TODAY(),沪市成交情况!D178+深市成交情况!D178,IF(NOW()-TODAY()-A176&gt;0.0007,沪市成交情况!D178+深市成交情况!D178,0))</f>
        <v>6712014100</v>
      </c>
      <c r="D176" s="21">
        <f>SUM(B$2:B176)/100000000</f>
        <v>20895.431564999999</v>
      </c>
      <c r="E176" s="21">
        <f ca="1">IF(C176=0,NA(),SUM(C$2:C176)/100000000)</f>
        <v>28770.356821000001</v>
      </c>
      <c r="F176" s="21">
        <f t="shared" ca="1" si="2"/>
        <v>7874.9252560000023</v>
      </c>
    </row>
    <row r="177" spans="1:6">
      <c r="A177" s="51">
        <v>0.57916666666667205</v>
      </c>
      <c r="B177" s="21">
        <f>沪市成交情况!B179+深市成交情况!B179</f>
        <v>6028852800</v>
      </c>
      <c r="C177" s="21">
        <f ca="1">IF(沪深两市成交分析!$E$7&lt;&gt;TODAY(),沪市成交情况!D179+深市成交情况!D179,IF(NOW()-TODAY()-A177&gt;0.0007,沪市成交情况!D179+深市成交情况!D179,0))</f>
        <v>7761643500</v>
      </c>
      <c r="D177" s="21">
        <f>SUM(B$2:B177)/100000000</f>
        <v>20955.720093</v>
      </c>
      <c r="E177" s="21">
        <f ca="1">IF(C177=0,NA(),SUM(C$2:C177)/100000000)</f>
        <v>28847.973256000001</v>
      </c>
      <c r="F177" s="21">
        <f t="shared" ca="1" si="2"/>
        <v>7892.2531630000012</v>
      </c>
    </row>
    <row r="178" spans="1:6">
      <c r="A178" s="51">
        <v>0.57986111111111704</v>
      </c>
      <c r="B178" s="21">
        <f>沪市成交情况!B180+深市成交情况!B180</f>
        <v>6082379300</v>
      </c>
      <c r="C178" s="21">
        <f ca="1">IF(沪深两市成交分析!$E$7&lt;&gt;TODAY(),沪市成交情况!D180+深市成交情况!D180,IF(NOW()-TODAY()-A178&gt;0.0007,沪市成交情况!D180+深市成交情况!D180,0))</f>
        <v>8083725200</v>
      </c>
      <c r="D178" s="21">
        <f>SUM(B$2:B178)/100000000</f>
        <v>21016.543885999999</v>
      </c>
      <c r="E178" s="21">
        <f ca="1">IF(C178=0,NA(),SUM(C$2:C178)/100000000)</f>
        <v>28928.810507999999</v>
      </c>
      <c r="F178" s="21">
        <f t="shared" ca="1" si="2"/>
        <v>7912.2666219999992</v>
      </c>
    </row>
    <row r="179" spans="1:6">
      <c r="A179" s="51">
        <v>0.58055555555556204</v>
      </c>
      <c r="B179" s="21">
        <f>沪市成交情况!B181+深市成交情况!B181</f>
        <v>6083835500</v>
      </c>
      <c r="C179" s="21">
        <f ca="1">IF(沪深两市成交分析!$E$7&lt;&gt;TODAY(),沪市成交情况!D181+深市成交情况!D181,IF(NOW()-TODAY()-A179&gt;0.0007,沪市成交情况!D181+深市成交情况!D181,0))</f>
        <v>7979887000</v>
      </c>
      <c r="D179" s="21">
        <f>SUM(B$2:B179)/100000000</f>
        <v>21077.382240999999</v>
      </c>
      <c r="E179" s="21">
        <f ca="1">IF(C179=0,NA(),SUM(C$2:C179)/100000000)</f>
        <v>29008.609378000001</v>
      </c>
      <c r="F179" s="21">
        <f t="shared" ca="1" si="2"/>
        <v>7931.2271370000017</v>
      </c>
    </row>
    <row r="180" spans="1:6">
      <c r="A180" s="51">
        <v>0.58125000000000604</v>
      </c>
      <c r="B180" s="21">
        <f>沪市成交情况!B182+深市成交情况!B182</f>
        <v>6066578600</v>
      </c>
      <c r="C180" s="21">
        <f ca="1">IF(沪深两市成交分析!$E$7&lt;&gt;TODAY(),沪市成交情况!D182+深市成交情况!D182,IF(NOW()-TODAY()-A180&gt;0.0007,沪市成交情况!D182+深市成交情况!D182,0))</f>
        <v>7603489900</v>
      </c>
      <c r="D180" s="21">
        <f>SUM(B$2:B180)/100000000</f>
        <v>21138.048027000001</v>
      </c>
      <c r="E180" s="21">
        <f ca="1">IF(C180=0,NA(),SUM(C$2:C180)/100000000)</f>
        <v>29084.644276999999</v>
      </c>
      <c r="F180" s="21">
        <f t="shared" ca="1" si="2"/>
        <v>7946.5962499999987</v>
      </c>
    </row>
    <row r="181" spans="1:6">
      <c r="A181" s="51">
        <v>0.58194444444445104</v>
      </c>
      <c r="B181" s="21">
        <f>沪市成交情况!B183+深市成交情况!B183</f>
        <v>6460837100</v>
      </c>
      <c r="C181" s="21">
        <f ca="1">IF(沪深两市成交分析!$E$7&lt;&gt;TODAY(),沪市成交情况!D183+深市成交情况!D183,IF(NOW()-TODAY()-A181&gt;0.0007,沪市成交情况!D183+深市成交情况!D183,0))</f>
        <v>6827968800</v>
      </c>
      <c r="D181" s="21">
        <f>SUM(B$2:B181)/100000000</f>
        <v>21202.656397999999</v>
      </c>
      <c r="E181" s="21">
        <f ca="1">IF(C181=0,NA(),SUM(C$2:C181)/100000000)</f>
        <v>29152.923965000002</v>
      </c>
      <c r="F181" s="21">
        <f t="shared" ca="1" si="2"/>
        <v>7950.2675670000026</v>
      </c>
    </row>
    <row r="182" spans="1:6">
      <c r="A182" s="51">
        <v>0.58263888888889503</v>
      </c>
      <c r="B182" s="21">
        <f>沪市成交情况!B184+深市成交情况!B184</f>
        <v>6742855000</v>
      </c>
      <c r="C182" s="21">
        <f ca="1">IF(沪深两市成交分析!$E$7&lt;&gt;TODAY(),沪市成交情况!D184+深市成交情况!D184,IF(NOW()-TODAY()-A182&gt;0.0007,沪市成交情况!D184+深市成交情况!D184,0))</f>
        <v>6788402800</v>
      </c>
      <c r="D182" s="21">
        <f>SUM(B$2:B182)/100000000</f>
        <v>21270.084948</v>
      </c>
      <c r="E182" s="21">
        <f ca="1">IF(C182=0,NA(),SUM(C$2:C182)/100000000)</f>
        <v>29220.807992999999</v>
      </c>
      <c r="F182" s="21">
        <f t="shared" ca="1" si="2"/>
        <v>7950.7230449999988</v>
      </c>
    </row>
    <row r="183" spans="1:6">
      <c r="A183" s="51">
        <v>0.58333333333334003</v>
      </c>
      <c r="B183" s="21">
        <f>沪市成交情况!B185+深市成交情况!B185</f>
        <v>6671756700</v>
      </c>
      <c r="C183" s="21">
        <f ca="1">IF(沪深两市成交分析!$E$7&lt;&gt;TODAY(),沪市成交情况!D185+深市成交情况!D185,IF(NOW()-TODAY()-A183&gt;0.0007,沪市成交情况!D185+深市成交情况!D185,0))</f>
        <v>7394344400</v>
      </c>
      <c r="D183" s="21">
        <f>SUM(B$2:B183)/100000000</f>
        <v>21336.802514999999</v>
      </c>
      <c r="E183" s="21">
        <f ca="1">IF(C183=0,NA(),SUM(C$2:C183)/100000000)</f>
        <v>29294.751436999999</v>
      </c>
      <c r="F183" s="21">
        <f t="shared" ca="1" si="2"/>
        <v>7957.9489219999996</v>
      </c>
    </row>
    <row r="184" spans="1:6">
      <c r="A184" s="51">
        <v>0.58402777777778403</v>
      </c>
      <c r="B184" s="21">
        <f>沪市成交情况!B186+深市成交情况!B186</f>
        <v>6311565900</v>
      </c>
      <c r="C184" s="21">
        <f ca="1">IF(沪深两市成交分析!$E$7&lt;&gt;TODAY(),沪市成交情况!D186+深市成交情况!D186,IF(NOW()-TODAY()-A184&gt;0.0007,沪市成交情况!D186+深市成交情况!D186,0))</f>
        <v>7532877400</v>
      </c>
      <c r="D184" s="21">
        <f>SUM(B$2:B184)/100000000</f>
        <v>21399.918173999999</v>
      </c>
      <c r="E184" s="21">
        <f ca="1">IF(C184=0,NA(),SUM(C$2:C184)/100000000)</f>
        <v>29370.080211</v>
      </c>
      <c r="F184" s="21">
        <f t="shared" ca="1" si="2"/>
        <v>7970.1620370000019</v>
      </c>
    </row>
    <row r="185" spans="1:6">
      <c r="A185" s="51">
        <v>0.58472222222222903</v>
      </c>
      <c r="B185" s="21">
        <f>沪市成交情况!B187+深市成交情况!B187</f>
        <v>6353360100</v>
      </c>
      <c r="C185" s="21">
        <f ca="1">IF(沪深两市成交分析!$E$7&lt;&gt;TODAY(),沪市成交情况!D187+深市成交情况!D187,IF(NOW()-TODAY()-A185&gt;0.0007,沪市成交情况!D187+深市成交情况!D187,0))</f>
        <v>7332414700</v>
      </c>
      <c r="D185" s="21">
        <f>SUM(B$2:B185)/100000000</f>
        <v>21463.451775000001</v>
      </c>
      <c r="E185" s="21">
        <f ca="1">IF(C185=0,NA(),SUM(C$2:C185)/100000000)</f>
        <v>29443.404358</v>
      </c>
      <c r="F185" s="21">
        <f t="shared" ca="1" si="2"/>
        <v>7979.9525829999984</v>
      </c>
    </row>
    <row r="186" spans="1:6">
      <c r="A186" s="51">
        <v>0.58541666666667302</v>
      </c>
      <c r="B186" s="21">
        <f>沪市成交情况!B188+深市成交情况!B188</f>
        <v>5993601400</v>
      </c>
      <c r="C186" s="21">
        <f ca="1">IF(沪深两市成交分析!$E$7&lt;&gt;TODAY(),沪市成交情况!D188+深市成交情况!D188,IF(NOW()-TODAY()-A186&gt;0.0007,沪市成交情况!D188+深市成交情况!D188,0))</f>
        <v>5979505400</v>
      </c>
      <c r="D186" s="21">
        <f>SUM(B$2:B186)/100000000</f>
        <v>21523.387789</v>
      </c>
      <c r="E186" s="21">
        <f ca="1">IF(C186=0,NA(),SUM(C$2:C186)/100000000)</f>
        <v>29503.199412000002</v>
      </c>
      <c r="F186" s="21">
        <f t="shared" ca="1" si="2"/>
        <v>7979.8116230000014</v>
      </c>
    </row>
    <row r="187" spans="1:6">
      <c r="A187" s="51">
        <v>0.58611111111111802</v>
      </c>
      <c r="B187" s="21">
        <f>沪市成交情况!B189+深市成交情况!B189</f>
        <v>6107043900</v>
      </c>
      <c r="C187" s="21">
        <f ca="1">IF(沪深两市成交分析!$E$7&lt;&gt;TODAY(),沪市成交情况!D189+深市成交情况!D189,IF(NOW()-TODAY()-A187&gt;0.0007,沪市成交情况!D189+深市成交情况!D189,0))</f>
        <v>6343213000</v>
      </c>
      <c r="D187" s="21">
        <f>SUM(B$2:B187)/100000000</f>
        <v>21584.458228</v>
      </c>
      <c r="E187" s="21">
        <f ca="1">IF(C187=0,NA(),SUM(C$2:C187)/100000000)</f>
        <v>29566.631541999999</v>
      </c>
      <c r="F187" s="21">
        <f t="shared" ca="1" si="2"/>
        <v>7982.1733139999997</v>
      </c>
    </row>
    <row r="188" spans="1:6">
      <c r="A188" s="51">
        <v>0.58680555555556302</v>
      </c>
      <c r="B188" s="21">
        <f>沪市成交情况!B190+深市成交情况!B190</f>
        <v>6419573400</v>
      </c>
      <c r="C188" s="21">
        <f ca="1">IF(沪深两市成交分析!$E$7&lt;&gt;TODAY(),沪市成交情况!D190+深市成交情况!D190,IF(NOW()-TODAY()-A188&gt;0.0007,沪市成交情况!D190+深市成交情况!D190,0))</f>
        <v>4994012100</v>
      </c>
      <c r="D188" s="21">
        <f>SUM(B$2:B188)/100000000</f>
        <v>21648.653962</v>
      </c>
      <c r="E188" s="21">
        <f ca="1">IF(C188=0,NA(),SUM(C$2:C188)/100000000)</f>
        <v>29616.571662999999</v>
      </c>
      <c r="F188" s="21">
        <f t="shared" ca="1" si="2"/>
        <v>7967.9177009999985</v>
      </c>
    </row>
    <row r="189" spans="1:6">
      <c r="A189" s="51">
        <v>0.58750000000000702</v>
      </c>
      <c r="B189" s="21">
        <f>沪市成交情况!B191+深市成交情况!B191</f>
        <v>6601884000</v>
      </c>
      <c r="C189" s="21">
        <f ca="1">IF(沪深两市成交分析!$E$7&lt;&gt;TODAY(),沪市成交情况!D191+深市成交情况!D191,IF(NOW()-TODAY()-A189&gt;0.0007,沪市成交情况!D191+深市成交情况!D191,0))</f>
        <v>5216259900</v>
      </c>
      <c r="D189" s="21">
        <f>SUM(B$2:B189)/100000000</f>
        <v>21714.672802000001</v>
      </c>
      <c r="E189" s="21">
        <f ca="1">IF(C189=0,NA(),SUM(C$2:C189)/100000000)</f>
        <v>29668.734262000002</v>
      </c>
      <c r="F189" s="21">
        <f t="shared" ca="1" si="2"/>
        <v>7954.0614600000008</v>
      </c>
    </row>
    <row r="190" spans="1:6">
      <c r="A190" s="51">
        <v>0.58819444444445201</v>
      </c>
      <c r="B190" s="21">
        <f>沪市成交情况!B192+深市成交情况!B192</f>
        <v>6423378100</v>
      </c>
      <c r="C190" s="21">
        <f ca="1">IF(沪深两市成交分析!$E$7&lt;&gt;TODAY(),沪市成交情况!D192+深市成交情况!D192,IF(NOW()-TODAY()-A190&gt;0.0007,沪市成交情况!D192+深市成交情况!D192,0))</f>
        <v>4978455800</v>
      </c>
      <c r="D190" s="21">
        <f>SUM(B$2:B190)/100000000</f>
        <v>21778.906583</v>
      </c>
      <c r="E190" s="21">
        <f ca="1">IF(C190=0,NA(),SUM(C$2:C190)/100000000)</f>
        <v>29718.518820000001</v>
      </c>
      <c r="F190" s="21">
        <f t="shared" ca="1" si="2"/>
        <v>7939.6122370000012</v>
      </c>
    </row>
    <row r="191" spans="1:6">
      <c r="A191" s="51">
        <v>0.58888888888889601</v>
      </c>
      <c r="B191" s="21">
        <f>沪市成交情况!B193+深市成交情况!B193</f>
        <v>6022836100</v>
      </c>
      <c r="C191" s="21">
        <f ca="1">IF(沪深两市成交分析!$E$7&lt;&gt;TODAY(),沪市成交情况!D193+深市成交情况!D193,IF(NOW()-TODAY()-A191&gt;0.0007,沪市成交情况!D193+深市成交情况!D193,0))</f>
        <v>4689806000</v>
      </c>
      <c r="D191" s="21">
        <f>SUM(B$2:B191)/100000000</f>
        <v>21839.134944000001</v>
      </c>
      <c r="E191" s="21">
        <f ca="1">IF(C191=0,NA(),SUM(C$2:C191)/100000000)</f>
        <v>29765.416880000001</v>
      </c>
      <c r="F191" s="21">
        <f t="shared" ca="1" si="2"/>
        <v>7926.2819359999994</v>
      </c>
    </row>
    <row r="192" spans="1:6">
      <c r="A192" s="51">
        <v>0.58958333333334101</v>
      </c>
      <c r="B192" s="21">
        <f>沪市成交情况!B194+深市成交情况!B194</f>
        <v>6165811700</v>
      </c>
      <c r="C192" s="21">
        <f ca="1">IF(沪深两市成交分析!$E$7&lt;&gt;TODAY(),沪市成交情况!D194+深市成交情况!D194,IF(NOW()-TODAY()-A192&gt;0.0007,沪市成交情况!D194+深市成交情况!D194,0))</f>
        <v>5078328800</v>
      </c>
      <c r="D192" s="21">
        <f>SUM(B$2:B192)/100000000</f>
        <v>21900.793061</v>
      </c>
      <c r="E192" s="21">
        <f ca="1">IF(C192=0,NA(),SUM(C$2:C192)/100000000)</f>
        <v>29816.200167999999</v>
      </c>
      <c r="F192" s="21">
        <f t="shared" ca="1" si="2"/>
        <v>7915.4071069999991</v>
      </c>
    </row>
    <row r="193" spans="1:6">
      <c r="A193" s="51">
        <v>0.59027777777778501</v>
      </c>
      <c r="B193" s="21">
        <f>沪市成交情况!B195+深市成交情况!B195</f>
        <v>6314019800</v>
      </c>
      <c r="C193" s="21">
        <f ca="1">IF(沪深两市成交分析!$E$7&lt;&gt;TODAY(),沪市成交情况!D195+深市成交情况!D195,IF(NOW()-TODAY()-A193&gt;0.0007,沪市成交情况!D195+深市成交情况!D195,0))</f>
        <v>4992022400</v>
      </c>
      <c r="D193" s="21">
        <f>SUM(B$2:B193)/100000000</f>
        <v>21963.933259000001</v>
      </c>
      <c r="E193" s="21">
        <f ca="1">IF(C193=0,NA(),SUM(C$2:C193)/100000000)</f>
        <v>29866.120392000001</v>
      </c>
      <c r="F193" s="21">
        <f t="shared" ca="1" si="2"/>
        <v>7902.1871329999994</v>
      </c>
    </row>
    <row r="194" spans="1:6">
      <c r="A194" s="51">
        <v>0.59097222222223</v>
      </c>
      <c r="B194" s="21">
        <f>沪市成交情况!B196+深市成交情况!B196</f>
        <v>6483407100</v>
      </c>
      <c r="C194" s="21">
        <f ca="1">IF(沪深两市成交分析!$E$7&lt;&gt;TODAY(),沪市成交情况!D196+深市成交情况!D196,IF(NOW()-TODAY()-A194&gt;0.0007,沪市成交情况!D196+深市成交情况!D196,0))</f>
        <v>5460475300</v>
      </c>
      <c r="D194" s="21">
        <f>SUM(B$2:B194)/100000000</f>
        <v>22028.767329999999</v>
      </c>
      <c r="E194" s="21">
        <f ca="1">IF(C194=0,NA(),SUM(C$2:C194)/100000000)</f>
        <v>29920.725145</v>
      </c>
      <c r="F194" s="21">
        <f t="shared" ca="1" si="2"/>
        <v>7891.9578150000016</v>
      </c>
    </row>
    <row r="195" spans="1:6">
      <c r="A195" s="51">
        <v>0.591666666666674</v>
      </c>
      <c r="B195" s="21">
        <f>沪市成交情况!B197+深市成交情况!B197</f>
        <v>6192607300</v>
      </c>
      <c r="C195" s="21">
        <f ca="1">IF(沪深两市成交分析!$E$7&lt;&gt;TODAY(),沪市成交情况!D197+深市成交情况!D197,IF(NOW()-TODAY()-A195&gt;0.0007,沪市成交情况!D197+深市成交情况!D197,0))</f>
        <v>5087486000</v>
      </c>
      <c r="D195" s="21">
        <f>SUM(B$2:B195)/100000000</f>
        <v>22090.693403000001</v>
      </c>
      <c r="E195" s="21">
        <f ca="1">IF(C195=0,NA(),SUM(C$2:C195)/100000000)</f>
        <v>29971.600005</v>
      </c>
      <c r="F195" s="21">
        <f t="shared" ref="F195:F242" ca="1" si="3">IF(C195=0,0,E195-D195)</f>
        <v>7880.9066019999991</v>
      </c>
    </row>
    <row r="196" spans="1:6">
      <c r="A196" s="51">
        <v>0.592361111111119</v>
      </c>
      <c r="B196" s="21">
        <f>沪市成交情况!B198+深市成交情况!B198</f>
        <v>6255275400</v>
      </c>
      <c r="C196" s="21">
        <f ca="1">IF(沪深两市成交分析!$E$7&lt;&gt;TODAY(),沪市成交情况!D198+深市成交情况!D198,IF(NOW()-TODAY()-A196&gt;0.0007,沪市成交情况!D198+深市成交情况!D198,0))</f>
        <v>5472726200</v>
      </c>
      <c r="D196" s="21">
        <f>SUM(B$2:B196)/100000000</f>
        <v>22153.246157000001</v>
      </c>
      <c r="E196" s="21">
        <f ca="1">IF(C196=0,NA(),SUM(C$2:C196)/100000000)</f>
        <v>30026.327267000001</v>
      </c>
      <c r="F196" s="21">
        <f t="shared" ca="1" si="3"/>
        <v>7873.0811099999992</v>
      </c>
    </row>
    <row r="197" spans="1:6">
      <c r="A197" s="51">
        <v>0.593055555555564</v>
      </c>
      <c r="B197" s="21">
        <f>沪市成交情况!B199+深市成交情况!B199</f>
        <v>6126305500</v>
      </c>
      <c r="C197" s="21">
        <f ca="1">IF(沪深两市成交分析!$E$7&lt;&gt;TODAY(),沪市成交情况!D199+深市成交情况!D199,IF(NOW()-TODAY()-A197&gt;0.0007,沪市成交情况!D199+深市成交情况!D199,0))</f>
        <v>5525211600</v>
      </c>
      <c r="D197" s="21">
        <f>SUM(B$2:B197)/100000000</f>
        <v>22214.509212000001</v>
      </c>
      <c r="E197" s="21">
        <f ca="1">IF(C197=0,NA(),SUM(C$2:C197)/100000000)</f>
        <v>30081.579383</v>
      </c>
      <c r="F197" s="21">
        <f t="shared" ca="1" si="3"/>
        <v>7867.0701709999994</v>
      </c>
    </row>
    <row r="198" spans="1:6">
      <c r="A198" s="51">
        <v>0.59375000000000799</v>
      </c>
      <c r="B198" s="21">
        <f>沪市成交情况!B200+深市成交情况!B200</f>
        <v>6433085600</v>
      </c>
      <c r="C198" s="21">
        <f ca="1">IF(沪深两市成交分析!$E$7&lt;&gt;TODAY(),沪市成交情况!D200+深市成交情况!D200,IF(NOW()-TODAY()-A198&gt;0.0007,沪市成交情况!D200+深市成交情况!D200,0))</f>
        <v>6340976700</v>
      </c>
      <c r="D198" s="21">
        <f>SUM(B$2:B198)/100000000</f>
        <v>22278.840068000001</v>
      </c>
      <c r="E198" s="21">
        <f ca="1">IF(C198=0,NA(),SUM(C$2:C198)/100000000)</f>
        <v>30144.989150000001</v>
      </c>
      <c r="F198" s="21">
        <f t="shared" ca="1" si="3"/>
        <v>7866.1490819999999</v>
      </c>
    </row>
    <row r="199" spans="1:6">
      <c r="A199" s="51">
        <v>0.59444444444445299</v>
      </c>
      <c r="B199" s="21">
        <f>沪市成交情况!B201+深市成交情况!B201</f>
        <v>6221624400</v>
      </c>
      <c r="C199" s="21">
        <f ca="1">IF(沪深两市成交分析!$E$7&lt;&gt;TODAY(),沪市成交情况!D201+深市成交情况!D201,IF(NOW()-TODAY()-A199&gt;0.0007,沪市成交情况!D201+深市成交情况!D201,0))</f>
        <v>6127977400</v>
      </c>
      <c r="D199" s="21">
        <f>SUM(B$2:B199)/100000000</f>
        <v>22341.056312000001</v>
      </c>
      <c r="E199" s="21">
        <f ca="1">IF(C199=0,NA(),SUM(C$2:C199)/100000000)</f>
        <v>30206.268924</v>
      </c>
      <c r="F199" s="21">
        <f t="shared" ca="1" si="3"/>
        <v>7865.2126119999994</v>
      </c>
    </row>
    <row r="200" spans="1:6">
      <c r="A200" s="51">
        <v>0.59513888888889699</v>
      </c>
      <c r="B200" s="21">
        <f>沪市成交情况!B202+深市成交情况!B202</f>
        <v>7042728400</v>
      </c>
      <c r="C200" s="21">
        <f ca="1">IF(沪深两市成交分析!$E$7&lt;&gt;TODAY(),沪市成交情况!D202+深市成交情况!D202,IF(NOW()-TODAY()-A200&gt;0.0007,沪市成交情况!D202+深市成交情况!D202,0))</f>
        <v>5690374600</v>
      </c>
      <c r="D200" s="21">
        <f>SUM(B$2:B200)/100000000</f>
        <v>22411.483595999998</v>
      </c>
      <c r="E200" s="21">
        <f ca="1">IF(C200=0,NA(),SUM(C$2:C200)/100000000)</f>
        <v>30263.17267</v>
      </c>
      <c r="F200" s="21">
        <f t="shared" ca="1" si="3"/>
        <v>7851.6890740000017</v>
      </c>
    </row>
    <row r="201" spans="1:6">
      <c r="A201" s="51">
        <v>0.59583333333334199</v>
      </c>
      <c r="B201" s="21">
        <f>沪市成交情况!B203+深市成交情况!B203</f>
        <v>7053432500</v>
      </c>
      <c r="C201" s="21">
        <f ca="1">IF(沪深两市成交分析!$E$7&lt;&gt;TODAY(),沪市成交情况!D203+深市成交情况!D203,IF(NOW()-TODAY()-A201&gt;0.0007,沪市成交情况!D203+深市成交情况!D203,0))</f>
        <v>6292897900</v>
      </c>
      <c r="D201" s="21">
        <f>SUM(B$2:B201)/100000000</f>
        <v>22482.017920999999</v>
      </c>
      <c r="E201" s="21">
        <f ca="1">IF(C201=0,NA(),SUM(C$2:C201)/100000000)</f>
        <v>30326.101649</v>
      </c>
      <c r="F201" s="21">
        <f t="shared" ca="1" si="3"/>
        <v>7844.0837280000014</v>
      </c>
    </row>
    <row r="202" spans="1:6">
      <c r="A202" s="51">
        <v>0.59652777777778598</v>
      </c>
      <c r="B202" s="21">
        <f>沪市成交情况!B204+深市成交情况!B204</f>
        <v>7969899700</v>
      </c>
      <c r="C202" s="21">
        <f ca="1">IF(沪深两市成交分析!$E$7&lt;&gt;TODAY(),沪市成交情况!D204+深市成交情况!D204,IF(NOW()-TODAY()-A202&gt;0.0007,沪市成交情况!D204+深市成交情况!D204,0))</f>
        <v>6290049400</v>
      </c>
      <c r="D202" s="21">
        <f>SUM(B$2:B202)/100000000</f>
        <v>22561.716917999998</v>
      </c>
      <c r="E202" s="21">
        <f ca="1">IF(C202=0,NA(),SUM(C$2:C202)/100000000)</f>
        <v>30389.002143000002</v>
      </c>
      <c r="F202" s="21">
        <f t="shared" ca="1" si="3"/>
        <v>7827.2852250000033</v>
      </c>
    </row>
    <row r="203" spans="1:6">
      <c r="A203" s="51">
        <v>0.59722222222223098</v>
      </c>
      <c r="B203" s="21">
        <f>沪市成交情况!B205+深市成交情况!B205</f>
        <v>9674796000</v>
      </c>
      <c r="C203" s="21">
        <f ca="1">IF(沪深两市成交分析!$E$7&lt;&gt;TODAY(),沪市成交情况!D205+深市成交情况!D205,IF(NOW()-TODAY()-A203&gt;0.0007,沪市成交情况!D205+深市成交情况!D205,0))</f>
        <v>6222826200</v>
      </c>
      <c r="D203" s="21">
        <f>SUM(B$2:B203)/100000000</f>
        <v>22658.464877999999</v>
      </c>
      <c r="E203" s="21">
        <f ca="1">IF(C203=0,NA(),SUM(C$2:C203)/100000000)</f>
        <v>30451.230404999998</v>
      </c>
      <c r="F203" s="21">
        <f t="shared" ca="1" si="3"/>
        <v>7792.7655269999996</v>
      </c>
    </row>
    <row r="204" spans="1:6">
      <c r="A204" s="51">
        <v>0.59791666666667498</v>
      </c>
      <c r="B204" s="21">
        <f>沪市成交情况!B206+深市成交情况!B206</f>
        <v>11390937500</v>
      </c>
      <c r="C204" s="21">
        <f ca="1">IF(沪深两市成交分析!$E$7&lt;&gt;TODAY(),沪市成交情况!D206+深市成交情况!D206,IF(NOW()-TODAY()-A204&gt;0.0007,沪市成交情况!D206+深市成交情况!D206,0))</f>
        <v>6197348400</v>
      </c>
      <c r="D204" s="21">
        <f>SUM(B$2:B204)/100000000</f>
        <v>22772.374253000002</v>
      </c>
      <c r="E204" s="21">
        <f ca="1">IF(C204=0,NA(),SUM(C$2:C204)/100000000)</f>
        <v>30513.203889</v>
      </c>
      <c r="F204" s="21">
        <f t="shared" ca="1" si="3"/>
        <v>7740.8296359999986</v>
      </c>
    </row>
    <row r="205" spans="1:6">
      <c r="A205" s="51">
        <v>0.59861111111111998</v>
      </c>
      <c r="B205" s="21">
        <f>沪市成交情况!B207+深市成交情况!B207</f>
        <v>11754008800</v>
      </c>
      <c r="C205" s="21">
        <f ca="1">IF(沪深两市成交分析!$E$7&lt;&gt;TODAY(),沪市成交情况!D207+深市成交情况!D207,IF(NOW()-TODAY()-A205&gt;0.0007,沪市成交情况!D207+深市成交情况!D207,0))</f>
        <v>7541457800</v>
      </c>
      <c r="D205" s="21">
        <f>SUM(B$2:B205)/100000000</f>
        <v>22889.914341</v>
      </c>
      <c r="E205" s="21">
        <f ca="1">IF(C205=0,NA(),SUM(C$2:C205)/100000000)</f>
        <v>30588.618467</v>
      </c>
      <c r="F205" s="21">
        <f t="shared" ca="1" si="3"/>
        <v>7698.7041260000005</v>
      </c>
    </row>
    <row r="206" spans="1:6">
      <c r="A206" s="51">
        <v>0.59930555555556497</v>
      </c>
      <c r="B206" s="21">
        <f>沪市成交情况!B208+深市成交情况!B208</f>
        <v>13506511100</v>
      </c>
      <c r="C206" s="21">
        <f ca="1">IF(沪深两市成交分析!$E$7&lt;&gt;TODAY(),沪市成交情况!D208+深市成交情况!D208,IF(NOW()-TODAY()-A206&gt;0.0007,沪市成交情况!D208+深市成交情况!D208,0))</f>
        <v>7666938000</v>
      </c>
      <c r="D206" s="21">
        <f>SUM(B$2:B206)/100000000</f>
        <v>23024.979452</v>
      </c>
      <c r="E206" s="21">
        <f ca="1">IF(C206=0,NA(),SUM(C$2:C206)/100000000)</f>
        <v>30665.287847</v>
      </c>
      <c r="F206" s="21">
        <f t="shared" ca="1" si="3"/>
        <v>7640.308395</v>
      </c>
    </row>
    <row r="207" spans="1:6">
      <c r="A207" s="51">
        <v>0.60000000000000897</v>
      </c>
      <c r="B207" s="21">
        <f>沪市成交情况!B209+深市成交情况!B209</f>
        <v>15827953100</v>
      </c>
      <c r="C207" s="21">
        <f ca="1">IF(沪深两市成交分析!$E$7&lt;&gt;TODAY(),沪市成交情况!D209+深市成交情况!D209,IF(NOW()-TODAY()-A207&gt;0.0007,沪市成交情况!D209+深市成交情况!D209,0))</f>
        <v>8097549900</v>
      </c>
      <c r="D207" s="21">
        <f>SUM(B$2:B207)/100000000</f>
        <v>23183.258983</v>
      </c>
      <c r="E207" s="21">
        <f ca="1">IF(C207=0,NA(),SUM(C$2:C207)/100000000)</f>
        <v>30746.263346</v>
      </c>
      <c r="F207" s="21">
        <f t="shared" ca="1" si="3"/>
        <v>7563.004363</v>
      </c>
    </row>
    <row r="208" spans="1:6">
      <c r="A208" s="51">
        <v>0.60069444444445397</v>
      </c>
      <c r="B208" s="21">
        <f>沪市成交情况!B210+深市成交情况!B210</f>
        <v>13869790700</v>
      </c>
      <c r="C208" s="21">
        <f ca="1">IF(沪深两市成交分析!$E$7&lt;&gt;TODAY(),沪市成交情况!D210+深市成交情况!D210,IF(NOW()-TODAY()-A208&gt;0.0007,沪市成交情况!D210+深市成交情况!D210,0))</f>
        <v>9392525600</v>
      </c>
      <c r="D208" s="21">
        <f>SUM(B$2:B208)/100000000</f>
        <v>23321.956890000001</v>
      </c>
      <c r="E208" s="21">
        <f ca="1">IF(C208=0,NA(),SUM(C$2:C208)/100000000)</f>
        <v>30840.188601999998</v>
      </c>
      <c r="F208" s="21">
        <f t="shared" ca="1" si="3"/>
        <v>7518.2317119999971</v>
      </c>
    </row>
    <row r="209" spans="1:6">
      <c r="A209" s="51">
        <v>0.60138888888889797</v>
      </c>
      <c r="B209" s="21">
        <f>沪市成交情况!B211+深市成交情况!B211</f>
        <v>13574329600</v>
      </c>
      <c r="C209" s="21">
        <f ca="1">IF(沪深两市成交分析!$E$7&lt;&gt;TODAY(),沪市成交情况!D211+深市成交情况!D211,IF(NOW()-TODAY()-A209&gt;0.0007,沪市成交情况!D211+深市成交情况!D211,0))</f>
        <v>10218325800</v>
      </c>
      <c r="D209" s="21">
        <f>SUM(B$2:B209)/100000000</f>
        <v>23457.700185999998</v>
      </c>
      <c r="E209" s="21">
        <f ca="1">IF(C209=0,NA(),SUM(C$2:C209)/100000000)</f>
        <v>30942.371859999999</v>
      </c>
      <c r="F209" s="21">
        <f t="shared" ca="1" si="3"/>
        <v>7484.6716740000011</v>
      </c>
    </row>
    <row r="210" spans="1:6">
      <c r="A210" s="51">
        <v>0.60208333333334296</v>
      </c>
      <c r="B210" s="21">
        <f>沪市成交情况!B212+深市成交情况!B212</f>
        <v>12302312200</v>
      </c>
      <c r="C210" s="21">
        <f ca="1">IF(沪深两市成交分析!$E$7&lt;&gt;TODAY(),沪市成交情况!D212+深市成交情况!D212,IF(NOW()-TODAY()-A210&gt;0.0007,沪市成交情况!D212+深市成交情况!D212,0))</f>
        <v>9601642600</v>
      </c>
      <c r="D210" s="21">
        <f>SUM(B$2:B210)/100000000</f>
        <v>23580.723308000001</v>
      </c>
      <c r="E210" s="21">
        <f ca="1">IF(C210=0,NA(),SUM(C$2:C210)/100000000)</f>
        <v>31038.388286000001</v>
      </c>
      <c r="F210" s="21">
        <f t="shared" ca="1" si="3"/>
        <v>7457.6649780000007</v>
      </c>
    </row>
    <row r="211" spans="1:6">
      <c r="A211" s="51">
        <v>0.60277777777778696</v>
      </c>
      <c r="B211" s="21">
        <f>沪市成交情况!B213+深市成交情况!B213</f>
        <v>9930652900</v>
      </c>
      <c r="C211" s="21">
        <f ca="1">IF(沪深两市成交分析!$E$7&lt;&gt;TODAY(),沪市成交情况!D213+深市成交情况!D213,IF(NOW()-TODAY()-A211&gt;0.0007,沪市成交情况!D213+深市成交情况!D213,0))</f>
        <v>10049791200</v>
      </c>
      <c r="D211" s="21">
        <f>SUM(B$2:B211)/100000000</f>
        <v>23680.029836999998</v>
      </c>
      <c r="E211" s="21">
        <f ca="1">IF(C211=0,NA(),SUM(C$2:C211)/100000000)</f>
        <v>31138.886198</v>
      </c>
      <c r="F211" s="21">
        <f t="shared" ca="1" si="3"/>
        <v>7458.8563610000019</v>
      </c>
    </row>
    <row r="212" spans="1:6">
      <c r="A212" s="51">
        <v>0.60347222222223196</v>
      </c>
      <c r="B212" s="21">
        <f>沪市成交情况!B214+深市成交情况!B214</f>
        <v>8838639500</v>
      </c>
      <c r="C212" s="21">
        <f ca="1">IF(沪深两市成交分析!$E$7&lt;&gt;TODAY(),沪市成交情况!D214+深市成交情况!D214,IF(NOW()-TODAY()-A212&gt;0.0007,沪市成交情况!D214+深市成交情况!D214,0))</f>
        <v>10514008300</v>
      </c>
      <c r="D212" s="21">
        <f>SUM(B$2:B212)/100000000</f>
        <v>23768.416232</v>
      </c>
      <c r="E212" s="21">
        <f ca="1">IF(C212=0,NA(),SUM(C$2:C212)/100000000)</f>
        <v>31244.026280999999</v>
      </c>
      <c r="F212" s="21">
        <f t="shared" ca="1" si="3"/>
        <v>7475.610048999999</v>
      </c>
    </row>
    <row r="213" spans="1:6">
      <c r="A213" s="51">
        <v>0.60416666666667596</v>
      </c>
      <c r="B213" s="21">
        <f>沪市成交情况!B215+深市成交情况!B215</f>
        <v>7979687300</v>
      </c>
      <c r="C213" s="21">
        <f ca="1">IF(沪深两市成交分析!$E$7&lt;&gt;TODAY(),沪市成交情况!D215+深市成交情况!D215,IF(NOW()-TODAY()-A213&gt;0.0007,沪市成交情况!D215+深市成交情况!D215,0))</f>
        <v>11033517000</v>
      </c>
      <c r="D213" s="21">
        <f>SUM(B$2:B213)/100000000</f>
        <v>23848.213104999999</v>
      </c>
      <c r="E213" s="21">
        <f ca="1">IF(C213=0,NA(),SUM(C$2:C213)/100000000)</f>
        <v>31354.361451000001</v>
      </c>
      <c r="F213" s="21">
        <f t="shared" ca="1" si="3"/>
        <v>7506.1483460000018</v>
      </c>
    </row>
    <row r="214" spans="1:6">
      <c r="A214" s="51">
        <v>0.60486111111112095</v>
      </c>
      <c r="B214" s="21">
        <f>沪市成交情况!B216+深市成交情况!B216</f>
        <v>6917666400</v>
      </c>
      <c r="C214" s="21">
        <f ca="1">IF(沪深两市成交分析!$E$7&lt;&gt;TODAY(),沪市成交情况!D216+深市成交情况!D216,IF(NOW()-TODAY()-A214&gt;0.0007,沪市成交情况!D216+深市成交情况!D216,0))</f>
        <v>10321312400</v>
      </c>
      <c r="D214" s="21">
        <f>SUM(B$2:B214)/100000000</f>
        <v>23917.389769000001</v>
      </c>
      <c r="E214" s="21">
        <f ca="1">IF(C214=0,NA(),SUM(C$2:C214)/100000000)</f>
        <v>31457.574574999999</v>
      </c>
      <c r="F214" s="21">
        <f t="shared" ca="1" si="3"/>
        <v>7540.1848059999975</v>
      </c>
    </row>
    <row r="215" spans="1:6">
      <c r="A215" s="51">
        <v>0.60555555555556595</v>
      </c>
      <c r="B215" s="21">
        <f>沪市成交情况!B217+深市成交情况!B217</f>
        <v>6976058100</v>
      </c>
      <c r="C215" s="21">
        <f ca="1">IF(沪深两市成交分析!$E$7&lt;&gt;TODAY(),沪市成交情况!D217+深市成交情况!D217,IF(NOW()-TODAY()-A215&gt;0.0007,沪市成交情况!D217+深市成交情况!D217,0))</f>
        <v>10285031000</v>
      </c>
      <c r="D215" s="21">
        <f>SUM(B$2:B215)/100000000</f>
        <v>23987.15035</v>
      </c>
      <c r="E215" s="21">
        <f ca="1">IF(C215=0,NA(),SUM(C$2:C215)/100000000)</f>
        <v>31560.424885</v>
      </c>
      <c r="F215" s="21">
        <f t="shared" ca="1" si="3"/>
        <v>7573.2745350000005</v>
      </c>
    </row>
    <row r="216" spans="1:6">
      <c r="A216" s="51">
        <v>0.60625000000000995</v>
      </c>
      <c r="B216" s="21">
        <f>沪市成交情况!B218+深市成交情况!B218</f>
        <v>6102057400</v>
      </c>
      <c r="C216" s="21">
        <f ca="1">IF(沪深两市成交分析!$E$7&lt;&gt;TODAY(),沪市成交情况!D218+深市成交情况!D218,IF(NOW()-TODAY()-A216&gt;0.0007,沪市成交情况!D218+深市成交情况!D218,0))</f>
        <v>11193530400</v>
      </c>
      <c r="D216" s="21">
        <f>SUM(B$2:B216)/100000000</f>
        <v>24048.170923999998</v>
      </c>
      <c r="E216" s="21">
        <f ca="1">IF(C216=0,NA(),SUM(C$2:C216)/100000000)</f>
        <v>31672.360188999999</v>
      </c>
      <c r="F216" s="21">
        <f t="shared" ca="1" si="3"/>
        <v>7624.1892650000009</v>
      </c>
    </row>
    <row r="217" spans="1:6">
      <c r="A217" s="51">
        <v>0.60694444444445494</v>
      </c>
      <c r="B217" s="21">
        <f>沪市成交情况!B219+深市成交情况!B219</f>
        <v>5944627400</v>
      </c>
      <c r="C217" s="21">
        <f ca="1">IF(沪深两市成交分析!$E$7&lt;&gt;TODAY(),沪市成交情况!D219+深市成交情况!D219,IF(NOW()-TODAY()-A217&gt;0.0007,沪市成交情况!D219+深市成交情况!D219,0))</f>
        <v>11284666500</v>
      </c>
      <c r="D217" s="21">
        <f>SUM(B$2:B217)/100000000</f>
        <v>24107.617198</v>
      </c>
      <c r="E217" s="21">
        <f ca="1">IF(C217=0,NA(),SUM(C$2:C217)/100000000)</f>
        <v>31785.206854</v>
      </c>
      <c r="F217" s="21">
        <f t="shared" ca="1" si="3"/>
        <v>7677.5896560000001</v>
      </c>
    </row>
    <row r="218" spans="1:6">
      <c r="A218" s="51">
        <v>0.60763888888889905</v>
      </c>
      <c r="B218" s="21">
        <f>沪市成交情况!B220+深市成交情况!B220</f>
        <v>6061860400</v>
      </c>
      <c r="C218" s="21">
        <f ca="1">IF(沪深两市成交分析!$E$7&lt;&gt;TODAY(),沪市成交情况!D220+深市成交情况!D220,IF(NOW()-TODAY()-A218&gt;0.0007,沪市成交情况!D220+深市成交情况!D220,0))</f>
        <v>9721431100</v>
      </c>
      <c r="D218" s="21">
        <f>SUM(B$2:B218)/100000000</f>
        <v>24168.235801999999</v>
      </c>
      <c r="E218" s="21">
        <f ca="1">IF(C218=0,NA(),SUM(C$2:C218)/100000000)</f>
        <v>31882.421165</v>
      </c>
      <c r="F218" s="21">
        <f t="shared" ca="1" si="3"/>
        <v>7714.1853630000005</v>
      </c>
    </row>
    <row r="219" spans="1:6">
      <c r="A219" s="51">
        <v>0.60833333333334405</v>
      </c>
      <c r="B219" s="21">
        <f>沪市成交情况!B221+深市成交情况!B221</f>
        <v>6188964600</v>
      </c>
      <c r="C219" s="21">
        <f ca="1">IF(沪深两市成交分析!$E$7&lt;&gt;TODAY(),沪市成交情况!D221+深市成交情况!D221,IF(NOW()-TODAY()-A219&gt;0.0007,沪市成交情况!D221+深市成交情况!D221,0))</f>
        <v>9130748800</v>
      </c>
      <c r="D219" s="21">
        <f>SUM(B$2:B219)/100000000</f>
        <v>24230.125447999999</v>
      </c>
      <c r="E219" s="21">
        <f ca="1">IF(C219=0,NA(),SUM(C$2:C219)/100000000)</f>
        <v>31973.728652999998</v>
      </c>
      <c r="F219" s="21">
        <f t="shared" ca="1" si="3"/>
        <v>7743.6032049999994</v>
      </c>
    </row>
    <row r="220" spans="1:6">
      <c r="A220" s="51">
        <v>0.60902777777778805</v>
      </c>
      <c r="B220" s="21">
        <f>沪市成交情况!B222+深市成交情况!B222</f>
        <v>6196774300</v>
      </c>
      <c r="C220" s="21">
        <f ca="1">IF(沪深两市成交分析!$E$7&lt;&gt;TODAY(),沪市成交情况!D222+深市成交情况!D222,IF(NOW()-TODAY()-A220&gt;0.0007,沪市成交情况!D222+深市成交情况!D222,0))</f>
        <v>9381383000</v>
      </c>
      <c r="D220" s="21">
        <f>SUM(B$2:B220)/100000000</f>
        <v>24292.093191</v>
      </c>
      <c r="E220" s="21">
        <f ca="1">IF(C220=0,NA(),SUM(C$2:C220)/100000000)</f>
        <v>32067.542483000001</v>
      </c>
      <c r="F220" s="21">
        <f t="shared" ca="1" si="3"/>
        <v>7775.4492920000012</v>
      </c>
    </row>
    <row r="221" spans="1:6">
      <c r="A221" s="51">
        <v>0.60972222222223305</v>
      </c>
      <c r="B221" s="21">
        <f>沪市成交情况!B223+深市成交情况!B223</f>
        <v>6097989400</v>
      </c>
      <c r="C221" s="21">
        <f ca="1">IF(沪深两市成交分析!$E$7&lt;&gt;TODAY(),沪市成交情况!D223+深市成交情况!D223,IF(NOW()-TODAY()-A221&gt;0.0007,沪市成交情况!D223+深市成交情况!D223,0))</f>
        <v>9442709400</v>
      </c>
      <c r="D221" s="21">
        <f>SUM(B$2:B221)/100000000</f>
        <v>24353.073085</v>
      </c>
      <c r="E221" s="21">
        <f ca="1">IF(C221=0,NA(),SUM(C$2:C221)/100000000)</f>
        <v>32161.969577</v>
      </c>
      <c r="F221" s="21">
        <f t="shared" ca="1" si="3"/>
        <v>7808.8964919999999</v>
      </c>
    </row>
    <row r="222" spans="1:6">
      <c r="A222" s="51">
        <v>0.61041666666667704</v>
      </c>
      <c r="B222" s="21">
        <f>沪市成交情况!B224+深市成交情况!B224</f>
        <v>6061947000</v>
      </c>
      <c r="C222" s="21">
        <f ca="1">IF(沪深两市成交分析!$E$7&lt;&gt;TODAY(),沪市成交情况!D224+深市成交情况!D224,IF(NOW()-TODAY()-A222&gt;0.0007,沪市成交情况!D224+深市成交情况!D224,0))</f>
        <v>9593769300</v>
      </c>
      <c r="D222" s="21">
        <f>SUM(B$2:B222)/100000000</f>
        <v>24413.692555000001</v>
      </c>
      <c r="E222" s="21">
        <f ca="1">IF(C222=0,NA(),SUM(C$2:C222)/100000000)</f>
        <v>32257.90727</v>
      </c>
      <c r="F222" s="21">
        <f t="shared" ca="1" si="3"/>
        <v>7844.2147149999983</v>
      </c>
    </row>
    <row r="223" spans="1:6">
      <c r="A223" s="51">
        <v>0.61111111111112204</v>
      </c>
      <c r="B223" s="21">
        <f>沪市成交情况!B225+深市成交情况!B225</f>
        <v>6410204800</v>
      </c>
      <c r="C223" s="21">
        <f ca="1">IF(沪深两市成交分析!$E$7&lt;&gt;TODAY(),沪市成交情况!D225+深市成交情况!D225,IF(NOW()-TODAY()-A223&gt;0.0007,沪市成交情况!D225+深市成交情况!D225,0))</f>
        <v>10752043500</v>
      </c>
      <c r="D223" s="21">
        <f>SUM(B$2:B223)/100000000</f>
        <v>24477.794602999998</v>
      </c>
      <c r="E223" s="21">
        <f ca="1">IF(C223=0,NA(),SUM(C$2:C223)/100000000)</f>
        <v>32365.427704999998</v>
      </c>
      <c r="F223" s="21">
        <f t="shared" ca="1" si="3"/>
        <v>7887.6331019999998</v>
      </c>
    </row>
    <row r="224" spans="1:6">
      <c r="A224" s="51">
        <v>0.61180555555556604</v>
      </c>
      <c r="B224" s="21">
        <f>沪市成交情况!B226+深市成交情况!B226</f>
        <v>5975437100</v>
      </c>
      <c r="C224" s="21">
        <f ca="1">IF(沪深两市成交分析!$E$7&lt;&gt;TODAY(),沪市成交情况!D226+深市成交情况!D226,IF(NOW()-TODAY()-A224&gt;0.0007,沪市成交情况!D226+深市成交情况!D226,0))</f>
        <v>10102789100</v>
      </c>
      <c r="D224" s="21">
        <f>SUM(B$2:B224)/100000000</f>
        <v>24537.548974000001</v>
      </c>
      <c r="E224" s="21">
        <f ca="1">IF(C224=0,NA(),SUM(C$2:C224)/100000000)</f>
        <v>32466.455596</v>
      </c>
      <c r="F224" s="21">
        <f t="shared" ca="1" si="3"/>
        <v>7928.9066219999986</v>
      </c>
    </row>
    <row r="225" spans="1:6">
      <c r="A225" s="51">
        <v>0.61250000000001104</v>
      </c>
      <c r="B225" s="21">
        <f>沪市成交情况!B227+深市成交情况!B227</f>
        <v>6145169200</v>
      </c>
      <c r="C225" s="21">
        <f ca="1">IF(沪深两市成交分析!$E$7&lt;&gt;TODAY(),沪市成交情况!D227+深市成交情况!D227,IF(NOW()-TODAY()-A225&gt;0.0007,沪市成交情况!D227+深市成交情况!D227,0))</f>
        <v>9967819300</v>
      </c>
      <c r="D225" s="21">
        <f>SUM(B$2:B225)/100000000</f>
        <v>24599.000666</v>
      </c>
      <c r="E225" s="21">
        <f ca="1">IF(C225=0,NA(),SUM(C$2:C225)/100000000)</f>
        <v>32566.133789</v>
      </c>
      <c r="F225" s="21">
        <f t="shared" ca="1" si="3"/>
        <v>7967.1331229999996</v>
      </c>
    </row>
    <row r="226" spans="1:6">
      <c r="A226" s="51">
        <v>0.61319444444445603</v>
      </c>
      <c r="B226" s="21">
        <f>沪市成交情况!B228+深市成交情况!B228</f>
        <v>6567906200</v>
      </c>
      <c r="C226" s="21">
        <f ca="1">IF(沪深两市成交分析!$E$7&lt;&gt;TODAY(),沪市成交情况!D228+深市成交情况!D228,IF(NOW()-TODAY()-A226&gt;0.0007,沪市成交情况!D228+深市成交情况!D228,0))</f>
        <v>9800433500</v>
      </c>
      <c r="D226" s="21">
        <f>SUM(B$2:B226)/100000000</f>
        <v>24664.679727999999</v>
      </c>
      <c r="E226" s="21">
        <f ca="1">IF(C226=0,NA(),SUM(C$2:C226)/100000000)</f>
        <v>32664.138124000001</v>
      </c>
      <c r="F226" s="21">
        <f t="shared" ca="1" si="3"/>
        <v>7999.4583960000018</v>
      </c>
    </row>
    <row r="227" spans="1:6">
      <c r="A227" s="51">
        <v>0.61388888888890003</v>
      </c>
      <c r="B227" s="21">
        <f>沪市成交情况!B229+深市成交情况!B229</f>
        <v>6715698700</v>
      </c>
      <c r="C227" s="21">
        <f ca="1">IF(沪深两市成交分析!$E$7&lt;&gt;TODAY(),沪市成交情况!D229+深市成交情况!D229,IF(NOW()-TODAY()-A227&gt;0.0007,沪市成交情况!D229+深市成交情况!D229,0))</f>
        <v>9835653700</v>
      </c>
      <c r="D227" s="21">
        <f>SUM(B$2:B227)/100000000</f>
        <v>24731.836715000001</v>
      </c>
      <c r="E227" s="21">
        <f ca="1">IF(C227=0,NA(),SUM(C$2:C227)/100000000)</f>
        <v>32762.494661000001</v>
      </c>
      <c r="F227" s="21">
        <f t="shared" ca="1" si="3"/>
        <v>8030.6579459999994</v>
      </c>
    </row>
    <row r="228" spans="1:6">
      <c r="A228" s="51">
        <v>0.61458333333334503</v>
      </c>
      <c r="B228" s="21">
        <f>沪市成交情况!B230+深市成交情况!B230</f>
        <v>6942176700</v>
      </c>
      <c r="C228" s="21">
        <f ca="1">IF(沪深两市成交分析!$E$7&lt;&gt;TODAY(),沪市成交情况!D230+深市成交情况!D230,IF(NOW()-TODAY()-A228&gt;0.0007,沪市成交情况!D230+深市成交情况!D230,0))</f>
        <v>9740301600</v>
      </c>
      <c r="D228" s="21">
        <f>SUM(B$2:B228)/100000000</f>
        <v>24801.258482000001</v>
      </c>
      <c r="E228" s="21">
        <f ca="1">IF(C228=0,NA(),SUM(C$2:C228)/100000000)</f>
        <v>32859.897677000001</v>
      </c>
      <c r="F228" s="21">
        <f t="shared" ca="1" si="3"/>
        <v>8058.6391949999997</v>
      </c>
    </row>
    <row r="229" spans="1:6">
      <c r="A229" s="51">
        <v>0.61527777777778903</v>
      </c>
      <c r="B229" s="21">
        <f>沪市成交情况!B231+深市成交情况!B231</f>
        <v>6900872400</v>
      </c>
      <c r="C229" s="21">
        <f ca="1">IF(沪深两市成交分析!$E$7&lt;&gt;TODAY(),沪市成交情况!D231+深市成交情况!D231,IF(NOW()-TODAY()-A229&gt;0.0007,沪市成交情况!D231+深市成交情况!D231,0))</f>
        <v>10547588700</v>
      </c>
      <c r="D229" s="21">
        <f>SUM(B$2:B229)/100000000</f>
        <v>24870.267206</v>
      </c>
      <c r="E229" s="21">
        <f ca="1">IF(C229=0,NA(),SUM(C$2:C229)/100000000)</f>
        <v>32965.373564000001</v>
      </c>
      <c r="F229" s="21">
        <f t="shared" ca="1" si="3"/>
        <v>8095.1063580000009</v>
      </c>
    </row>
    <row r="230" spans="1:6">
      <c r="A230" s="51">
        <v>0.61597222222223402</v>
      </c>
      <c r="B230" s="21">
        <f>沪市成交情况!B232+深市成交情况!B232</f>
        <v>7222161200</v>
      </c>
      <c r="C230" s="21">
        <f ca="1">IF(沪深两市成交分析!$E$7&lt;&gt;TODAY(),沪市成交情况!D232+深市成交情况!D232,IF(NOW()-TODAY()-A230&gt;0.0007,沪市成交情况!D232+深市成交情况!D232,0))</f>
        <v>10472529000</v>
      </c>
      <c r="D230" s="21">
        <f>SUM(B$2:B230)/100000000</f>
        <v>24942.488818000002</v>
      </c>
      <c r="E230" s="21">
        <f ca="1">IF(C230=0,NA(),SUM(C$2:C230)/100000000)</f>
        <v>33070.098854000003</v>
      </c>
      <c r="F230" s="21">
        <f t="shared" ca="1" si="3"/>
        <v>8127.6100360000019</v>
      </c>
    </row>
    <row r="231" spans="1:6">
      <c r="A231" s="51">
        <v>0.61666666666667802</v>
      </c>
      <c r="B231" s="21">
        <f>沪市成交情况!B233+深市成交情况!B233</f>
        <v>7392662500</v>
      </c>
      <c r="C231" s="21">
        <f ca="1">IF(沪深两市成交分析!$E$7&lt;&gt;TODAY(),沪市成交情况!D233+深市成交情况!D233,IF(NOW()-TODAY()-A231&gt;0.0007,沪市成交情况!D233+深市成交情况!D233,0))</f>
        <v>11052593400</v>
      </c>
      <c r="D231" s="21">
        <f>SUM(B$2:B231)/100000000</f>
        <v>25016.415443000002</v>
      </c>
      <c r="E231" s="21">
        <f ca="1">IF(C231=0,NA(),SUM(C$2:C231)/100000000)</f>
        <v>33180.624788000001</v>
      </c>
      <c r="F231" s="21">
        <f t="shared" ca="1" si="3"/>
        <v>8164.2093449999993</v>
      </c>
    </row>
    <row r="232" spans="1:6">
      <c r="A232" s="51">
        <v>0.61736111111112302</v>
      </c>
      <c r="B232" s="21">
        <f>沪市成交情况!B234+深市成交情况!B234</f>
        <v>7142749400</v>
      </c>
      <c r="C232" s="21">
        <f ca="1">IF(沪深两市成交分析!$E$7&lt;&gt;TODAY(),沪市成交情况!D234+深市成交情况!D234,IF(NOW()-TODAY()-A232&gt;0.0007,沪市成交情况!D234+深市成交情况!D234,0))</f>
        <v>11351610600</v>
      </c>
      <c r="D232" s="21">
        <f>SUM(B$2:B232)/100000000</f>
        <v>25087.842937000001</v>
      </c>
      <c r="E232" s="21">
        <f ca="1">IF(C232=0,NA(),SUM(C$2:C232)/100000000)</f>
        <v>33294.140893999996</v>
      </c>
      <c r="F232" s="21">
        <f t="shared" ca="1" si="3"/>
        <v>8206.2979569999952</v>
      </c>
    </row>
    <row r="233" spans="1:6">
      <c r="A233" s="51">
        <v>0.61805555555556702</v>
      </c>
      <c r="B233" s="21">
        <f>沪市成交情况!B235+深市成交情况!B235</f>
        <v>7737642800</v>
      </c>
      <c r="C233" s="21">
        <f ca="1">IF(沪深两市成交分析!$E$7&lt;&gt;TODAY(),沪市成交情况!D235+深市成交情况!D235,IF(NOW()-TODAY()-A233&gt;0.0007,沪市成交情况!D235+深市成交情况!D235,0))</f>
        <v>12189361500</v>
      </c>
      <c r="D233" s="21">
        <f>SUM(B$2:B233)/100000000</f>
        <v>25165.219365000001</v>
      </c>
      <c r="E233" s="21">
        <f ca="1">IF(C233=0,NA(),SUM(C$2:C233)/100000000)</f>
        <v>33416.034508999997</v>
      </c>
      <c r="F233" s="21">
        <f t="shared" ca="1" si="3"/>
        <v>8250.8151439999965</v>
      </c>
    </row>
    <row r="234" spans="1:6">
      <c r="A234" s="51">
        <v>0.61875000000001201</v>
      </c>
      <c r="B234" s="21">
        <f>沪市成交情况!B236+深市成交情况!B236</f>
        <v>8210491500</v>
      </c>
      <c r="C234" s="21">
        <f ca="1">IF(沪深两市成交分析!$E$7&lt;&gt;TODAY(),沪市成交情况!D236+深市成交情况!D236,IF(NOW()-TODAY()-A234&gt;0.0007,沪市成交情况!D236+深市成交情况!D236,0))</f>
        <v>12920900900</v>
      </c>
      <c r="D234" s="21">
        <f>SUM(B$2:B234)/100000000</f>
        <v>25247.324280000001</v>
      </c>
      <c r="E234" s="21">
        <f ca="1">IF(C234=0,NA(),SUM(C$2:C234)/100000000)</f>
        <v>33545.243518000003</v>
      </c>
      <c r="F234" s="21">
        <f t="shared" ca="1" si="3"/>
        <v>8297.9192380000022</v>
      </c>
    </row>
    <row r="235" spans="1:6">
      <c r="A235" s="51">
        <v>0.61944444444445701</v>
      </c>
      <c r="B235" s="21">
        <f>沪市成交情况!B237+深市成交情况!B237</f>
        <v>8200097200</v>
      </c>
      <c r="C235" s="21">
        <f ca="1">IF(沪深两市成交分析!$E$7&lt;&gt;TODAY(),沪市成交情况!D237+深市成交情况!D237,IF(NOW()-TODAY()-A235&gt;0.0007,沪市成交情况!D237+深市成交情况!D237,0))</f>
        <v>12743659900</v>
      </c>
      <c r="D235" s="21">
        <f>SUM(B$2:B235)/100000000</f>
        <v>25329.325251999999</v>
      </c>
      <c r="E235" s="21">
        <f ca="1">IF(C235=0,NA(),SUM(C$2:C235)/100000000)</f>
        <v>33672.680117000004</v>
      </c>
      <c r="F235" s="21">
        <f t="shared" ca="1" si="3"/>
        <v>8343.3548650000048</v>
      </c>
    </row>
    <row r="236" spans="1:6">
      <c r="A236" s="51">
        <v>0.62013888888890101</v>
      </c>
      <c r="B236" s="21">
        <f>沪市成交情况!B238+深市成交情况!B238</f>
        <v>8939918300</v>
      </c>
      <c r="C236" s="21">
        <f ca="1">IF(沪深两市成交分析!$E$7&lt;&gt;TODAY(),沪市成交情况!D238+深市成交情况!D238,IF(NOW()-TODAY()-A236&gt;0.0007,沪市成交情况!D238+深市成交情况!D238,0))</f>
        <v>13920850100</v>
      </c>
      <c r="D236" s="21">
        <f>SUM(B$2:B236)/100000000</f>
        <v>25418.724435</v>
      </c>
      <c r="E236" s="21">
        <f ca="1">IF(C236=0,NA(),SUM(C$2:C236)/100000000)</f>
        <v>33811.888617999997</v>
      </c>
      <c r="F236" s="21">
        <f t="shared" ca="1" si="3"/>
        <v>8393.1641829999971</v>
      </c>
    </row>
    <row r="237" spans="1:6">
      <c r="A237" s="51">
        <v>0.620833333333346</v>
      </c>
      <c r="B237" s="21">
        <f>沪市成交情况!B239+深市成交情况!B239</f>
        <v>9870407600</v>
      </c>
      <c r="C237" s="21">
        <f ca="1">IF(沪深两市成交分析!$E$7&lt;&gt;TODAY(),沪市成交情况!D239+深市成交情况!D239,IF(NOW()-TODAY()-A237&gt;0.0007,沪市成交情况!D239+深市成交情况!D239,0))</f>
        <v>14292232500</v>
      </c>
      <c r="D237" s="21">
        <f>SUM(B$2:B237)/100000000</f>
        <v>25517.428510999998</v>
      </c>
      <c r="E237" s="21">
        <f ca="1">IF(C237=0,NA(),SUM(C$2:C237)/100000000)</f>
        <v>33954.810942999997</v>
      </c>
      <c r="F237" s="21">
        <f t="shared" ca="1" si="3"/>
        <v>8437.3824319999985</v>
      </c>
    </row>
    <row r="238" spans="1:6">
      <c r="A238" s="51">
        <v>0.62152777777779</v>
      </c>
      <c r="B238" s="21">
        <f>沪市成交情况!B240+深市成交情况!B240</f>
        <v>10671185200</v>
      </c>
      <c r="C238" s="21">
        <f ca="1">IF(沪深两市成交分析!$E$7&lt;&gt;TODAY(),沪市成交情况!D240+深市成交情况!D240,IF(NOW()-TODAY()-A238&gt;0.0007,沪市成交情况!D240+深市成交情况!D240,0))</f>
        <v>15014080900</v>
      </c>
      <c r="D238" s="21">
        <f>SUM(B$2:B238)/100000000</f>
        <v>25624.140362999999</v>
      </c>
      <c r="E238" s="21">
        <f ca="1">IF(C238=0,NA(),SUM(C$2:C238)/100000000)</f>
        <v>34104.951752000001</v>
      </c>
      <c r="F238" s="21">
        <f t="shared" ca="1" si="3"/>
        <v>8480.8113890000022</v>
      </c>
    </row>
    <row r="239" spans="1:6">
      <c r="A239" s="51">
        <v>0.622222222222235</v>
      </c>
      <c r="B239" s="21">
        <f>沪市成交情况!B241+深市成交情况!B241</f>
        <v>11660431400</v>
      </c>
      <c r="C239" s="21">
        <f ca="1">IF(沪深两市成交分析!$E$7&lt;&gt;TODAY(),沪市成交情况!D241+深市成交情况!D241,IF(NOW()-TODAY()-A239&gt;0.0007,沪市成交情况!D241+深市成交情况!D241,0))</f>
        <v>16374899900</v>
      </c>
      <c r="D239" s="21">
        <f>SUM(B$2:B239)/100000000</f>
        <v>25740.744676999999</v>
      </c>
      <c r="E239" s="21">
        <f ca="1">IF(C239=0,NA(),SUM(C$2:C239)/100000000)</f>
        <v>34268.700750999997</v>
      </c>
      <c r="F239" s="21">
        <f t="shared" ca="1" si="3"/>
        <v>8527.9560739999979</v>
      </c>
    </row>
    <row r="240" spans="1:6">
      <c r="A240" s="51">
        <v>0.622916666666679</v>
      </c>
      <c r="B240" s="21">
        <f>沪市成交情况!B242+深市成交情况!B242</f>
        <v>370554300</v>
      </c>
      <c r="C240" s="21">
        <f ca="1">IF(沪深两市成交分析!$E$7&lt;&gt;TODAY(),沪市成交情况!D242+深市成交情况!D242,IF(NOW()-TODAY()-A240&gt;0.0007,沪市成交情况!D242+深市成交情况!D242,0))</f>
        <v>534767700</v>
      </c>
      <c r="D240" s="21">
        <f>SUM(B$2:B240)/100000000</f>
        <v>25744.450219999999</v>
      </c>
      <c r="E240" s="21">
        <f ca="1">IF(C240=0,NA(),SUM(C$2:C240)/100000000)</f>
        <v>34274.048428000002</v>
      </c>
      <c r="F240" s="21">
        <f t="shared" ca="1" si="3"/>
        <v>8529.5982080000031</v>
      </c>
    </row>
    <row r="241" spans="1:6">
      <c r="A241" s="51">
        <v>0.62361111111112399</v>
      </c>
      <c r="B241" s="21">
        <f>沪市成交情况!B243+深市成交情况!B243</f>
        <v>0</v>
      </c>
      <c r="C241" s="21">
        <f ca="1">IF(沪深两市成交分析!$E$7&lt;&gt;TODAY(),沪市成交情况!D243+深市成交情况!D243,IF(NOW()-TODAY()-A241&gt;0.0007,沪市成交情况!D243+深市成交情况!D243,0))</f>
        <v>0</v>
      </c>
      <c r="D241" s="21">
        <f>SUM(B$2:B241)/100000000</f>
        <v>25744.450219999999</v>
      </c>
      <c r="E241" s="21" t="e">
        <f ca="1">IF(C241=0,NA(),SUM(C$2:C241)/100000000)</f>
        <v>#N/A</v>
      </c>
      <c r="F241" s="21">
        <f t="shared" ca="1" si="3"/>
        <v>0</v>
      </c>
    </row>
    <row r="242" spans="1:6">
      <c r="A242" s="51">
        <v>0.62430555555556799</v>
      </c>
      <c r="B242" s="21">
        <f>沪市成交情况!B244+深市成交情况!B244</f>
        <v>0</v>
      </c>
      <c r="C242" s="21">
        <f ca="1">IF(沪深两市成交分析!$E$7&lt;&gt;TODAY(),沪市成交情况!D244+深市成交情况!D244,IF(NOW()-TODAY()-A242&gt;0.0007,沪市成交情况!D244+深市成交情况!D244,0))</f>
        <v>0</v>
      </c>
      <c r="D242" s="21">
        <f>SUM(B$2:B242)/100000000</f>
        <v>25744.450219999999</v>
      </c>
      <c r="E242" s="21" t="e">
        <f ca="1">IF(C242=0,NA(),SUM(C$2:C242)/100000000)</f>
        <v>#N/A</v>
      </c>
      <c r="F242" s="21">
        <f t="shared" ca="1" si="3"/>
        <v>0</v>
      </c>
    </row>
    <row r="243" spans="1:6">
      <c r="A243" s="51">
        <v>0.62500000000001299</v>
      </c>
      <c r="B243" s="21">
        <f>沪市成交情况!B245+深市成交情况!B245</f>
        <v>18591619500</v>
      </c>
      <c r="C243" s="21">
        <f ca="1">IF(沪深两市成交分析!$E$7&lt;&gt;TODAY(),沪市成交情况!D245+深市成交情况!D245,IF(NOW()-TODAY()-A243&gt;0.0007,沪市成交情况!D245+深市成交情况!D245,0))</f>
        <v>24534199400</v>
      </c>
      <c r="D243" s="21">
        <f>SUM(B$2:B243)/100000000</f>
        <v>25930.366415</v>
      </c>
      <c r="E243" s="21">
        <f ca="1">IF(C243=0,NA(),SUM(C$2:C243)/100000000)</f>
        <v>34519.390421999997</v>
      </c>
      <c r="F243" s="21">
        <f ca="1">IF(C243=0,0,E243-D243)</f>
        <v>8589.0240069999963</v>
      </c>
    </row>
    <row r="245" spans="1:6">
      <c r="D245" s="2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297"/>
  <sheetViews>
    <sheetView workbookViewId="0">
      <selection activeCell="F23" sqref="F23"/>
    </sheetView>
  </sheetViews>
  <sheetFormatPr defaultRowHeight="14.25"/>
  <cols>
    <col min="1" max="1" width="17.125" bestFit="1" customWidth="1"/>
    <col min="2" max="2" width="17.625" bestFit="1" customWidth="1"/>
    <col min="3" max="3" width="17.125" bestFit="1" customWidth="1"/>
    <col min="4" max="4" width="17.625" bestFit="1" customWidth="1"/>
    <col min="5" max="5" width="13.75" customWidth="1"/>
    <col min="6" max="6" width="18.625" bestFit="1" customWidth="1"/>
    <col min="7" max="7" width="19.75" bestFit="1" customWidth="1"/>
    <col min="10" max="10" width="17.625" customWidth="1"/>
    <col min="11" max="11" width="17.375" style="22" customWidth="1"/>
    <col min="17" max="17" width="69.125" customWidth="1"/>
    <col min="25" max="25" width="17.125" bestFit="1" customWidth="1"/>
  </cols>
  <sheetData>
    <row r="1" spans="1:10">
      <c r="A1" s="1" t="s">
        <v>0</v>
      </c>
      <c r="B1" s="1" t="str">
        <f>[1]!S_Info_Name($A$1)</f>
        <v>上证指数</v>
      </c>
      <c r="C1" s="1" t="s">
        <v>0</v>
      </c>
      <c r="D1" s="1" t="str">
        <f>[1]!S_Info_Name($A$1)</f>
        <v>上证指数</v>
      </c>
      <c r="E1" s="1"/>
      <c r="J1" s="1"/>
    </row>
    <row r="2" spans="1:10">
      <c r="A2" s="1" t="s">
        <v>12</v>
      </c>
      <c r="B2" s="1" t="s">
        <v>1</v>
      </c>
      <c r="C2" s="1" t="s">
        <v>12</v>
      </c>
      <c r="D2" s="1" t="s">
        <v>1</v>
      </c>
      <c r="E2" s="1"/>
      <c r="F2" t="str">
        <f ca="1">TEXT(G9,"yyyy-mm-dd")&amp;" 9:29:00"</f>
        <v>2024-09-30 9:29:00</v>
      </c>
      <c r="G2" t="str">
        <f ca="1">TEXT(G9,"yyyy-mm-dd")&amp;" 15:00:00"</f>
        <v>2024-09-30 15:00:00</v>
      </c>
      <c r="J2" s="1"/>
    </row>
    <row r="3" spans="1:10">
      <c r="A3" s="1" t="s">
        <v>13</v>
      </c>
      <c r="B3" s="1" t="s">
        <v>14</v>
      </c>
      <c r="C3" s="1" t="s">
        <v>13</v>
      </c>
      <c r="D3" s="1" t="s">
        <v>14</v>
      </c>
      <c r="E3" s="1"/>
      <c r="F3" t="str">
        <f ca="1">TEXT(G10,"yyyy-mm-dd")&amp;" 9:29:00"</f>
        <v>2024-10-08 9:29:00</v>
      </c>
      <c r="G3" t="str">
        <f ca="1">IF(G10&lt;&gt;TODAY(),TEXT(G10,"yyyy-mm-dd")&amp;" 15:00:00",TEXT(G10,"yyyy-mm-dd")&amp;" "&amp; G5)</f>
        <v>2024-10-08 15:00:00</v>
      </c>
      <c r="J3" s="1"/>
    </row>
    <row r="4" spans="1:10">
      <c r="A4" s="18" t="str">
        <f ca="1">[1]!WSI(A1,B3,F2,G2,"cols=2;rows=242")</f>
        <v>2024-09-30 09:30</v>
      </c>
      <c r="B4" s="12">
        <v>52148147900</v>
      </c>
      <c r="C4" s="18" t="str">
        <f ca="1">[1]!WSI(C1,D3,F3,G3,"cols=2;rows=242")</f>
        <v>2024-10-08 09:30</v>
      </c>
      <c r="D4" s="12">
        <v>93434101300</v>
      </c>
      <c r="E4" s="12"/>
      <c r="G4" s="1"/>
      <c r="H4" s="1"/>
      <c r="J4" s="12"/>
    </row>
    <row r="5" spans="1:10">
      <c r="A5" s="18">
        <v>45565.396527777775</v>
      </c>
      <c r="B5" s="12">
        <v>26213087900</v>
      </c>
      <c r="C5" s="18">
        <v>45573.396527777775</v>
      </c>
      <c r="D5" s="12">
        <v>29434234500</v>
      </c>
      <c r="E5" s="12"/>
      <c r="F5" t="s">
        <v>28</v>
      </c>
      <c r="G5" s="1" t="str">
        <f>LEFT(G6,6)&amp;"00"</f>
        <v>15:00:00</v>
      </c>
      <c r="H5" s="1"/>
      <c r="J5" s="12"/>
    </row>
    <row r="6" spans="1:10">
      <c r="A6" s="18">
        <v>45565.397222222222</v>
      </c>
      <c r="B6" s="12">
        <v>20046799200</v>
      </c>
      <c r="C6" s="18">
        <v>45573.397222222222</v>
      </c>
      <c r="D6" s="12">
        <v>22817497300</v>
      </c>
      <c r="E6" s="12"/>
      <c r="F6" t="s">
        <v>27</v>
      </c>
      <c r="G6" s="13" t="str">
        <f>RTD("wdf.rtq", , A1, "rt_time","RT_Price")</f>
        <v>15:00:03</v>
      </c>
      <c r="J6" s="12"/>
    </row>
    <row r="7" spans="1:10">
      <c r="A7" s="18">
        <v>45565.397916666669</v>
      </c>
      <c r="B7" s="12">
        <v>18349949500</v>
      </c>
      <c r="C7" s="18">
        <v>45573.397916666669</v>
      </c>
      <c r="D7" s="12">
        <v>21636107100</v>
      </c>
      <c r="E7" s="12"/>
      <c r="J7" s="12"/>
    </row>
    <row r="8" spans="1:10">
      <c r="A8" s="18">
        <v>45565.398611111108</v>
      </c>
      <c r="B8" s="12">
        <v>18156624600</v>
      </c>
      <c r="C8" s="18">
        <v>45573.398611111108</v>
      </c>
      <c r="D8" s="12">
        <v>21315144700</v>
      </c>
      <c r="E8" s="12"/>
      <c r="J8" s="12"/>
    </row>
    <row r="9" spans="1:10">
      <c r="A9" s="18">
        <v>45565.399305555555</v>
      </c>
      <c r="B9" s="12">
        <v>15754509600</v>
      </c>
      <c r="C9" s="18">
        <v>45573.399305555555</v>
      </c>
      <c r="D9" s="12">
        <v>20319539100</v>
      </c>
      <c r="E9" s="12"/>
      <c r="F9" t="s">
        <v>32</v>
      </c>
      <c r="G9" s="2">
        <f ca="1">[1]!TDaysOffset(G10,"Offset=-1")</f>
        <v>45565</v>
      </c>
      <c r="J9" s="12"/>
    </row>
    <row r="10" spans="1:10">
      <c r="A10" s="18">
        <v>45565.4</v>
      </c>
      <c r="B10" s="12">
        <v>15158221300</v>
      </c>
      <c r="C10" s="18">
        <v>45573.4</v>
      </c>
      <c r="D10" s="12">
        <v>16451688300</v>
      </c>
      <c r="E10" s="12"/>
      <c r="F10" s="48" t="s">
        <v>33</v>
      </c>
      <c r="G10" s="2">
        <f ca="1">沪深两市成交分析!E7</f>
        <v>45573</v>
      </c>
      <c r="J10" s="12"/>
    </row>
    <row r="11" spans="1:10">
      <c r="A11" s="18">
        <v>45565.400694444441</v>
      </c>
      <c r="B11" s="12">
        <v>13661465100</v>
      </c>
      <c r="C11" s="18">
        <v>45573.400694444441</v>
      </c>
      <c r="D11" s="12">
        <v>16689933100</v>
      </c>
      <c r="E11" s="12"/>
      <c r="F11" s="49"/>
      <c r="J11" s="12"/>
    </row>
    <row r="12" spans="1:10">
      <c r="A12" s="18">
        <v>45565.401388888888</v>
      </c>
      <c r="B12" s="12">
        <v>13609328700</v>
      </c>
      <c r="C12" s="18">
        <v>45573.401388888888</v>
      </c>
      <c r="D12" s="12">
        <v>15507442100</v>
      </c>
      <c r="E12" s="12"/>
      <c r="F12" s="50"/>
      <c r="G12" s="11"/>
      <c r="J12" s="12"/>
    </row>
    <row r="13" spans="1:10">
      <c r="A13" s="18">
        <v>45565.402083333334</v>
      </c>
      <c r="B13" s="12">
        <v>14275606000</v>
      </c>
      <c r="C13" s="18">
        <v>45573.402083333334</v>
      </c>
      <c r="D13" s="12">
        <v>16907939600</v>
      </c>
      <c r="E13" s="12"/>
      <c r="F13" s="50"/>
      <c r="G13" s="11"/>
      <c r="J13" s="12"/>
    </row>
    <row r="14" spans="1:10">
      <c r="A14" s="18">
        <v>45565.402777777781</v>
      </c>
      <c r="B14" s="12">
        <v>15578249600</v>
      </c>
      <c r="C14" s="18">
        <v>45573.402777777781</v>
      </c>
      <c r="D14" s="12">
        <v>16921891000</v>
      </c>
      <c r="E14" s="12"/>
      <c r="F14" s="50"/>
      <c r="G14" s="11"/>
      <c r="J14" s="12"/>
    </row>
    <row r="15" spans="1:10">
      <c r="A15" s="18">
        <v>45565.40347222222</v>
      </c>
      <c r="B15" s="12">
        <v>13492874600</v>
      </c>
      <c r="C15" s="18">
        <v>45573.40347222222</v>
      </c>
      <c r="D15" s="12">
        <v>15019093300</v>
      </c>
      <c r="E15" s="12"/>
      <c r="F15" s="50"/>
      <c r="G15" s="11"/>
      <c r="J15" s="12"/>
    </row>
    <row r="16" spans="1:10">
      <c r="A16" s="18">
        <v>45565.404166666667</v>
      </c>
      <c r="B16" s="12">
        <v>11603648900</v>
      </c>
      <c r="C16" s="18">
        <v>45573.404166666667</v>
      </c>
      <c r="D16" s="12">
        <v>15070553000</v>
      </c>
      <c r="E16" s="12"/>
      <c r="F16" s="50"/>
      <c r="G16" s="11"/>
      <c r="J16" s="12"/>
    </row>
    <row r="17" spans="1:10">
      <c r="A17" s="18">
        <v>45565.404861111114</v>
      </c>
      <c r="B17" s="12">
        <v>9380303600</v>
      </c>
      <c r="C17" s="18">
        <v>45573.404861111114</v>
      </c>
      <c r="D17" s="12">
        <v>16953828100</v>
      </c>
      <c r="E17" s="12"/>
      <c r="F17" s="49"/>
      <c r="J17" s="12"/>
    </row>
    <row r="18" spans="1:10">
      <c r="A18" s="18">
        <v>45565.405555555553</v>
      </c>
      <c r="B18" s="12">
        <v>11330900200</v>
      </c>
      <c r="C18" s="18">
        <v>45573.405555555553</v>
      </c>
      <c r="D18" s="12">
        <v>15618280100</v>
      </c>
      <c r="E18" s="12"/>
      <c r="F18" s="51"/>
      <c r="J18" s="12"/>
    </row>
    <row r="19" spans="1:10">
      <c r="A19" s="18">
        <v>45565.40625</v>
      </c>
      <c r="B19" s="12">
        <v>11214908500</v>
      </c>
      <c r="C19" s="18">
        <v>45573.40625</v>
      </c>
      <c r="D19" s="12">
        <v>17528395600</v>
      </c>
      <c r="E19" s="12"/>
      <c r="F19" s="11"/>
      <c r="J19" s="12"/>
    </row>
    <row r="20" spans="1:10">
      <c r="A20" s="18">
        <v>45565.406944444447</v>
      </c>
      <c r="B20" s="12">
        <v>10096701200</v>
      </c>
      <c r="C20" s="18">
        <v>45573.406944444447</v>
      </c>
      <c r="D20" s="12">
        <v>15903247300</v>
      </c>
      <c r="E20" s="12"/>
      <c r="J20" s="12"/>
    </row>
    <row r="21" spans="1:10">
      <c r="A21" s="18">
        <v>45565.407638888886</v>
      </c>
      <c r="B21" s="12">
        <v>10385941000</v>
      </c>
      <c r="C21" s="18">
        <v>45573.407638888886</v>
      </c>
      <c r="D21" s="12">
        <v>13803676000</v>
      </c>
      <c r="E21" s="12"/>
      <c r="F21" s="11"/>
      <c r="J21" s="12"/>
    </row>
    <row r="22" spans="1:10">
      <c r="A22" s="18">
        <v>45565.408333333333</v>
      </c>
      <c r="B22" s="12">
        <v>11038036800</v>
      </c>
      <c r="C22" s="18">
        <v>45573.408333333333</v>
      </c>
      <c r="D22" s="12">
        <v>13071603000</v>
      </c>
      <c r="E22" s="12"/>
      <c r="J22" s="12"/>
    </row>
    <row r="23" spans="1:10">
      <c r="A23" s="18">
        <v>45565.40902777778</v>
      </c>
      <c r="B23" s="12">
        <v>8833647700</v>
      </c>
      <c r="C23" s="18">
        <v>45573.40902777778</v>
      </c>
      <c r="D23" s="12">
        <v>12494803900</v>
      </c>
      <c r="E23" s="12"/>
      <c r="J23" s="12"/>
    </row>
    <row r="24" spans="1:10">
      <c r="A24" s="18">
        <v>45565.409722222219</v>
      </c>
      <c r="B24" s="12">
        <v>9933339300</v>
      </c>
      <c r="C24" s="18">
        <v>45573.409722222219</v>
      </c>
      <c r="D24" s="12">
        <v>12043107000</v>
      </c>
      <c r="E24" s="12"/>
      <c r="F24" s="49"/>
      <c r="J24" s="12"/>
    </row>
    <row r="25" spans="1:10">
      <c r="A25" s="18">
        <v>45565.410416666666</v>
      </c>
      <c r="B25" s="12">
        <v>10722574500</v>
      </c>
      <c r="C25" s="18">
        <v>45573.410416666666</v>
      </c>
      <c r="D25" s="12">
        <v>10639197900</v>
      </c>
      <c r="E25" s="12"/>
      <c r="J25" s="12"/>
    </row>
    <row r="26" spans="1:10">
      <c r="A26" s="18">
        <v>45565.411111111112</v>
      </c>
      <c r="B26" s="12">
        <v>12085324800</v>
      </c>
      <c r="C26" s="18">
        <v>45573.411111111112</v>
      </c>
      <c r="D26" s="12">
        <v>9908935200</v>
      </c>
      <c r="E26" s="12"/>
      <c r="J26" s="12"/>
    </row>
    <row r="27" spans="1:10">
      <c r="A27" s="18">
        <v>45565.411805555559</v>
      </c>
      <c r="B27" s="12">
        <v>11678503800</v>
      </c>
      <c r="C27" s="18">
        <v>45573.411805555559</v>
      </c>
      <c r="D27" s="12">
        <v>8819302500</v>
      </c>
      <c r="E27" s="12"/>
      <c r="F27" s="49"/>
      <c r="J27" s="12"/>
    </row>
    <row r="28" spans="1:10">
      <c r="A28" s="18">
        <v>45565.412499999999</v>
      </c>
      <c r="B28" s="12">
        <v>8917281500</v>
      </c>
      <c r="C28" s="18">
        <v>45573.412499999999</v>
      </c>
      <c r="D28" s="12">
        <v>7816215600</v>
      </c>
      <c r="E28" s="12"/>
      <c r="F28" s="49"/>
      <c r="J28" s="12"/>
    </row>
    <row r="29" spans="1:10">
      <c r="A29" s="18">
        <v>45565.413194444445</v>
      </c>
      <c r="B29" s="12">
        <v>8571931500</v>
      </c>
      <c r="C29" s="18">
        <v>45573.413194444445</v>
      </c>
      <c r="D29" s="12">
        <v>7885635200</v>
      </c>
      <c r="E29" s="12"/>
      <c r="J29" s="12"/>
    </row>
    <row r="30" spans="1:10">
      <c r="A30" s="18">
        <v>45565.413888888892</v>
      </c>
      <c r="B30" s="12">
        <v>7341050400</v>
      </c>
      <c r="C30" s="18">
        <v>45573.413888888892</v>
      </c>
      <c r="D30" s="12">
        <v>7423527800</v>
      </c>
      <c r="E30" s="12"/>
      <c r="J30" s="12"/>
    </row>
    <row r="31" spans="1:10">
      <c r="A31" s="18">
        <v>45565.414583333331</v>
      </c>
      <c r="B31" s="12">
        <v>7346357400</v>
      </c>
      <c r="C31" s="18">
        <v>45573.414583333331</v>
      </c>
      <c r="D31" s="12">
        <v>7046680000</v>
      </c>
      <c r="E31" s="12"/>
      <c r="J31" s="12"/>
    </row>
    <row r="32" spans="1:10">
      <c r="A32" s="18">
        <v>45565.415277777778</v>
      </c>
      <c r="B32" s="12">
        <v>5868171100</v>
      </c>
      <c r="C32" s="18">
        <v>45573.415277777778</v>
      </c>
      <c r="D32" s="12">
        <v>6419012700</v>
      </c>
      <c r="E32" s="12"/>
      <c r="J32" s="12"/>
    </row>
    <row r="33" spans="1:10">
      <c r="A33" s="18">
        <v>45565.415972222225</v>
      </c>
      <c r="B33" s="12">
        <v>5966221100</v>
      </c>
      <c r="C33" s="18">
        <v>45573.415972222225</v>
      </c>
      <c r="D33" s="12">
        <v>6353184900</v>
      </c>
      <c r="E33" s="12"/>
      <c r="J33" s="12"/>
    </row>
    <row r="34" spans="1:10">
      <c r="A34" s="18">
        <v>45565.416666666664</v>
      </c>
      <c r="B34" s="12">
        <v>7025356900</v>
      </c>
      <c r="C34" s="18">
        <v>45573.416666666664</v>
      </c>
      <c r="D34" s="12">
        <v>7218994300</v>
      </c>
      <c r="E34" s="12"/>
      <c r="J34" s="12"/>
    </row>
    <row r="35" spans="1:10">
      <c r="A35" s="18">
        <v>45565.417361111111</v>
      </c>
      <c r="B35" s="12">
        <v>5662591400</v>
      </c>
      <c r="C35" s="18">
        <v>45573.417361111111</v>
      </c>
      <c r="D35" s="12">
        <v>6430970100</v>
      </c>
      <c r="E35" s="12"/>
      <c r="J35" s="12"/>
    </row>
    <row r="36" spans="1:10">
      <c r="A36" s="18">
        <v>45565.418055555558</v>
      </c>
      <c r="B36" s="12">
        <v>5259007200</v>
      </c>
      <c r="C36" s="18">
        <v>45573.418055555558</v>
      </c>
      <c r="D36" s="12">
        <v>6472398300</v>
      </c>
      <c r="E36" s="12"/>
      <c r="J36" s="12"/>
    </row>
    <row r="37" spans="1:10">
      <c r="A37" s="18">
        <v>45565.418749999997</v>
      </c>
      <c r="B37" s="12">
        <v>6195341000</v>
      </c>
      <c r="C37" s="18">
        <v>45573.418749999997</v>
      </c>
      <c r="D37" s="12">
        <v>6532475000</v>
      </c>
      <c r="E37" s="12"/>
      <c r="J37" s="12"/>
    </row>
    <row r="38" spans="1:10">
      <c r="A38" s="18">
        <v>45565.419444444444</v>
      </c>
      <c r="B38" s="12">
        <v>6080262100</v>
      </c>
      <c r="C38" s="18">
        <v>45573.419444444444</v>
      </c>
      <c r="D38" s="12">
        <v>6294021700</v>
      </c>
      <c r="E38" s="12"/>
      <c r="J38" s="12"/>
    </row>
    <row r="39" spans="1:10">
      <c r="A39" s="18">
        <v>45565.420138888891</v>
      </c>
      <c r="B39" s="12">
        <v>5728302900</v>
      </c>
      <c r="C39" s="18">
        <v>45573.420138888891</v>
      </c>
      <c r="D39" s="12">
        <v>6315939600</v>
      </c>
      <c r="E39" s="12"/>
      <c r="J39" s="12"/>
    </row>
    <row r="40" spans="1:10">
      <c r="A40" s="18">
        <v>45565.42083333333</v>
      </c>
      <c r="B40" s="12">
        <v>4845503600</v>
      </c>
      <c r="C40" s="18">
        <v>45573.42083333333</v>
      </c>
      <c r="D40" s="12">
        <v>5773032500</v>
      </c>
      <c r="E40" s="12"/>
      <c r="J40" s="12"/>
    </row>
    <row r="41" spans="1:10">
      <c r="A41" s="18">
        <v>45565.421527777777</v>
      </c>
      <c r="B41" s="12">
        <v>4855333900</v>
      </c>
      <c r="C41" s="18">
        <v>45573.421527777777</v>
      </c>
      <c r="D41" s="12">
        <v>5616384700</v>
      </c>
      <c r="E41" s="12"/>
      <c r="J41" s="12"/>
    </row>
    <row r="42" spans="1:10">
      <c r="A42" s="18">
        <v>45565.422222222223</v>
      </c>
      <c r="B42" s="12">
        <v>4518934100</v>
      </c>
      <c r="C42" s="18">
        <v>45573.422222222223</v>
      </c>
      <c r="D42" s="12">
        <v>7210148600</v>
      </c>
      <c r="E42" s="12"/>
      <c r="J42" s="12"/>
    </row>
    <row r="43" spans="1:10">
      <c r="A43" s="18">
        <v>45565.42291666667</v>
      </c>
      <c r="B43" s="12">
        <v>4576868800</v>
      </c>
      <c r="C43" s="18">
        <v>45573.42291666667</v>
      </c>
      <c r="D43" s="12">
        <v>8062934500</v>
      </c>
      <c r="E43" s="12"/>
      <c r="J43" s="12"/>
    </row>
    <row r="44" spans="1:10">
      <c r="A44" s="18">
        <v>45565.423611111109</v>
      </c>
      <c r="B44" s="12">
        <v>4529259500</v>
      </c>
      <c r="C44" s="18">
        <v>45573.423611111109</v>
      </c>
      <c r="D44" s="12">
        <v>7010736300</v>
      </c>
      <c r="E44" s="12"/>
      <c r="J44" s="12"/>
    </row>
    <row r="45" spans="1:10">
      <c r="A45" s="18">
        <v>45565.424305555556</v>
      </c>
      <c r="B45" s="12">
        <v>4235164700</v>
      </c>
      <c r="C45" s="18">
        <v>45573.424305555556</v>
      </c>
      <c r="D45" s="12">
        <v>7459888500</v>
      </c>
      <c r="E45" s="12"/>
      <c r="J45" s="12"/>
    </row>
    <row r="46" spans="1:10">
      <c r="A46" s="18">
        <v>45565.425000000003</v>
      </c>
      <c r="B46" s="12">
        <v>4473653600</v>
      </c>
      <c r="C46" s="18">
        <v>45573.425000000003</v>
      </c>
      <c r="D46" s="12">
        <v>8105558700</v>
      </c>
      <c r="E46" s="12"/>
      <c r="J46" s="12"/>
    </row>
    <row r="47" spans="1:10">
      <c r="A47" s="18">
        <v>45565.425694444442</v>
      </c>
      <c r="B47" s="12">
        <v>3938162300</v>
      </c>
      <c r="C47" s="18">
        <v>45573.425694444442</v>
      </c>
      <c r="D47" s="12">
        <v>8379930800</v>
      </c>
      <c r="E47" s="12"/>
      <c r="J47" s="12"/>
    </row>
    <row r="48" spans="1:10">
      <c r="A48" s="18">
        <v>45565.426388888889</v>
      </c>
      <c r="B48" s="12">
        <v>4018822300</v>
      </c>
      <c r="C48" s="18">
        <v>45573.426388888889</v>
      </c>
      <c r="D48" s="12">
        <v>9351234000</v>
      </c>
      <c r="E48" s="12"/>
      <c r="J48" s="12"/>
    </row>
    <row r="49" spans="1:10">
      <c r="A49" s="18">
        <v>45565.427083333336</v>
      </c>
      <c r="B49" s="12">
        <v>3608800500</v>
      </c>
      <c r="C49" s="18">
        <v>45573.427083333336</v>
      </c>
      <c r="D49" s="12">
        <v>10527604600</v>
      </c>
      <c r="E49" s="12"/>
      <c r="J49" s="12"/>
    </row>
    <row r="50" spans="1:10">
      <c r="A50" s="18">
        <v>45565.427777777775</v>
      </c>
      <c r="B50" s="12">
        <v>3919103900</v>
      </c>
      <c r="C50" s="18">
        <v>45573.427777777775</v>
      </c>
      <c r="D50" s="12">
        <v>7914786400</v>
      </c>
      <c r="E50" s="12"/>
      <c r="J50" s="12"/>
    </row>
    <row r="51" spans="1:10">
      <c r="A51" s="18">
        <v>45565.428472222222</v>
      </c>
      <c r="B51" s="12">
        <v>3440934800</v>
      </c>
      <c r="C51" s="18">
        <v>45573.428472222222</v>
      </c>
      <c r="D51" s="12">
        <v>6648913000</v>
      </c>
      <c r="E51" s="12"/>
      <c r="J51" s="12"/>
    </row>
    <row r="52" spans="1:10">
      <c r="A52" s="18">
        <v>45565.429166666669</v>
      </c>
      <c r="B52" s="12">
        <v>4034846000</v>
      </c>
      <c r="C52" s="18">
        <v>45573.429166666669</v>
      </c>
      <c r="D52" s="12">
        <v>5883808200</v>
      </c>
      <c r="E52" s="12"/>
      <c r="J52" s="12"/>
    </row>
    <row r="53" spans="1:10">
      <c r="A53" s="18">
        <v>45565.429861111108</v>
      </c>
      <c r="B53" s="12">
        <v>4391617500</v>
      </c>
      <c r="C53" s="18">
        <v>45573.429861111108</v>
      </c>
      <c r="D53" s="12">
        <v>5372167900</v>
      </c>
      <c r="E53" s="12"/>
      <c r="J53" s="12"/>
    </row>
    <row r="54" spans="1:10">
      <c r="A54" s="18">
        <v>45565.430555555555</v>
      </c>
      <c r="B54" s="12">
        <v>5217657600</v>
      </c>
      <c r="C54" s="18">
        <v>45573.430555555555</v>
      </c>
      <c r="D54" s="12">
        <v>5534194600</v>
      </c>
      <c r="E54" s="12"/>
      <c r="J54" s="12"/>
    </row>
    <row r="55" spans="1:10">
      <c r="A55" s="18">
        <v>45565.431250000001</v>
      </c>
      <c r="B55" s="12">
        <v>5427223100</v>
      </c>
      <c r="C55" s="18">
        <v>45573.431250000001</v>
      </c>
      <c r="D55" s="12">
        <v>5799846000</v>
      </c>
      <c r="E55" s="12"/>
      <c r="J55" s="12"/>
    </row>
    <row r="56" spans="1:10">
      <c r="A56" s="18">
        <v>45565.431944444441</v>
      </c>
      <c r="B56" s="12">
        <v>5541610700</v>
      </c>
      <c r="C56" s="18">
        <v>45573.431944444441</v>
      </c>
      <c r="D56" s="12">
        <v>4652134100</v>
      </c>
      <c r="E56" s="12"/>
      <c r="J56" s="12"/>
    </row>
    <row r="57" spans="1:10">
      <c r="A57" s="18">
        <v>45565.432638888888</v>
      </c>
      <c r="B57" s="12">
        <v>4949641300</v>
      </c>
      <c r="C57" s="18">
        <v>45573.432638888888</v>
      </c>
      <c r="D57" s="12">
        <v>4679633300</v>
      </c>
      <c r="E57" s="12"/>
      <c r="J57" s="12"/>
    </row>
    <row r="58" spans="1:10">
      <c r="A58" s="18">
        <v>45565.433333333334</v>
      </c>
      <c r="B58" s="12">
        <v>5043585500</v>
      </c>
      <c r="C58" s="18">
        <v>45573.433333333334</v>
      </c>
      <c r="D58" s="12">
        <v>5423023100</v>
      </c>
      <c r="E58" s="12"/>
      <c r="J58" s="12"/>
    </row>
    <row r="59" spans="1:10">
      <c r="A59" s="18">
        <v>45565.434027777781</v>
      </c>
      <c r="B59" s="12">
        <v>4827483700</v>
      </c>
      <c r="C59" s="18">
        <v>45573.434027777781</v>
      </c>
      <c r="D59" s="12">
        <v>5361346500</v>
      </c>
      <c r="E59" s="12"/>
      <c r="J59" s="12"/>
    </row>
    <row r="60" spans="1:10">
      <c r="A60" s="18">
        <v>45565.43472222222</v>
      </c>
      <c r="B60" s="12">
        <v>4773165700</v>
      </c>
      <c r="C60" s="18">
        <v>45573.43472222222</v>
      </c>
      <c r="D60" s="12">
        <v>5539093400</v>
      </c>
      <c r="E60" s="12"/>
      <c r="J60" s="12"/>
    </row>
    <row r="61" spans="1:10">
      <c r="A61" s="18">
        <v>45565.435416666667</v>
      </c>
      <c r="B61" s="12">
        <v>4564836600</v>
      </c>
      <c r="C61" s="18">
        <v>45573.435416666667</v>
      </c>
      <c r="D61" s="12">
        <v>5611729300</v>
      </c>
      <c r="E61" s="12"/>
      <c r="J61" s="12"/>
    </row>
    <row r="62" spans="1:10">
      <c r="A62" s="18">
        <v>45565.436111111114</v>
      </c>
      <c r="B62" s="12">
        <v>4138111900</v>
      </c>
      <c r="C62" s="18">
        <v>45573.436111111114</v>
      </c>
      <c r="D62" s="12">
        <v>6637046000</v>
      </c>
      <c r="E62" s="12"/>
      <c r="J62" s="12"/>
    </row>
    <row r="63" spans="1:10">
      <c r="A63" s="18">
        <v>45565.436805555553</v>
      </c>
      <c r="B63" s="12">
        <v>3979342700</v>
      </c>
      <c r="C63" s="18">
        <v>45573.436805555553</v>
      </c>
      <c r="D63" s="12">
        <v>7061697300</v>
      </c>
      <c r="E63" s="12"/>
      <c r="J63" s="12"/>
    </row>
    <row r="64" spans="1:10">
      <c r="A64" s="18">
        <v>45565.4375</v>
      </c>
      <c r="B64" s="12">
        <v>4121666900</v>
      </c>
      <c r="C64" s="18">
        <v>45573.4375</v>
      </c>
      <c r="D64" s="12">
        <v>7971148700</v>
      </c>
      <c r="E64" s="12"/>
      <c r="J64" s="12"/>
    </row>
    <row r="65" spans="1:10">
      <c r="A65" s="18">
        <v>45565.438194444447</v>
      </c>
      <c r="B65" s="12">
        <v>4428447200</v>
      </c>
      <c r="C65" s="18">
        <v>45573.438194444447</v>
      </c>
      <c r="D65" s="12">
        <v>7529094200</v>
      </c>
      <c r="E65" s="12"/>
      <c r="J65" s="12"/>
    </row>
    <row r="66" spans="1:10">
      <c r="A66" s="18">
        <v>45565.438888888886</v>
      </c>
      <c r="B66" s="12">
        <v>3833874200</v>
      </c>
      <c r="C66" s="18">
        <v>45573.438888888886</v>
      </c>
      <c r="D66" s="12">
        <v>9933688700</v>
      </c>
      <c r="E66" s="12"/>
      <c r="J66" s="12"/>
    </row>
    <row r="67" spans="1:10">
      <c r="A67" s="18">
        <v>45565.439583333333</v>
      </c>
      <c r="B67" s="12">
        <v>3267757000</v>
      </c>
      <c r="C67" s="18">
        <v>45573.439583333333</v>
      </c>
      <c r="D67" s="12">
        <v>11218501700</v>
      </c>
      <c r="E67" s="12"/>
      <c r="J67" s="12"/>
    </row>
    <row r="68" spans="1:10">
      <c r="A68" s="18">
        <v>45565.44027777778</v>
      </c>
      <c r="B68" s="12">
        <v>2982412700</v>
      </c>
      <c r="C68" s="18">
        <v>45573.44027777778</v>
      </c>
      <c r="D68" s="12">
        <v>14486259300</v>
      </c>
      <c r="E68" s="12"/>
      <c r="J68" s="12"/>
    </row>
    <row r="69" spans="1:10">
      <c r="A69" s="18">
        <v>45565.440972222219</v>
      </c>
      <c r="B69" s="12">
        <v>2841321600</v>
      </c>
      <c r="C69" s="18">
        <v>45573.440972222219</v>
      </c>
      <c r="D69" s="12">
        <v>13875601600</v>
      </c>
      <c r="E69" s="12"/>
      <c r="J69" s="12"/>
    </row>
    <row r="70" spans="1:10">
      <c r="A70" s="18">
        <v>45565.441666666666</v>
      </c>
      <c r="B70" s="12">
        <v>2772542000</v>
      </c>
      <c r="C70" s="18">
        <v>45573.441666666666</v>
      </c>
      <c r="D70" s="12">
        <v>18051712000</v>
      </c>
      <c r="E70" s="12"/>
      <c r="J70" s="12"/>
    </row>
    <row r="71" spans="1:10">
      <c r="A71" s="18">
        <v>45565.442361111112</v>
      </c>
      <c r="B71" s="12">
        <v>3071302400</v>
      </c>
      <c r="C71" s="18">
        <v>45573.442361111112</v>
      </c>
      <c r="D71" s="12">
        <v>20138843400</v>
      </c>
      <c r="E71" s="12"/>
      <c r="J71" s="12"/>
    </row>
    <row r="72" spans="1:10">
      <c r="A72" s="18">
        <v>45565.443055555559</v>
      </c>
      <c r="B72" s="12">
        <v>2795636400</v>
      </c>
      <c r="C72" s="18">
        <v>45573.443055555559</v>
      </c>
      <c r="D72" s="12">
        <v>16824026300</v>
      </c>
      <c r="E72" s="12"/>
      <c r="J72" s="12"/>
    </row>
    <row r="73" spans="1:10">
      <c r="A73" s="18">
        <v>45565.443749999999</v>
      </c>
      <c r="B73" s="12">
        <v>2401837400</v>
      </c>
      <c r="C73" s="18">
        <v>45573.443749999999</v>
      </c>
      <c r="D73" s="12">
        <v>14687905000</v>
      </c>
      <c r="E73" s="12"/>
      <c r="J73" s="12"/>
    </row>
    <row r="74" spans="1:10">
      <c r="A74" s="18">
        <v>45565.444444444445</v>
      </c>
      <c r="B74" s="12">
        <v>3146746300</v>
      </c>
      <c r="C74" s="18">
        <v>45573.444444444445</v>
      </c>
      <c r="D74" s="12">
        <v>12985371500</v>
      </c>
      <c r="E74" s="12"/>
      <c r="J74" s="12"/>
    </row>
    <row r="75" spans="1:10">
      <c r="A75" s="18">
        <v>45565.445138888892</v>
      </c>
      <c r="B75" s="12">
        <v>3225826200</v>
      </c>
      <c r="C75" s="18">
        <v>45573.445138888892</v>
      </c>
      <c r="D75" s="12">
        <v>11491169500</v>
      </c>
      <c r="E75" s="12"/>
      <c r="J75" s="12"/>
    </row>
    <row r="76" spans="1:10">
      <c r="A76" s="18">
        <v>45565.445833333331</v>
      </c>
      <c r="B76" s="12">
        <v>3613157100</v>
      </c>
      <c r="C76" s="18">
        <v>45573.445833333331</v>
      </c>
      <c r="D76" s="12">
        <v>10408320100</v>
      </c>
      <c r="E76" s="12"/>
      <c r="J76" s="12"/>
    </row>
    <row r="77" spans="1:10">
      <c r="A77" s="18">
        <v>45565.446527777778</v>
      </c>
      <c r="B77" s="12">
        <v>3163242600</v>
      </c>
      <c r="C77" s="18">
        <v>45573.446527777778</v>
      </c>
      <c r="D77" s="12">
        <v>9399667900</v>
      </c>
      <c r="E77" s="12"/>
      <c r="J77" s="12"/>
    </row>
    <row r="78" spans="1:10">
      <c r="A78" s="18">
        <v>45565.447222222225</v>
      </c>
      <c r="B78" s="12">
        <v>2891520600</v>
      </c>
      <c r="C78" s="18">
        <v>45573.447222222225</v>
      </c>
      <c r="D78" s="12">
        <v>8381043000</v>
      </c>
      <c r="E78" s="12"/>
      <c r="J78" s="12"/>
    </row>
    <row r="79" spans="1:10">
      <c r="A79" s="18">
        <v>45565.447916666664</v>
      </c>
      <c r="B79" s="12">
        <v>3013867600</v>
      </c>
      <c r="C79" s="18">
        <v>45573.447916666664</v>
      </c>
      <c r="D79" s="12">
        <v>7741742400</v>
      </c>
      <c r="E79" s="12"/>
      <c r="J79" s="12"/>
    </row>
    <row r="80" spans="1:10">
      <c r="A80" s="18">
        <v>45565.448611111111</v>
      </c>
      <c r="B80" s="12">
        <v>3469128100</v>
      </c>
      <c r="C80" s="18">
        <v>45573.448611111111</v>
      </c>
      <c r="D80" s="12">
        <v>6916705000</v>
      </c>
      <c r="E80" s="12"/>
      <c r="J80" s="12"/>
    </row>
    <row r="81" spans="1:10">
      <c r="A81" s="18">
        <v>45565.449305555558</v>
      </c>
      <c r="B81" s="12">
        <v>3960775200</v>
      </c>
      <c r="C81" s="18">
        <v>45573.449305555558</v>
      </c>
      <c r="D81" s="12">
        <v>5517750600</v>
      </c>
      <c r="E81" s="12"/>
      <c r="J81" s="12"/>
    </row>
    <row r="82" spans="1:10">
      <c r="A82" s="18">
        <v>45565.45</v>
      </c>
      <c r="B82" s="12">
        <v>4126350300</v>
      </c>
      <c r="C82" s="18">
        <v>45573.45</v>
      </c>
      <c r="D82" s="12">
        <v>5332660200</v>
      </c>
      <c r="E82" s="12"/>
      <c r="J82" s="12"/>
    </row>
    <row r="83" spans="1:10">
      <c r="A83" s="18">
        <v>45565.450694444444</v>
      </c>
      <c r="B83" s="12">
        <v>3598338400</v>
      </c>
      <c r="C83" s="18">
        <v>45573.450694444444</v>
      </c>
      <c r="D83" s="12">
        <v>5147620300</v>
      </c>
      <c r="E83" s="12"/>
      <c r="J83" s="12"/>
    </row>
    <row r="84" spans="1:10">
      <c r="A84" s="18">
        <v>45565.451388888891</v>
      </c>
      <c r="B84" s="12">
        <v>3649803300</v>
      </c>
      <c r="C84" s="18">
        <v>45573.451388888891</v>
      </c>
      <c r="D84" s="12">
        <v>4782952100</v>
      </c>
      <c r="E84" s="12"/>
      <c r="J84" s="12"/>
    </row>
    <row r="85" spans="1:10">
      <c r="A85" s="18">
        <v>45565.45208333333</v>
      </c>
      <c r="B85" s="12">
        <v>3616197800</v>
      </c>
      <c r="C85" s="18">
        <v>45573.45208333333</v>
      </c>
      <c r="D85" s="12">
        <v>5083394200</v>
      </c>
      <c r="E85" s="12"/>
      <c r="J85" s="12"/>
    </row>
    <row r="86" spans="1:10">
      <c r="A86" s="18">
        <v>45565.452777777777</v>
      </c>
      <c r="B86" s="12">
        <v>4174148300</v>
      </c>
      <c r="C86" s="18">
        <v>45573.452777777777</v>
      </c>
      <c r="D86" s="12">
        <v>4533445100</v>
      </c>
      <c r="E86" s="12"/>
      <c r="J86" s="12"/>
    </row>
    <row r="87" spans="1:10">
      <c r="A87" s="18">
        <v>45565.453472222223</v>
      </c>
      <c r="B87" s="12">
        <v>4244218600</v>
      </c>
      <c r="C87" s="18">
        <v>45573.453472222223</v>
      </c>
      <c r="D87" s="12">
        <v>4249069400</v>
      </c>
      <c r="E87" s="12"/>
      <c r="J87" s="12"/>
    </row>
    <row r="88" spans="1:10">
      <c r="A88" s="18">
        <v>45565.45416666667</v>
      </c>
      <c r="B88" s="12">
        <v>4249146300</v>
      </c>
      <c r="C88" s="18">
        <v>45573.45416666667</v>
      </c>
      <c r="D88" s="12">
        <v>4514356000</v>
      </c>
      <c r="E88" s="12"/>
      <c r="J88" s="12"/>
    </row>
    <row r="89" spans="1:10">
      <c r="A89" s="18">
        <v>45565.454861111109</v>
      </c>
      <c r="B89" s="12">
        <v>4143445000</v>
      </c>
      <c r="C89" s="18">
        <v>45573.454861111109</v>
      </c>
      <c r="D89" s="12">
        <v>4221628200</v>
      </c>
      <c r="E89" s="12"/>
      <c r="J89" s="12"/>
    </row>
    <row r="90" spans="1:10">
      <c r="A90" s="18">
        <v>45565.455555555556</v>
      </c>
      <c r="B90" s="12">
        <v>3799939300</v>
      </c>
      <c r="C90" s="18">
        <v>45573.455555555556</v>
      </c>
      <c r="D90" s="12">
        <v>3628607900</v>
      </c>
      <c r="E90" s="12"/>
      <c r="J90" s="12"/>
    </row>
    <row r="91" spans="1:10">
      <c r="A91" s="18">
        <v>45565.456250000003</v>
      </c>
      <c r="B91" s="12">
        <v>3796331900</v>
      </c>
      <c r="C91" s="18">
        <v>45573.456250000003</v>
      </c>
      <c r="D91" s="12">
        <v>3666251700</v>
      </c>
      <c r="E91" s="12"/>
      <c r="J91" s="12"/>
    </row>
    <row r="92" spans="1:10">
      <c r="A92" s="18">
        <v>45565.456944444442</v>
      </c>
      <c r="B92" s="12">
        <v>3790387400</v>
      </c>
      <c r="C92" s="18">
        <v>45573.456944444442</v>
      </c>
      <c r="D92" s="12">
        <v>3454275700</v>
      </c>
      <c r="E92" s="12"/>
      <c r="J92" s="12"/>
    </row>
    <row r="93" spans="1:10">
      <c r="A93" s="18">
        <v>45565.457638888889</v>
      </c>
      <c r="B93" s="12">
        <v>3740669500</v>
      </c>
      <c r="C93" s="18">
        <v>45573.457638888889</v>
      </c>
      <c r="D93" s="12">
        <v>3816008900</v>
      </c>
      <c r="E93" s="12"/>
      <c r="J93" s="12"/>
    </row>
    <row r="94" spans="1:10">
      <c r="A94" s="18">
        <v>45565.458333333336</v>
      </c>
      <c r="B94" s="12">
        <v>4102513200</v>
      </c>
      <c r="C94" s="18">
        <v>45573.458333333336</v>
      </c>
      <c r="D94" s="12">
        <v>4206692200</v>
      </c>
      <c r="E94" s="12"/>
      <c r="J94" s="12"/>
    </row>
    <row r="95" spans="1:10">
      <c r="A95" s="18">
        <v>45565.459027777775</v>
      </c>
      <c r="B95" s="12">
        <v>4417807700</v>
      </c>
      <c r="C95" s="18">
        <v>45573.459027777775</v>
      </c>
      <c r="D95" s="12">
        <v>4503894700</v>
      </c>
      <c r="E95" s="12"/>
      <c r="J95" s="12"/>
    </row>
    <row r="96" spans="1:10">
      <c r="A96" s="18">
        <v>45565.459722222222</v>
      </c>
      <c r="B96" s="12">
        <v>3536973800</v>
      </c>
      <c r="C96" s="18">
        <v>45573.459722222222</v>
      </c>
      <c r="D96" s="12">
        <v>4003071200</v>
      </c>
      <c r="E96" s="12"/>
      <c r="J96" s="12"/>
    </row>
    <row r="97" spans="1:10">
      <c r="A97" s="18">
        <v>45565.460416666669</v>
      </c>
      <c r="B97" s="12">
        <v>3245905500</v>
      </c>
      <c r="C97" s="18">
        <v>45573.460416666669</v>
      </c>
      <c r="D97" s="12">
        <v>4352479400</v>
      </c>
      <c r="E97" s="12"/>
      <c r="J97" s="12"/>
    </row>
    <row r="98" spans="1:10">
      <c r="A98" s="18">
        <v>45565.461111111108</v>
      </c>
      <c r="B98" s="12">
        <v>3503051600</v>
      </c>
      <c r="C98" s="18">
        <v>45573.461111111108</v>
      </c>
      <c r="D98" s="12">
        <v>4070269000</v>
      </c>
      <c r="E98" s="12"/>
      <c r="J98" s="12"/>
    </row>
    <row r="99" spans="1:10">
      <c r="A99" s="18">
        <v>45565.461805555555</v>
      </c>
      <c r="B99" s="12">
        <v>3429542700</v>
      </c>
      <c r="C99" s="18">
        <v>45573.461805555555</v>
      </c>
      <c r="D99" s="12">
        <v>4448361900</v>
      </c>
      <c r="E99" s="12"/>
      <c r="J99" s="12"/>
    </row>
    <row r="100" spans="1:10">
      <c r="A100" s="18">
        <v>45565.462500000001</v>
      </c>
      <c r="B100" s="12">
        <v>3615628300</v>
      </c>
      <c r="C100" s="18">
        <v>45573.462500000001</v>
      </c>
      <c r="D100" s="12">
        <v>4864837800</v>
      </c>
      <c r="E100" s="12"/>
      <c r="J100" s="12"/>
    </row>
    <row r="101" spans="1:10">
      <c r="A101" s="18">
        <v>45565.463194444441</v>
      </c>
      <c r="B101" s="12">
        <v>2750986500</v>
      </c>
      <c r="C101" s="18">
        <v>45573.463194444441</v>
      </c>
      <c r="D101" s="12">
        <v>4739395100</v>
      </c>
      <c r="E101" s="12"/>
      <c r="J101" s="12"/>
    </row>
    <row r="102" spans="1:10">
      <c r="A102" s="18">
        <v>45565.463888888888</v>
      </c>
      <c r="B102" s="12">
        <v>2948967200</v>
      </c>
      <c r="C102" s="18">
        <v>45573.463888888888</v>
      </c>
      <c r="D102" s="12">
        <v>4926723900</v>
      </c>
      <c r="E102" s="12"/>
      <c r="J102" s="12"/>
    </row>
    <row r="103" spans="1:10">
      <c r="A103" s="18">
        <v>45565.464583333334</v>
      </c>
      <c r="B103" s="12">
        <v>2369256700</v>
      </c>
      <c r="C103" s="18">
        <v>45573.464583333334</v>
      </c>
      <c r="D103" s="12">
        <v>4459713600</v>
      </c>
      <c r="E103" s="12"/>
      <c r="J103" s="12"/>
    </row>
    <row r="104" spans="1:10">
      <c r="A104" s="18">
        <v>45565.465277777781</v>
      </c>
      <c r="B104" s="12">
        <v>2117040900</v>
      </c>
      <c r="C104" s="18">
        <v>45573.465277777781</v>
      </c>
      <c r="D104" s="12">
        <v>4750867400</v>
      </c>
      <c r="E104" s="12"/>
      <c r="J104" s="12"/>
    </row>
    <row r="105" spans="1:10">
      <c r="A105" s="18">
        <v>45565.46597222222</v>
      </c>
      <c r="B105" s="12">
        <v>2128979000</v>
      </c>
      <c r="C105" s="18">
        <v>45573.46597222222</v>
      </c>
      <c r="D105" s="12">
        <v>4184272500</v>
      </c>
      <c r="E105" s="12"/>
      <c r="J105" s="12"/>
    </row>
    <row r="106" spans="1:10">
      <c r="A106" s="18">
        <v>45565.466666666667</v>
      </c>
      <c r="B106" s="12">
        <v>2060918900</v>
      </c>
      <c r="C106" s="18">
        <v>45573.466666666667</v>
      </c>
      <c r="D106" s="12">
        <v>3771062100</v>
      </c>
      <c r="E106" s="12"/>
      <c r="J106" s="12"/>
    </row>
    <row r="107" spans="1:10">
      <c r="A107" s="18">
        <v>45565.467361111114</v>
      </c>
      <c r="B107" s="12">
        <v>2031969700</v>
      </c>
      <c r="C107" s="18">
        <v>45573.467361111114</v>
      </c>
      <c r="D107" s="12">
        <v>3855409100</v>
      </c>
      <c r="E107" s="12"/>
      <c r="J107" s="12"/>
    </row>
    <row r="108" spans="1:10">
      <c r="A108" s="18">
        <v>45565.468055555553</v>
      </c>
      <c r="B108" s="12">
        <v>2097765800</v>
      </c>
      <c r="C108" s="18">
        <v>45573.468055555553</v>
      </c>
      <c r="D108" s="12">
        <v>3872287800</v>
      </c>
      <c r="E108" s="12"/>
      <c r="J108" s="12"/>
    </row>
    <row r="109" spans="1:10">
      <c r="A109" s="18">
        <v>45565.46875</v>
      </c>
      <c r="B109" s="12">
        <v>2097097300</v>
      </c>
      <c r="C109" s="18">
        <v>45573.46875</v>
      </c>
      <c r="D109" s="12">
        <v>3978964800</v>
      </c>
      <c r="E109" s="12"/>
      <c r="J109" s="12"/>
    </row>
    <row r="110" spans="1:10">
      <c r="A110" s="18">
        <v>45565.469444444447</v>
      </c>
      <c r="B110" s="12">
        <v>2327468100</v>
      </c>
      <c r="C110" s="18">
        <v>45573.469444444447</v>
      </c>
      <c r="D110" s="12">
        <v>4458712900</v>
      </c>
      <c r="E110" s="12"/>
      <c r="J110" s="12"/>
    </row>
    <row r="111" spans="1:10">
      <c r="A111" s="18">
        <v>45565.470138888886</v>
      </c>
      <c r="B111" s="12">
        <v>2114669800</v>
      </c>
      <c r="C111" s="18">
        <v>45573.470138888886</v>
      </c>
      <c r="D111" s="12">
        <v>4265738900</v>
      </c>
      <c r="E111" s="12"/>
      <c r="J111" s="12"/>
    </row>
    <row r="112" spans="1:10">
      <c r="A112" s="18">
        <v>45565.470833333333</v>
      </c>
      <c r="B112" s="12">
        <v>2206024800</v>
      </c>
      <c r="C112" s="18">
        <v>45573.470833333333</v>
      </c>
      <c r="D112" s="12">
        <v>4525394500</v>
      </c>
      <c r="E112" s="12"/>
      <c r="J112" s="12"/>
    </row>
    <row r="113" spans="1:10">
      <c r="A113" s="18">
        <v>45565.47152777778</v>
      </c>
      <c r="B113" s="12">
        <v>2131507000</v>
      </c>
      <c r="C113" s="18">
        <v>45573.47152777778</v>
      </c>
      <c r="D113" s="12">
        <v>4680408500</v>
      </c>
      <c r="E113" s="12"/>
      <c r="J113" s="12"/>
    </row>
    <row r="114" spans="1:10">
      <c r="A114" s="18">
        <v>45565.472222222219</v>
      </c>
      <c r="B114" s="12">
        <v>2351697900</v>
      </c>
      <c r="C114" s="18">
        <v>45573.472222222219</v>
      </c>
      <c r="D114" s="12">
        <v>3687056600</v>
      </c>
      <c r="E114" s="12"/>
      <c r="J114" s="12"/>
    </row>
    <row r="115" spans="1:10">
      <c r="A115" s="18">
        <v>45565.472916666666</v>
      </c>
      <c r="B115" s="12">
        <v>2138393100</v>
      </c>
      <c r="C115" s="18">
        <v>45573.472916666666</v>
      </c>
      <c r="D115" s="12">
        <v>3979380200</v>
      </c>
      <c r="E115" s="12"/>
      <c r="J115" s="12"/>
    </row>
    <row r="116" spans="1:10">
      <c r="A116" s="18">
        <v>45565.473611111112</v>
      </c>
      <c r="B116" s="12">
        <v>2358960300</v>
      </c>
      <c r="C116" s="18">
        <v>45573.473611111112</v>
      </c>
      <c r="D116" s="12">
        <v>3261867000</v>
      </c>
      <c r="E116" s="12"/>
      <c r="J116" s="12"/>
    </row>
    <row r="117" spans="1:10">
      <c r="A117" s="18">
        <v>45565.474305555559</v>
      </c>
      <c r="B117" s="12">
        <v>2149558400</v>
      </c>
      <c r="C117" s="18">
        <v>45573.474305555559</v>
      </c>
      <c r="D117" s="12">
        <v>2540546600</v>
      </c>
      <c r="E117" s="12"/>
      <c r="J117" s="12"/>
    </row>
    <row r="118" spans="1:10">
      <c r="A118" s="18">
        <v>45565.474999999999</v>
      </c>
      <c r="B118" s="12">
        <v>2169010300</v>
      </c>
      <c r="C118" s="18">
        <v>45573.474999999999</v>
      </c>
      <c r="D118" s="12">
        <v>2604418200</v>
      </c>
      <c r="E118" s="12"/>
      <c r="J118" s="12"/>
    </row>
    <row r="119" spans="1:10">
      <c r="A119" s="18">
        <v>45565.475694444445</v>
      </c>
      <c r="B119" s="12">
        <v>2222457000</v>
      </c>
      <c r="C119" s="18">
        <v>45573.475694444445</v>
      </c>
      <c r="D119" s="12">
        <v>2554500900</v>
      </c>
      <c r="E119" s="12"/>
      <c r="J119" s="12"/>
    </row>
    <row r="120" spans="1:10">
      <c r="A120" s="18">
        <v>45565.476388888892</v>
      </c>
      <c r="B120" s="12">
        <v>2404527100</v>
      </c>
      <c r="C120" s="18">
        <v>45573.476388888892</v>
      </c>
      <c r="D120" s="12">
        <v>2803440500</v>
      </c>
      <c r="E120" s="12"/>
      <c r="J120" s="12"/>
    </row>
    <row r="121" spans="1:10">
      <c r="A121" s="18">
        <v>45565.477083333331</v>
      </c>
      <c r="B121" s="12">
        <v>2311815300</v>
      </c>
      <c r="C121" s="18">
        <v>45573.477083333331</v>
      </c>
      <c r="D121" s="12">
        <v>2607224000</v>
      </c>
      <c r="E121" s="12"/>
      <c r="J121" s="12"/>
    </row>
    <row r="122" spans="1:10">
      <c r="A122" s="18">
        <v>45565.477777777778</v>
      </c>
      <c r="B122" s="12">
        <v>2726971000</v>
      </c>
      <c r="C122" s="18">
        <v>45573.477777777778</v>
      </c>
      <c r="D122" s="12">
        <v>2503376300</v>
      </c>
      <c r="E122" s="12"/>
      <c r="J122" s="12"/>
    </row>
    <row r="123" spans="1:10">
      <c r="A123" s="18">
        <v>45565.478472222225</v>
      </c>
      <c r="B123" s="12">
        <v>2749346100</v>
      </c>
      <c r="C123" s="18">
        <v>45573.478472222225</v>
      </c>
      <c r="D123" s="12">
        <v>2678120000</v>
      </c>
      <c r="E123" s="12"/>
      <c r="J123" s="12"/>
    </row>
    <row r="124" spans="1:10">
      <c r="A124" s="18">
        <v>45565.479166666664</v>
      </c>
      <c r="B124" s="12">
        <v>72294200</v>
      </c>
      <c r="C124" s="18">
        <v>45573.479166666664</v>
      </c>
      <c r="D124" s="12">
        <v>30141400</v>
      </c>
      <c r="E124" s="12"/>
      <c r="J124" s="12"/>
    </row>
    <row r="125" spans="1:10">
      <c r="A125" s="18">
        <v>45565.541666666664</v>
      </c>
      <c r="B125" s="12">
        <v>15161085500</v>
      </c>
      <c r="C125" s="18">
        <v>45573.541666666664</v>
      </c>
      <c r="D125" s="12">
        <v>10801685300</v>
      </c>
      <c r="E125" s="12"/>
      <c r="J125" s="20"/>
    </row>
    <row r="126" spans="1:10">
      <c r="A126" s="18">
        <v>45565.542361111111</v>
      </c>
      <c r="B126" s="12">
        <v>7203398900</v>
      </c>
      <c r="C126" s="18">
        <v>45573.542361111111</v>
      </c>
      <c r="D126" s="12">
        <v>4383994800</v>
      </c>
      <c r="E126" s="12"/>
    </row>
    <row r="127" spans="1:10">
      <c r="A127" s="18">
        <v>45565.543055555558</v>
      </c>
      <c r="B127" s="12">
        <v>6251034400</v>
      </c>
      <c r="C127" s="18">
        <v>45573.543055555558</v>
      </c>
      <c r="D127" s="12">
        <v>4223697800</v>
      </c>
      <c r="E127" s="12"/>
    </row>
    <row r="128" spans="1:10">
      <c r="A128" s="18">
        <v>45565.543749999997</v>
      </c>
      <c r="B128" s="12">
        <v>5435107400</v>
      </c>
      <c r="C128" s="18">
        <v>45573.543749999997</v>
      </c>
      <c r="D128" s="12">
        <v>3732395300</v>
      </c>
      <c r="E128" s="12"/>
    </row>
    <row r="129" spans="1:5">
      <c r="A129" s="18">
        <v>45565.544444444444</v>
      </c>
      <c r="B129" s="12">
        <v>5403051100</v>
      </c>
      <c r="C129" s="18">
        <v>45573.544444444444</v>
      </c>
      <c r="D129" s="12">
        <v>4547614200</v>
      </c>
      <c r="E129" s="12"/>
    </row>
    <row r="130" spans="1:5">
      <c r="A130" s="18">
        <v>45565.545138888891</v>
      </c>
      <c r="B130" s="12">
        <v>5110275200</v>
      </c>
      <c r="C130" s="18">
        <v>45573.545138888891</v>
      </c>
      <c r="D130" s="12">
        <v>4622154700</v>
      </c>
      <c r="E130" s="12"/>
    </row>
    <row r="131" spans="1:5">
      <c r="A131" s="18">
        <v>45565.54583333333</v>
      </c>
      <c r="B131" s="12">
        <v>4881113400</v>
      </c>
      <c r="C131" s="18">
        <v>45573.54583333333</v>
      </c>
      <c r="D131" s="12">
        <v>3625526300</v>
      </c>
      <c r="E131" s="12"/>
    </row>
    <row r="132" spans="1:5">
      <c r="A132" s="18">
        <v>45565.546527777777</v>
      </c>
      <c r="B132" s="12">
        <v>4786844800</v>
      </c>
      <c r="C132" s="18">
        <v>45573.546527777777</v>
      </c>
      <c r="D132" s="12">
        <v>3381615100</v>
      </c>
      <c r="E132" s="12"/>
    </row>
    <row r="133" spans="1:5">
      <c r="A133" s="18">
        <v>45565.547222222223</v>
      </c>
      <c r="B133" s="12">
        <v>4507126700</v>
      </c>
      <c r="C133" s="18">
        <v>45573.547222222223</v>
      </c>
      <c r="D133" s="12">
        <v>3140522500</v>
      </c>
      <c r="E133" s="12"/>
    </row>
    <row r="134" spans="1:5">
      <c r="A134" s="18">
        <v>45565.54791666667</v>
      </c>
      <c r="B134" s="12">
        <v>4546853400</v>
      </c>
      <c r="C134" s="18">
        <v>45573.54791666667</v>
      </c>
      <c r="D134" s="12">
        <v>3356937100</v>
      </c>
      <c r="E134" s="12"/>
    </row>
    <row r="135" spans="1:5">
      <c r="A135" s="18">
        <v>45565.548611111109</v>
      </c>
      <c r="B135" s="12">
        <v>4720595500</v>
      </c>
      <c r="C135" s="18">
        <v>45573.548611111109</v>
      </c>
      <c r="D135" s="12">
        <v>3405058500</v>
      </c>
      <c r="E135" s="12"/>
    </row>
    <row r="136" spans="1:5">
      <c r="A136" s="18">
        <v>45565.549305555556</v>
      </c>
      <c r="B136" s="12">
        <v>5133793000</v>
      </c>
      <c r="C136" s="18">
        <v>45573.549305555556</v>
      </c>
      <c r="D136" s="12">
        <v>3047966400</v>
      </c>
      <c r="E136" s="12"/>
    </row>
    <row r="137" spans="1:5">
      <c r="A137" s="18">
        <v>45565.55</v>
      </c>
      <c r="B137" s="12">
        <v>4367963900</v>
      </c>
      <c r="C137" s="18">
        <v>45573.55</v>
      </c>
      <c r="D137" s="12">
        <v>3135842600</v>
      </c>
      <c r="E137" s="12"/>
    </row>
    <row r="138" spans="1:5">
      <c r="A138" s="18">
        <v>45565.550694444442</v>
      </c>
      <c r="B138" s="12">
        <v>4223835200</v>
      </c>
      <c r="C138" s="18">
        <v>45573.550694444442</v>
      </c>
      <c r="D138" s="12">
        <v>3516873700</v>
      </c>
      <c r="E138" s="12"/>
    </row>
    <row r="139" spans="1:5">
      <c r="A139" s="18">
        <v>45565.551388888889</v>
      </c>
      <c r="B139" s="12">
        <v>4004847800</v>
      </c>
      <c r="C139" s="18">
        <v>45573.551388888889</v>
      </c>
      <c r="D139" s="12">
        <v>2935999600</v>
      </c>
      <c r="E139" s="12"/>
    </row>
    <row r="140" spans="1:5">
      <c r="A140" s="18">
        <v>45565.552083333336</v>
      </c>
      <c r="B140" s="12">
        <v>3870108800</v>
      </c>
      <c r="C140" s="18">
        <v>45573.552083333336</v>
      </c>
      <c r="D140" s="12">
        <v>3547790900</v>
      </c>
      <c r="E140" s="12"/>
    </row>
    <row r="141" spans="1:5">
      <c r="A141" s="18">
        <v>45565.552777777775</v>
      </c>
      <c r="B141" s="12">
        <v>3888210700</v>
      </c>
      <c r="C141" s="18">
        <v>45573.552777777775</v>
      </c>
      <c r="D141" s="12">
        <v>3490535100</v>
      </c>
      <c r="E141" s="12"/>
    </row>
    <row r="142" spans="1:5">
      <c r="A142" s="18">
        <v>45565.553472222222</v>
      </c>
      <c r="B142" s="12">
        <v>2793726200</v>
      </c>
      <c r="C142" s="18">
        <v>45573.553472222222</v>
      </c>
      <c r="D142" s="12">
        <v>3178167100</v>
      </c>
      <c r="E142" s="12"/>
    </row>
    <row r="143" spans="1:5">
      <c r="A143" s="18">
        <v>45565.554166666669</v>
      </c>
      <c r="B143" s="12">
        <v>2650361300</v>
      </c>
      <c r="C143" s="18">
        <v>45573.554166666669</v>
      </c>
      <c r="D143" s="12">
        <v>2730788800</v>
      </c>
      <c r="E143" s="12"/>
    </row>
    <row r="144" spans="1:5">
      <c r="A144" s="18">
        <v>45565.554861111108</v>
      </c>
      <c r="B144" s="12">
        <v>2560695000</v>
      </c>
      <c r="C144" s="18">
        <v>45573.554861111108</v>
      </c>
      <c r="D144" s="12">
        <v>2923302600</v>
      </c>
      <c r="E144" s="12"/>
    </row>
    <row r="145" spans="1:5">
      <c r="A145" s="18">
        <v>45565.555555555555</v>
      </c>
      <c r="B145" s="12">
        <v>2969932800</v>
      </c>
      <c r="C145" s="18">
        <v>45573.555555555555</v>
      </c>
      <c r="D145" s="12">
        <v>3821059200</v>
      </c>
      <c r="E145" s="12"/>
    </row>
    <row r="146" spans="1:5">
      <c r="A146" s="18">
        <v>45565.556250000001</v>
      </c>
      <c r="B146" s="12">
        <v>2646795400</v>
      </c>
      <c r="C146" s="18">
        <v>45573.556250000001</v>
      </c>
      <c r="D146" s="12">
        <v>3513834700</v>
      </c>
      <c r="E146" s="12"/>
    </row>
    <row r="147" spans="1:5">
      <c r="A147" s="18">
        <v>45565.556944444441</v>
      </c>
      <c r="B147" s="12">
        <v>2791635000</v>
      </c>
      <c r="C147" s="18">
        <v>45573.556944444441</v>
      </c>
      <c r="D147" s="12">
        <v>3130802500</v>
      </c>
      <c r="E147" s="12"/>
    </row>
    <row r="148" spans="1:5">
      <c r="A148" s="18">
        <v>45565.557638888888</v>
      </c>
      <c r="B148" s="12">
        <v>2700248100</v>
      </c>
      <c r="C148" s="18">
        <v>45573.557638888888</v>
      </c>
      <c r="D148" s="12">
        <v>3280724300</v>
      </c>
      <c r="E148" s="12"/>
    </row>
    <row r="149" spans="1:5">
      <c r="A149" s="18">
        <v>45565.558333333334</v>
      </c>
      <c r="B149" s="12">
        <v>2662774800</v>
      </c>
      <c r="C149" s="18">
        <v>45573.558333333334</v>
      </c>
      <c r="D149" s="12">
        <v>3271928500</v>
      </c>
      <c r="E149" s="12"/>
    </row>
    <row r="150" spans="1:5">
      <c r="A150" s="18">
        <v>45565.559027777781</v>
      </c>
      <c r="B150" s="12">
        <v>2534032300</v>
      </c>
      <c r="C150" s="18">
        <v>45573.559027777781</v>
      </c>
      <c r="D150" s="12">
        <v>3317225500</v>
      </c>
      <c r="E150" s="12"/>
    </row>
    <row r="151" spans="1:5">
      <c r="A151" s="18">
        <v>45565.55972222222</v>
      </c>
      <c r="B151" s="12">
        <v>2710580500</v>
      </c>
      <c r="C151" s="18">
        <v>45573.55972222222</v>
      </c>
      <c r="D151" s="12">
        <v>3865596300</v>
      </c>
      <c r="E151" s="12"/>
    </row>
    <row r="152" spans="1:5">
      <c r="A152" s="18">
        <v>45565.560416666667</v>
      </c>
      <c r="B152" s="12">
        <v>2602581400</v>
      </c>
      <c r="C152" s="18">
        <v>45573.560416666667</v>
      </c>
      <c r="D152" s="12">
        <v>3127728300</v>
      </c>
      <c r="E152" s="12"/>
    </row>
    <row r="153" spans="1:5">
      <c r="A153" s="18">
        <v>45565.561111111114</v>
      </c>
      <c r="B153" s="12">
        <v>2962261900</v>
      </c>
      <c r="C153" s="18">
        <v>45573.561111111114</v>
      </c>
      <c r="D153" s="12">
        <v>2911629700</v>
      </c>
      <c r="E153" s="12"/>
    </row>
    <row r="154" spans="1:5">
      <c r="A154" s="18">
        <v>45565.561805555553</v>
      </c>
      <c r="B154" s="12">
        <v>2549432800</v>
      </c>
      <c r="C154" s="18">
        <v>45573.561805555553</v>
      </c>
      <c r="D154" s="12">
        <v>2948589000</v>
      </c>
      <c r="E154" s="12"/>
    </row>
    <row r="155" spans="1:5">
      <c r="A155" s="18">
        <v>45565.5625</v>
      </c>
      <c r="B155" s="12">
        <v>3008020800</v>
      </c>
      <c r="C155" s="18">
        <v>45573.5625</v>
      </c>
      <c r="D155" s="12">
        <v>2970686800</v>
      </c>
      <c r="E155" s="12"/>
    </row>
    <row r="156" spans="1:5">
      <c r="A156" s="18">
        <v>45565.563194444447</v>
      </c>
      <c r="B156" s="12">
        <v>2947898600</v>
      </c>
      <c r="C156" s="18">
        <v>45573.563194444447</v>
      </c>
      <c r="D156" s="12">
        <v>3280963000</v>
      </c>
      <c r="E156" s="12"/>
    </row>
    <row r="157" spans="1:5">
      <c r="A157" s="18">
        <v>45565.563888888886</v>
      </c>
      <c r="B157" s="12">
        <v>2803165000</v>
      </c>
      <c r="C157" s="18">
        <v>45573.563888888886</v>
      </c>
      <c r="D157" s="12">
        <v>3077437700</v>
      </c>
      <c r="E157" s="12"/>
    </row>
    <row r="158" spans="1:5">
      <c r="A158" s="18">
        <v>45565.564583333333</v>
      </c>
      <c r="B158" s="12">
        <v>2989018200</v>
      </c>
      <c r="C158" s="18">
        <v>45573.564583333333</v>
      </c>
      <c r="D158" s="12">
        <v>3112262300</v>
      </c>
      <c r="E158" s="12"/>
    </row>
    <row r="159" spans="1:5">
      <c r="A159" s="18">
        <v>45565.56527777778</v>
      </c>
      <c r="B159" s="12">
        <v>2825790000</v>
      </c>
      <c r="C159" s="18">
        <v>45573.56527777778</v>
      </c>
      <c r="D159" s="12">
        <v>3003037200</v>
      </c>
      <c r="E159" s="12"/>
    </row>
    <row r="160" spans="1:5">
      <c r="A160" s="18">
        <v>45565.565972222219</v>
      </c>
      <c r="B160" s="12">
        <v>2632412900</v>
      </c>
      <c r="C160" s="18">
        <v>45573.565972222219</v>
      </c>
      <c r="D160" s="12">
        <v>3020583500</v>
      </c>
      <c r="E160" s="12"/>
    </row>
    <row r="161" spans="1:5">
      <c r="A161" s="18">
        <v>45565.566666666666</v>
      </c>
      <c r="B161" s="12">
        <v>2743161700</v>
      </c>
      <c r="C161" s="18">
        <v>45573.566666666666</v>
      </c>
      <c r="D161" s="12">
        <v>3360128800</v>
      </c>
      <c r="E161" s="12"/>
    </row>
    <row r="162" spans="1:5">
      <c r="A162" s="18">
        <v>45565.567361111112</v>
      </c>
      <c r="B162" s="12">
        <v>2817737800</v>
      </c>
      <c r="C162" s="18">
        <v>45573.567361111112</v>
      </c>
      <c r="D162" s="12">
        <v>2853243700</v>
      </c>
      <c r="E162" s="12"/>
    </row>
    <row r="163" spans="1:5">
      <c r="A163" s="18">
        <v>45565.568055555559</v>
      </c>
      <c r="B163" s="12">
        <v>2816125800</v>
      </c>
      <c r="C163" s="18">
        <v>45573.568055555559</v>
      </c>
      <c r="D163" s="12">
        <v>3034411700</v>
      </c>
      <c r="E163" s="12"/>
    </row>
    <row r="164" spans="1:5">
      <c r="A164" s="18">
        <v>45565.568749999999</v>
      </c>
      <c r="B164" s="12">
        <v>2930763000</v>
      </c>
      <c r="C164" s="18">
        <v>45573.568749999999</v>
      </c>
      <c r="D164" s="12">
        <v>3154020900</v>
      </c>
      <c r="E164" s="12"/>
    </row>
    <row r="165" spans="1:5">
      <c r="A165" s="18">
        <v>45565.569444444445</v>
      </c>
      <c r="B165" s="12">
        <v>3343453700</v>
      </c>
      <c r="C165" s="18">
        <v>45573.569444444445</v>
      </c>
      <c r="D165" s="12">
        <v>3471318300</v>
      </c>
      <c r="E165" s="12"/>
    </row>
    <row r="166" spans="1:5">
      <c r="A166" s="18">
        <v>45565.570138888892</v>
      </c>
      <c r="B166" s="12">
        <v>3304142000</v>
      </c>
      <c r="C166" s="18">
        <v>45573.570138888892</v>
      </c>
      <c r="D166" s="12">
        <v>3394913400</v>
      </c>
      <c r="E166" s="12"/>
    </row>
    <row r="167" spans="1:5">
      <c r="A167" s="18">
        <v>45565.570833333331</v>
      </c>
      <c r="B167" s="12">
        <v>2948001200</v>
      </c>
      <c r="C167" s="18">
        <v>45573.570833333331</v>
      </c>
      <c r="D167" s="12">
        <v>3061726800</v>
      </c>
      <c r="E167" s="12"/>
    </row>
    <row r="168" spans="1:5">
      <c r="A168" s="18">
        <v>45565.571527777778</v>
      </c>
      <c r="B168" s="12">
        <v>2955830500</v>
      </c>
      <c r="C168" s="18">
        <v>45573.571527777778</v>
      </c>
      <c r="D168" s="12">
        <v>2887685300</v>
      </c>
      <c r="E168" s="12"/>
    </row>
    <row r="169" spans="1:5">
      <c r="A169" s="18">
        <v>45565.572222222225</v>
      </c>
      <c r="B169" s="12">
        <v>3339777600</v>
      </c>
      <c r="C169" s="18">
        <v>45573.572222222225</v>
      </c>
      <c r="D169" s="12">
        <v>2412076100</v>
      </c>
      <c r="E169" s="12"/>
    </row>
    <row r="170" spans="1:5">
      <c r="A170" s="18">
        <v>45565.572916666664</v>
      </c>
      <c r="B170" s="12">
        <v>3614276800</v>
      </c>
      <c r="C170" s="18">
        <v>45573.572916666664</v>
      </c>
      <c r="D170" s="12">
        <v>2709819000</v>
      </c>
      <c r="E170" s="12"/>
    </row>
    <row r="171" spans="1:5">
      <c r="A171" s="18">
        <v>45565.573611111111</v>
      </c>
      <c r="B171" s="12">
        <v>2775751800</v>
      </c>
      <c r="C171" s="18">
        <v>45573.573611111111</v>
      </c>
      <c r="D171" s="12">
        <v>2676031100</v>
      </c>
      <c r="E171" s="12"/>
    </row>
    <row r="172" spans="1:5">
      <c r="A172" s="18">
        <v>45565.574305555558</v>
      </c>
      <c r="B172" s="12">
        <v>3011513500</v>
      </c>
      <c r="C172" s="18">
        <v>45573.574305555558</v>
      </c>
      <c r="D172" s="12">
        <v>3017346100</v>
      </c>
      <c r="E172" s="12"/>
    </row>
    <row r="173" spans="1:5">
      <c r="A173" s="18">
        <v>45565.574999999997</v>
      </c>
      <c r="B173" s="12">
        <v>3135927200</v>
      </c>
      <c r="C173" s="18">
        <v>45573.574999999997</v>
      </c>
      <c r="D173" s="12">
        <v>2611481800</v>
      </c>
      <c r="E173" s="12"/>
    </row>
    <row r="174" spans="1:5">
      <c r="A174" s="18">
        <v>45565.575694444444</v>
      </c>
      <c r="B174" s="12">
        <v>3358701900</v>
      </c>
      <c r="C174" s="18">
        <v>45573.575694444444</v>
      </c>
      <c r="D174" s="12">
        <v>2804755500</v>
      </c>
      <c r="E174" s="12"/>
    </row>
    <row r="175" spans="1:5">
      <c r="A175" s="18">
        <v>45565.576388888891</v>
      </c>
      <c r="B175" s="12">
        <v>3587729200</v>
      </c>
      <c r="C175" s="18">
        <v>45573.576388888891</v>
      </c>
      <c r="D175" s="12">
        <v>2852837200</v>
      </c>
      <c r="E175" s="12"/>
    </row>
    <row r="176" spans="1:5">
      <c r="A176" s="18">
        <v>45565.57708333333</v>
      </c>
      <c r="B176" s="12">
        <v>3165764600</v>
      </c>
      <c r="C176" s="18">
        <v>45573.57708333333</v>
      </c>
      <c r="D176" s="12">
        <v>2955066600</v>
      </c>
      <c r="E176" s="12"/>
    </row>
    <row r="177" spans="1:5">
      <c r="A177" s="18">
        <v>45565.577777777777</v>
      </c>
      <c r="B177" s="12">
        <v>2989583100</v>
      </c>
      <c r="C177" s="18">
        <v>45573.577777777777</v>
      </c>
      <c r="D177" s="12">
        <v>3226039100</v>
      </c>
      <c r="E177" s="12"/>
    </row>
    <row r="178" spans="1:5">
      <c r="A178" s="18">
        <v>45565.578472222223</v>
      </c>
      <c r="B178" s="12">
        <v>2844681400</v>
      </c>
      <c r="C178" s="18">
        <v>45573.578472222223</v>
      </c>
      <c r="D178" s="12">
        <v>2975388100</v>
      </c>
      <c r="E178" s="12"/>
    </row>
    <row r="179" spans="1:5">
      <c r="A179" s="18">
        <v>45565.57916666667</v>
      </c>
      <c r="B179" s="12">
        <v>2798035500</v>
      </c>
      <c r="C179" s="18">
        <v>45573.57916666667</v>
      </c>
      <c r="D179" s="12">
        <v>3520467400</v>
      </c>
      <c r="E179" s="12"/>
    </row>
    <row r="180" spans="1:5">
      <c r="A180" s="18">
        <v>45565.579861111109</v>
      </c>
      <c r="B180" s="12">
        <v>2974667400</v>
      </c>
      <c r="C180" s="18">
        <v>45573.579861111109</v>
      </c>
      <c r="D180" s="12">
        <v>3679988800</v>
      </c>
      <c r="E180" s="12"/>
    </row>
    <row r="181" spans="1:5">
      <c r="A181" s="18">
        <v>45565.580555555556</v>
      </c>
      <c r="B181" s="12">
        <v>2885127200</v>
      </c>
      <c r="C181" s="18">
        <v>45573.580555555556</v>
      </c>
      <c r="D181" s="12">
        <v>3636952700</v>
      </c>
      <c r="E181" s="12"/>
    </row>
    <row r="182" spans="1:5">
      <c r="A182" s="18">
        <v>45565.581250000003</v>
      </c>
      <c r="B182" s="12">
        <v>2878312000</v>
      </c>
      <c r="C182" s="18">
        <v>45573.581250000003</v>
      </c>
      <c r="D182" s="12">
        <v>3428811300</v>
      </c>
      <c r="E182" s="12"/>
    </row>
    <row r="183" spans="1:5">
      <c r="A183" s="18">
        <v>45565.581944444442</v>
      </c>
      <c r="B183" s="12">
        <v>3031315000</v>
      </c>
      <c r="C183" s="18">
        <v>45573.581944444442</v>
      </c>
      <c r="D183" s="12">
        <v>3073363700</v>
      </c>
      <c r="E183" s="12"/>
    </row>
    <row r="184" spans="1:5">
      <c r="A184" s="18">
        <v>45565.582638888889</v>
      </c>
      <c r="B184" s="12">
        <v>3063183700</v>
      </c>
      <c r="C184" s="18">
        <v>45573.582638888889</v>
      </c>
      <c r="D184" s="12">
        <v>3164114000</v>
      </c>
      <c r="E184" s="12"/>
    </row>
    <row r="185" spans="1:5">
      <c r="A185" s="18">
        <v>45565.583333333336</v>
      </c>
      <c r="B185" s="12">
        <v>3096700300</v>
      </c>
      <c r="C185" s="18">
        <v>45573.583333333336</v>
      </c>
      <c r="D185" s="12">
        <v>3351336600</v>
      </c>
      <c r="E185" s="12"/>
    </row>
    <row r="186" spans="1:5">
      <c r="A186" s="18">
        <v>45565.584027777775</v>
      </c>
      <c r="B186" s="12">
        <v>2944561400</v>
      </c>
      <c r="C186" s="18">
        <v>45573.584027777775</v>
      </c>
      <c r="D186" s="12">
        <v>3464070600</v>
      </c>
      <c r="E186" s="12"/>
    </row>
    <row r="187" spans="1:5">
      <c r="A187" s="18">
        <v>45565.584722222222</v>
      </c>
      <c r="B187" s="12">
        <v>3204508500</v>
      </c>
      <c r="C187" s="18">
        <v>45573.584722222222</v>
      </c>
      <c r="D187" s="12">
        <v>3259337400</v>
      </c>
      <c r="E187" s="12"/>
    </row>
    <row r="188" spans="1:5">
      <c r="A188" s="18">
        <v>45565.585416666669</v>
      </c>
      <c r="B188" s="12">
        <v>2696843300</v>
      </c>
      <c r="C188" s="18">
        <v>45573.585416666669</v>
      </c>
      <c r="D188" s="12">
        <v>2595425400</v>
      </c>
      <c r="E188" s="12"/>
    </row>
    <row r="189" spans="1:5">
      <c r="A189" s="18">
        <v>45565.586111111108</v>
      </c>
      <c r="B189" s="12">
        <v>2855915000</v>
      </c>
      <c r="C189" s="18">
        <v>45573.586111111108</v>
      </c>
      <c r="D189" s="12">
        <v>2923207200</v>
      </c>
      <c r="E189" s="12"/>
    </row>
    <row r="190" spans="1:5">
      <c r="A190" s="18">
        <v>45565.586805555555</v>
      </c>
      <c r="B190" s="12">
        <v>3033145400</v>
      </c>
      <c r="C190" s="18">
        <v>45573.586805555555</v>
      </c>
      <c r="D190" s="12">
        <v>2232907200</v>
      </c>
      <c r="E190" s="12"/>
    </row>
    <row r="191" spans="1:5">
      <c r="A191" s="18">
        <v>45565.587500000001</v>
      </c>
      <c r="B191" s="12">
        <v>3028467700</v>
      </c>
      <c r="C191" s="18">
        <v>45573.587500000001</v>
      </c>
      <c r="D191" s="12">
        <v>2329610200</v>
      </c>
      <c r="E191" s="12"/>
    </row>
    <row r="192" spans="1:5">
      <c r="A192" s="18">
        <v>45565.588194444441</v>
      </c>
      <c r="B192" s="12">
        <v>2945420200</v>
      </c>
      <c r="C192" s="18">
        <v>45573.588194444441</v>
      </c>
      <c r="D192" s="12">
        <v>2302532000</v>
      </c>
      <c r="E192" s="12"/>
    </row>
    <row r="193" spans="1:5">
      <c r="A193" s="18">
        <v>45565.588888888888</v>
      </c>
      <c r="B193" s="12">
        <v>2778572900</v>
      </c>
      <c r="C193" s="18">
        <v>45573.588888888888</v>
      </c>
      <c r="D193" s="12">
        <v>2057302800</v>
      </c>
      <c r="E193" s="12"/>
    </row>
    <row r="194" spans="1:5">
      <c r="A194" s="18">
        <v>45565.589583333334</v>
      </c>
      <c r="B194" s="12">
        <v>2904631700</v>
      </c>
      <c r="C194" s="18">
        <v>45573.589583333334</v>
      </c>
      <c r="D194" s="12">
        <v>2298373000</v>
      </c>
      <c r="E194" s="12"/>
    </row>
    <row r="195" spans="1:5">
      <c r="A195" s="18">
        <v>45565.590277777781</v>
      </c>
      <c r="B195" s="12">
        <v>2964960500</v>
      </c>
      <c r="C195" s="18">
        <v>45573.590277777781</v>
      </c>
      <c r="D195" s="12">
        <v>2116119100</v>
      </c>
      <c r="E195" s="12"/>
    </row>
    <row r="196" spans="1:5">
      <c r="A196" s="18">
        <v>45565.59097222222</v>
      </c>
      <c r="B196" s="12">
        <v>3215329900</v>
      </c>
      <c r="C196" s="18">
        <v>45573.59097222222</v>
      </c>
      <c r="D196" s="12">
        <v>2430621100</v>
      </c>
      <c r="E196" s="12"/>
    </row>
    <row r="197" spans="1:5">
      <c r="A197" s="18">
        <v>45565.591666666667</v>
      </c>
      <c r="B197" s="12">
        <v>3061664900</v>
      </c>
      <c r="C197" s="18">
        <v>45573.591666666667</v>
      </c>
      <c r="D197" s="12">
        <v>2203817800</v>
      </c>
      <c r="E197" s="12"/>
    </row>
    <row r="198" spans="1:5">
      <c r="A198" s="18">
        <v>45565.592361111114</v>
      </c>
      <c r="B198" s="12">
        <v>3042570800</v>
      </c>
      <c r="C198" s="18">
        <v>45573.592361111114</v>
      </c>
      <c r="D198" s="12">
        <v>2310057600</v>
      </c>
      <c r="E198" s="12"/>
    </row>
    <row r="199" spans="1:5">
      <c r="A199" s="18">
        <v>45565.593055555553</v>
      </c>
      <c r="B199" s="12">
        <v>2940334800</v>
      </c>
      <c r="C199" s="18">
        <v>45573.593055555553</v>
      </c>
      <c r="D199" s="12">
        <v>2285891100</v>
      </c>
      <c r="E199" s="12"/>
    </row>
    <row r="200" spans="1:5">
      <c r="A200" s="18">
        <v>45565.59375</v>
      </c>
      <c r="B200" s="12">
        <v>3203106200</v>
      </c>
      <c r="C200" s="18">
        <v>45573.59375</v>
      </c>
      <c r="D200" s="12">
        <v>2743462300</v>
      </c>
      <c r="E200" s="12"/>
    </row>
    <row r="201" spans="1:5">
      <c r="A201" s="18">
        <v>45565.594444444447</v>
      </c>
      <c r="B201" s="12">
        <v>2911480400</v>
      </c>
      <c r="C201" s="18">
        <v>45573.594444444447</v>
      </c>
      <c r="D201" s="12">
        <v>2518977900</v>
      </c>
      <c r="E201" s="12"/>
    </row>
    <row r="202" spans="1:5">
      <c r="A202" s="18">
        <v>45565.595138888886</v>
      </c>
      <c r="B202" s="12">
        <v>3300230500</v>
      </c>
      <c r="C202" s="18">
        <v>45573.595138888886</v>
      </c>
      <c r="D202" s="12">
        <v>2393248400</v>
      </c>
      <c r="E202" s="12"/>
    </row>
    <row r="203" spans="1:5">
      <c r="A203" s="18">
        <v>45565.595833333333</v>
      </c>
      <c r="B203" s="12">
        <v>3239978800</v>
      </c>
      <c r="C203" s="18">
        <v>45573.595833333333</v>
      </c>
      <c r="D203" s="12">
        <v>2657686200</v>
      </c>
      <c r="E203" s="12"/>
    </row>
    <row r="204" spans="1:5">
      <c r="A204" s="18">
        <v>45565.59652777778</v>
      </c>
      <c r="B204" s="12">
        <v>3507887700</v>
      </c>
      <c r="C204" s="18">
        <v>45573.59652777778</v>
      </c>
      <c r="D204" s="12">
        <v>2692838300</v>
      </c>
      <c r="E204" s="12"/>
    </row>
    <row r="205" spans="1:5">
      <c r="A205" s="18">
        <v>45565.597222222219</v>
      </c>
      <c r="B205" s="12">
        <v>4210816200</v>
      </c>
      <c r="C205" s="18">
        <v>45573.597222222219</v>
      </c>
      <c r="D205" s="12">
        <v>2524032900</v>
      </c>
      <c r="E205" s="12"/>
    </row>
    <row r="206" spans="1:5">
      <c r="A206" s="18">
        <v>45565.597916666666</v>
      </c>
      <c r="B206" s="12">
        <v>4830979000</v>
      </c>
      <c r="C206" s="18">
        <v>45573.597916666666</v>
      </c>
      <c r="D206" s="12">
        <v>2641231700</v>
      </c>
      <c r="E206" s="12"/>
    </row>
    <row r="207" spans="1:5">
      <c r="A207" s="18">
        <v>45565.598611111112</v>
      </c>
      <c r="B207" s="12">
        <v>4942254900</v>
      </c>
      <c r="C207" s="18">
        <v>45573.598611111112</v>
      </c>
      <c r="D207" s="12">
        <v>3003789600</v>
      </c>
      <c r="E207" s="12"/>
    </row>
    <row r="208" spans="1:5">
      <c r="A208" s="18">
        <v>45565.599305555559</v>
      </c>
      <c r="B208" s="12">
        <v>5926817000</v>
      </c>
      <c r="C208" s="18">
        <v>45573.599305555559</v>
      </c>
      <c r="D208" s="12">
        <v>3035742300</v>
      </c>
      <c r="E208" s="12"/>
    </row>
    <row r="209" spans="1:5">
      <c r="A209" s="18">
        <v>45565.599999999999</v>
      </c>
      <c r="B209" s="12">
        <v>7042289100</v>
      </c>
      <c r="C209" s="18">
        <v>45573.599999999999</v>
      </c>
      <c r="D209" s="12">
        <v>3307853700</v>
      </c>
      <c r="E209" s="12"/>
    </row>
    <row r="210" spans="1:5">
      <c r="A210" s="18">
        <v>45565.600694444445</v>
      </c>
      <c r="B210" s="12">
        <v>6021156000</v>
      </c>
      <c r="C210" s="18">
        <v>45573.600694444445</v>
      </c>
      <c r="D210" s="12">
        <v>3651372400</v>
      </c>
      <c r="E210" s="12"/>
    </row>
    <row r="211" spans="1:5">
      <c r="A211" s="18">
        <v>45565.601388888892</v>
      </c>
      <c r="B211" s="12">
        <v>6065598000</v>
      </c>
      <c r="C211" s="18">
        <v>45573.601388888892</v>
      </c>
      <c r="D211" s="12">
        <v>3985259300</v>
      </c>
      <c r="E211" s="12"/>
    </row>
    <row r="212" spans="1:5">
      <c r="A212" s="18">
        <v>45565.602083333331</v>
      </c>
      <c r="B212" s="12">
        <v>5720058100</v>
      </c>
      <c r="C212" s="18">
        <v>45573.602083333331</v>
      </c>
      <c r="D212" s="12">
        <v>3724402600</v>
      </c>
      <c r="E212" s="12"/>
    </row>
    <row r="213" spans="1:5">
      <c r="A213" s="18">
        <v>45565.602777777778</v>
      </c>
      <c r="B213" s="12">
        <v>4620502500</v>
      </c>
      <c r="C213" s="18">
        <v>45573.602777777778</v>
      </c>
      <c r="D213" s="12">
        <v>4035399900</v>
      </c>
      <c r="E213" s="12"/>
    </row>
    <row r="214" spans="1:5">
      <c r="A214" s="18">
        <v>45565.603472222225</v>
      </c>
      <c r="B214" s="12">
        <v>4116446100</v>
      </c>
      <c r="C214" s="18">
        <v>45573.603472222225</v>
      </c>
      <c r="D214" s="12">
        <v>4082518200</v>
      </c>
      <c r="E214" s="12"/>
    </row>
    <row r="215" spans="1:5">
      <c r="A215" s="18">
        <v>45565.604166666664</v>
      </c>
      <c r="B215" s="12">
        <v>3679721400</v>
      </c>
      <c r="C215" s="18">
        <v>45573.604166666664</v>
      </c>
      <c r="D215" s="12">
        <v>4599334400</v>
      </c>
      <c r="E215" s="12"/>
    </row>
    <row r="216" spans="1:5">
      <c r="A216" s="18">
        <v>45565.604861111111</v>
      </c>
      <c r="B216" s="12">
        <v>3173671100</v>
      </c>
      <c r="C216" s="18">
        <v>45573.604861111111</v>
      </c>
      <c r="D216" s="12">
        <v>4238715400</v>
      </c>
      <c r="E216" s="12"/>
    </row>
    <row r="217" spans="1:5">
      <c r="A217" s="18">
        <v>45565.605555555558</v>
      </c>
      <c r="B217" s="12">
        <v>3255913400</v>
      </c>
      <c r="C217" s="18">
        <v>45573.605555555558</v>
      </c>
      <c r="D217" s="12">
        <v>4140318200</v>
      </c>
      <c r="E217" s="12"/>
    </row>
    <row r="218" spans="1:5">
      <c r="A218" s="18">
        <v>45565.606249999997</v>
      </c>
      <c r="B218" s="12">
        <v>2843916000</v>
      </c>
      <c r="C218" s="18">
        <v>45573.606249999997</v>
      </c>
      <c r="D218" s="12">
        <v>4554870600</v>
      </c>
      <c r="E218" s="12"/>
    </row>
    <row r="219" spans="1:5">
      <c r="A219" s="18">
        <v>45565.606944444444</v>
      </c>
      <c r="B219" s="12">
        <v>2817684900</v>
      </c>
      <c r="C219" s="18">
        <v>45573.606944444444</v>
      </c>
      <c r="D219" s="12">
        <v>4664693700</v>
      </c>
      <c r="E219" s="12"/>
    </row>
    <row r="220" spans="1:5">
      <c r="A220" s="18">
        <v>45565.607638888891</v>
      </c>
      <c r="B220" s="12">
        <v>2768173100</v>
      </c>
      <c r="C220" s="18">
        <v>45573.607638888891</v>
      </c>
      <c r="D220" s="12">
        <v>4085765100</v>
      </c>
      <c r="E220" s="12"/>
    </row>
    <row r="221" spans="1:5">
      <c r="A221" s="18">
        <v>45565.60833333333</v>
      </c>
      <c r="B221" s="12">
        <v>2925846300</v>
      </c>
      <c r="C221" s="18">
        <v>45573.60833333333</v>
      </c>
      <c r="D221" s="12">
        <v>3843999100</v>
      </c>
      <c r="E221" s="12"/>
    </row>
    <row r="222" spans="1:5">
      <c r="A222" s="18">
        <v>45565.609027777777</v>
      </c>
      <c r="B222" s="12">
        <v>2854085900</v>
      </c>
      <c r="C222" s="18">
        <v>45573.609027777777</v>
      </c>
      <c r="D222" s="12">
        <v>3839283100</v>
      </c>
      <c r="E222" s="12"/>
    </row>
    <row r="223" spans="1:5">
      <c r="A223" s="18">
        <v>45565.609722222223</v>
      </c>
      <c r="B223" s="12">
        <v>2820897100</v>
      </c>
      <c r="C223" s="18">
        <v>45573.609722222223</v>
      </c>
      <c r="D223" s="12">
        <v>3964540600</v>
      </c>
      <c r="E223" s="12"/>
    </row>
    <row r="224" spans="1:5">
      <c r="A224" s="18">
        <v>45565.61041666667</v>
      </c>
      <c r="B224" s="12">
        <v>2929554200</v>
      </c>
      <c r="C224" s="18">
        <v>45573.61041666667</v>
      </c>
      <c r="D224" s="12">
        <v>4027379000</v>
      </c>
      <c r="E224" s="12"/>
    </row>
    <row r="225" spans="1:5">
      <c r="A225" s="18">
        <v>45565.611111111109</v>
      </c>
      <c r="B225" s="12">
        <v>3016895300</v>
      </c>
      <c r="C225" s="18">
        <v>45573.611111111109</v>
      </c>
      <c r="D225" s="12">
        <v>4538210800</v>
      </c>
      <c r="E225" s="12"/>
    </row>
    <row r="226" spans="1:5">
      <c r="A226" s="18">
        <v>45565.611805555556</v>
      </c>
      <c r="B226" s="12">
        <v>2721068600</v>
      </c>
      <c r="C226" s="18">
        <v>45573.611805555556</v>
      </c>
      <c r="D226" s="12">
        <v>4181085300</v>
      </c>
      <c r="E226" s="12"/>
    </row>
    <row r="227" spans="1:5">
      <c r="A227" s="18">
        <v>45565.612500000003</v>
      </c>
      <c r="B227" s="12">
        <v>2850850000</v>
      </c>
      <c r="C227" s="18">
        <v>45573.612500000003</v>
      </c>
      <c r="D227" s="12">
        <v>4074210100</v>
      </c>
      <c r="E227" s="12"/>
    </row>
    <row r="228" spans="1:5">
      <c r="A228" s="18">
        <v>45565.613194444442</v>
      </c>
      <c r="B228" s="12">
        <v>3060107400</v>
      </c>
      <c r="C228" s="18">
        <v>45573.613194444442</v>
      </c>
      <c r="D228" s="12">
        <v>4187950000</v>
      </c>
      <c r="E228" s="12"/>
    </row>
    <row r="229" spans="1:5">
      <c r="A229" s="18">
        <v>45565.613888888889</v>
      </c>
      <c r="B229" s="12">
        <v>2958626000</v>
      </c>
      <c r="C229" s="18">
        <v>45573.613888888889</v>
      </c>
      <c r="D229" s="12">
        <v>4089799400</v>
      </c>
      <c r="E229" s="12"/>
    </row>
    <row r="230" spans="1:5">
      <c r="A230" s="18">
        <v>45565.614583333336</v>
      </c>
      <c r="B230" s="12">
        <v>3141016900</v>
      </c>
      <c r="C230" s="18">
        <v>45573.614583333336</v>
      </c>
      <c r="D230" s="12">
        <v>4006895300</v>
      </c>
      <c r="E230" s="12"/>
    </row>
    <row r="231" spans="1:5">
      <c r="A231" s="18">
        <v>45565.615277777775</v>
      </c>
      <c r="B231" s="12">
        <v>3079616200</v>
      </c>
      <c r="C231" s="18">
        <v>45573.615277777775</v>
      </c>
      <c r="D231" s="12">
        <v>4240015300</v>
      </c>
      <c r="E231" s="12"/>
    </row>
    <row r="232" spans="1:5">
      <c r="A232" s="18">
        <v>45565.615972222222</v>
      </c>
      <c r="B232" s="12">
        <v>3221831400</v>
      </c>
      <c r="C232" s="18">
        <v>45573.615972222222</v>
      </c>
      <c r="D232" s="12">
        <v>4332640700</v>
      </c>
      <c r="E232" s="12"/>
    </row>
    <row r="233" spans="1:5">
      <c r="A233" s="18">
        <v>45565.616666666669</v>
      </c>
      <c r="B233" s="12">
        <v>3255961100</v>
      </c>
      <c r="C233" s="18">
        <v>45573.616666666669</v>
      </c>
      <c r="D233" s="12">
        <v>4623133600</v>
      </c>
      <c r="E233" s="12"/>
    </row>
    <row r="234" spans="1:5">
      <c r="A234" s="18">
        <v>45565.617361111108</v>
      </c>
      <c r="B234" s="12">
        <v>3224594500</v>
      </c>
      <c r="C234" s="18">
        <v>45573.617361111108</v>
      </c>
      <c r="D234" s="12">
        <v>4655364700</v>
      </c>
      <c r="E234" s="12"/>
    </row>
    <row r="235" spans="1:5">
      <c r="A235" s="18">
        <v>45565.618055555555</v>
      </c>
      <c r="B235" s="12">
        <v>3471774500</v>
      </c>
      <c r="C235" s="18">
        <v>45573.618055555555</v>
      </c>
      <c r="D235" s="12">
        <v>5015111700</v>
      </c>
      <c r="E235" s="12"/>
    </row>
    <row r="236" spans="1:5">
      <c r="A236" s="18">
        <v>45565.618750000001</v>
      </c>
      <c r="B236" s="12">
        <v>3684826400</v>
      </c>
      <c r="C236" s="18">
        <v>45573.618750000001</v>
      </c>
      <c r="D236" s="12">
        <v>5310166900</v>
      </c>
      <c r="E236" s="12"/>
    </row>
    <row r="237" spans="1:5">
      <c r="A237" s="18">
        <v>45565.619444444441</v>
      </c>
      <c r="B237" s="12">
        <v>3499749800</v>
      </c>
      <c r="C237" s="18">
        <v>45573.619444444441</v>
      </c>
      <c r="D237" s="12">
        <v>5119516000</v>
      </c>
      <c r="E237" s="12"/>
    </row>
    <row r="238" spans="1:5">
      <c r="A238" s="18">
        <v>45565.620138888888</v>
      </c>
      <c r="B238" s="12">
        <v>3825983900</v>
      </c>
      <c r="C238" s="18">
        <v>45573.620138888888</v>
      </c>
      <c r="D238" s="12">
        <v>5836278700</v>
      </c>
      <c r="E238" s="12"/>
    </row>
    <row r="239" spans="1:5">
      <c r="A239" s="18">
        <v>45565.620833333334</v>
      </c>
      <c r="B239" s="12">
        <v>4200485600</v>
      </c>
      <c r="C239" s="18">
        <v>45573.620833333334</v>
      </c>
      <c r="D239" s="12">
        <v>5700884900</v>
      </c>
      <c r="E239" s="12"/>
    </row>
    <row r="240" spans="1:5">
      <c r="A240" s="18">
        <v>45565.621527777781</v>
      </c>
      <c r="B240" s="12">
        <v>4533605700</v>
      </c>
      <c r="C240" s="18">
        <v>45573.621527777781</v>
      </c>
      <c r="D240" s="12">
        <v>6046400700</v>
      </c>
      <c r="E240" s="12"/>
    </row>
    <row r="241" spans="1:5">
      <c r="A241" s="18">
        <v>45565.62222222222</v>
      </c>
      <c r="B241" s="12">
        <v>4824287000</v>
      </c>
      <c r="C241" s="18">
        <v>45573.62222222222</v>
      </c>
      <c r="D241" s="12">
        <v>6853362600</v>
      </c>
      <c r="E241" s="12"/>
    </row>
    <row r="242" spans="1:5">
      <c r="A242" s="18">
        <v>45565.622916666667</v>
      </c>
      <c r="B242" s="12">
        <v>98448800</v>
      </c>
      <c r="C242" s="18">
        <v>45573.622916666667</v>
      </c>
      <c r="D242" s="12">
        <v>198135500</v>
      </c>
      <c r="E242" s="12"/>
    </row>
    <row r="243" spans="1:5">
      <c r="A243" s="18">
        <v>45565.623611111114</v>
      </c>
      <c r="B243" s="12">
        <v>0</v>
      </c>
      <c r="C243" s="18">
        <v>45573.623611111114</v>
      </c>
      <c r="D243" s="12">
        <v>0</v>
      </c>
      <c r="E243" s="12"/>
    </row>
    <row r="244" spans="1:5">
      <c r="A244" s="18">
        <v>45565.624305555553</v>
      </c>
      <c r="B244" s="12">
        <v>0</v>
      </c>
      <c r="C244" s="18">
        <v>45573.624305555553</v>
      </c>
      <c r="D244" s="12">
        <v>0</v>
      </c>
      <c r="E244" s="12"/>
    </row>
    <row r="245" spans="1:5">
      <c r="A245" s="18">
        <v>45565.625</v>
      </c>
      <c r="B245" s="12">
        <v>8130581400</v>
      </c>
      <c r="C245" s="18">
        <v>45573.625</v>
      </c>
      <c r="D245" s="12">
        <v>10749302200</v>
      </c>
      <c r="E245" s="12"/>
    </row>
    <row r="246" spans="1:5">
      <c r="A246" s="18"/>
      <c r="B246" s="12"/>
      <c r="C246" s="18"/>
      <c r="D246" s="12"/>
      <c r="E246" s="12"/>
    </row>
    <row r="247" spans="1:5">
      <c r="A247" s="18"/>
      <c r="B247" s="18"/>
      <c r="C247" s="18"/>
      <c r="D247" s="12"/>
      <c r="E247" s="12"/>
    </row>
    <row r="248" spans="1:5">
      <c r="A248" s="18"/>
      <c r="B248" s="18"/>
      <c r="C248" s="18"/>
      <c r="D248" s="12"/>
      <c r="E248" s="12"/>
    </row>
    <row r="249" spans="1:5">
      <c r="A249" s="18"/>
      <c r="B249" s="18"/>
      <c r="C249" s="18"/>
      <c r="D249" s="20"/>
      <c r="E249" s="20"/>
    </row>
    <row r="250" spans="1:5">
      <c r="A250" s="18"/>
      <c r="B250" s="12"/>
      <c r="C250" s="12"/>
    </row>
    <row r="251" spans="1:5">
      <c r="A251" s="18"/>
      <c r="B251" s="12"/>
      <c r="C251" s="12"/>
    </row>
    <row r="252" spans="1:5">
      <c r="A252" s="18"/>
      <c r="B252" s="12"/>
      <c r="C252" s="12"/>
    </row>
    <row r="253" spans="1:5">
      <c r="A253" s="18"/>
      <c r="B253" s="12"/>
      <c r="C253" s="12"/>
    </row>
    <row r="254" spans="1:5">
      <c r="A254" s="18"/>
      <c r="B254" s="12"/>
      <c r="C254" s="12"/>
    </row>
    <row r="255" spans="1:5">
      <c r="A255" s="18"/>
      <c r="B255" s="12"/>
      <c r="C255" s="12"/>
    </row>
    <row r="256" spans="1:5">
      <c r="A256" s="18"/>
      <c r="B256" s="12"/>
      <c r="C256" s="12"/>
    </row>
    <row r="257" spans="1:3">
      <c r="A257" s="18"/>
      <c r="B257" s="12"/>
      <c r="C257" s="12"/>
    </row>
    <row r="258" spans="1:3">
      <c r="A258" s="18"/>
      <c r="B258" s="12"/>
      <c r="C258" s="12"/>
    </row>
    <row r="259" spans="1:3">
      <c r="A259" s="18"/>
      <c r="B259" s="12"/>
      <c r="C259" s="12"/>
    </row>
    <row r="260" spans="1:3">
      <c r="A260" s="18"/>
      <c r="B260" s="12"/>
      <c r="C260" s="12"/>
    </row>
    <row r="261" spans="1:3">
      <c r="A261" s="18"/>
      <c r="B261" s="12"/>
      <c r="C261" s="12"/>
    </row>
    <row r="262" spans="1:3">
      <c r="A262" s="18"/>
      <c r="B262" s="12"/>
      <c r="C262" s="12"/>
    </row>
    <row r="263" spans="1:3">
      <c r="A263" s="18"/>
      <c r="B263" s="12"/>
      <c r="C263" s="12"/>
    </row>
    <row r="264" spans="1:3">
      <c r="A264" s="18"/>
      <c r="B264" s="12"/>
      <c r="C264" s="12"/>
    </row>
    <row r="265" spans="1:3">
      <c r="A265" s="18"/>
      <c r="B265" s="12"/>
      <c r="C265" s="12"/>
    </row>
    <row r="266" spans="1:3">
      <c r="A266" s="18"/>
      <c r="B266" s="12"/>
      <c r="C266" s="12"/>
    </row>
    <row r="267" spans="1:3">
      <c r="A267" s="18"/>
      <c r="B267" s="12"/>
      <c r="C267" s="12"/>
    </row>
    <row r="268" spans="1:3">
      <c r="A268" s="18"/>
      <c r="B268" s="12"/>
      <c r="C268" s="12"/>
    </row>
    <row r="269" spans="1:3">
      <c r="A269" s="18"/>
      <c r="B269" s="12"/>
      <c r="C269" s="12"/>
    </row>
    <row r="270" spans="1:3">
      <c r="A270" s="18"/>
      <c r="B270" s="12"/>
      <c r="C270" s="12"/>
    </row>
    <row r="271" spans="1:3">
      <c r="A271" s="18"/>
      <c r="B271" s="12"/>
      <c r="C271" s="12"/>
    </row>
    <row r="272" spans="1:3">
      <c r="A272" s="18"/>
      <c r="B272" s="12"/>
      <c r="C272" s="12"/>
    </row>
    <row r="273" spans="1:3">
      <c r="A273" s="18"/>
      <c r="B273" s="12"/>
      <c r="C273" s="12"/>
    </row>
    <row r="274" spans="1:3">
      <c r="A274" s="18"/>
      <c r="B274" s="12"/>
      <c r="C274" s="12"/>
    </row>
    <row r="275" spans="1:3">
      <c r="A275" s="18"/>
      <c r="B275" s="12"/>
      <c r="C275" s="12"/>
    </row>
    <row r="276" spans="1:3">
      <c r="A276" s="18"/>
      <c r="B276" s="12"/>
      <c r="C276" s="12"/>
    </row>
    <row r="277" spans="1:3">
      <c r="A277" s="18"/>
      <c r="B277" s="12"/>
      <c r="C277" s="12"/>
    </row>
    <row r="278" spans="1:3">
      <c r="A278" s="18"/>
      <c r="B278" s="12"/>
      <c r="C278" s="12"/>
    </row>
    <row r="279" spans="1:3">
      <c r="A279" s="18"/>
      <c r="B279" s="12"/>
      <c r="C279" s="12"/>
    </row>
    <row r="280" spans="1:3">
      <c r="A280" s="18"/>
      <c r="B280" s="12"/>
      <c r="C280" s="12"/>
    </row>
    <row r="281" spans="1:3">
      <c r="A281" s="18"/>
      <c r="B281" s="12"/>
      <c r="C281" s="12"/>
    </row>
    <row r="282" spans="1:3">
      <c r="A282" s="18"/>
      <c r="B282" s="12"/>
      <c r="C282" s="12"/>
    </row>
    <row r="283" spans="1:3">
      <c r="A283" s="18"/>
      <c r="B283" s="12"/>
      <c r="C283" s="12"/>
    </row>
    <row r="284" spans="1:3">
      <c r="A284" s="18"/>
      <c r="B284" s="12"/>
      <c r="C284" s="12"/>
    </row>
    <row r="285" spans="1:3">
      <c r="A285" s="18"/>
      <c r="B285" s="12"/>
      <c r="C285" s="12"/>
    </row>
    <row r="286" spans="1:3">
      <c r="A286" s="18"/>
      <c r="B286" s="12"/>
      <c r="C286" s="12"/>
    </row>
    <row r="287" spans="1:3">
      <c r="A287" s="18"/>
      <c r="B287" s="12"/>
      <c r="C287" s="12"/>
    </row>
    <row r="288" spans="1:3">
      <c r="A288" s="18"/>
      <c r="B288" s="12"/>
      <c r="C288" s="12"/>
    </row>
    <row r="289" spans="1:3">
      <c r="A289" s="18"/>
      <c r="B289" s="12"/>
      <c r="C289" s="12"/>
    </row>
    <row r="290" spans="1:3">
      <c r="A290" s="18"/>
      <c r="B290" s="12"/>
      <c r="C290" s="12"/>
    </row>
    <row r="291" spans="1:3">
      <c r="A291" s="18"/>
      <c r="B291" s="12"/>
      <c r="C291" s="12"/>
    </row>
    <row r="292" spans="1:3">
      <c r="A292" s="18"/>
      <c r="B292" s="12"/>
      <c r="C292" s="12"/>
    </row>
    <row r="293" spans="1:3">
      <c r="A293" s="18"/>
      <c r="B293" s="12"/>
      <c r="C293" s="12"/>
    </row>
    <row r="294" spans="1:3">
      <c r="A294" s="18"/>
      <c r="B294" s="12"/>
      <c r="C294" s="12"/>
    </row>
    <row r="295" spans="1:3">
      <c r="A295" s="18"/>
      <c r="B295" s="12"/>
      <c r="C295" s="12"/>
    </row>
    <row r="296" spans="1:3">
      <c r="A296" s="18"/>
      <c r="B296" s="12"/>
      <c r="C296" s="12"/>
    </row>
    <row r="297" spans="1:3">
      <c r="A297" s="19"/>
      <c r="B297" s="20"/>
      <c r="C297" s="20"/>
    </row>
  </sheetData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488"/>
  <sheetViews>
    <sheetView topLeftCell="A9" workbookViewId="0">
      <selection activeCell="G30" sqref="G30"/>
    </sheetView>
  </sheetViews>
  <sheetFormatPr defaultRowHeight="14.25"/>
  <cols>
    <col min="1" max="1" width="17.125" bestFit="1" customWidth="1"/>
    <col min="2" max="2" width="17.625" bestFit="1" customWidth="1"/>
    <col min="3" max="3" width="17.125" bestFit="1" customWidth="1"/>
    <col min="4" max="4" width="18.75" bestFit="1" customWidth="1"/>
    <col min="5" max="5" width="12.25" customWidth="1"/>
    <col min="6" max="6" width="18.625" bestFit="1" customWidth="1"/>
    <col min="7" max="7" width="19.75" bestFit="1" customWidth="1"/>
    <col min="9" max="9" width="17.125" bestFit="1" customWidth="1"/>
    <col min="10" max="10" width="18.75" bestFit="1" customWidth="1"/>
    <col min="12" max="12" width="19.25" bestFit="1" customWidth="1"/>
  </cols>
  <sheetData>
    <row r="1" spans="1:7">
      <c r="A1" s="1" t="s">
        <v>15</v>
      </c>
      <c r="B1" s="1" t="str">
        <f>[1]!S_Info_Name(A1)</f>
        <v>深证成指</v>
      </c>
      <c r="C1" s="1" t="s">
        <v>15</v>
      </c>
      <c r="D1" s="1" t="str">
        <f>[1]!S_Info_Name(C1)</f>
        <v>深证成指</v>
      </c>
    </row>
    <row r="2" spans="1:7">
      <c r="A2" s="1" t="s">
        <v>12</v>
      </c>
      <c r="B2" s="1" t="s">
        <v>1</v>
      </c>
      <c r="C2" s="1" t="s">
        <v>12</v>
      </c>
      <c r="D2" s="1" t="s">
        <v>1</v>
      </c>
      <c r="F2" t="str">
        <f ca="1">TEXT(G9,"yyyy-mm-dd")&amp;" 9:29:00"</f>
        <v>2024-09-30 9:29:00</v>
      </c>
      <c r="G2" t="str">
        <f ca="1">TEXT(G9,"yyyy-mm-dd")&amp;" 15:00:00"</f>
        <v>2024-09-30 15:00:00</v>
      </c>
    </row>
    <row r="3" spans="1:7">
      <c r="A3" s="1" t="s">
        <v>13</v>
      </c>
      <c r="B3" s="1" t="s">
        <v>14</v>
      </c>
      <c r="C3" s="1" t="s">
        <v>13</v>
      </c>
      <c r="D3" s="1" t="s">
        <v>14</v>
      </c>
      <c r="F3" t="str">
        <f ca="1">TEXT(G10,"yyyy-mm-dd")&amp;" 9:29:00"</f>
        <v>2024-10-08 9:29:00</v>
      </c>
      <c r="G3" t="str">
        <f ca="1">IF(G10&lt;&gt;TODAY(),TEXT(G10,"yyyy-mm-dd")&amp;" 15:00:00",TEXT(G10,"yyyy-mm-dd")&amp;" "&amp; G5)</f>
        <v>2024-10-08 15:00:00</v>
      </c>
    </row>
    <row r="4" spans="1:7">
      <c r="A4" s="18" t="str">
        <f ca="1">[1]!WSI(A1,B3,F2,G2,"cols=2;rows=242")</f>
        <v>2024-09-30 09:30</v>
      </c>
      <c r="B4" s="12">
        <v>77898200200</v>
      </c>
      <c r="C4" s="18" t="str">
        <f ca="1">[1]!WSI(C1,D3,F3,G3,"cols=2;rows=242")</f>
        <v>2024-10-08 09:30</v>
      </c>
      <c r="D4" s="12">
        <v>129158573800</v>
      </c>
    </row>
    <row r="5" spans="1:7">
      <c r="A5" s="18">
        <v>45565.396527777775</v>
      </c>
      <c r="B5" s="12">
        <v>33240754600</v>
      </c>
      <c r="C5" s="18">
        <v>45573.396527777775</v>
      </c>
      <c r="D5" s="12">
        <v>38478681200</v>
      </c>
      <c r="F5" t="s">
        <v>28</v>
      </c>
      <c r="G5" s="1" t="str">
        <f>LEFT(G6,6)&amp;"00"</f>
        <v>15:00:00</v>
      </c>
    </row>
    <row r="6" spans="1:7">
      <c r="A6" s="18">
        <v>45565.397222222222</v>
      </c>
      <c r="B6" s="12">
        <v>25620611100</v>
      </c>
      <c r="C6" s="18">
        <v>45573.397222222222</v>
      </c>
      <c r="D6" s="12">
        <v>31386806100</v>
      </c>
      <c r="F6" t="s">
        <v>27</v>
      </c>
      <c r="G6" s="47" t="str">
        <f>RTD("wdf.rtq", , A1, "rt_time","RT_Price")</f>
        <v>15:00:03</v>
      </c>
    </row>
    <row r="7" spans="1:7">
      <c r="A7" s="18">
        <v>45565.397916666669</v>
      </c>
      <c r="B7" s="12">
        <v>22061429100</v>
      </c>
      <c r="C7" s="18">
        <v>45573.397916666669</v>
      </c>
      <c r="D7" s="12">
        <v>29010499400</v>
      </c>
    </row>
    <row r="8" spans="1:7">
      <c r="A8" s="18">
        <v>45565.398611111108</v>
      </c>
      <c r="B8" s="12">
        <v>20834255300</v>
      </c>
      <c r="C8" s="18">
        <v>45573.398611111108</v>
      </c>
      <c r="D8" s="12">
        <v>24948912100</v>
      </c>
    </row>
    <row r="9" spans="1:7">
      <c r="A9" s="18">
        <v>45565.399305555555</v>
      </c>
      <c r="B9" s="12">
        <v>19775814300</v>
      </c>
      <c r="C9" s="18">
        <v>45573.399305555555</v>
      </c>
      <c r="D9" s="12">
        <v>24110013200</v>
      </c>
      <c r="F9" t="s">
        <v>32</v>
      </c>
      <c r="G9" s="2">
        <f ca="1">[1]!TDaysOffset(G10,"Offset=-1")</f>
        <v>45565</v>
      </c>
    </row>
    <row r="10" spans="1:7">
      <c r="A10" s="18">
        <v>45565.4</v>
      </c>
      <c r="B10" s="12">
        <v>18279686500</v>
      </c>
      <c r="C10" s="18">
        <v>45573.4</v>
      </c>
      <c r="D10" s="12">
        <v>23010201300</v>
      </c>
      <c r="F10" s="48" t="s">
        <v>33</v>
      </c>
      <c r="G10" s="2">
        <f ca="1">沪深两市成交分析!E7</f>
        <v>45573</v>
      </c>
    </row>
    <row r="11" spans="1:7">
      <c r="A11" s="18">
        <v>45565.400694444441</v>
      </c>
      <c r="B11" s="12">
        <v>16518186200</v>
      </c>
      <c r="C11" s="18">
        <v>45573.400694444441</v>
      </c>
      <c r="D11" s="12">
        <v>20937324200</v>
      </c>
    </row>
    <row r="12" spans="1:7">
      <c r="A12" s="18">
        <v>45565.401388888888</v>
      </c>
      <c r="B12" s="12">
        <v>17313730500</v>
      </c>
      <c r="C12" s="18">
        <v>45573.401388888888</v>
      </c>
      <c r="D12" s="12">
        <v>21078317800</v>
      </c>
    </row>
    <row r="13" spans="1:7">
      <c r="A13" s="18">
        <v>45565.402083333334</v>
      </c>
      <c r="B13" s="12">
        <v>18393851000</v>
      </c>
      <c r="C13" s="18">
        <v>45573.402083333334</v>
      </c>
      <c r="D13" s="12">
        <v>21807486700</v>
      </c>
    </row>
    <row r="14" spans="1:7">
      <c r="A14" s="18">
        <v>45565.402777777781</v>
      </c>
      <c r="B14" s="12">
        <v>20201605800</v>
      </c>
      <c r="C14" s="18">
        <v>45573.402777777781</v>
      </c>
      <c r="D14" s="12">
        <v>24210704100</v>
      </c>
    </row>
    <row r="15" spans="1:7">
      <c r="A15" s="18">
        <v>45565.40347222222</v>
      </c>
      <c r="B15" s="12">
        <v>17600322000</v>
      </c>
      <c r="C15" s="18">
        <v>45573.40347222222</v>
      </c>
      <c r="D15" s="12">
        <v>21200929400</v>
      </c>
    </row>
    <row r="16" spans="1:7">
      <c r="A16" s="18">
        <v>45565.404166666667</v>
      </c>
      <c r="B16" s="12">
        <v>13794214000</v>
      </c>
      <c r="C16" s="18">
        <v>45573.404166666667</v>
      </c>
      <c r="D16" s="12">
        <v>20742824000</v>
      </c>
    </row>
    <row r="17" spans="1:12">
      <c r="A17" s="18">
        <v>45565.404861111114</v>
      </c>
      <c r="B17" s="12">
        <v>12482400300</v>
      </c>
      <c r="C17" s="18">
        <v>45573.404861111114</v>
      </c>
      <c r="D17" s="12">
        <v>21049437300</v>
      </c>
    </row>
    <row r="18" spans="1:12">
      <c r="A18" s="18">
        <v>45565.405555555553</v>
      </c>
      <c r="B18" s="12">
        <v>13173098900</v>
      </c>
      <c r="C18" s="18">
        <v>45573.405555555553</v>
      </c>
      <c r="D18" s="12">
        <v>22465978800</v>
      </c>
    </row>
    <row r="19" spans="1:12">
      <c r="A19" s="18">
        <v>45565.40625</v>
      </c>
      <c r="B19" s="12">
        <v>13795926400</v>
      </c>
      <c r="C19" s="18">
        <v>45573.40625</v>
      </c>
      <c r="D19" s="12">
        <v>23828812500</v>
      </c>
    </row>
    <row r="20" spans="1:12">
      <c r="A20" s="18">
        <v>45565.406944444447</v>
      </c>
      <c r="B20" s="12">
        <v>11817699900</v>
      </c>
      <c r="C20" s="18">
        <v>45573.406944444447</v>
      </c>
      <c r="D20" s="12">
        <v>21024563900</v>
      </c>
    </row>
    <row r="21" spans="1:12">
      <c r="A21" s="18">
        <v>45565.407638888886</v>
      </c>
      <c r="B21" s="12">
        <v>13928305400</v>
      </c>
      <c r="C21" s="18">
        <v>45573.407638888886</v>
      </c>
      <c r="D21" s="12">
        <v>17496530600</v>
      </c>
    </row>
    <row r="22" spans="1:12">
      <c r="A22" s="18">
        <v>45565.408333333333</v>
      </c>
      <c r="B22" s="12">
        <v>14942746000</v>
      </c>
      <c r="C22" s="18">
        <v>45573.408333333333</v>
      </c>
      <c r="D22" s="12">
        <v>17032728400</v>
      </c>
    </row>
    <row r="23" spans="1:12">
      <c r="A23" s="18">
        <v>45565.40902777778</v>
      </c>
      <c r="B23" s="12">
        <v>11692001600</v>
      </c>
      <c r="C23" s="18">
        <v>45573.40902777778</v>
      </c>
      <c r="D23" s="12">
        <v>16396542600</v>
      </c>
    </row>
    <row r="24" spans="1:12">
      <c r="A24" s="18">
        <v>45565.409722222219</v>
      </c>
      <c r="B24" s="12">
        <v>12559621600</v>
      </c>
      <c r="C24" s="18">
        <v>45573.409722222219</v>
      </c>
      <c r="D24" s="12">
        <v>16117539800</v>
      </c>
    </row>
    <row r="25" spans="1:12">
      <c r="A25" s="18">
        <v>45565.410416666666</v>
      </c>
      <c r="B25" s="12">
        <v>13482571700</v>
      </c>
      <c r="C25" s="18">
        <v>45573.410416666666</v>
      </c>
      <c r="D25" s="12">
        <v>14186949700</v>
      </c>
    </row>
    <row r="26" spans="1:12">
      <c r="A26" s="18">
        <v>45565.411111111112</v>
      </c>
      <c r="B26" s="12">
        <v>13563101400</v>
      </c>
      <c r="C26" s="18">
        <v>45573.411111111112</v>
      </c>
      <c r="D26" s="12">
        <v>13140950600</v>
      </c>
    </row>
    <row r="27" spans="1:12">
      <c r="A27" s="18">
        <v>45565.411805555559</v>
      </c>
      <c r="B27" s="12">
        <v>13892889800</v>
      </c>
      <c r="C27" s="18">
        <v>45573.411805555559</v>
      </c>
      <c r="D27" s="12">
        <v>12583434000</v>
      </c>
    </row>
    <row r="28" spans="1:12">
      <c r="A28" s="18">
        <v>45565.412499999999</v>
      </c>
      <c r="B28" s="12">
        <v>10787168200</v>
      </c>
      <c r="C28" s="18">
        <v>45573.412499999999</v>
      </c>
      <c r="D28" s="12">
        <v>10710502300</v>
      </c>
      <c r="F28" s="1"/>
      <c r="G28" s="1"/>
    </row>
    <row r="29" spans="1:12">
      <c r="A29" s="18">
        <v>45565.413194444445</v>
      </c>
      <c r="B29" s="12">
        <v>9708777900</v>
      </c>
      <c r="C29" s="18">
        <v>45573.413194444445</v>
      </c>
      <c r="D29" s="12">
        <v>10313936400</v>
      </c>
      <c r="F29" s="1"/>
      <c r="G29" s="1"/>
    </row>
    <row r="30" spans="1:12">
      <c r="A30" s="18">
        <v>45565.413888888892</v>
      </c>
      <c r="B30" s="12">
        <v>9228810000</v>
      </c>
      <c r="C30" s="18">
        <v>45573.413888888892</v>
      </c>
      <c r="D30" s="12">
        <v>9760973600</v>
      </c>
      <c r="F30" s="1"/>
      <c r="G30" s="1"/>
      <c r="H30" s="1"/>
      <c r="I30" s="1"/>
      <c r="J30" s="1"/>
      <c r="K30" s="1"/>
      <c r="L30" s="1"/>
    </row>
    <row r="31" spans="1:12">
      <c r="A31" s="18">
        <v>45565.414583333331</v>
      </c>
      <c r="B31" s="12">
        <v>9164310400</v>
      </c>
      <c r="C31" s="18">
        <v>45573.414583333331</v>
      </c>
      <c r="D31" s="12">
        <v>9047823400</v>
      </c>
      <c r="F31" s="1"/>
      <c r="G31" s="1"/>
      <c r="H31" s="1"/>
      <c r="I31" s="1"/>
      <c r="J31" s="1"/>
      <c r="K31" s="1"/>
      <c r="L31" s="1"/>
    </row>
    <row r="32" spans="1:12">
      <c r="A32" s="18">
        <v>45565.415277777778</v>
      </c>
      <c r="B32" s="12">
        <v>7582409900</v>
      </c>
      <c r="C32" s="18">
        <v>45573.415277777778</v>
      </c>
      <c r="D32" s="12">
        <v>8645604900</v>
      </c>
      <c r="F32" s="1"/>
      <c r="G32" s="1"/>
      <c r="H32" s="1"/>
      <c r="I32" s="1"/>
      <c r="J32" s="1"/>
      <c r="K32" s="1"/>
      <c r="L32" s="1"/>
    </row>
    <row r="33" spans="1:12">
      <c r="A33" s="18">
        <v>45565.415972222225</v>
      </c>
      <c r="B33" s="12">
        <v>7844251600</v>
      </c>
      <c r="C33" s="18">
        <v>45573.415972222225</v>
      </c>
      <c r="D33" s="12">
        <v>8102216400</v>
      </c>
      <c r="F33" s="1"/>
      <c r="G33" s="1"/>
      <c r="H33" s="1"/>
      <c r="I33" s="1"/>
      <c r="J33" s="1"/>
      <c r="K33" s="1"/>
      <c r="L33" s="1"/>
    </row>
    <row r="34" spans="1:12">
      <c r="A34" s="18">
        <v>45565.416666666664</v>
      </c>
      <c r="B34" s="12">
        <v>8655896000</v>
      </c>
      <c r="C34" s="18">
        <v>45573.416666666664</v>
      </c>
      <c r="D34" s="12">
        <v>9066563500</v>
      </c>
      <c r="F34" s="1"/>
      <c r="G34" s="1"/>
      <c r="H34" s="1"/>
      <c r="I34" s="1"/>
      <c r="J34" s="1"/>
      <c r="K34" s="1"/>
      <c r="L34" s="1"/>
    </row>
    <row r="35" spans="1:12">
      <c r="A35" s="18">
        <v>45565.417361111111</v>
      </c>
      <c r="B35" s="12">
        <v>7161233200</v>
      </c>
      <c r="C35" s="18">
        <v>45573.417361111111</v>
      </c>
      <c r="D35" s="12">
        <v>7894938800</v>
      </c>
      <c r="F35" s="1"/>
      <c r="G35" s="1"/>
      <c r="H35" s="1"/>
      <c r="I35" s="1"/>
      <c r="J35" s="1"/>
      <c r="K35" s="1"/>
      <c r="L35" s="1"/>
    </row>
    <row r="36" spans="1:12">
      <c r="A36" s="18">
        <v>45565.418055555558</v>
      </c>
      <c r="B36" s="12">
        <v>6299017700</v>
      </c>
      <c r="C36" s="18">
        <v>45573.418055555558</v>
      </c>
      <c r="D36" s="12">
        <v>8032576900</v>
      </c>
    </row>
    <row r="37" spans="1:12">
      <c r="A37" s="18">
        <v>45565.418749999997</v>
      </c>
      <c r="B37" s="12">
        <v>7697589900</v>
      </c>
      <c r="C37" s="18">
        <v>45573.418749999997</v>
      </c>
      <c r="D37" s="12">
        <v>7941830300</v>
      </c>
    </row>
    <row r="38" spans="1:12">
      <c r="A38" s="18">
        <v>45565.419444444444</v>
      </c>
      <c r="B38" s="12">
        <v>7353543200</v>
      </c>
      <c r="C38" s="18">
        <v>45573.419444444444</v>
      </c>
      <c r="D38" s="12">
        <v>7671146000</v>
      </c>
    </row>
    <row r="39" spans="1:12">
      <c r="A39" s="18">
        <v>45565.420138888891</v>
      </c>
      <c r="B39" s="12">
        <v>6828849500</v>
      </c>
      <c r="C39" s="18">
        <v>45573.420138888891</v>
      </c>
      <c r="D39" s="12">
        <v>7965328400</v>
      </c>
    </row>
    <row r="40" spans="1:12">
      <c r="A40" s="18">
        <v>45565.42083333333</v>
      </c>
      <c r="B40" s="12">
        <v>6749924300</v>
      </c>
      <c r="C40" s="18">
        <v>45573.42083333333</v>
      </c>
      <c r="D40" s="12">
        <v>7076854700</v>
      </c>
    </row>
    <row r="41" spans="1:12">
      <c r="A41" s="18">
        <v>45565.421527777777</v>
      </c>
      <c r="B41" s="12">
        <v>6667188200</v>
      </c>
      <c r="C41" s="18">
        <v>45573.421527777777</v>
      </c>
      <c r="D41" s="12">
        <v>6983695200</v>
      </c>
    </row>
    <row r="42" spans="1:12">
      <c r="A42" s="18">
        <v>45565.422222222223</v>
      </c>
      <c r="B42" s="12">
        <v>5510256600</v>
      </c>
      <c r="C42" s="18">
        <v>45573.422222222223</v>
      </c>
      <c r="D42" s="12">
        <v>8436969200</v>
      </c>
    </row>
    <row r="43" spans="1:12">
      <c r="A43" s="18">
        <v>45565.42291666667</v>
      </c>
      <c r="B43" s="12">
        <v>6192006000</v>
      </c>
      <c r="C43" s="18">
        <v>45573.42291666667</v>
      </c>
      <c r="D43" s="12">
        <v>9765503800</v>
      </c>
    </row>
    <row r="44" spans="1:12">
      <c r="A44" s="18">
        <v>45565.423611111109</v>
      </c>
      <c r="B44" s="12">
        <v>5834899900</v>
      </c>
      <c r="C44" s="18">
        <v>45573.423611111109</v>
      </c>
      <c r="D44" s="12">
        <v>8633330600</v>
      </c>
    </row>
    <row r="45" spans="1:12">
      <c r="A45" s="18">
        <v>45565.424305555556</v>
      </c>
      <c r="B45" s="12">
        <v>5335916200</v>
      </c>
      <c r="C45" s="18">
        <v>45573.424305555556</v>
      </c>
      <c r="D45" s="12">
        <v>8378825100</v>
      </c>
    </row>
    <row r="46" spans="1:12">
      <c r="A46" s="18">
        <v>45565.425000000003</v>
      </c>
      <c r="B46" s="12">
        <v>5645300200</v>
      </c>
      <c r="C46" s="18">
        <v>45573.425000000003</v>
      </c>
      <c r="D46" s="12">
        <v>9488521800</v>
      </c>
    </row>
    <row r="47" spans="1:12">
      <c r="A47" s="18">
        <v>45565.425694444442</v>
      </c>
      <c r="B47" s="12">
        <v>4929416800</v>
      </c>
      <c r="C47" s="18">
        <v>45573.425694444442</v>
      </c>
      <c r="D47" s="12">
        <v>10235306000</v>
      </c>
    </row>
    <row r="48" spans="1:12">
      <c r="A48" s="18">
        <v>45565.426388888889</v>
      </c>
      <c r="B48" s="12">
        <v>5009704400</v>
      </c>
      <c r="C48" s="18">
        <v>45573.426388888889</v>
      </c>
      <c r="D48" s="12">
        <v>10921596800</v>
      </c>
    </row>
    <row r="49" spans="1:4">
      <c r="A49" s="18">
        <v>45565.427083333336</v>
      </c>
      <c r="B49" s="12">
        <v>4571726400</v>
      </c>
      <c r="C49" s="18">
        <v>45573.427083333336</v>
      </c>
      <c r="D49" s="12">
        <v>13107697700</v>
      </c>
    </row>
    <row r="50" spans="1:4">
      <c r="A50" s="18">
        <v>45565.427777777775</v>
      </c>
      <c r="B50" s="12">
        <v>4724284300</v>
      </c>
      <c r="C50" s="18">
        <v>45573.427777777775</v>
      </c>
      <c r="D50" s="12">
        <v>10123522000</v>
      </c>
    </row>
    <row r="51" spans="1:4">
      <c r="A51" s="18">
        <v>45565.428472222222</v>
      </c>
      <c r="B51" s="12">
        <v>4735962100</v>
      </c>
      <c r="C51" s="18">
        <v>45573.428472222222</v>
      </c>
      <c r="D51" s="12">
        <v>8477751000</v>
      </c>
    </row>
    <row r="52" spans="1:4">
      <c r="A52" s="18">
        <v>45565.429166666669</v>
      </c>
      <c r="B52" s="12">
        <v>5933707400</v>
      </c>
      <c r="C52" s="18">
        <v>45573.429166666669</v>
      </c>
      <c r="D52" s="12">
        <v>7528365900</v>
      </c>
    </row>
    <row r="53" spans="1:4">
      <c r="A53" s="18">
        <v>45565.429861111108</v>
      </c>
      <c r="B53" s="12">
        <v>6228688900</v>
      </c>
      <c r="C53" s="18">
        <v>45573.429861111108</v>
      </c>
      <c r="D53" s="12">
        <v>6860592100</v>
      </c>
    </row>
    <row r="54" spans="1:4">
      <c r="A54" s="18">
        <v>45565.430555555555</v>
      </c>
      <c r="B54" s="12">
        <v>7577772200</v>
      </c>
      <c r="C54" s="18">
        <v>45573.430555555555</v>
      </c>
      <c r="D54" s="12">
        <v>6613391700</v>
      </c>
    </row>
    <row r="55" spans="1:4">
      <c r="A55" s="18">
        <v>45565.431250000001</v>
      </c>
      <c r="B55" s="12">
        <v>6686107500</v>
      </c>
      <c r="C55" s="18">
        <v>45573.431250000001</v>
      </c>
      <c r="D55" s="12">
        <v>6691750900</v>
      </c>
    </row>
    <row r="56" spans="1:4">
      <c r="A56" s="18">
        <v>45565.431944444441</v>
      </c>
      <c r="B56" s="12">
        <v>6845849000</v>
      </c>
      <c r="C56" s="18">
        <v>45573.431944444441</v>
      </c>
      <c r="D56" s="12">
        <v>5539790200</v>
      </c>
    </row>
    <row r="57" spans="1:4">
      <c r="A57" s="18">
        <v>45565.432638888888</v>
      </c>
      <c r="B57" s="12">
        <v>5783035000</v>
      </c>
      <c r="C57" s="18">
        <v>45573.432638888888</v>
      </c>
      <c r="D57" s="12">
        <v>5263323000</v>
      </c>
    </row>
    <row r="58" spans="1:4">
      <c r="A58" s="18">
        <v>45565.433333333334</v>
      </c>
      <c r="B58" s="12">
        <v>5896800900</v>
      </c>
      <c r="C58" s="18">
        <v>45573.433333333334</v>
      </c>
      <c r="D58" s="12">
        <v>5971472400</v>
      </c>
    </row>
    <row r="59" spans="1:4">
      <c r="A59" s="18">
        <v>45565.434027777781</v>
      </c>
      <c r="B59" s="12">
        <v>5953068800</v>
      </c>
      <c r="C59" s="18">
        <v>45573.434027777781</v>
      </c>
      <c r="D59" s="12">
        <v>6411715600</v>
      </c>
    </row>
    <row r="60" spans="1:4">
      <c r="A60" s="18">
        <v>45565.43472222222</v>
      </c>
      <c r="B60" s="12">
        <v>5905044100</v>
      </c>
      <c r="C60" s="18">
        <v>45573.43472222222</v>
      </c>
      <c r="D60" s="12">
        <v>6538255900</v>
      </c>
    </row>
    <row r="61" spans="1:4">
      <c r="A61" s="18">
        <v>45565.435416666667</v>
      </c>
      <c r="B61" s="12">
        <v>5409862800</v>
      </c>
      <c r="C61" s="18">
        <v>45573.435416666667</v>
      </c>
      <c r="D61" s="12">
        <v>6699620200</v>
      </c>
    </row>
    <row r="62" spans="1:4">
      <c r="A62" s="18">
        <v>45565.436111111114</v>
      </c>
      <c r="B62" s="12">
        <v>5080151400</v>
      </c>
      <c r="C62" s="18">
        <v>45573.436111111114</v>
      </c>
      <c r="D62" s="12">
        <v>7750789300</v>
      </c>
    </row>
    <row r="63" spans="1:4">
      <c r="A63" s="18">
        <v>45565.436805555553</v>
      </c>
      <c r="B63" s="12">
        <v>4678117000</v>
      </c>
      <c r="C63" s="18">
        <v>45573.436805555553</v>
      </c>
      <c r="D63" s="12">
        <v>8618651400</v>
      </c>
    </row>
    <row r="64" spans="1:4">
      <c r="A64" s="18">
        <v>45565.4375</v>
      </c>
      <c r="B64" s="12">
        <v>4903780100</v>
      </c>
      <c r="C64" s="18">
        <v>45573.4375</v>
      </c>
      <c r="D64" s="12">
        <v>9544717000</v>
      </c>
    </row>
    <row r="65" spans="1:4">
      <c r="A65" s="18">
        <v>45565.438194444447</v>
      </c>
      <c r="B65" s="12">
        <v>5314197000</v>
      </c>
      <c r="C65" s="18">
        <v>45573.438194444447</v>
      </c>
      <c r="D65" s="12">
        <v>9627490000</v>
      </c>
    </row>
    <row r="66" spans="1:4">
      <c r="A66" s="18">
        <v>45565.438888888886</v>
      </c>
      <c r="B66" s="12">
        <v>4776102000</v>
      </c>
      <c r="C66" s="18">
        <v>45573.438888888886</v>
      </c>
      <c r="D66" s="12">
        <v>11343371700</v>
      </c>
    </row>
    <row r="67" spans="1:4">
      <c r="A67" s="18">
        <v>45565.439583333333</v>
      </c>
      <c r="B67" s="12">
        <v>4320238400</v>
      </c>
      <c r="C67" s="18">
        <v>45573.439583333333</v>
      </c>
      <c r="D67" s="12">
        <v>12815741800</v>
      </c>
    </row>
    <row r="68" spans="1:4">
      <c r="A68" s="18">
        <v>45565.44027777778</v>
      </c>
      <c r="B68" s="12">
        <v>3735791400</v>
      </c>
      <c r="C68" s="18">
        <v>45573.44027777778</v>
      </c>
      <c r="D68" s="12">
        <v>17052453200</v>
      </c>
    </row>
    <row r="69" spans="1:4">
      <c r="A69" s="18">
        <v>45565.440972222219</v>
      </c>
      <c r="B69" s="12">
        <v>3563909600</v>
      </c>
      <c r="C69" s="18">
        <v>45573.440972222219</v>
      </c>
      <c r="D69" s="12">
        <v>23823844600</v>
      </c>
    </row>
    <row r="70" spans="1:4">
      <c r="A70" s="18">
        <v>45565.441666666666</v>
      </c>
      <c r="B70" s="12">
        <v>3441171100</v>
      </c>
      <c r="C70" s="18">
        <v>45573.441666666666</v>
      </c>
      <c r="D70" s="12">
        <v>21688774300</v>
      </c>
    </row>
    <row r="71" spans="1:4">
      <c r="A71" s="18">
        <v>45565.442361111112</v>
      </c>
      <c r="B71" s="12">
        <v>3373466500</v>
      </c>
      <c r="C71" s="18">
        <v>45573.442361111112</v>
      </c>
      <c r="D71" s="12">
        <v>24101256400</v>
      </c>
    </row>
    <row r="72" spans="1:4">
      <c r="A72" s="18">
        <v>45565.443055555559</v>
      </c>
      <c r="B72" s="12">
        <v>3404854400</v>
      </c>
      <c r="C72" s="18">
        <v>45573.443055555559</v>
      </c>
      <c r="D72" s="12">
        <v>22085839200</v>
      </c>
    </row>
    <row r="73" spans="1:4">
      <c r="A73" s="18">
        <v>45565.443749999999</v>
      </c>
      <c r="B73" s="12">
        <v>3118096100</v>
      </c>
      <c r="C73" s="18">
        <v>45573.443749999999</v>
      </c>
      <c r="D73" s="12">
        <v>20612393400</v>
      </c>
    </row>
    <row r="74" spans="1:4">
      <c r="A74" s="18">
        <v>45565.444444444445</v>
      </c>
      <c r="B74" s="12">
        <v>3685292900</v>
      </c>
      <c r="C74" s="18">
        <v>45573.444444444445</v>
      </c>
      <c r="D74" s="12">
        <v>17856268700</v>
      </c>
    </row>
    <row r="75" spans="1:4">
      <c r="A75" s="18">
        <v>45565.445138888892</v>
      </c>
      <c r="B75" s="12">
        <v>4063821300</v>
      </c>
      <c r="C75" s="18">
        <v>45573.445138888892</v>
      </c>
      <c r="D75" s="12">
        <v>14672862000</v>
      </c>
    </row>
    <row r="76" spans="1:4">
      <c r="A76" s="18">
        <v>45565.445833333331</v>
      </c>
      <c r="B76" s="12">
        <v>4043331400</v>
      </c>
      <c r="C76" s="18">
        <v>45573.445833333331</v>
      </c>
      <c r="D76" s="12">
        <v>13723544500</v>
      </c>
    </row>
    <row r="77" spans="1:4">
      <c r="A77" s="18">
        <v>45565.446527777778</v>
      </c>
      <c r="B77" s="12">
        <v>4158336000</v>
      </c>
      <c r="C77" s="18">
        <v>45573.446527777778</v>
      </c>
      <c r="D77" s="12">
        <v>11521902100</v>
      </c>
    </row>
    <row r="78" spans="1:4">
      <c r="A78" s="18">
        <v>45565.447222222225</v>
      </c>
      <c r="B78" s="12">
        <v>4022984800</v>
      </c>
      <c r="C78" s="18">
        <v>45573.447222222225</v>
      </c>
      <c r="D78" s="12">
        <v>10115719300</v>
      </c>
    </row>
    <row r="79" spans="1:4">
      <c r="A79" s="18">
        <v>45565.447916666664</v>
      </c>
      <c r="B79" s="12">
        <v>4100243000</v>
      </c>
      <c r="C79" s="18">
        <v>45573.447916666664</v>
      </c>
      <c r="D79" s="12">
        <v>9070919100</v>
      </c>
    </row>
    <row r="80" spans="1:4">
      <c r="A80" s="18">
        <v>45565.448611111111</v>
      </c>
      <c r="B80" s="12">
        <v>4705884500</v>
      </c>
      <c r="C80" s="18">
        <v>45573.448611111111</v>
      </c>
      <c r="D80" s="12">
        <v>7992439000</v>
      </c>
    </row>
    <row r="81" spans="1:4">
      <c r="A81" s="18">
        <v>45565.449305555558</v>
      </c>
      <c r="B81" s="12">
        <v>4917694900</v>
      </c>
      <c r="C81" s="18">
        <v>45573.449305555558</v>
      </c>
      <c r="D81" s="12">
        <v>6744860600</v>
      </c>
    </row>
    <row r="82" spans="1:4">
      <c r="A82" s="18">
        <v>45565.45</v>
      </c>
      <c r="B82" s="12">
        <v>4840653300</v>
      </c>
      <c r="C82" s="18">
        <v>45573.45</v>
      </c>
      <c r="D82" s="12">
        <v>6279838100</v>
      </c>
    </row>
    <row r="83" spans="1:4">
      <c r="A83" s="18">
        <v>45565.450694444444</v>
      </c>
      <c r="B83" s="12">
        <v>4484852600</v>
      </c>
      <c r="C83" s="18">
        <v>45573.450694444444</v>
      </c>
      <c r="D83" s="12">
        <v>5895419000</v>
      </c>
    </row>
    <row r="84" spans="1:4">
      <c r="A84" s="18">
        <v>45565.451388888891</v>
      </c>
      <c r="B84" s="12">
        <v>4602354500</v>
      </c>
      <c r="C84" s="18">
        <v>45573.451388888891</v>
      </c>
      <c r="D84" s="12">
        <v>6510597600</v>
      </c>
    </row>
    <row r="85" spans="1:4">
      <c r="A85" s="18">
        <v>45565.45208333333</v>
      </c>
      <c r="B85" s="12">
        <v>4472674000</v>
      </c>
      <c r="C85" s="18">
        <v>45573.45208333333</v>
      </c>
      <c r="D85" s="12">
        <v>7226173500</v>
      </c>
    </row>
    <row r="86" spans="1:4">
      <c r="A86" s="18">
        <v>45565.452777777777</v>
      </c>
      <c r="B86" s="12">
        <v>4543132400</v>
      </c>
      <c r="C86" s="18">
        <v>45573.452777777777</v>
      </c>
      <c r="D86" s="12">
        <v>6311105800</v>
      </c>
    </row>
    <row r="87" spans="1:4">
      <c r="A87" s="18">
        <v>45565.453472222223</v>
      </c>
      <c r="B87" s="12">
        <v>4813879600</v>
      </c>
      <c r="C87" s="18">
        <v>45573.453472222223</v>
      </c>
      <c r="D87" s="12">
        <v>5475309600</v>
      </c>
    </row>
    <row r="88" spans="1:4">
      <c r="A88" s="18">
        <v>45565.45416666667</v>
      </c>
      <c r="B88" s="12">
        <v>4736636500</v>
      </c>
      <c r="C88" s="18">
        <v>45573.45416666667</v>
      </c>
      <c r="D88" s="12">
        <v>5969635400</v>
      </c>
    </row>
    <row r="89" spans="1:4">
      <c r="A89" s="18">
        <v>45565.454861111109</v>
      </c>
      <c r="B89" s="12">
        <v>4561662000</v>
      </c>
      <c r="C89" s="18">
        <v>45573.454861111109</v>
      </c>
      <c r="D89" s="12">
        <v>5144055500</v>
      </c>
    </row>
    <row r="90" spans="1:4">
      <c r="A90" s="18">
        <v>45565.455555555556</v>
      </c>
      <c r="B90" s="12">
        <v>4540504100</v>
      </c>
      <c r="C90" s="18">
        <v>45573.455555555556</v>
      </c>
      <c r="D90" s="12">
        <v>4632389800</v>
      </c>
    </row>
    <row r="91" spans="1:4">
      <c r="A91" s="18">
        <v>45565.456250000003</v>
      </c>
      <c r="B91" s="12">
        <v>4332742000</v>
      </c>
      <c r="C91" s="18">
        <v>45573.456250000003</v>
      </c>
      <c r="D91" s="12">
        <v>4483687200</v>
      </c>
    </row>
    <row r="92" spans="1:4">
      <c r="A92" s="18">
        <v>45565.456944444442</v>
      </c>
      <c r="B92" s="12">
        <v>4065732700</v>
      </c>
      <c r="C92" s="18">
        <v>45573.456944444442</v>
      </c>
      <c r="D92" s="12">
        <v>4057956400</v>
      </c>
    </row>
    <row r="93" spans="1:4">
      <c r="A93" s="18">
        <v>45565.457638888889</v>
      </c>
      <c r="B93" s="12">
        <v>4222248400</v>
      </c>
      <c r="C93" s="18">
        <v>45573.457638888889</v>
      </c>
      <c r="D93" s="12">
        <v>4519909100</v>
      </c>
    </row>
    <row r="94" spans="1:4">
      <c r="A94" s="18">
        <v>45565.458333333336</v>
      </c>
      <c r="B94" s="12">
        <v>4471198800</v>
      </c>
      <c r="C94" s="18">
        <v>45573.458333333336</v>
      </c>
      <c r="D94" s="12">
        <v>4902672700</v>
      </c>
    </row>
    <row r="95" spans="1:4">
      <c r="A95" s="18">
        <v>45565.459027777775</v>
      </c>
      <c r="B95" s="12">
        <v>5137876200</v>
      </c>
      <c r="C95" s="18">
        <v>45573.459027777775</v>
      </c>
      <c r="D95" s="12">
        <v>5074787200</v>
      </c>
    </row>
    <row r="96" spans="1:4">
      <c r="A96" s="18">
        <v>45565.459722222222</v>
      </c>
      <c r="B96" s="12">
        <v>3994817500</v>
      </c>
      <c r="C96" s="18">
        <v>45573.459722222222</v>
      </c>
      <c r="D96" s="12">
        <v>4858729900</v>
      </c>
    </row>
    <row r="97" spans="1:4">
      <c r="A97" s="18">
        <v>45565.460416666669</v>
      </c>
      <c r="B97" s="12">
        <v>3701922800</v>
      </c>
      <c r="C97" s="18">
        <v>45573.460416666669</v>
      </c>
      <c r="D97" s="12">
        <v>5085820900</v>
      </c>
    </row>
    <row r="98" spans="1:4">
      <c r="A98" s="18">
        <v>45565.461111111108</v>
      </c>
      <c r="B98" s="12">
        <v>4046376000</v>
      </c>
      <c r="C98" s="18">
        <v>45573.461111111108</v>
      </c>
      <c r="D98" s="12">
        <v>5094291000</v>
      </c>
    </row>
    <row r="99" spans="1:4">
      <c r="A99" s="18">
        <v>45565.461805555555</v>
      </c>
      <c r="B99" s="12">
        <v>4042814600</v>
      </c>
      <c r="C99" s="18">
        <v>45573.461805555555</v>
      </c>
      <c r="D99" s="12">
        <v>5746665200</v>
      </c>
    </row>
    <row r="100" spans="1:4">
      <c r="A100" s="18">
        <v>45565.462500000001</v>
      </c>
      <c r="B100" s="12">
        <v>4256165200</v>
      </c>
      <c r="C100" s="18">
        <v>45573.462500000001</v>
      </c>
      <c r="D100" s="12">
        <v>5781122500</v>
      </c>
    </row>
    <row r="101" spans="1:4">
      <c r="A101" s="18">
        <v>45565.463194444441</v>
      </c>
      <c r="B101" s="12">
        <v>3449117800</v>
      </c>
      <c r="C101" s="18">
        <v>45573.463194444441</v>
      </c>
      <c r="D101" s="12">
        <v>5739852900</v>
      </c>
    </row>
    <row r="102" spans="1:4">
      <c r="A102" s="18">
        <v>45565.463888888888</v>
      </c>
      <c r="B102" s="12">
        <v>3648830300</v>
      </c>
      <c r="C102" s="18">
        <v>45573.463888888888</v>
      </c>
      <c r="D102" s="12">
        <v>6176052300</v>
      </c>
    </row>
    <row r="103" spans="1:4">
      <c r="A103" s="18">
        <v>45565.464583333334</v>
      </c>
      <c r="B103" s="12">
        <v>2795345800</v>
      </c>
      <c r="C103" s="18">
        <v>45573.464583333334</v>
      </c>
      <c r="D103" s="12">
        <v>5487987500</v>
      </c>
    </row>
    <row r="104" spans="1:4">
      <c r="A104" s="18">
        <v>45565.465277777781</v>
      </c>
      <c r="B104" s="12">
        <v>2484877000</v>
      </c>
      <c r="C104" s="18">
        <v>45573.465277777781</v>
      </c>
      <c r="D104" s="12">
        <v>6006673100</v>
      </c>
    </row>
    <row r="105" spans="1:4">
      <c r="A105" s="18">
        <v>45565.46597222222</v>
      </c>
      <c r="B105" s="12">
        <v>2304148300</v>
      </c>
      <c r="C105" s="18">
        <v>45573.46597222222</v>
      </c>
      <c r="D105" s="12">
        <v>4862229100</v>
      </c>
    </row>
    <row r="106" spans="1:4">
      <c r="A106" s="18">
        <v>45565.466666666667</v>
      </c>
      <c r="B106" s="12">
        <v>2454963700</v>
      </c>
      <c r="C106" s="18">
        <v>45573.466666666667</v>
      </c>
      <c r="D106" s="12">
        <v>4700431000</v>
      </c>
    </row>
    <row r="107" spans="1:4">
      <c r="A107" s="18">
        <v>45565.467361111114</v>
      </c>
      <c r="B107" s="12">
        <v>2377339300</v>
      </c>
      <c r="C107" s="18">
        <v>45573.467361111114</v>
      </c>
      <c r="D107" s="12">
        <v>4745916900</v>
      </c>
    </row>
    <row r="108" spans="1:4">
      <c r="A108" s="18">
        <v>45565.468055555553</v>
      </c>
      <c r="B108" s="12">
        <v>2214866200</v>
      </c>
      <c r="C108" s="18">
        <v>45573.468055555553</v>
      </c>
      <c r="D108" s="12">
        <v>4739612900</v>
      </c>
    </row>
    <row r="109" spans="1:4">
      <c r="A109" s="18">
        <v>45565.46875</v>
      </c>
      <c r="B109" s="12">
        <v>2432623600</v>
      </c>
      <c r="C109" s="18">
        <v>45573.46875</v>
      </c>
      <c r="D109" s="12">
        <v>5092814100</v>
      </c>
    </row>
    <row r="110" spans="1:4">
      <c r="A110" s="18">
        <v>45565.469444444447</v>
      </c>
      <c r="B110" s="12">
        <v>2522828700</v>
      </c>
      <c r="C110" s="18">
        <v>45573.469444444447</v>
      </c>
      <c r="D110" s="12">
        <v>5354312100</v>
      </c>
    </row>
    <row r="111" spans="1:4">
      <c r="A111" s="18">
        <v>45565.470138888886</v>
      </c>
      <c r="B111" s="12">
        <v>2345395100</v>
      </c>
      <c r="C111" s="18">
        <v>45573.470138888886</v>
      </c>
      <c r="D111" s="12">
        <v>5618803500</v>
      </c>
    </row>
    <row r="112" spans="1:4">
      <c r="A112" s="18">
        <v>45565.470833333333</v>
      </c>
      <c r="B112" s="12">
        <v>2599926400</v>
      </c>
      <c r="C112" s="18">
        <v>45573.470833333333</v>
      </c>
      <c r="D112" s="12">
        <v>5500502300</v>
      </c>
    </row>
    <row r="113" spans="1:4">
      <c r="A113" s="18">
        <v>45565.47152777778</v>
      </c>
      <c r="B113" s="12">
        <v>2804751600</v>
      </c>
      <c r="C113" s="18">
        <v>45573.47152777778</v>
      </c>
      <c r="D113" s="12">
        <v>5693255800</v>
      </c>
    </row>
    <row r="114" spans="1:4">
      <c r="A114" s="18">
        <v>45565.472222222219</v>
      </c>
      <c r="B114" s="12">
        <v>2760557900</v>
      </c>
      <c r="C114" s="18">
        <v>45573.472222222219</v>
      </c>
      <c r="D114" s="12">
        <v>4588488900</v>
      </c>
    </row>
    <row r="115" spans="1:4">
      <c r="A115" s="18">
        <v>45565.472916666666</v>
      </c>
      <c r="B115" s="12">
        <v>2493673800</v>
      </c>
      <c r="C115" s="18">
        <v>45573.472916666666</v>
      </c>
      <c r="D115" s="12">
        <v>4366217400</v>
      </c>
    </row>
    <row r="116" spans="1:4">
      <c r="A116" s="18">
        <v>45565.473611111112</v>
      </c>
      <c r="B116" s="12">
        <v>2536570900</v>
      </c>
      <c r="C116" s="18">
        <v>45573.473611111112</v>
      </c>
      <c r="D116" s="12">
        <v>3775392600</v>
      </c>
    </row>
    <row r="117" spans="1:4">
      <c r="A117" s="18">
        <v>45565.474305555559</v>
      </c>
      <c r="B117" s="12">
        <v>2480660700</v>
      </c>
      <c r="C117" s="18">
        <v>45573.474305555559</v>
      </c>
      <c r="D117" s="12">
        <v>3080993800</v>
      </c>
    </row>
    <row r="118" spans="1:4">
      <c r="A118" s="18">
        <v>45565.474999999999</v>
      </c>
      <c r="B118" s="12">
        <v>2570023300</v>
      </c>
      <c r="C118" s="18">
        <v>45573.474999999999</v>
      </c>
      <c r="D118" s="12">
        <v>2929890400</v>
      </c>
    </row>
    <row r="119" spans="1:4">
      <c r="A119" s="18">
        <v>45565.475694444445</v>
      </c>
      <c r="B119" s="12">
        <v>2507939000</v>
      </c>
      <c r="C119" s="18">
        <v>45573.475694444445</v>
      </c>
      <c r="D119" s="12">
        <v>3015315700</v>
      </c>
    </row>
    <row r="120" spans="1:4">
      <c r="A120" s="18">
        <v>45565.476388888892</v>
      </c>
      <c r="B120" s="12">
        <v>2655624400</v>
      </c>
      <c r="C120" s="18">
        <v>45573.476388888892</v>
      </c>
      <c r="D120" s="12">
        <v>3242434700</v>
      </c>
    </row>
    <row r="121" spans="1:4">
      <c r="A121" s="18">
        <v>45565.477083333331</v>
      </c>
      <c r="B121" s="12">
        <v>2630610200</v>
      </c>
      <c r="C121" s="18">
        <v>45573.477083333331</v>
      </c>
      <c r="D121" s="12">
        <v>2934475500</v>
      </c>
    </row>
    <row r="122" spans="1:4">
      <c r="A122" s="18">
        <v>45565.477777777778</v>
      </c>
      <c r="B122" s="12">
        <v>2904512000</v>
      </c>
      <c r="C122" s="18">
        <v>45573.477777777778</v>
      </c>
      <c r="D122" s="12">
        <v>2988936700</v>
      </c>
    </row>
    <row r="123" spans="1:4">
      <c r="A123" s="18">
        <v>45565.478472222225</v>
      </c>
      <c r="B123" s="12">
        <v>3044380800</v>
      </c>
      <c r="C123" s="18">
        <v>45573.478472222225</v>
      </c>
      <c r="D123" s="12">
        <v>2924390700</v>
      </c>
    </row>
    <row r="124" spans="1:4">
      <c r="A124" s="18">
        <v>45565.479166666664</v>
      </c>
      <c r="B124" s="12">
        <v>101084200</v>
      </c>
      <c r="C124" s="18">
        <v>45573.479166666664</v>
      </c>
      <c r="D124" s="12">
        <v>103870500</v>
      </c>
    </row>
    <row r="125" spans="1:4">
      <c r="A125" s="18">
        <v>45565.541666666664</v>
      </c>
      <c r="B125" s="12">
        <v>16968478600</v>
      </c>
      <c r="C125" s="18">
        <v>45573.541666666664</v>
      </c>
      <c r="D125" s="12">
        <v>12640658900</v>
      </c>
    </row>
    <row r="126" spans="1:4">
      <c r="A126" s="18">
        <v>45565.542361111111</v>
      </c>
      <c r="B126" s="12">
        <v>8386155600</v>
      </c>
      <c r="C126" s="18">
        <v>45573.542361111111</v>
      </c>
      <c r="D126" s="12">
        <v>5309446300</v>
      </c>
    </row>
    <row r="127" spans="1:4">
      <c r="A127" s="18">
        <v>45565.543055555558</v>
      </c>
      <c r="B127" s="12">
        <v>7578780000</v>
      </c>
      <c r="C127" s="18">
        <v>45573.543055555558</v>
      </c>
      <c r="D127" s="12">
        <v>5095651700</v>
      </c>
    </row>
    <row r="128" spans="1:4">
      <c r="A128" s="18">
        <v>45565.543749999997</v>
      </c>
      <c r="B128" s="12">
        <v>6819638600</v>
      </c>
      <c r="C128" s="18">
        <v>45573.543749999997</v>
      </c>
      <c r="D128" s="12">
        <v>4810287300</v>
      </c>
    </row>
    <row r="129" spans="1:4">
      <c r="A129" s="18">
        <v>45565.544444444444</v>
      </c>
      <c r="B129" s="12">
        <v>6236330500</v>
      </c>
      <c r="C129" s="18">
        <v>45573.544444444444</v>
      </c>
      <c r="D129" s="12">
        <v>5877489100</v>
      </c>
    </row>
    <row r="130" spans="1:4">
      <c r="A130" s="18">
        <v>45565.545138888891</v>
      </c>
      <c r="B130" s="12">
        <v>5717752300</v>
      </c>
      <c r="C130" s="18">
        <v>45573.545138888891</v>
      </c>
      <c r="D130" s="12">
        <v>5688017500</v>
      </c>
    </row>
    <row r="131" spans="1:4">
      <c r="A131" s="18">
        <v>45565.54583333333</v>
      </c>
      <c r="B131" s="12">
        <v>5514416200</v>
      </c>
      <c r="C131" s="18">
        <v>45573.54583333333</v>
      </c>
      <c r="D131" s="12">
        <v>5055826500</v>
      </c>
    </row>
    <row r="132" spans="1:4">
      <c r="A132" s="18">
        <v>45565.546527777777</v>
      </c>
      <c r="B132" s="12">
        <v>4818861600</v>
      </c>
      <c r="C132" s="18">
        <v>45573.546527777777</v>
      </c>
      <c r="D132" s="12">
        <v>3798478200</v>
      </c>
    </row>
    <row r="133" spans="1:4">
      <c r="A133" s="18">
        <v>45565.547222222223</v>
      </c>
      <c r="B133" s="12">
        <v>4942588300</v>
      </c>
      <c r="C133" s="18">
        <v>45573.547222222223</v>
      </c>
      <c r="D133" s="12">
        <v>3597454300</v>
      </c>
    </row>
    <row r="134" spans="1:4">
      <c r="A134" s="18">
        <v>45565.54791666667</v>
      </c>
      <c r="B134" s="12">
        <v>4865924000</v>
      </c>
      <c r="C134" s="18">
        <v>45573.54791666667</v>
      </c>
      <c r="D134" s="12">
        <v>3888183900</v>
      </c>
    </row>
    <row r="135" spans="1:4">
      <c r="A135" s="18">
        <v>45565.548611111109</v>
      </c>
      <c r="B135" s="12">
        <v>5243346100</v>
      </c>
      <c r="C135" s="18">
        <v>45573.548611111109</v>
      </c>
      <c r="D135" s="12">
        <v>3969436500</v>
      </c>
    </row>
    <row r="136" spans="1:4">
      <c r="A136" s="18">
        <v>45565.549305555556</v>
      </c>
      <c r="B136" s="12">
        <v>6073756200</v>
      </c>
      <c r="C136" s="18">
        <v>45573.549305555556</v>
      </c>
      <c r="D136" s="12">
        <v>3754256700</v>
      </c>
    </row>
    <row r="137" spans="1:4">
      <c r="A137" s="18">
        <v>45565.55</v>
      </c>
      <c r="B137" s="12">
        <v>5376887900</v>
      </c>
      <c r="C137" s="18">
        <v>45573.55</v>
      </c>
      <c r="D137" s="12">
        <v>3571903800</v>
      </c>
    </row>
    <row r="138" spans="1:4">
      <c r="A138" s="18">
        <v>45565.550694444442</v>
      </c>
      <c r="B138" s="12">
        <v>5041983300</v>
      </c>
      <c r="C138" s="18">
        <v>45573.550694444442</v>
      </c>
      <c r="D138" s="12">
        <v>3532917000</v>
      </c>
    </row>
    <row r="139" spans="1:4">
      <c r="A139" s="18">
        <v>45565.551388888889</v>
      </c>
      <c r="B139" s="12">
        <v>4600444100</v>
      </c>
      <c r="C139" s="18">
        <v>45573.551388888889</v>
      </c>
      <c r="D139" s="12">
        <v>3378353300</v>
      </c>
    </row>
    <row r="140" spans="1:4">
      <c r="A140" s="18">
        <v>45565.552083333336</v>
      </c>
      <c r="B140" s="12">
        <v>4707869400</v>
      </c>
      <c r="C140" s="18">
        <v>45573.552083333336</v>
      </c>
      <c r="D140" s="12">
        <v>3749241000</v>
      </c>
    </row>
    <row r="141" spans="1:4">
      <c r="A141" s="18">
        <v>45565.552777777775</v>
      </c>
      <c r="B141" s="12">
        <v>4341130700</v>
      </c>
      <c r="C141" s="18">
        <v>45573.552777777775</v>
      </c>
      <c r="D141" s="12">
        <v>3889037500</v>
      </c>
    </row>
    <row r="142" spans="1:4">
      <c r="A142" s="18">
        <v>45565.553472222222</v>
      </c>
      <c r="B142" s="12">
        <v>3290552900</v>
      </c>
      <c r="C142" s="18">
        <v>45573.553472222222</v>
      </c>
      <c r="D142" s="12">
        <v>3643717600</v>
      </c>
    </row>
    <row r="143" spans="1:4">
      <c r="A143" s="18">
        <v>45565.554166666669</v>
      </c>
      <c r="B143" s="12">
        <v>3075376200</v>
      </c>
      <c r="C143" s="18">
        <v>45573.554166666669</v>
      </c>
      <c r="D143" s="12">
        <v>3330813300</v>
      </c>
    </row>
    <row r="144" spans="1:4">
      <c r="A144" s="18">
        <v>45565.554861111108</v>
      </c>
      <c r="B144" s="12">
        <v>2864943400</v>
      </c>
      <c r="C144" s="18">
        <v>45573.554861111108</v>
      </c>
      <c r="D144" s="12">
        <v>3433699200</v>
      </c>
    </row>
    <row r="145" spans="1:4">
      <c r="A145" s="18">
        <v>45565.555555555555</v>
      </c>
      <c r="B145" s="12">
        <v>3218675600</v>
      </c>
      <c r="C145" s="18">
        <v>45573.555555555555</v>
      </c>
      <c r="D145" s="12">
        <v>4303053200</v>
      </c>
    </row>
    <row r="146" spans="1:4">
      <c r="A146" s="18">
        <v>45565.556250000001</v>
      </c>
      <c r="B146" s="12">
        <v>2861622600</v>
      </c>
      <c r="C146" s="18">
        <v>45573.556250000001</v>
      </c>
      <c r="D146" s="12">
        <v>4038198900</v>
      </c>
    </row>
    <row r="147" spans="1:4">
      <c r="A147" s="18">
        <v>45565.556944444441</v>
      </c>
      <c r="B147" s="12">
        <v>3312629400</v>
      </c>
      <c r="C147" s="18">
        <v>45573.556944444441</v>
      </c>
      <c r="D147" s="12">
        <v>3790550800</v>
      </c>
    </row>
    <row r="148" spans="1:4">
      <c r="A148" s="18">
        <v>45565.557638888888</v>
      </c>
      <c r="B148" s="12">
        <v>2781626700</v>
      </c>
      <c r="C148" s="18">
        <v>45573.557638888888</v>
      </c>
      <c r="D148" s="12">
        <v>3690244800</v>
      </c>
    </row>
    <row r="149" spans="1:4">
      <c r="A149" s="18">
        <v>45565.558333333334</v>
      </c>
      <c r="B149" s="12">
        <v>2952488800</v>
      </c>
      <c r="C149" s="18">
        <v>45573.558333333334</v>
      </c>
      <c r="D149" s="12">
        <v>3669953400</v>
      </c>
    </row>
    <row r="150" spans="1:4">
      <c r="A150" s="18">
        <v>45565.559027777781</v>
      </c>
      <c r="B150" s="12">
        <v>2818114800</v>
      </c>
      <c r="C150" s="18">
        <v>45573.559027777781</v>
      </c>
      <c r="D150" s="12">
        <v>3708918600</v>
      </c>
    </row>
    <row r="151" spans="1:4">
      <c r="A151" s="18">
        <v>45565.55972222222</v>
      </c>
      <c r="B151" s="12">
        <v>2840115800</v>
      </c>
      <c r="C151" s="18">
        <v>45573.55972222222</v>
      </c>
      <c r="D151" s="12">
        <v>4271198100</v>
      </c>
    </row>
    <row r="152" spans="1:4">
      <c r="A152" s="18">
        <v>45565.560416666667</v>
      </c>
      <c r="B152" s="12">
        <v>2981069100</v>
      </c>
      <c r="C152" s="18">
        <v>45573.560416666667</v>
      </c>
      <c r="D152" s="12">
        <v>3524071200</v>
      </c>
    </row>
    <row r="153" spans="1:4">
      <c r="A153" s="18">
        <v>45565.561111111114</v>
      </c>
      <c r="B153" s="12">
        <v>3043456100</v>
      </c>
      <c r="C153" s="18">
        <v>45573.561111111114</v>
      </c>
      <c r="D153" s="12">
        <v>3332319600</v>
      </c>
    </row>
    <row r="154" spans="1:4">
      <c r="A154" s="18">
        <v>45565.561805555553</v>
      </c>
      <c r="B154" s="12">
        <v>2731839500</v>
      </c>
      <c r="C154" s="18">
        <v>45573.561805555553</v>
      </c>
      <c r="D154" s="12">
        <v>3264125600</v>
      </c>
    </row>
    <row r="155" spans="1:4">
      <c r="A155" s="18">
        <v>45565.5625</v>
      </c>
      <c r="B155" s="12">
        <v>3168109000</v>
      </c>
      <c r="C155" s="18">
        <v>45573.5625</v>
      </c>
      <c r="D155" s="12">
        <v>3818797400</v>
      </c>
    </row>
    <row r="156" spans="1:4">
      <c r="A156" s="18">
        <v>45565.563194444447</v>
      </c>
      <c r="B156" s="12">
        <v>3037843100</v>
      </c>
      <c r="C156" s="18">
        <v>45573.563194444447</v>
      </c>
      <c r="D156" s="12">
        <v>3903742000</v>
      </c>
    </row>
    <row r="157" spans="1:4">
      <c r="A157" s="18">
        <v>45565.563888888886</v>
      </c>
      <c r="B157" s="12">
        <v>3277161600</v>
      </c>
      <c r="C157" s="18">
        <v>45573.563888888886</v>
      </c>
      <c r="D157" s="12">
        <v>3547819500</v>
      </c>
    </row>
    <row r="158" spans="1:4">
      <c r="A158" s="18">
        <v>45565.564583333333</v>
      </c>
      <c r="B158" s="12">
        <v>3387106500</v>
      </c>
      <c r="C158" s="18">
        <v>45573.564583333333</v>
      </c>
      <c r="D158" s="12">
        <v>3597284200</v>
      </c>
    </row>
    <row r="159" spans="1:4">
      <c r="A159" s="18">
        <v>45565.56527777778</v>
      </c>
      <c r="B159" s="12">
        <v>3307386700</v>
      </c>
      <c r="C159" s="18">
        <v>45573.56527777778</v>
      </c>
      <c r="D159" s="12">
        <v>3364801800</v>
      </c>
    </row>
    <row r="160" spans="1:4">
      <c r="A160" s="18">
        <v>45565.565972222219</v>
      </c>
      <c r="B160" s="12">
        <v>3296577200</v>
      </c>
      <c r="C160" s="18">
        <v>45573.565972222219</v>
      </c>
      <c r="D160" s="12">
        <v>3605519000</v>
      </c>
    </row>
    <row r="161" spans="1:4">
      <c r="A161" s="18">
        <v>45565.566666666666</v>
      </c>
      <c r="B161" s="12">
        <v>3501027300</v>
      </c>
      <c r="C161" s="18">
        <v>45573.566666666666</v>
      </c>
      <c r="D161" s="12">
        <v>3983421900</v>
      </c>
    </row>
    <row r="162" spans="1:4">
      <c r="A162" s="18">
        <v>45565.567361111112</v>
      </c>
      <c r="B162" s="12">
        <v>3607122400</v>
      </c>
      <c r="C162" s="18">
        <v>45573.567361111112</v>
      </c>
      <c r="D162" s="12">
        <v>3235394400</v>
      </c>
    </row>
    <row r="163" spans="1:4">
      <c r="A163" s="18">
        <v>45565.568055555559</v>
      </c>
      <c r="B163" s="12">
        <v>3395361700</v>
      </c>
      <c r="C163" s="18">
        <v>45573.568055555559</v>
      </c>
      <c r="D163" s="12">
        <v>3774143400</v>
      </c>
    </row>
    <row r="164" spans="1:4">
      <c r="A164" s="18">
        <v>45565.568749999999</v>
      </c>
      <c r="B164" s="12">
        <v>3416726000</v>
      </c>
      <c r="C164" s="18">
        <v>45573.568749999999</v>
      </c>
      <c r="D164" s="12">
        <v>3588231600</v>
      </c>
    </row>
    <row r="165" spans="1:4">
      <c r="A165" s="18">
        <v>45565.569444444445</v>
      </c>
      <c r="B165" s="12">
        <v>3767376100</v>
      </c>
      <c r="C165" s="18">
        <v>45573.569444444445</v>
      </c>
      <c r="D165" s="12">
        <v>4113765000</v>
      </c>
    </row>
    <row r="166" spans="1:4">
      <c r="A166" s="18">
        <v>45565.570138888892</v>
      </c>
      <c r="B166" s="12">
        <v>3929740900</v>
      </c>
      <c r="C166" s="18">
        <v>45573.570138888892</v>
      </c>
      <c r="D166" s="12">
        <v>4247207700</v>
      </c>
    </row>
    <row r="167" spans="1:4">
      <c r="A167" s="18">
        <v>45565.570833333331</v>
      </c>
      <c r="B167" s="12">
        <v>3484242600</v>
      </c>
      <c r="C167" s="18">
        <v>45573.570833333331</v>
      </c>
      <c r="D167" s="12">
        <v>3786421100</v>
      </c>
    </row>
    <row r="168" spans="1:4">
      <c r="A168" s="18">
        <v>45565.571527777778</v>
      </c>
      <c r="B168" s="12">
        <v>3420626800</v>
      </c>
      <c r="C168" s="18">
        <v>45573.571527777778</v>
      </c>
      <c r="D168" s="12">
        <v>3375831800</v>
      </c>
    </row>
    <row r="169" spans="1:4">
      <c r="A169" s="18">
        <v>45565.572222222225</v>
      </c>
      <c r="B169" s="12">
        <v>3717229500</v>
      </c>
      <c r="C169" s="18">
        <v>45573.572222222225</v>
      </c>
      <c r="D169" s="12">
        <v>2734647000</v>
      </c>
    </row>
    <row r="170" spans="1:4">
      <c r="A170" s="18">
        <v>45565.572916666664</v>
      </c>
      <c r="B170" s="12">
        <v>4137943300</v>
      </c>
      <c r="C170" s="18">
        <v>45573.572916666664</v>
      </c>
      <c r="D170" s="12">
        <v>2952344700</v>
      </c>
    </row>
    <row r="171" spans="1:4">
      <c r="A171" s="18">
        <v>45565.573611111111</v>
      </c>
      <c r="B171" s="12">
        <v>3195035900</v>
      </c>
      <c r="C171" s="18">
        <v>45573.573611111111</v>
      </c>
      <c r="D171" s="12">
        <v>2935455500</v>
      </c>
    </row>
    <row r="172" spans="1:4">
      <c r="A172" s="18">
        <v>45565.574305555558</v>
      </c>
      <c r="B172" s="12">
        <v>3243461100</v>
      </c>
      <c r="C172" s="18">
        <v>45573.574305555558</v>
      </c>
      <c r="D172" s="12">
        <v>3366406900</v>
      </c>
    </row>
    <row r="173" spans="1:4">
      <c r="A173" s="18">
        <v>45565.574999999997</v>
      </c>
      <c r="B173" s="12">
        <v>3699698300</v>
      </c>
      <c r="C173" s="18">
        <v>45573.574999999997</v>
      </c>
      <c r="D173" s="12">
        <v>2939371000</v>
      </c>
    </row>
    <row r="174" spans="1:4">
      <c r="A174" s="18">
        <v>45565.575694444444</v>
      </c>
      <c r="B174" s="12">
        <v>3720802600</v>
      </c>
      <c r="C174" s="18">
        <v>45573.575694444444</v>
      </c>
      <c r="D174" s="12">
        <v>3348131400</v>
      </c>
    </row>
    <row r="175" spans="1:4">
      <c r="A175" s="18">
        <v>45565.576388888891</v>
      </c>
      <c r="B175" s="12">
        <v>3696616300</v>
      </c>
      <c r="C175" s="18">
        <v>45573.576388888891</v>
      </c>
      <c r="D175" s="12">
        <v>3238890300</v>
      </c>
    </row>
    <row r="176" spans="1:4">
      <c r="A176" s="18">
        <v>45565.57708333333</v>
      </c>
      <c r="B176" s="12">
        <v>3308817000</v>
      </c>
      <c r="C176" s="18">
        <v>45573.57708333333</v>
      </c>
      <c r="D176" s="12">
        <v>3520154100</v>
      </c>
    </row>
    <row r="177" spans="1:4">
      <c r="A177" s="18">
        <v>45565.577777777777</v>
      </c>
      <c r="B177" s="12">
        <v>3015353800</v>
      </c>
      <c r="C177" s="18">
        <v>45573.577777777777</v>
      </c>
      <c r="D177" s="12">
        <v>3791117500</v>
      </c>
    </row>
    <row r="178" spans="1:4">
      <c r="A178" s="18">
        <v>45565.578472222223</v>
      </c>
      <c r="B178" s="12">
        <v>3208268000</v>
      </c>
      <c r="C178" s="18">
        <v>45573.578472222223</v>
      </c>
      <c r="D178" s="12">
        <v>3736626000</v>
      </c>
    </row>
    <row r="179" spans="1:4">
      <c r="A179" s="18">
        <v>45565.57916666667</v>
      </c>
      <c r="B179" s="12">
        <v>3230817300</v>
      </c>
      <c r="C179" s="18">
        <v>45573.57916666667</v>
      </c>
      <c r="D179" s="12">
        <v>4241176100</v>
      </c>
    </row>
    <row r="180" spans="1:4">
      <c r="A180" s="18">
        <v>45565.579861111109</v>
      </c>
      <c r="B180" s="12">
        <v>3107711900</v>
      </c>
      <c r="C180" s="18">
        <v>45573.579861111109</v>
      </c>
      <c r="D180" s="12">
        <v>4403736400</v>
      </c>
    </row>
    <row r="181" spans="1:4">
      <c r="A181" s="18">
        <v>45565.580555555556</v>
      </c>
      <c r="B181" s="12">
        <v>3198708300</v>
      </c>
      <c r="C181" s="18">
        <v>45573.580555555556</v>
      </c>
      <c r="D181" s="12">
        <v>4342934300</v>
      </c>
    </row>
    <row r="182" spans="1:4">
      <c r="A182" s="18">
        <v>45565.581250000003</v>
      </c>
      <c r="B182" s="12">
        <v>3188266600</v>
      </c>
      <c r="C182" s="18">
        <v>45573.581250000003</v>
      </c>
      <c r="D182" s="12">
        <v>4174678600</v>
      </c>
    </row>
    <row r="183" spans="1:4">
      <c r="A183" s="18">
        <v>45565.581944444442</v>
      </c>
      <c r="B183" s="12">
        <v>3429522100</v>
      </c>
      <c r="C183" s="18">
        <v>45573.581944444442</v>
      </c>
      <c r="D183" s="12">
        <v>3754605100</v>
      </c>
    </row>
    <row r="184" spans="1:4">
      <c r="A184" s="18">
        <v>45565.582638888889</v>
      </c>
      <c r="B184" s="12">
        <v>3679671300</v>
      </c>
      <c r="C184" s="18">
        <v>45573.582638888889</v>
      </c>
      <c r="D184" s="12">
        <v>3624288800</v>
      </c>
    </row>
    <row r="185" spans="1:4">
      <c r="A185" s="18">
        <v>45565.583333333336</v>
      </c>
      <c r="B185" s="12">
        <v>3575056400</v>
      </c>
      <c r="C185" s="18">
        <v>45573.583333333336</v>
      </c>
      <c r="D185" s="12">
        <v>4043007800</v>
      </c>
    </row>
    <row r="186" spans="1:4">
      <c r="A186" s="18">
        <v>45565.584027777775</v>
      </c>
      <c r="B186" s="12">
        <v>3367004500</v>
      </c>
      <c r="C186" s="18">
        <v>45573.584027777775</v>
      </c>
      <c r="D186" s="12">
        <v>4068806800</v>
      </c>
    </row>
    <row r="187" spans="1:4">
      <c r="A187" s="18">
        <v>45565.584722222222</v>
      </c>
      <c r="B187" s="12">
        <v>3148851600</v>
      </c>
      <c r="C187" s="18">
        <v>45573.584722222222</v>
      </c>
      <c r="D187" s="12">
        <v>4073077300</v>
      </c>
    </row>
    <row r="188" spans="1:4">
      <c r="A188" s="18">
        <v>45565.585416666669</v>
      </c>
      <c r="B188" s="12">
        <v>3296758100</v>
      </c>
      <c r="C188" s="18">
        <v>45573.585416666669</v>
      </c>
      <c r="D188" s="12">
        <v>3384080000</v>
      </c>
    </row>
    <row r="189" spans="1:4">
      <c r="A189" s="18">
        <v>45565.586111111108</v>
      </c>
      <c r="B189" s="12">
        <v>3251128900</v>
      </c>
      <c r="C189" s="18">
        <v>45573.586111111108</v>
      </c>
      <c r="D189" s="12">
        <v>3420005800</v>
      </c>
    </row>
    <row r="190" spans="1:4">
      <c r="A190" s="18">
        <v>45565.586805555555</v>
      </c>
      <c r="B190" s="12">
        <v>3386428000</v>
      </c>
      <c r="C190" s="18">
        <v>45573.586805555555</v>
      </c>
      <c r="D190" s="12">
        <v>2761104900</v>
      </c>
    </row>
    <row r="191" spans="1:4">
      <c r="A191" s="18">
        <v>45565.587500000001</v>
      </c>
      <c r="B191" s="12">
        <v>3573416300</v>
      </c>
      <c r="C191" s="18">
        <v>45573.587500000001</v>
      </c>
      <c r="D191" s="12">
        <v>2886649700</v>
      </c>
    </row>
    <row r="192" spans="1:4">
      <c r="A192" s="18">
        <v>45565.588194444441</v>
      </c>
      <c r="B192" s="12">
        <v>3477957900</v>
      </c>
      <c r="C192" s="18">
        <v>45573.588194444441</v>
      </c>
      <c r="D192" s="12">
        <v>2675923800</v>
      </c>
    </row>
    <row r="193" spans="1:4">
      <c r="A193" s="18">
        <v>45565.588888888888</v>
      </c>
      <c r="B193" s="12">
        <v>3244263200</v>
      </c>
      <c r="C193" s="18">
        <v>45573.588888888888</v>
      </c>
      <c r="D193" s="12">
        <v>2632503200</v>
      </c>
    </row>
    <row r="194" spans="1:4">
      <c r="A194" s="18">
        <v>45565.589583333334</v>
      </c>
      <c r="B194" s="12">
        <v>3261180000</v>
      </c>
      <c r="C194" s="18">
        <v>45573.589583333334</v>
      </c>
      <c r="D194" s="12">
        <v>2779955800</v>
      </c>
    </row>
    <row r="195" spans="1:4">
      <c r="A195" s="18">
        <v>45565.590277777781</v>
      </c>
      <c r="B195" s="12">
        <v>3349059300</v>
      </c>
      <c r="C195" s="18">
        <v>45573.590277777781</v>
      </c>
      <c r="D195" s="12">
        <v>2875903300</v>
      </c>
    </row>
    <row r="196" spans="1:4">
      <c r="A196" s="18">
        <v>45565.59097222222</v>
      </c>
      <c r="B196" s="12">
        <v>3268077200</v>
      </c>
      <c r="C196" s="18">
        <v>45573.59097222222</v>
      </c>
      <c r="D196" s="12">
        <v>3029854200</v>
      </c>
    </row>
    <row r="197" spans="1:4">
      <c r="A197" s="18">
        <v>45565.591666666667</v>
      </c>
      <c r="B197" s="12">
        <v>3130942400</v>
      </c>
      <c r="C197" s="18">
        <v>45573.591666666667</v>
      </c>
      <c r="D197" s="12">
        <v>2883668200</v>
      </c>
    </row>
    <row r="198" spans="1:4">
      <c r="A198" s="18">
        <v>45565.592361111114</v>
      </c>
      <c r="B198" s="12">
        <v>3212704600</v>
      </c>
      <c r="C198" s="18">
        <v>45573.592361111114</v>
      </c>
      <c r="D198" s="12">
        <v>3162668600</v>
      </c>
    </row>
    <row r="199" spans="1:4">
      <c r="A199" s="18">
        <v>45565.593055555553</v>
      </c>
      <c r="B199" s="12">
        <v>3185970700</v>
      </c>
      <c r="C199" s="18">
        <v>45573.593055555553</v>
      </c>
      <c r="D199" s="12">
        <v>3239320500</v>
      </c>
    </row>
    <row r="200" spans="1:4">
      <c r="A200" s="18">
        <v>45565.59375</v>
      </c>
      <c r="B200" s="12">
        <v>3229979400</v>
      </c>
      <c r="C200" s="18">
        <v>45573.59375</v>
      </c>
      <c r="D200" s="12">
        <v>3597514400</v>
      </c>
    </row>
    <row r="201" spans="1:4">
      <c r="A201" s="18">
        <v>45565.594444444447</v>
      </c>
      <c r="B201" s="12">
        <v>3310144000</v>
      </c>
      <c r="C201" s="18">
        <v>45573.594444444447</v>
      </c>
      <c r="D201" s="12">
        <v>3608999500</v>
      </c>
    </row>
    <row r="202" spans="1:4">
      <c r="A202" s="18">
        <v>45565.595138888886</v>
      </c>
      <c r="B202" s="12">
        <v>3742497900</v>
      </c>
      <c r="C202" s="18">
        <v>45573.595138888886</v>
      </c>
      <c r="D202" s="12">
        <v>3297126200</v>
      </c>
    </row>
    <row r="203" spans="1:4">
      <c r="A203" s="18">
        <v>45565.595833333333</v>
      </c>
      <c r="B203" s="12">
        <v>3813453700</v>
      </c>
      <c r="C203" s="18">
        <v>45573.595833333333</v>
      </c>
      <c r="D203" s="12">
        <v>3635211700</v>
      </c>
    </row>
    <row r="204" spans="1:4">
      <c r="A204" s="18">
        <v>45565.59652777778</v>
      </c>
      <c r="B204" s="12">
        <v>4462012000</v>
      </c>
      <c r="C204" s="18">
        <v>45573.59652777778</v>
      </c>
      <c r="D204" s="12">
        <v>3597211100</v>
      </c>
    </row>
    <row r="205" spans="1:4">
      <c r="A205" s="18">
        <v>45565.597222222219</v>
      </c>
      <c r="B205" s="12">
        <v>5463979800</v>
      </c>
      <c r="C205" s="18">
        <v>45573.597222222219</v>
      </c>
      <c r="D205" s="12">
        <v>3698793300</v>
      </c>
    </row>
    <row r="206" spans="1:4">
      <c r="A206" s="18">
        <v>45565.597916666666</v>
      </c>
      <c r="B206" s="12">
        <v>6559958500</v>
      </c>
      <c r="C206" s="18">
        <v>45573.597916666666</v>
      </c>
      <c r="D206" s="12">
        <v>3556116700</v>
      </c>
    </row>
    <row r="207" spans="1:4">
      <c r="A207" s="18">
        <v>45565.598611111112</v>
      </c>
      <c r="B207" s="12">
        <v>6811753900</v>
      </c>
      <c r="C207" s="18">
        <v>45573.598611111112</v>
      </c>
      <c r="D207" s="12">
        <v>4537668200</v>
      </c>
    </row>
    <row r="208" spans="1:4">
      <c r="A208" s="18">
        <v>45565.599305555559</v>
      </c>
      <c r="B208" s="12">
        <v>7579694100</v>
      </c>
      <c r="C208" s="18">
        <v>45573.599305555559</v>
      </c>
      <c r="D208" s="12">
        <v>4631195700</v>
      </c>
    </row>
    <row r="209" spans="1:4">
      <c r="A209" s="18">
        <v>45565.599999999999</v>
      </c>
      <c r="B209" s="12">
        <v>8785664000</v>
      </c>
      <c r="C209" s="18">
        <v>45573.599999999999</v>
      </c>
      <c r="D209" s="12">
        <v>4789696200</v>
      </c>
    </row>
    <row r="210" spans="1:4">
      <c r="A210" s="18">
        <v>45565.600694444445</v>
      </c>
      <c r="B210" s="12">
        <v>7848634700</v>
      </c>
      <c r="C210" s="18">
        <v>45573.600694444445</v>
      </c>
      <c r="D210" s="12">
        <v>5741153200</v>
      </c>
    </row>
    <row r="211" spans="1:4">
      <c r="A211" s="18">
        <v>45565.601388888892</v>
      </c>
      <c r="B211" s="12">
        <v>7508731600</v>
      </c>
      <c r="C211" s="18">
        <v>45573.601388888892</v>
      </c>
      <c r="D211" s="12">
        <v>6233066500</v>
      </c>
    </row>
    <row r="212" spans="1:4">
      <c r="A212" s="18">
        <v>45565.602083333331</v>
      </c>
      <c r="B212" s="12">
        <v>6582254100</v>
      </c>
      <c r="C212" s="18">
        <v>45573.602083333331</v>
      </c>
      <c r="D212" s="12">
        <v>5877240000</v>
      </c>
    </row>
    <row r="213" spans="1:4">
      <c r="A213" s="18">
        <v>45565.602777777778</v>
      </c>
      <c r="B213" s="12">
        <v>5310150400</v>
      </c>
      <c r="C213" s="18">
        <v>45573.602777777778</v>
      </c>
      <c r="D213" s="12">
        <v>6014391300</v>
      </c>
    </row>
    <row r="214" spans="1:4">
      <c r="A214" s="18">
        <v>45565.603472222225</v>
      </c>
      <c r="B214" s="12">
        <v>4722193400</v>
      </c>
      <c r="C214" s="18">
        <v>45573.603472222225</v>
      </c>
      <c r="D214" s="12">
        <v>6431490100</v>
      </c>
    </row>
    <row r="215" spans="1:4">
      <c r="A215" s="18">
        <v>45565.604166666664</v>
      </c>
      <c r="B215" s="12">
        <v>4299965900</v>
      </c>
      <c r="C215" s="18">
        <v>45573.604166666664</v>
      </c>
      <c r="D215" s="12">
        <v>6434182600</v>
      </c>
    </row>
    <row r="216" spans="1:4">
      <c r="A216" s="18">
        <v>45565.604861111111</v>
      </c>
      <c r="B216" s="12">
        <v>3743995300</v>
      </c>
      <c r="C216" s="18">
        <v>45573.604861111111</v>
      </c>
      <c r="D216" s="12">
        <v>6082597000</v>
      </c>
    </row>
    <row r="217" spans="1:4">
      <c r="A217" s="18">
        <v>45565.605555555558</v>
      </c>
      <c r="B217" s="12">
        <v>3720144700</v>
      </c>
      <c r="C217" s="18">
        <v>45573.605555555558</v>
      </c>
      <c r="D217" s="12">
        <v>6144712800</v>
      </c>
    </row>
    <row r="218" spans="1:4">
      <c r="A218" s="18">
        <v>45565.606249999997</v>
      </c>
      <c r="B218" s="12">
        <v>3258141400</v>
      </c>
      <c r="C218" s="18">
        <v>45573.606249999997</v>
      </c>
      <c r="D218" s="12">
        <v>6638659800</v>
      </c>
    </row>
    <row r="219" spans="1:4">
      <c r="A219" s="18">
        <v>45565.606944444444</v>
      </c>
      <c r="B219" s="12">
        <v>3126942500</v>
      </c>
      <c r="C219" s="18">
        <v>45573.606944444444</v>
      </c>
      <c r="D219" s="12">
        <v>6619972800</v>
      </c>
    </row>
    <row r="220" spans="1:4">
      <c r="A220" s="18">
        <v>45565.607638888891</v>
      </c>
      <c r="B220" s="12">
        <v>3293687300</v>
      </c>
      <c r="C220" s="18">
        <v>45573.607638888891</v>
      </c>
      <c r="D220" s="12">
        <v>5635666000</v>
      </c>
    </row>
    <row r="221" spans="1:4">
      <c r="A221" s="18">
        <v>45565.60833333333</v>
      </c>
      <c r="B221" s="12">
        <v>3263118300</v>
      </c>
      <c r="C221" s="18">
        <v>45573.60833333333</v>
      </c>
      <c r="D221" s="12">
        <v>5286749700</v>
      </c>
    </row>
    <row r="222" spans="1:4">
      <c r="A222" s="18">
        <v>45565.609027777777</v>
      </c>
      <c r="B222" s="12">
        <v>3342688400</v>
      </c>
      <c r="C222" s="18">
        <v>45573.609027777777</v>
      </c>
      <c r="D222" s="12">
        <v>5542099900</v>
      </c>
    </row>
    <row r="223" spans="1:4">
      <c r="A223" s="18">
        <v>45565.609722222223</v>
      </c>
      <c r="B223" s="12">
        <v>3277092300</v>
      </c>
      <c r="C223" s="18">
        <v>45573.609722222223</v>
      </c>
      <c r="D223" s="12">
        <v>5478168800</v>
      </c>
    </row>
    <row r="224" spans="1:4">
      <c r="A224" s="18">
        <v>45565.61041666667</v>
      </c>
      <c r="B224" s="12">
        <v>3132392800</v>
      </c>
      <c r="C224" s="18">
        <v>45573.61041666667</v>
      </c>
      <c r="D224" s="12">
        <v>5566390300</v>
      </c>
    </row>
    <row r="225" spans="1:4">
      <c r="A225" s="18">
        <v>45565.611111111109</v>
      </c>
      <c r="B225" s="12">
        <v>3393309500</v>
      </c>
      <c r="C225" s="18">
        <v>45573.611111111109</v>
      </c>
      <c r="D225" s="12">
        <v>6213832700</v>
      </c>
    </row>
    <row r="226" spans="1:4">
      <c r="A226" s="18">
        <v>45565.611805555556</v>
      </c>
      <c r="B226" s="12">
        <v>3254368500</v>
      </c>
      <c r="C226" s="18">
        <v>45573.611805555556</v>
      </c>
      <c r="D226" s="12">
        <v>5921703800</v>
      </c>
    </row>
    <row r="227" spans="1:4">
      <c r="A227" s="18">
        <v>45565.612500000003</v>
      </c>
      <c r="B227" s="12">
        <v>3294319200</v>
      </c>
      <c r="C227" s="18">
        <v>45573.612500000003</v>
      </c>
      <c r="D227" s="12">
        <v>5893609200</v>
      </c>
    </row>
    <row r="228" spans="1:4">
      <c r="A228" s="18">
        <v>45565.613194444442</v>
      </c>
      <c r="B228" s="12">
        <v>3507798800</v>
      </c>
      <c r="C228" s="18">
        <v>45573.613194444442</v>
      </c>
      <c r="D228" s="12">
        <v>5612483500</v>
      </c>
    </row>
    <row r="229" spans="1:4">
      <c r="A229" s="18">
        <v>45565.613888888889</v>
      </c>
      <c r="B229" s="12">
        <v>3757072700</v>
      </c>
      <c r="C229" s="18">
        <v>45573.613888888889</v>
      </c>
      <c r="D229" s="12">
        <v>5745854300</v>
      </c>
    </row>
    <row r="230" spans="1:4">
      <c r="A230" s="18">
        <v>45565.614583333336</v>
      </c>
      <c r="B230" s="12">
        <v>3801159800</v>
      </c>
      <c r="C230" s="18">
        <v>45573.614583333336</v>
      </c>
      <c r="D230" s="12">
        <v>5733406300</v>
      </c>
    </row>
    <row r="231" spans="1:4">
      <c r="A231" s="18">
        <v>45565.615277777775</v>
      </c>
      <c r="B231" s="12">
        <v>3821256200</v>
      </c>
      <c r="C231" s="18">
        <v>45573.615277777775</v>
      </c>
      <c r="D231" s="12">
        <v>6307573400</v>
      </c>
    </row>
    <row r="232" spans="1:4">
      <c r="A232" s="18">
        <v>45565.615972222222</v>
      </c>
      <c r="B232" s="12">
        <v>4000329800</v>
      </c>
      <c r="C232" s="18">
        <v>45573.615972222222</v>
      </c>
      <c r="D232" s="12">
        <v>6139888300</v>
      </c>
    </row>
    <row r="233" spans="1:4">
      <c r="A233" s="18">
        <v>45565.616666666669</v>
      </c>
      <c r="B233" s="12">
        <v>4136701400</v>
      </c>
      <c r="C233" s="18">
        <v>45573.616666666669</v>
      </c>
      <c r="D233" s="12">
        <v>6429459800</v>
      </c>
    </row>
    <row r="234" spans="1:4">
      <c r="A234" s="18">
        <v>45565.617361111108</v>
      </c>
      <c r="B234" s="12">
        <v>3918154900</v>
      </c>
      <c r="C234" s="18">
        <v>45573.617361111108</v>
      </c>
      <c r="D234" s="12">
        <v>6696245900</v>
      </c>
    </row>
    <row r="235" spans="1:4">
      <c r="A235" s="18">
        <v>45565.618055555555</v>
      </c>
      <c r="B235" s="12">
        <v>4265868300</v>
      </c>
      <c r="C235" s="18">
        <v>45573.618055555555</v>
      </c>
      <c r="D235" s="12">
        <v>7174249800</v>
      </c>
    </row>
    <row r="236" spans="1:4">
      <c r="A236" s="18">
        <v>45565.618750000001</v>
      </c>
      <c r="B236" s="12">
        <v>4525665100</v>
      </c>
      <c r="C236" s="18">
        <v>45573.618750000001</v>
      </c>
      <c r="D236" s="12">
        <v>7610734000</v>
      </c>
    </row>
    <row r="237" spans="1:4">
      <c r="A237" s="18">
        <v>45565.619444444441</v>
      </c>
      <c r="B237" s="12">
        <v>4700347400</v>
      </c>
      <c r="C237" s="18">
        <v>45573.619444444441</v>
      </c>
      <c r="D237" s="12">
        <v>7624143900</v>
      </c>
    </row>
    <row r="238" spans="1:4">
      <c r="A238" s="18">
        <v>45565.620138888888</v>
      </c>
      <c r="B238" s="12">
        <v>5113934400</v>
      </c>
      <c r="C238" s="18">
        <v>45573.620138888888</v>
      </c>
      <c r="D238" s="12">
        <v>8084571400</v>
      </c>
    </row>
    <row r="239" spans="1:4">
      <c r="A239" s="18">
        <v>45565.620833333334</v>
      </c>
      <c r="B239" s="12">
        <v>5669922000</v>
      </c>
      <c r="C239" s="18">
        <v>45573.620833333334</v>
      </c>
      <c r="D239" s="12">
        <v>8591347600</v>
      </c>
    </row>
    <row r="240" spans="1:4">
      <c r="A240" s="18">
        <v>45565.621527777781</v>
      </c>
      <c r="B240" s="12">
        <v>6137579500</v>
      </c>
      <c r="C240" s="18">
        <v>45573.621527777781</v>
      </c>
      <c r="D240" s="12">
        <v>8967680200</v>
      </c>
    </row>
    <row r="241" spans="1:4">
      <c r="A241" s="18">
        <v>45565.62222222222</v>
      </c>
      <c r="B241" s="12">
        <v>6836144400</v>
      </c>
      <c r="C241" s="18">
        <v>45573.62222222222</v>
      </c>
      <c r="D241" s="12">
        <v>9521537300</v>
      </c>
    </row>
    <row r="242" spans="1:4">
      <c r="A242" s="18">
        <v>45565.622916666667</v>
      </c>
      <c r="B242" s="12">
        <v>272105500</v>
      </c>
      <c r="C242" s="18">
        <v>45573.622916666667</v>
      </c>
      <c r="D242" s="12">
        <v>336632200</v>
      </c>
    </row>
    <row r="243" spans="1:4">
      <c r="A243" s="18">
        <v>45565.623611111114</v>
      </c>
      <c r="B243" s="12">
        <v>0</v>
      </c>
      <c r="C243" s="18">
        <v>45573.623611111114</v>
      </c>
      <c r="D243" s="12">
        <v>0</v>
      </c>
    </row>
    <row r="244" spans="1:4">
      <c r="A244" s="18">
        <v>45565.624305555553</v>
      </c>
      <c r="B244" s="12">
        <v>0</v>
      </c>
      <c r="C244" s="18">
        <v>45573.624305555553</v>
      </c>
      <c r="D244" s="12">
        <v>0</v>
      </c>
    </row>
    <row r="245" spans="1:4">
      <c r="A245" s="18">
        <v>45565.625</v>
      </c>
      <c r="B245" s="12">
        <v>10461038100</v>
      </c>
      <c r="C245" s="18">
        <v>45573.625</v>
      </c>
      <c r="D245" s="12">
        <v>13784897200</v>
      </c>
    </row>
    <row r="246" spans="1:4">
      <c r="A246" s="18"/>
      <c r="B246" s="12"/>
      <c r="C246" s="19"/>
      <c r="D246" s="20"/>
    </row>
    <row r="247" spans="1:4">
      <c r="A247" s="18"/>
      <c r="B247" s="12"/>
    </row>
    <row r="248" spans="1:4">
      <c r="A248" s="18"/>
      <c r="B248" s="12"/>
    </row>
    <row r="249" spans="1:4">
      <c r="A249" s="18"/>
      <c r="B249" s="12"/>
    </row>
    <row r="250" spans="1:4">
      <c r="A250" s="18"/>
      <c r="B250" s="12"/>
    </row>
    <row r="251" spans="1:4">
      <c r="A251" s="18"/>
      <c r="B251" s="12"/>
    </row>
    <row r="252" spans="1:4">
      <c r="A252" s="18"/>
      <c r="B252" s="12"/>
    </row>
    <row r="253" spans="1:4">
      <c r="A253" s="18"/>
      <c r="B253" s="12"/>
    </row>
    <row r="254" spans="1:4">
      <c r="A254" s="18"/>
      <c r="B254" s="12"/>
    </row>
    <row r="255" spans="1:4">
      <c r="A255" s="18"/>
      <c r="B255" s="12"/>
    </row>
    <row r="256" spans="1:4">
      <c r="A256" s="18"/>
      <c r="B256" s="12"/>
    </row>
    <row r="257" spans="1:2">
      <c r="A257" s="18"/>
      <c r="B257" s="12"/>
    </row>
    <row r="258" spans="1:2">
      <c r="A258" s="18"/>
      <c r="B258" s="12"/>
    </row>
    <row r="259" spans="1:2">
      <c r="A259" s="18"/>
      <c r="B259" s="12"/>
    </row>
    <row r="260" spans="1:2">
      <c r="A260" s="18"/>
      <c r="B260" s="12"/>
    </row>
    <row r="261" spans="1:2">
      <c r="A261" s="18"/>
      <c r="B261" s="12"/>
    </row>
    <row r="262" spans="1:2">
      <c r="A262" s="18"/>
      <c r="B262" s="12"/>
    </row>
    <row r="263" spans="1:2">
      <c r="A263" s="18"/>
      <c r="B263" s="12"/>
    </row>
    <row r="264" spans="1:2">
      <c r="A264" s="18"/>
      <c r="B264" s="12"/>
    </row>
    <row r="265" spans="1:2">
      <c r="A265" s="18"/>
      <c r="B265" s="12"/>
    </row>
    <row r="266" spans="1:2">
      <c r="A266" s="18"/>
      <c r="B266" s="12"/>
    </row>
    <row r="267" spans="1:2">
      <c r="A267" s="18"/>
      <c r="B267" s="12"/>
    </row>
    <row r="268" spans="1:2">
      <c r="A268" s="18"/>
      <c r="B268" s="12"/>
    </row>
    <row r="269" spans="1:2">
      <c r="A269" s="18"/>
      <c r="B269" s="12"/>
    </row>
    <row r="270" spans="1:2">
      <c r="A270" s="18"/>
      <c r="B270" s="12"/>
    </row>
    <row r="271" spans="1:2">
      <c r="A271" s="18"/>
      <c r="B271" s="12"/>
    </row>
    <row r="272" spans="1:2">
      <c r="A272" s="18"/>
      <c r="B272" s="12"/>
    </row>
    <row r="273" spans="1:2">
      <c r="A273" s="18"/>
      <c r="B273" s="12"/>
    </row>
    <row r="274" spans="1:2">
      <c r="A274" s="18"/>
      <c r="B274" s="12"/>
    </row>
    <row r="275" spans="1:2">
      <c r="A275" s="18"/>
      <c r="B275" s="12"/>
    </row>
    <row r="276" spans="1:2">
      <c r="A276" s="18"/>
      <c r="B276" s="12"/>
    </row>
    <row r="277" spans="1:2">
      <c r="A277" s="18"/>
      <c r="B277" s="12"/>
    </row>
    <row r="278" spans="1:2">
      <c r="A278" s="18"/>
      <c r="B278" s="12"/>
    </row>
    <row r="279" spans="1:2">
      <c r="A279" s="18"/>
      <c r="B279" s="12"/>
    </row>
    <row r="280" spans="1:2">
      <c r="A280" s="18"/>
      <c r="B280" s="12"/>
    </row>
    <row r="281" spans="1:2">
      <c r="A281" s="18"/>
      <c r="B281" s="12"/>
    </row>
    <row r="282" spans="1:2">
      <c r="A282" s="18"/>
      <c r="B282" s="12"/>
    </row>
    <row r="283" spans="1:2">
      <c r="A283" s="18"/>
      <c r="B283" s="12"/>
    </row>
    <row r="284" spans="1:2">
      <c r="A284" s="18"/>
      <c r="B284" s="12"/>
    </row>
    <row r="285" spans="1:2">
      <c r="A285" s="18"/>
      <c r="B285" s="12"/>
    </row>
    <row r="286" spans="1:2">
      <c r="A286" s="18"/>
      <c r="B286" s="12"/>
    </row>
    <row r="287" spans="1:2">
      <c r="A287" s="18"/>
      <c r="B287" s="12"/>
    </row>
    <row r="288" spans="1:2">
      <c r="A288" s="18"/>
      <c r="B288" s="12"/>
    </row>
    <row r="289" spans="1:2">
      <c r="A289" s="18"/>
      <c r="B289" s="12"/>
    </row>
    <row r="290" spans="1:2">
      <c r="A290" s="18"/>
      <c r="B290" s="12"/>
    </row>
    <row r="291" spans="1:2">
      <c r="A291" s="18"/>
      <c r="B291" s="12"/>
    </row>
    <row r="292" spans="1:2">
      <c r="A292" s="18"/>
      <c r="B292" s="12"/>
    </row>
    <row r="293" spans="1:2">
      <c r="A293" s="18"/>
      <c r="B293" s="12"/>
    </row>
    <row r="294" spans="1:2">
      <c r="A294" s="18"/>
      <c r="B294" s="12"/>
    </row>
    <row r="295" spans="1:2">
      <c r="A295" s="18"/>
      <c r="B295" s="12"/>
    </row>
    <row r="296" spans="1:2">
      <c r="A296" s="18"/>
      <c r="B296" s="12"/>
    </row>
    <row r="297" spans="1:2">
      <c r="A297" s="18"/>
      <c r="B297" s="12"/>
    </row>
    <row r="298" spans="1:2">
      <c r="A298" s="18"/>
      <c r="B298" s="12"/>
    </row>
    <row r="299" spans="1:2">
      <c r="A299" s="18"/>
      <c r="B299" s="12"/>
    </row>
    <row r="300" spans="1:2">
      <c r="A300" s="18"/>
      <c r="B300" s="12"/>
    </row>
    <row r="301" spans="1:2">
      <c r="A301" s="18"/>
      <c r="B301" s="12"/>
    </row>
    <row r="302" spans="1:2">
      <c r="A302" s="18"/>
      <c r="B302" s="12"/>
    </row>
    <row r="303" spans="1:2">
      <c r="A303" s="18"/>
      <c r="B303" s="12"/>
    </row>
    <row r="304" spans="1:2">
      <c r="A304" s="18"/>
      <c r="B304" s="12"/>
    </row>
    <row r="305" spans="1:2">
      <c r="A305" s="18"/>
      <c r="B305" s="12"/>
    </row>
    <row r="306" spans="1:2">
      <c r="A306" s="18"/>
      <c r="B306" s="12"/>
    </row>
    <row r="307" spans="1:2">
      <c r="A307" s="18"/>
      <c r="B307" s="12"/>
    </row>
    <row r="308" spans="1:2">
      <c r="A308" s="18"/>
      <c r="B308" s="12"/>
    </row>
    <row r="309" spans="1:2">
      <c r="A309" s="18"/>
      <c r="B309" s="12"/>
    </row>
    <row r="310" spans="1:2">
      <c r="A310" s="18"/>
      <c r="B310" s="12"/>
    </row>
    <row r="311" spans="1:2">
      <c r="A311" s="18"/>
      <c r="B311" s="12"/>
    </row>
    <row r="312" spans="1:2">
      <c r="A312" s="18"/>
      <c r="B312" s="12"/>
    </row>
    <row r="313" spans="1:2">
      <c r="A313" s="18"/>
      <c r="B313" s="12"/>
    </row>
    <row r="314" spans="1:2">
      <c r="A314" s="18"/>
      <c r="B314" s="12"/>
    </row>
    <row r="315" spans="1:2">
      <c r="A315" s="18"/>
      <c r="B315" s="12"/>
    </row>
    <row r="316" spans="1:2">
      <c r="A316" s="18"/>
      <c r="B316" s="12"/>
    </row>
    <row r="317" spans="1:2">
      <c r="A317" s="18"/>
      <c r="B317" s="12"/>
    </row>
    <row r="318" spans="1:2">
      <c r="A318" s="18"/>
      <c r="B318" s="12"/>
    </row>
    <row r="319" spans="1:2">
      <c r="A319" s="18"/>
      <c r="B319" s="12"/>
    </row>
    <row r="320" spans="1:2">
      <c r="A320" s="18"/>
      <c r="B320" s="12"/>
    </row>
    <row r="321" spans="1:2">
      <c r="A321" s="18"/>
      <c r="B321" s="12"/>
    </row>
    <row r="322" spans="1:2">
      <c r="A322" s="18"/>
      <c r="B322" s="12"/>
    </row>
    <row r="323" spans="1:2">
      <c r="A323" s="18"/>
      <c r="B323" s="12"/>
    </row>
    <row r="324" spans="1:2">
      <c r="A324" s="18"/>
      <c r="B324" s="12"/>
    </row>
    <row r="325" spans="1:2">
      <c r="A325" s="18"/>
      <c r="B325" s="12"/>
    </row>
    <row r="326" spans="1:2">
      <c r="A326" s="18"/>
      <c r="B326" s="12"/>
    </row>
    <row r="327" spans="1:2">
      <c r="A327" s="18"/>
      <c r="B327" s="12"/>
    </row>
    <row r="328" spans="1:2">
      <c r="A328" s="18"/>
      <c r="B328" s="12"/>
    </row>
    <row r="329" spans="1:2">
      <c r="A329" s="18"/>
      <c r="B329" s="12"/>
    </row>
    <row r="330" spans="1:2">
      <c r="A330" s="18"/>
      <c r="B330" s="12"/>
    </row>
    <row r="331" spans="1:2">
      <c r="A331" s="18"/>
      <c r="B331" s="12"/>
    </row>
    <row r="332" spans="1:2">
      <c r="A332" s="18"/>
      <c r="B332" s="12"/>
    </row>
    <row r="333" spans="1:2">
      <c r="A333" s="18"/>
      <c r="B333" s="12"/>
    </row>
    <row r="334" spans="1:2">
      <c r="A334" s="18"/>
      <c r="B334" s="12"/>
    </row>
    <row r="335" spans="1:2">
      <c r="A335" s="18"/>
      <c r="B335" s="12"/>
    </row>
    <row r="336" spans="1:2">
      <c r="A336" s="18"/>
      <c r="B336" s="12"/>
    </row>
    <row r="337" spans="1:2">
      <c r="A337" s="18"/>
      <c r="B337" s="12"/>
    </row>
    <row r="338" spans="1:2">
      <c r="A338" s="18"/>
      <c r="B338" s="12"/>
    </row>
    <row r="339" spans="1:2">
      <c r="A339" s="18"/>
      <c r="B339" s="12"/>
    </row>
    <row r="340" spans="1:2">
      <c r="A340" s="18"/>
      <c r="B340" s="12"/>
    </row>
    <row r="341" spans="1:2">
      <c r="A341" s="18"/>
      <c r="B341" s="12"/>
    </row>
    <row r="342" spans="1:2">
      <c r="A342" s="18"/>
      <c r="B342" s="12"/>
    </row>
    <row r="343" spans="1:2">
      <c r="A343" s="18"/>
      <c r="B343" s="12"/>
    </row>
    <row r="344" spans="1:2">
      <c r="A344" s="18"/>
      <c r="B344" s="12"/>
    </row>
    <row r="345" spans="1:2">
      <c r="A345" s="18"/>
      <c r="B345" s="12"/>
    </row>
    <row r="346" spans="1:2">
      <c r="A346" s="18"/>
      <c r="B346" s="12"/>
    </row>
    <row r="347" spans="1:2">
      <c r="A347" s="18"/>
      <c r="B347" s="12"/>
    </row>
    <row r="348" spans="1:2">
      <c r="A348" s="18"/>
      <c r="B348" s="12"/>
    </row>
    <row r="349" spans="1:2">
      <c r="A349" s="18"/>
      <c r="B349" s="12"/>
    </row>
    <row r="350" spans="1:2">
      <c r="A350" s="18"/>
      <c r="B350" s="12"/>
    </row>
    <row r="351" spans="1:2">
      <c r="A351" s="18"/>
      <c r="B351" s="12"/>
    </row>
    <row r="352" spans="1:2">
      <c r="A352" s="18"/>
      <c r="B352" s="12"/>
    </row>
    <row r="353" spans="1:2">
      <c r="A353" s="18"/>
      <c r="B353" s="12"/>
    </row>
    <row r="354" spans="1:2">
      <c r="A354" s="18"/>
      <c r="B354" s="12"/>
    </row>
    <row r="355" spans="1:2">
      <c r="A355" s="18"/>
      <c r="B355" s="12"/>
    </row>
    <row r="356" spans="1:2">
      <c r="A356" s="18"/>
      <c r="B356" s="12"/>
    </row>
    <row r="357" spans="1:2">
      <c r="A357" s="18"/>
      <c r="B357" s="12"/>
    </row>
    <row r="358" spans="1:2">
      <c r="A358" s="18"/>
      <c r="B358" s="12"/>
    </row>
    <row r="359" spans="1:2">
      <c r="A359" s="18"/>
      <c r="B359" s="12"/>
    </row>
    <row r="360" spans="1:2">
      <c r="A360" s="18"/>
      <c r="B360" s="12"/>
    </row>
    <row r="361" spans="1:2">
      <c r="A361" s="18"/>
      <c r="B361" s="12"/>
    </row>
    <row r="362" spans="1:2">
      <c r="A362" s="18"/>
      <c r="B362" s="12"/>
    </row>
    <row r="363" spans="1:2">
      <c r="A363" s="18"/>
      <c r="B363" s="12"/>
    </row>
    <row r="364" spans="1:2">
      <c r="A364" s="18"/>
      <c r="B364" s="12"/>
    </row>
    <row r="365" spans="1:2">
      <c r="A365" s="18"/>
      <c r="B365" s="12"/>
    </row>
    <row r="366" spans="1:2">
      <c r="A366" s="18"/>
      <c r="B366" s="12"/>
    </row>
    <row r="367" spans="1:2">
      <c r="A367" s="18"/>
      <c r="B367" s="12"/>
    </row>
    <row r="368" spans="1:2">
      <c r="A368" s="18"/>
      <c r="B368" s="12"/>
    </row>
    <row r="369" spans="1:2">
      <c r="A369" s="18"/>
      <c r="B369" s="12"/>
    </row>
    <row r="370" spans="1:2">
      <c r="A370" s="18"/>
      <c r="B370" s="12"/>
    </row>
    <row r="371" spans="1:2">
      <c r="A371" s="18"/>
      <c r="B371" s="12"/>
    </row>
    <row r="372" spans="1:2">
      <c r="A372" s="18"/>
      <c r="B372" s="12"/>
    </row>
    <row r="373" spans="1:2">
      <c r="A373" s="18"/>
      <c r="B373" s="12"/>
    </row>
    <row r="374" spans="1:2">
      <c r="A374" s="18"/>
      <c r="B374" s="12"/>
    </row>
    <row r="375" spans="1:2">
      <c r="A375" s="18"/>
      <c r="B375" s="12"/>
    </row>
    <row r="376" spans="1:2">
      <c r="A376" s="18"/>
      <c r="B376" s="12"/>
    </row>
    <row r="377" spans="1:2">
      <c r="A377" s="18"/>
      <c r="B377" s="12"/>
    </row>
    <row r="378" spans="1:2">
      <c r="A378" s="18"/>
      <c r="B378" s="12"/>
    </row>
    <row r="379" spans="1:2">
      <c r="A379" s="18"/>
      <c r="B379" s="12"/>
    </row>
    <row r="380" spans="1:2">
      <c r="A380" s="18"/>
      <c r="B380" s="12"/>
    </row>
    <row r="381" spans="1:2">
      <c r="A381" s="18"/>
      <c r="B381" s="12"/>
    </row>
    <row r="382" spans="1:2">
      <c r="A382" s="18"/>
      <c r="B382" s="12"/>
    </row>
    <row r="383" spans="1:2">
      <c r="A383" s="18"/>
      <c r="B383" s="12"/>
    </row>
    <row r="384" spans="1:2">
      <c r="A384" s="18"/>
      <c r="B384" s="12"/>
    </row>
    <row r="385" spans="1:2">
      <c r="A385" s="18"/>
      <c r="B385" s="12"/>
    </row>
    <row r="386" spans="1:2">
      <c r="A386" s="18"/>
      <c r="B386" s="12"/>
    </row>
    <row r="387" spans="1:2">
      <c r="A387" s="18"/>
      <c r="B387" s="12"/>
    </row>
    <row r="388" spans="1:2">
      <c r="A388" s="18"/>
      <c r="B388" s="12"/>
    </row>
    <row r="389" spans="1:2">
      <c r="A389" s="18"/>
      <c r="B389" s="12"/>
    </row>
    <row r="390" spans="1:2">
      <c r="A390" s="18"/>
      <c r="B390" s="12"/>
    </row>
    <row r="391" spans="1:2">
      <c r="A391" s="18"/>
      <c r="B391" s="12"/>
    </row>
    <row r="392" spans="1:2">
      <c r="A392" s="18"/>
      <c r="B392" s="12"/>
    </row>
    <row r="393" spans="1:2">
      <c r="A393" s="18"/>
      <c r="B393" s="12"/>
    </row>
    <row r="394" spans="1:2">
      <c r="A394" s="18"/>
      <c r="B394" s="12"/>
    </row>
    <row r="395" spans="1:2">
      <c r="A395" s="18"/>
      <c r="B395" s="12"/>
    </row>
    <row r="396" spans="1:2">
      <c r="A396" s="18"/>
      <c r="B396" s="12"/>
    </row>
    <row r="397" spans="1:2">
      <c r="A397" s="18"/>
      <c r="B397" s="12"/>
    </row>
    <row r="398" spans="1:2">
      <c r="A398" s="18"/>
      <c r="B398" s="12"/>
    </row>
    <row r="399" spans="1:2">
      <c r="A399" s="18"/>
      <c r="B399" s="12"/>
    </row>
    <row r="400" spans="1:2">
      <c r="A400" s="18"/>
      <c r="B400" s="12"/>
    </row>
    <row r="401" spans="1:2">
      <c r="A401" s="18"/>
      <c r="B401" s="12"/>
    </row>
    <row r="402" spans="1:2">
      <c r="A402" s="18"/>
      <c r="B402" s="12"/>
    </row>
    <row r="403" spans="1:2">
      <c r="A403" s="18"/>
      <c r="B403" s="12"/>
    </row>
    <row r="404" spans="1:2">
      <c r="A404" s="18"/>
      <c r="B404" s="12"/>
    </row>
    <row r="405" spans="1:2">
      <c r="A405" s="18"/>
      <c r="B405" s="12"/>
    </row>
    <row r="406" spans="1:2">
      <c r="A406" s="18"/>
      <c r="B406" s="12"/>
    </row>
    <row r="407" spans="1:2">
      <c r="A407" s="18"/>
      <c r="B407" s="12"/>
    </row>
    <row r="408" spans="1:2">
      <c r="A408" s="18"/>
      <c r="B408" s="12"/>
    </row>
    <row r="409" spans="1:2">
      <c r="A409" s="18"/>
      <c r="B409" s="12"/>
    </row>
    <row r="410" spans="1:2">
      <c r="A410" s="18"/>
      <c r="B410" s="12"/>
    </row>
    <row r="411" spans="1:2">
      <c r="A411" s="18"/>
      <c r="B411" s="12"/>
    </row>
    <row r="412" spans="1:2">
      <c r="A412" s="18"/>
      <c r="B412" s="12"/>
    </row>
    <row r="413" spans="1:2">
      <c r="A413" s="18"/>
      <c r="B413" s="12"/>
    </row>
    <row r="414" spans="1:2">
      <c r="A414" s="18"/>
      <c r="B414" s="12"/>
    </row>
    <row r="415" spans="1:2">
      <c r="A415" s="18"/>
      <c r="B415" s="12"/>
    </row>
    <row r="416" spans="1:2">
      <c r="A416" s="18"/>
      <c r="B416" s="12"/>
    </row>
    <row r="417" spans="1:2">
      <c r="A417" s="18"/>
      <c r="B417" s="12"/>
    </row>
    <row r="418" spans="1:2">
      <c r="A418" s="18"/>
      <c r="B418" s="12"/>
    </row>
    <row r="419" spans="1:2">
      <c r="A419" s="18"/>
      <c r="B419" s="12"/>
    </row>
    <row r="420" spans="1:2">
      <c r="A420" s="18"/>
      <c r="B420" s="12"/>
    </row>
    <row r="421" spans="1:2">
      <c r="A421" s="18"/>
      <c r="B421" s="12"/>
    </row>
    <row r="422" spans="1:2">
      <c r="A422" s="18"/>
      <c r="B422" s="12"/>
    </row>
    <row r="423" spans="1:2">
      <c r="A423" s="18"/>
      <c r="B423" s="12"/>
    </row>
    <row r="424" spans="1:2">
      <c r="A424" s="18"/>
      <c r="B424" s="12"/>
    </row>
    <row r="425" spans="1:2">
      <c r="A425" s="18"/>
      <c r="B425" s="12"/>
    </row>
    <row r="426" spans="1:2">
      <c r="A426" s="18"/>
      <c r="B426" s="12"/>
    </row>
    <row r="427" spans="1:2">
      <c r="A427" s="18"/>
      <c r="B427" s="12"/>
    </row>
    <row r="428" spans="1:2">
      <c r="A428" s="18"/>
      <c r="B428" s="12"/>
    </row>
    <row r="429" spans="1:2">
      <c r="A429" s="18"/>
      <c r="B429" s="12"/>
    </row>
    <row r="430" spans="1:2">
      <c r="A430" s="18"/>
      <c r="B430" s="12"/>
    </row>
    <row r="431" spans="1:2">
      <c r="A431" s="18"/>
      <c r="B431" s="12"/>
    </row>
    <row r="432" spans="1:2">
      <c r="A432" s="18"/>
      <c r="B432" s="12"/>
    </row>
    <row r="433" spans="1:2">
      <c r="A433" s="18"/>
      <c r="B433" s="12"/>
    </row>
    <row r="434" spans="1:2">
      <c r="A434" s="18"/>
      <c r="B434" s="12"/>
    </row>
    <row r="435" spans="1:2">
      <c r="A435" s="18"/>
      <c r="B435" s="12"/>
    </row>
    <row r="436" spans="1:2">
      <c r="A436" s="18"/>
      <c r="B436" s="12"/>
    </row>
    <row r="437" spans="1:2">
      <c r="A437" s="18"/>
      <c r="B437" s="12"/>
    </row>
    <row r="438" spans="1:2">
      <c r="A438" s="18"/>
      <c r="B438" s="12"/>
    </row>
    <row r="439" spans="1:2">
      <c r="A439" s="18"/>
      <c r="B439" s="12"/>
    </row>
    <row r="440" spans="1:2">
      <c r="A440" s="18"/>
      <c r="B440" s="12"/>
    </row>
    <row r="441" spans="1:2">
      <c r="A441" s="18"/>
      <c r="B441" s="12"/>
    </row>
    <row r="442" spans="1:2">
      <c r="A442" s="18"/>
      <c r="B442" s="12"/>
    </row>
    <row r="443" spans="1:2">
      <c r="A443" s="18"/>
      <c r="B443" s="12"/>
    </row>
    <row r="444" spans="1:2">
      <c r="A444" s="18"/>
      <c r="B444" s="12"/>
    </row>
    <row r="445" spans="1:2">
      <c r="A445" s="18"/>
      <c r="B445" s="12"/>
    </row>
    <row r="446" spans="1:2">
      <c r="A446" s="18"/>
      <c r="B446" s="12"/>
    </row>
    <row r="447" spans="1:2">
      <c r="A447" s="18"/>
      <c r="B447" s="12"/>
    </row>
    <row r="448" spans="1:2">
      <c r="A448" s="18"/>
      <c r="B448" s="12"/>
    </row>
    <row r="449" spans="1:2">
      <c r="A449" s="18"/>
      <c r="B449" s="12"/>
    </row>
    <row r="450" spans="1:2">
      <c r="A450" s="18"/>
      <c r="B450" s="12"/>
    </row>
    <row r="451" spans="1:2">
      <c r="A451" s="18"/>
      <c r="B451" s="12"/>
    </row>
    <row r="452" spans="1:2">
      <c r="A452" s="18"/>
      <c r="B452" s="12"/>
    </row>
    <row r="453" spans="1:2">
      <c r="A453" s="18"/>
      <c r="B453" s="12"/>
    </row>
    <row r="454" spans="1:2">
      <c r="A454" s="18"/>
      <c r="B454" s="12"/>
    </row>
    <row r="455" spans="1:2">
      <c r="A455" s="18"/>
      <c r="B455" s="12"/>
    </row>
    <row r="456" spans="1:2">
      <c r="A456" s="18"/>
      <c r="B456" s="12"/>
    </row>
    <row r="457" spans="1:2">
      <c r="A457" s="18"/>
      <c r="B457" s="12"/>
    </row>
    <row r="458" spans="1:2">
      <c r="A458" s="18"/>
      <c r="B458" s="12"/>
    </row>
    <row r="459" spans="1:2">
      <c r="A459" s="18"/>
      <c r="B459" s="12"/>
    </row>
    <row r="460" spans="1:2">
      <c r="A460" s="18"/>
      <c r="B460" s="12"/>
    </row>
    <row r="461" spans="1:2">
      <c r="A461" s="18"/>
      <c r="B461" s="12"/>
    </row>
    <row r="462" spans="1:2">
      <c r="A462" s="18"/>
      <c r="B462" s="12"/>
    </row>
    <row r="463" spans="1:2">
      <c r="A463" s="18"/>
      <c r="B463" s="12"/>
    </row>
    <row r="464" spans="1:2">
      <c r="A464" s="18"/>
      <c r="B464" s="12"/>
    </row>
    <row r="465" spans="1:2">
      <c r="A465" s="18"/>
      <c r="B465" s="12"/>
    </row>
    <row r="466" spans="1:2">
      <c r="A466" s="18"/>
      <c r="B466" s="12"/>
    </row>
    <row r="467" spans="1:2">
      <c r="A467" s="18"/>
      <c r="B467" s="12"/>
    </row>
    <row r="468" spans="1:2">
      <c r="A468" s="18"/>
      <c r="B468" s="12"/>
    </row>
    <row r="469" spans="1:2">
      <c r="A469" s="18"/>
      <c r="B469" s="12"/>
    </row>
    <row r="470" spans="1:2">
      <c r="A470" s="18"/>
      <c r="B470" s="12"/>
    </row>
    <row r="471" spans="1:2">
      <c r="A471" s="18"/>
      <c r="B471" s="12"/>
    </row>
    <row r="472" spans="1:2">
      <c r="A472" s="18"/>
      <c r="B472" s="12"/>
    </row>
    <row r="473" spans="1:2">
      <c r="A473" s="18"/>
      <c r="B473" s="12"/>
    </row>
    <row r="474" spans="1:2">
      <c r="A474" s="18"/>
      <c r="B474" s="12"/>
    </row>
    <row r="475" spans="1:2">
      <c r="A475" s="18"/>
      <c r="B475" s="12"/>
    </row>
    <row r="476" spans="1:2">
      <c r="A476" s="18"/>
      <c r="B476" s="12"/>
    </row>
    <row r="477" spans="1:2">
      <c r="A477" s="18"/>
      <c r="B477" s="12"/>
    </row>
    <row r="478" spans="1:2">
      <c r="A478" s="18"/>
      <c r="B478" s="12"/>
    </row>
    <row r="479" spans="1:2">
      <c r="A479" s="18"/>
      <c r="B479" s="12"/>
    </row>
    <row r="480" spans="1:2">
      <c r="A480" s="18"/>
      <c r="B480" s="12"/>
    </row>
    <row r="481" spans="1:2">
      <c r="A481" s="18"/>
      <c r="B481" s="12"/>
    </row>
    <row r="482" spans="1:2">
      <c r="A482" s="18"/>
      <c r="B482" s="12"/>
    </row>
    <row r="483" spans="1:2">
      <c r="A483" s="18"/>
      <c r="B483" s="12"/>
    </row>
    <row r="484" spans="1:2">
      <c r="A484" s="18"/>
      <c r="B484" s="12"/>
    </row>
    <row r="485" spans="1:2">
      <c r="A485" s="18"/>
      <c r="B485" s="12"/>
    </row>
    <row r="486" spans="1:2">
      <c r="A486" s="18"/>
      <c r="B486" s="12"/>
    </row>
    <row r="487" spans="1:2">
      <c r="A487" s="18"/>
      <c r="B487" s="12"/>
    </row>
    <row r="488" spans="1:2">
      <c r="A488" s="19"/>
      <c r="B488" s="20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沪深两市成交分析</vt:lpstr>
      <vt:lpstr>沪深两市实时成交明细</vt:lpstr>
      <vt:lpstr>沪深两市历史成交</vt:lpstr>
      <vt:lpstr>沪深两市成交汇总</vt:lpstr>
      <vt:lpstr>沪市成交情况</vt:lpstr>
      <vt:lpstr>深市成交情况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2024-10-08T10:06:07Z</dcterms:modified>
</cp:coreProperties>
</file>