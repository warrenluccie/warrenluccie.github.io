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Excel插件模板库项目\模板详情\20240826 业绩预计披露日期\"/>
    </mc:Choice>
  </mc:AlternateContent>
  <bookViews>
    <workbookView xWindow="0" yWindow="0" windowWidth="28800" windowHeight="12165"/>
  </bookViews>
  <sheets>
    <sheet name="业绩披露日期" sheetId="3" r:id="rId1"/>
    <sheet name="证券列表 " sheetId="2" state="hidden" r:id="rId2"/>
    <sheet name="Wind模板" sheetId="4" state="veryHidden" r:id="rId3"/>
    <sheet name="内容筛选" sheetId="1" state="hidden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G501" i="1"/>
  <c r="L501" i="1"/>
  <c r="B501" i="1" s="1"/>
  <c r="M501" i="1"/>
  <c r="C501" i="1" s="1"/>
  <c r="N501" i="1"/>
  <c r="D501" i="1" s="1"/>
  <c r="O501" i="1"/>
  <c r="E501" i="1" s="1"/>
  <c r="P501" i="1"/>
  <c r="F501" i="1" s="1"/>
  <c r="G502" i="1"/>
  <c r="L502" i="1"/>
  <c r="B502" i="1" s="1"/>
  <c r="M502" i="1"/>
  <c r="C502" i="1" s="1"/>
  <c r="N502" i="1"/>
  <c r="D502" i="1" s="1"/>
  <c r="O502" i="1"/>
  <c r="E502" i="1" s="1"/>
  <c r="P502" i="1"/>
  <c r="F502" i="1" s="1"/>
  <c r="G503" i="1"/>
  <c r="L503" i="1"/>
  <c r="B503" i="1" s="1"/>
  <c r="M503" i="1"/>
  <c r="C503" i="1" s="1"/>
  <c r="N503" i="1"/>
  <c r="D503" i="1" s="1"/>
  <c r="O503" i="1"/>
  <c r="E503" i="1" s="1"/>
  <c r="P503" i="1"/>
  <c r="F503" i="1" s="1"/>
  <c r="D504" i="1"/>
  <c r="E504" i="1"/>
  <c r="G504" i="1"/>
  <c r="L504" i="1"/>
  <c r="B504" i="1" s="1"/>
  <c r="M504" i="1"/>
  <c r="C504" i="1" s="1"/>
  <c r="N504" i="1"/>
  <c r="O504" i="1"/>
  <c r="P504" i="1"/>
  <c r="F504" i="1" s="1"/>
  <c r="D505" i="1"/>
  <c r="G505" i="1"/>
  <c r="L505" i="1"/>
  <c r="B505" i="1" s="1"/>
  <c r="M505" i="1"/>
  <c r="C505" i="1" s="1"/>
  <c r="N505" i="1"/>
  <c r="O505" i="1"/>
  <c r="E505" i="1" s="1"/>
  <c r="P505" i="1"/>
  <c r="F505" i="1" s="1"/>
  <c r="E506" i="1"/>
  <c r="G506" i="1"/>
  <c r="L506" i="1"/>
  <c r="B506" i="1" s="1"/>
  <c r="M506" i="1"/>
  <c r="C506" i="1" s="1"/>
  <c r="N506" i="1"/>
  <c r="D506" i="1" s="1"/>
  <c r="O506" i="1"/>
  <c r="P506" i="1"/>
  <c r="F506" i="1" s="1"/>
  <c r="B507" i="1"/>
  <c r="F507" i="1"/>
  <c r="G507" i="1"/>
  <c r="L507" i="1"/>
  <c r="M507" i="1"/>
  <c r="C507" i="1" s="1"/>
  <c r="N507" i="1"/>
  <c r="D507" i="1" s="1"/>
  <c r="O507" i="1"/>
  <c r="E507" i="1" s="1"/>
  <c r="P507" i="1"/>
  <c r="C508" i="1"/>
  <c r="G508" i="1"/>
  <c r="L508" i="1"/>
  <c r="B508" i="1" s="1"/>
  <c r="M508" i="1"/>
  <c r="N508" i="1"/>
  <c r="D508" i="1" s="1"/>
  <c r="O508" i="1"/>
  <c r="E508" i="1" s="1"/>
  <c r="P508" i="1"/>
  <c r="F508" i="1" s="1"/>
  <c r="B509" i="1"/>
  <c r="C509" i="1"/>
  <c r="D509" i="1"/>
  <c r="G509" i="1"/>
  <c r="L509" i="1"/>
  <c r="M509" i="1"/>
  <c r="N509" i="1"/>
  <c r="O509" i="1"/>
  <c r="E509" i="1" s="1"/>
  <c r="P509" i="1"/>
  <c r="F509" i="1" s="1"/>
  <c r="G510" i="1"/>
  <c r="L510" i="1"/>
  <c r="B510" i="1" s="1"/>
  <c r="M510" i="1"/>
  <c r="C510" i="1" s="1"/>
  <c r="N510" i="1"/>
  <c r="D510" i="1" s="1"/>
  <c r="O510" i="1"/>
  <c r="E510" i="1" s="1"/>
  <c r="P510" i="1"/>
  <c r="F510" i="1" s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P4" i="1" l="1"/>
  <c r="P5" i="1"/>
  <c r="P6" i="1"/>
  <c r="F6" i="1" s="1"/>
  <c r="P7" i="1"/>
  <c r="P8" i="1"/>
  <c r="F8" i="1" s="1"/>
  <c r="P9" i="1"/>
  <c r="P10" i="1"/>
  <c r="F10" i="1" s="1"/>
  <c r="P11" i="1"/>
  <c r="P12" i="1"/>
  <c r="P13" i="1"/>
  <c r="P14" i="1"/>
  <c r="P15" i="1"/>
  <c r="P16" i="1"/>
  <c r="P17" i="1"/>
  <c r="P18" i="1"/>
  <c r="P19" i="1"/>
  <c r="F19" i="1" s="1"/>
  <c r="P20" i="1"/>
  <c r="F20" i="1" s="1"/>
  <c r="P21" i="1"/>
  <c r="P22" i="1"/>
  <c r="F22" i="1" s="1"/>
  <c r="P23" i="1"/>
  <c r="F23" i="1" s="1"/>
  <c r="P24" i="1"/>
  <c r="P25" i="1"/>
  <c r="P26" i="1"/>
  <c r="F26" i="1" s="1"/>
  <c r="P27" i="1"/>
  <c r="F27" i="1" s="1"/>
  <c r="P28" i="1"/>
  <c r="P29" i="1"/>
  <c r="F29" i="1" s="1"/>
  <c r="P30" i="1"/>
  <c r="P31" i="1"/>
  <c r="P32" i="1"/>
  <c r="F32" i="1" s="1"/>
  <c r="P33" i="1"/>
  <c r="F33" i="1" s="1"/>
  <c r="P34" i="1"/>
  <c r="P35" i="1"/>
  <c r="F35" i="1" s="1"/>
  <c r="P36" i="1"/>
  <c r="P37" i="1"/>
  <c r="F37" i="1" s="1"/>
  <c r="P38" i="1"/>
  <c r="F38" i="1" s="1"/>
  <c r="P39" i="1"/>
  <c r="F39" i="1" s="1"/>
  <c r="P40" i="1"/>
  <c r="P41" i="1"/>
  <c r="F41" i="1" s="1"/>
  <c r="P42" i="1"/>
  <c r="F42" i="1" s="1"/>
  <c r="P43" i="1"/>
  <c r="F43" i="1" s="1"/>
  <c r="P44" i="1"/>
  <c r="F44" i="1" s="1"/>
  <c r="P45" i="1"/>
  <c r="F45" i="1" s="1"/>
  <c r="P46" i="1"/>
  <c r="P47" i="1"/>
  <c r="P48" i="1"/>
  <c r="F48" i="1" s="1"/>
  <c r="P49" i="1"/>
  <c r="F49" i="1" s="1"/>
  <c r="P50" i="1"/>
  <c r="F50" i="1" s="1"/>
  <c r="P51" i="1"/>
  <c r="F51" i="1" s="1"/>
  <c r="P52" i="1"/>
  <c r="F52" i="1" s="1"/>
  <c r="P53" i="1"/>
  <c r="F53" i="1" s="1"/>
  <c r="P54" i="1"/>
  <c r="F54" i="1" s="1"/>
  <c r="P55" i="1"/>
  <c r="F55" i="1" s="1"/>
  <c r="P56" i="1"/>
  <c r="F56" i="1" s="1"/>
  <c r="P57" i="1"/>
  <c r="P58" i="1"/>
  <c r="P59" i="1"/>
  <c r="P60" i="1"/>
  <c r="F60" i="1" s="1"/>
  <c r="P61" i="1"/>
  <c r="F61" i="1" s="1"/>
  <c r="P62" i="1"/>
  <c r="P63" i="1"/>
  <c r="P64" i="1"/>
  <c r="P65" i="1"/>
  <c r="P66" i="1"/>
  <c r="P67" i="1"/>
  <c r="P68" i="1"/>
  <c r="F68" i="1" s="1"/>
  <c r="P69" i="1"/>
  <c r="F69" i="1" s="1"/>
  <c r="P70" i="1"/>
  <c r="P71" i="1"/>
  <c r="P72" i="1"/>
  <c r="F72" i="1" s="1"/>
  <c r="P73" i="1"/>
  <c r="P74" i="1"/>
  <c r="F74" i="1" s="1"/>
  <c r="P75" i="1"/>
  <c r="P76" i="1"/>
  <c r="F76" i="1" s="1"/>
  <c r="P77" i="1"/>
  <c r="F77" i="1" s="1"/>
  <c r="P78" i="1"/>
  <c r="P79" i="1"/>
  <c r="F79" i="1" s="1"/>
  <c r="P80" i="1"/>
  <c r="F80" i="1" s="1"/>
  <c r="P81" i="1"/>
  <c r="F81" i="1" s="1"/>
  <c r="P82" i="1"/>
  <c r="F82" i="1" s="1"/>
  <c r="P83" i="1"/>
  <c r="F83" i="1" s="1"/>
  <c r="P84" i="1"/>
  <c r="P85" i="1"/>
  <c r="F85" i="1" s="1"/>
  <c r="P86" i="1"/>
  <c r="P87" i="1"/>
  <c r="F87" i="1" s="1"/>
  <c r="P88" i="1"/>
  <c r="F88" i="1" s="1"/>
  <c r="P89" i="1"/>
  <c r="P90" i="1"/>
  <c r="P91" i="1"/>
  <c r="P92" i="1"/>
  <c r="P93" i="1"/>
  <c r="P94" i="1"/>
  <c r="P95" i="1"/>
  <c r="F95" i="1" s="1"/>
  <c r="P96" i="1"/>
  <c r="P97" i="1"/>
  <c r="F97" i="1" s="1"/>
  <c r="P98" i="1"/>
  <c r="F98" i="1" s="1"/>
  <c r="P99" i="1"/>
  <c r="P100" i="1"/>
  <c r="P101" i="1"/>
  <c r="F101" i="1" s="1"/>
  <c r="P102" i="1"/>
  <c r="P103" i="1"/>
  <c r="P104" i="1"/>
  <c r="F104" i="1" s="1"/>
  <c r="P105" i="1"/>
  <c r="F105" i="1" s="1"/>
  <c r="P106" i="1"/>
  <c r="P107" i="1"/>
  <c r="P108" i="1"/>
  <c r="F108" i="1" s="1"/>
  <c r="P109" i="1"/>
  <c r="F109" i="1" s="1"/>
  <c r="P110" i="1"/>
  <c r="F110" i="1" s="1"/>
  <c r="P111" i="1"/>
  <c r="P112" i="1"/>
  <c r="P113" i="1"/>
  <c r="F113" i="1" s="1"/>
  <c r="P114" i="1"/>
  <c r="F114" i="1" s="1"/>
  <c r="P115" i="1"/>
  <c r="F115" i="1" s="1"/>
  <c r="P116" i="1"/>
  <c r="F116" i="1" s="1"/>
  <c r="P117" i="1"/>
  <c r="F117" i="1" s="1"/>
  <c r="P118" i="1"/>
  <c r="P119" i="1"/>
  <c r="F119" i="1" s="1"/>
  <c r="P120" i="1"/>
  <c r="F120" i="1" s="1"/>
  <c r="P121" i="1"/>
  <c r="P122" i="1"/>
  <c r="F122" i="1" s="1"/>
  <c r="P123" i="1"/>
  <c r="F123" i="1" s="1"/>
  <c r="P124" i="1"/>
  <c r="F124" i="1" s="1"/>
  <c r="P125" i="1"/>
  <c r="P126" i="1"/>
  <c r="P127" i="1"/>
  <c r="P128" i="1"/>
  <c r="F128" i="1" s="1"/>
  <c r="P129" i="1"/>
  <c r="P130" i="1"/>
  <c r="P131" i="1"/>
  <c r="P132" i="1"/>
  <c r="F132" i="1" s="1"/>
  <c r="P133" i="1"/>
  <c r="F133" i="1" s="1"/>
  <c r="P134" i="1"/>
  <c r="F134" i="1" s="1"/>
  <c r="P135" i="1"/>
  <c r="P136" i="1"/>
  <c r="P137" i="1"/>
  <c r="P138" i="1"/>
  <c r="P139" i="1"/>
  <c r="F139" i="1" s="1"/>
  <c r="P140" i="1"/>
  <c r="F140" i="1" s="1"/>
  <c r="P141" i="1"/>
  <c r="P142" i="1"/>
  <c r="F142" i="1" s="1"/>
  <c r="P143" i="1"/>
  <c r="F143" i="1" s="1"/>
  <c r="P144" i="1"/>
  <c r="F144" i="1" s="1"/>
  <c r="P145" i="1"/>
  <c r="P146" i="1"/>
  <c r="P147" i="1"/>
  <c r="F147" i="1" s="1"/>
  <c r="P148" i="1"/>
  <c r="P149" i="1"/>
  <c r="F149" i="1" s="1"/>
  <c r="P150" i="1"/>
  <c r="P151" i="1"/>
  <c r="F151" i="1" s="1"/>
  <c r="P152" i="1"/>
  <c r="F152" i="1" s="1"/>
  <c r="P153" i="1"/>
  <c r="F153" i="1" s="1"/>
  <c r="P154" i="1"/>
  <c r="P155" i="1"/>
  <c r="F155" i="1" s="1"/>
  <c r="P156" i="1"/>
  <c r="P157" i="1"/>
  <c r="F157" i="1" s="1"/>
  <c r="P158" i="1"/>
  <c r="P159" i="1"/>
  <c r="F159" i="1" s="1"/>
  <c r="P160" i="1"/>
  <c r="F160" i="1" s="1"/>
  <c r="P161" i="1"/>
  <c r="P162" i="1"/>
  <c r="P163" i="1"/>
  <c r="P164" i="1"/>
  <c r="F164" i="1" s="1"/>
  <c r="P165" i="1"/>
  <c r="P166" i="1"/>
  <c r="P167" i="1"/>
  <c r="P168" i="1"/>
  <c r="F168" i="1" s="1"/>
  <c r="P169" i="1"/>
  <c r="F169" i="1" s="1"/>
  <c r="P170" i="1"/>
  <c r="F170" i="1" s="1"/>
  <c r="P171" i="1"/>
  <c r="P172" i="1"/>
  <c r="P173" i="1"/>
  <c r="P174" i="1"/>
  <c r="F174" i="1" s="1"/>
  <c r="P175" i="1"/>
  <c r="P176" i="1"/>
  <c r="F176" i="1" s="1"/>
  <c r="P177" i="1"/>
  <c r="P178" i="1"/>
  <c r="F178" i="1" s="1"/>
  <c r="P179" i="1"/>
  <c r="P180" i="1"/>
  <c r="F180" i="1" s="1"/>
  <c r="P181" i="1"/>
  <c r="P182" i="1"/>
  <c r="P183" i="1"/>
  <c r="F183" i="1" s="1"/>
  <c r="P184" i="1"/>
  <c r="F184" i="1" s="1"/>
  <c r="P185" i="1"/>
  <c r="F185" i="1" s="1"/>
  <c r="P186" i="1"/>
  <c r="F186" i="1" s="1"/>
  <c r="P187" i="1"/>
  <c r="P188" i="1"/>
  <c r="F188" i="1" s="1"/>
  <c r="P189" i="1"/>
  <c r="P190" i="1"/>
  <c r="P191" i="1"/>
  <c r="P192" i="1"/>
  <c r="P193" i="1"/>
  <c r="P194" i="1"/>
  <c r="P195" i="1"/>
  <c r="F195" i="1" s="1"/>
  <c r="P196" i="1"/>
  <c r="F196" i="1" s="1"/>
  <c r="P197" i="1"/>
  <c r="P198" i="1"/>
  <c r="P199" i="1"/>
  <c r="F199" i="1" s="1"/>
  <c r="P200" i="1"/>
  <c r="F200" i="1" s="1"/>
  <c r="P201" i="1"/>
  <c r="P202" i="1"/>
  <c r="F202" i="1" s="1"/>
  <c r="P203" i="1"/>
  <c r="P204" i="1"/>
  <c r="P205" i="1"/>
  <c r="P206" i="1"/>
  <c r="P207" i="1"/>
  <c r="P208" i="1"/>
  <c r="P209" i="1"/>
  <c r="F209" i="1" s="1"/>
  <c r="P210" i="1"/>
  <c r="P211" i="1"/>
  <c r="P212" i="1"/>
  <c r="F212" i="1" s="1"/>
  <c r="P213" i="1"/>
  <c r="P214" i="1"/>
  <c r="P215" i="1"/>
  <c r="F215" i="1" s="1"/>
  <c r="P216" i="1"/>
  <c r="F216" i="1" s="1"/>
  <c r="P217" i="1"/>
  <c r="F217" i="1" s="1"/>
  <c r="P218" i="1"/>
  <c r="F218" i="1" s="1"/>
  <c r="P219" i="1"/>
  <c r="P220" i="1"/>
  <c r="P221" i="1"/>
  <c r="F221" i="1" s="1"/>
  <c r="P222" i="1"/>
  <c r="F222" i="1" s="1"/>
  <c r="P223" i="1"/>
  <c r="P224" i="1"/>
  <c r="F224" i="1" s="1"/>
  <c r="P225" i="1"/>
  <c r="P226" i="1"/>
  <c r="F226" i="1" s="1"/>
  <c r="P227" i="1"/>
  <c r="F227" i="1" s="1"/>
  <c r="P228" i="1"/>
  <c r="P229" i="1"/>
  <c r="P230" i="1"/>
  <c r="F230" i="1" s="1"/>
  <c r="P231" i="1"/>
  <c r="P232" i="1"/>
  <c r="P233" i="1"/>
  <c r="P234" i="1"/>
  <c r="F234" i="1" s="1"/>
  <c r="P235" i="1"/>
  <c r="F235" i="1" s="1"/>
  <c r="P236" i="1"/>
  <c r="P237" i="1"/>
  <c r="P238" i="1"/>
  <c r="F238" i="1" s="1"/>
  <c r="P239" i="1"/>
  <c r="P240" i="1"/>
  <c r="P241" i="1"/>
  <c r="P242" i="1"/>
  <c r="F242" i="1" s="1"/>
  <c r="P243" i="1"/>
  <c r="P244" i="1"/>
  <c r="P245" i="1"/>
  <c r="P246" i="1"/>
  <c r="F246" i="1" s="1"/>
  <c r="P247" i="1"/>
  <c r="P248" i="1"/>
  <c r="F248" i="1" s="1"/>
  <c r="P249" i="1"/>
  <c r="P250" i="1"/>
  <c r="P251" i="1"/>
  <c r="P252" i="1"/>
  <c r="P253" i="1"/>
  <c r="F253" i="1" s="1"/>
  <c r="P254" i="1"/>
  <c r="F254" i="1" s="1"/>
  <c r="P255" i="1"/>
  <c r="P256" i="1"/>
  <c r="P257" i="1"/>
  <c r="P258" i="1"/>
  <c r="P259" i="1"/>
  <c r="F259" i="1" s="1"/>
  <c r="P260" i="1"/>
  <c r="F260" i="1" s="1"/>
  <c r="P261" i="1"/>
  <c r="P262" i="1"/>
  <c r="F262" i="1" s="1"/>
  <c r="P263" i="1"/>
  <c r="P264" i="1"/>
  <c r="F264" i="1" s="1"/>
  <c r="P265" i="1"/>
  <c r="P266" i="1"/>
  <c r="P267" i="1"/>
  <c r="F267" i="1" s="1"/>
  <c r="P268" i="1"/>
  <c r="P269" i="1"/>
  <c r="P270" i="1"/>
  <c r="F270" i="1" s="1"/>
  <c r="P271" i="1"/>
  <c r="F271" i="1" s="1"/>
  <c r="P272" i="1"/>
  <c r="F272" i="1" s="1"/>
  <c r="P273" i="1"/>
  <c r="P274" i="1"/>
  <c r="P275" i="1"/>
  <c r="P276" i="1"/>
  <c r="F276" i="1" s="1"/>
  <c r="P277" i="1"/>
  <c r="F277" i="1" s="1"/>
  <c r="P278" i="1"/>
  <c r="F278" i="1" s="1"/>
  <c r="P279" i="1"/>
  <c r="F279" i="1" s="1"/>
  <c r="P280" i="1"/>
  <c r="P281" i="1"/>
  <c r="F281" i="1" s="1"/>
  <c r="P282" i="1"/>
  <c r="P283" i="1"/>
  <c r="F283" i="1" s="1"/>
  <c r="P284" i="1"/>
  <c r="P285" i="1"/>
  <c r="P286" i="1"/>
  <c r="F286" i="1" s="1"/>
  <c r="P287" i="1"/>
  <c r="P288" i="1"/>
  <c r="P289" i="1"/>
  <c r="P290" i="1"/>
  <c r="F290" i="1" s="1"/>
  <c r="P291" i="1"/>
  <c r="P292" i="1"/>
  <c r="P293" i="1"/>
  <c r="P294" i="1"/>
  <c r="F294" i="1" s="1"/>
  <c r="P295" i="1"/>
  <c r="F295" i="1" s="1"/>
  <c r="P296" i="1"/>
  <c r="F296" i="1" s="1"/>
  <c r="P297" i="1"/>
  <c r="F297" i="1" s="1"/>
  <c r="P298" i="1"/>
  <c r="P299" i="1"/>
  <c r="P300" i="1"/>
  <c r="F300" i="1" s="1"/>
  <c r="P301" i="1"/>
  <c r="P302" i="1"/>
  <c r="P303" i="1"/>
  <c r="P304" i="1"/>
  <c r="P305" i="1"/>
  <c r="P306" i="1"/>
  <c r="P307" i="1"/>
  <c r="P308" i="1"/>
  <c r="F308" i="1" s="1"/>
  <c r="P309" i="1"/>
  <c r="P310" i="1"/>
  <c r="P311" i="1"/>
  <c r="P312" i="1"/>
  <c r="F312" i="1" s="1"/>
  <c r="P313" i="1"/>
  <c r="P314" i="1"/>
  <c r="F314" i="1" s="1"/>
  <c r="P315" i="1"/>
  <c r="F315" i="1" s="1"/>
  <c r="P316" i="1"/>
  <c r="P317" i="1"/>
  <c r="F317" i="1" s="1"/>
  <c r="P318" i="1"/>
  <c r="P319" i="1"/>
  <c r="F319" i="1" s="1"/>
  <c r="P320" i="1"/>
  <c r="F320" i="1" s="1"/>
  <c r="P321" i="1"/>
  <c r="F321" i="1" s="1"/>
  <c r="P322" i="1"/>
  <c r="F322" i="1" s="1"/>
  <c r="P323" i="1"/>
  <c r="F323" i="1" s="1"/>
  <c r="P324" i="1"/>
  <c r="F324" i="1" s="1"/>
  <c r="P325" i="1"/>
  <c r="P326" i="1"/>
  <c r="F326" i="1" s="1"/>
  <c r="P327" i="1"/>
  <c r="P328" i="1"/>
  <c r="P329" i="1"/>
  <c r="F329" i="1" s="1"/>
  <c r="P330" i="1"/>
  <c r="F330" i="1" s="1"/>
  <c r="P331" i="1"/>
  <c r="P332" i="1"/>
  <c r="F332" i="1" s="1"/>
  <c r="P333" i="1"/>
  <c r="F333" i="1" s="1"/>
  <c r="P334" i="1"/>
  <c r="P335" i="1"/>
  <c r="F335" i="1" s="1"/>
  <c r="P336" i="1"/>
  <c r="F336" i="1" s="1"/>
  <c r="P337" i="1"/>
  <c r="P338" i="1"/>
  <c r="P339" i="1"/>
  <c r="P340" i="1"/>
  <c r="P341" i="1"/>
  <c r="P342" i="1"/>
  <c r="P343" i="1"/>
  <c r="P344" i="1"/>
  <c r="F344" i="1" s="1"/>
  <c r="P345" i="1"/>
  <c r="P346" i="1"/>
  <c r="P347" i="1"/>
  <c r="P348" i="1"/>
  <c r="P349" i="1"/>
  <c r="P350" i="1"/>
  <c r="P351" i="1"/>
  <c r="P352" i="1"/>
  <c r="P353" i="1"/>
  <c r="P354" i="1"/>
  <c r="P355" i="1"/>
  <c r="P356" i="1"/>
  <c r="F356" i="1" s="1"/>
  <c r="P357" i="1"/>
  <c r="P358" i="1"/>
  <c r="P359" i="1"/>
  <c r="P360" i="1"/>
  <c r="P361" i="1"/>
  <c r="P362" i="1"/>
  <c r="P363" i="1"/>
  <c r="P364" i="1"/>
  <c r="P365" i="1"/>
  <c r="P366" i="1"/>
  <c r="P367" i="1"/>
  <c r="P368" i="1"/>
  <c r="F368" i="1" s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F392" i="1" s="1"/>
  <c r="P393" i="1"/>
  <c r="P394" i="1"/>
  <c r="P395" i="1"/>
  <c r="P396" i="1"/>
  <c r="P397" i="1"/>
  <c r="P398" i="1"/>
  <c r="P399" i="1"/>
  <c r="P400" i="1"/>
  <c r="P401" i="1"/>
  <c r="P402" i="1"/>
  <c r="P403" i="1"/>
  <c r="P404" i="1"/>
  <c r="F404" i="1" s="1"/>
  <c r="P405" i="1"/>
  <c r="P406" i="1"/>
  <c r="P407" i="1"/>
  <c r="P408" i="1"/>
  <c r="P409" i="1"/>
  <c r="P410" i="1"/>
  <c r="P411" i="1"/>
  <c r="P412" i="1"/>
  <c r="P413" i="1"/>
  <c r="P414" i="1"/>
  <c r="P415" i="1"/>
  <c r="P416" i="1"/>
  <c r="F416" i="1" s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F440" i="1" s="1"/>
  <c r="P441" i="1"/>
  <c r="P442" i="1"/>
  <c r="P443" i="1"/>
  <c r="P444" i="1"/>
  <c r="P445" i="1"/>
  <c r="P446" i="1"/>
  <c r="P447" i="1"/>
  <c r="P448" i="1"/>
  <c r="P449" i="1"/>
  <c r="P450" i="1"/>
  <c r="P451" i="1"/>
  <c r="P452" i="1"/>
  <c r="F452" i="1" s="1"/>
  <c r="P453" i="1"/>
  <c r="P454" i="1"/>
  <c r="P455" i="1"/>
  <c r="P456" i="1"/>
  <c r="P457" i="1"/>
  <c r="P458" i="1"/>
  <c r="P459" i="1"/>
  <c r="P460" i="1"/>
  <c r="P461" i="1"/>
  <c r="P462" i="1"/>
  <c r="P463" i="1"/>
  <c r="P464" i="1"/>
  <c r="F464" i="1" s="1"/>
  <c r="P465" i="1"/>
  <c r="P466" i="1"/>
  <c r="P467" i="1"/>
  <c r="P468" i="1"/>
  <c r="P469" i="1"/>
  <c r="P470" i="1"/>
  <c r="P471" i="1"/>
  <c r="P472" i="1"/>
  <c r="P473" i="1"/>
  <c r="P474" i="1"/>
  <c r="P475" i="1"/>
  <c r="P476" i="1"/>
  <c r="F476" i="1" s="1"/>
  <c r="P477" i="1"/>
  <c r="P478" i="1"/>
  <c r="P479" i="1"/>
  <c r="P480" i="1"/>
  <c r="P481" i="1"/>
  <c r="P482" i="1"/>
  <c r="P483" i="1"/>
  <c r="P484" i="1"/>
  <c r="P485" i="1"/>
  <c r="P486" i="1"/>
  <c r="P487" i="1"/>
  <c r="P488" i="1"/>
  <c r="F488" i="1" s="1"/>
  <c r="P489" i="1"/>
  <c r="P490" i="1"/>
  <c r="P491" i="1"/>
  <c r="P492" i="1"/>
  <c r="P493" i="1"/>
  <c r="P494" i="1"/>
  <c r="P495" i="1"/>
  <c r="P496" i="1"/>
  <c r="P497" i="1"/>
  <c r="P498" i="1"/>
  <c r="P499" i="1"/>
  <c r="P500" i="1"/>
  <c r="F500" i="1" s="1"/>
  <c r="P3" i="1"/>
  <c r="F3" i="1" s="1"/>
  <c r="L23" i="1"/>
  <c r="M23" i="1"/>
  <c r="N23" i="1"/>
  <c r="O23" i="1"/>
  <c r="E23" i="1" s="1"/>
  <c r="L24" i="1"/>
  <c r="B24" i="1" s="1"/>
  <c r="M24" i="1"/>
  <c r="C24" i="1" s="1"/>
  <c r="N24" i="1"/>
  <c r="D24" i="1" s="1"/>
  <c r="O24" i="1"/>
  <c r="E24" i="1" s="1"/>
  <c r="L25" i="1"/>
  <c r="B25" i="1" s="1"/>
  <c r="M25" i="1"/>
  <c r="C25" i="1" s="1"/>
  <c r="N25" i="1"/>
  <c r="D25" i="1" s="1"/>
  <c r="O25" i="1"/>
  <c r="E25" i="1" s="1"/>
  <c r="L26" i="1"/>
  <c r="B26" i="1" s="1"/>
  <c r="M26" i="1"/>
  <c r="C26" i="1" s="1"/>
  <c r="N26" i="1"/>
  <c r="D26" i="1" s="1"/>
  <c r="O26" i="1"/>
  <c r="L27" i="1"/>
  <c r="B27" i="1" s="1"/>
  <c r="M27" i="1"/>
  <c r="C27" i="1" s="1"/>
  <c r="N27" i="1"/>
  <c r="D27" i="1" s="1"/>
  <c r="O27" i="1"/>
  <c r="E27" i="1" s="1"/>
  <c r="L28" i="1"/>
  <c r="B28" i="1" s="1"/>
  <c r="M28" i="1"/>
  <c r="C28" i="1" s="1"/>
  <c r="N28" i="1"/>
  <c r="D28" i="1" s="1"/>
  <c r="O28" i="1"/>
  <c r="E28" i="1" s="1"/>
  <c r="L29" i="1"/>
  <c r="B29" i="1" s="1"/>
  <c r="M29" i="1"/>
  <c r="C29" i="1" s="1"/>
  <c r="N29" i="1"/>
  <c r="D29" i="1" s="1"/>
  <c r="O29" i="1"/>
  <c r="E29" i="1" s="1"/>
  <c r="L30" i="1"/>
  <c r="B30" i="1" s="1"/>
  <c r="M30" i="1"/>
  <c r="C30" i="1" s="1"/>
  <c r="N30" i="1"/>
  <c r="D30" i="1" s="1"/>
  <c r="O30" i="1"/>
  <c r="E30" i="1" s="1"/>
  <c r="L31" i="1"/>
  <c r="B31" i="1" s="1"/>
  <c r="M31" i="1"/>
  <c r="C31" i="1" s="1"/>
  <c r="N31" i="1"/>
  <c r="D31" i="1" s="1"/>
  <c r="O31" i="1"/>
  <c r="E31" i="1" s="1"/>
  <c r="L32" i="1"/>
  <c r="B32" i="1" s="1"/>
  <c r="M32" i="1"/>
  <c r="C32" i="1" s="1"/>
  <c r="N32" i="1"/>
  <c r="D32" i="1" s="1"/>
  <c r="O32" i="1"/>
  <c r="E32" i="1" s="1"/>
  <c r="L33" i="1"/>
  <c r="M33" i="1"/>
  <c r="N33" i="1"/>
  <c r="D33" i="1" s="1"/>
  <c r="O33" i="1"/>
  <c r="E33" i="1" s="1"/>
  <c r="L34" i="1"/>
  <c r="B34" i="1" s="1"/>
  <c r="M34" i="1"/>
  <c r="C34" i="1" s="1"/>
  <c r="N34" i="1"/>
  <c r="D34" i="1" s="1"/>
  <c r="O34" i="1"/>
  <c r="E34" i="1" s="1"/>
  <c r="L35" i="1"/>
  <c r="B35" i="1" s="1"/>
  <c r="M35" i="1"/>
  <c r="C35" i="1" s="1"/>
  <c r="N35" i="1"/>
  <c r="D35" i="1" s="1"/>
  <c r="O35" i="1"/>
  <c r="E35" i="1" s="1"/>
  <c r="L36" i="1"/>
  <c r="B36" i="1" s="1"/>
  <c r="M36" i="1"/>
  <c r="C36" i="1" s="1"/>
  <c r="N36" i="1"/>
  <c r="D36" i="1" s="1"/>
  <c r="O36" i="1"/>
  <c r="E36" i="1" s="1"/>
  <c r="L37" i="1"/>
  <c r="B37" i="1" s="1"/>
  <c r="M37" i="1"/>
  <c r="C37" i="1" s="1"/>
  <c r="N37" i="1"/>
  <c r="D37" i="1" s="1"/>
  <c r="O37" i="1"/>
  <c r="E37" i="1" s="1"/>
  <c r="L38" i="1"/>
  <c r="B38" i="1" s="1"/>
  <c r="M38" i="1"/>
  <c r="C38" i="1" s="1"/>
  <c r="N38" i="1"/>
  <c r="D38" i="1" s="1"/>
  <c r="O38" i="1"/>
  <c r="E38" i="1" s="1"/>
  <c r="L39" i="1"/>
  <c r="M39" i="1"/>
  <c r="N39" i="1"/>
  <c r="O39" i="1"/>
  <c r="E39" i="1" s="1"/>
  <c r="L40" i="1"/>
  <c r="B40" i="1" s="1"/>
  <c r="M40" i="1"/>
  <c r="C40" i="1" s="1"/>
  <c r="N40" i="1"/>
  <c r="D40" i="1" s="1"/>
  <c r="O40" i="1"/>
  <c r="E40" i="1" s="1"/>
  <c r="L41" i="1"/>
  <c r="B41" i="1" s="1"/>
  <c r="M41" i="1"/>
  <c r="C41" i="1" s="1"/>
  <c r="N41" i="1"/>
  <c r="D41" i="1" s="1"/>
  <c r="O41" i="1"/>
  <c r="E41" i="1" s="1"/>
  <c r="L42" i="1"/>
  <c r="B42" i="1" s="1"/>
  <c r="M42" i="1"/>
  <c r="C42" i="1" s="1"/>
  <c r="N42" i="1"/>
  <c r="D42" i="1" s="1"/>
  <c r="O42" i="1"/>
  <c r="E42" i="1" s="1"/>
  <c r="L43" i="1"/>
  <c r="B43" i="1" s="1"/>
  <c r="M43" i="1"/>
  <c r="N43" i="1"/>
  <c r="D43" i="1" s="1"/>
  <c r="O43" i="1"/>
  <c r="E43" i="1" s="1"/>
  <c r="L44" i="1"/>
  <c r="B44" i="1" s="1"/>
  <c r="M44" i="1"/>
  <c r="C44" i="1" s="1"/>
  <c r="N44" i="1"/>
  <c r="D44" i="1" s="1"/>
  <c r="O44" i="1"/>
  <c r="E44" i="1" s="1"/>
  <c r="L45" i="1"/>
  <c r="B45" i="1" s="1"/>
  <c r="M45" i="1"/>
  <c r="C45" i="1" s="1"/>
  <c r="N45" i="1"/>
  <c r="D45" i="1" s="1"/>
  <c r="O45" i="1"/>
  <c r="E45" i="1" s="1"/>
  <c r="L46" i="1"/>
  <c r="B46" i="1" s="1"/>
  <c r="M46" i="1"/>
  <c r="C46" i="1" s="1"/>
  <c r="N46" i="1"/>
  <c r="D46" i="1" s="1"/>
  <c r="O46" i="1"/>
  <c r="E46" i="1" s="1"/>
  <c r="L47" i="1"/>
  <c r="B47" i="1" s="1"/>
  <c r="M47" i="1"/>
  <c r="C47" i="1" s="1"/>
  <c r="N47" i="1"/>
  <c r="D47" i="1" s="1"/>
  <c r="O47" i="1"/>
  <c r="E47" i="1" s="1"/>
  <c r="L48" i="1"/>
  <c r="B48" i="1" s="1"/>
  <c r="M48" i="1"/>
  <c r="C48" i="1" s="1"/>
  <c r="N48" i="1"/>
  <c r="D48" i="1" s="1"/>
  <c r="O48" i="1"/>
  <c r="E48" i="1" s="1"/>
  <c r="L49" i="1"/>
  <c r="M49" i="1"/>
  <c r="N49" i="1"/>
  <c r="D49" i="1" s="1"/>
  <c r="O49" i="1"/>
  <c r="E49" i="1" s="1"/>
  <c r="L50" i="1"/>
  <c r="M50" i="1"/>
  <c r="N50" i="1"/>
  <c r="D50" i="1" s="1"/>
  <c r="O50" i="1"/>
  <c r="E50" i="1" s="1"/>
  <c r="L51" i="1"/>
  <c r="B51" i="1" s="1"/>
  <c r="M51" i="1"/>
  <c r="C51" i="1" s="1"/>
  <c r="N51" i="1"/>
  <c r="D51" i="1" s="1"/>
  <c r="O51" i="1"/>
  <c r="E51" i="1" s="1"/>
  <c r="L52" i="1"/>
  <c r="B52" i="1" s="1"/>
  <c r="M52" i="1"/>
  <c r="C52" i="1" s="1"/>
  <c r="N52" i="1"/>
  <c r="D52" i="1" s="1"/>
  <c r="O52" i="1"/>
  <c r="E52" i="1" s="1"/>
  <c r="L53" i="1"/>
  <c r="M53" i="1"/>
  <c r="N53" i="1"/>
  <c r="D53" i="1" s="1"/>
  <c r="O53" i="1"/>
  <c r="E53" i="1" s="1"/>
  <c r="L54" i="1"/>
  <c r="B54" i="1" s="1"/>
  <c r="M54" i="1"/>
  <c r="C54" i="1" s="1"/>
  <c r="N54" i="1"/>
  <c r="D54" i="1" s="1"/>
  <c r="O54" i="1"/>
  <c r="E54" i="1" s="1"/>
  <c r="L55" i="1"/>
  <c r="B55" i="1" s="1"/>
  <c r="M55" i="1"/>
  <c r="C55" i="1" s="1"/>
  <c r="N55" i="1"/>
  <c r="D55" i="1" s="1"/>
  <c r="O55" i="1"/>
  <c r="E55" i="1" s="1"/>
  <c r="L56" i="1"/>
  <c r="M56" i="1"/>
  <c r="N56" i="1"/>
  <c r="O56" i="1"/>
  <c r="E56" i="1" s="1"/>
  <c r="L57" i="1"/>
  <c r="B57" i="1" s="1"/>
  <c r="M57" i="1"/>
  <c r="C57" i="1" s="1"/>
  <c r="N57" i="1"/>
  <c r="D57" i="1" s="1"/>
  <c r="O57" i="1"/>
  <c r="E57" i="1" s="1"/>
  <c r="L58" i="1"/>
  <c r="B58" i="1" s="1"/>
  <c r="M58" i="1"/>
  <c r="C58" i="1" s="1"/>
  <c r="N58" i="1"/>
  <c r="D58" i="1" s="1"/>
  <c r="O58" i="1"/>
  <c r="E58" i="1" s="1"/>
  <c r="L59" i="1"/>
  <c r="B59" i="1" s="1"/>
  <c r="M59" i="1"/>
  <c r="C59" i="1" s="1"/>
  <c r="N59" i="1"/>
  <c r="D59" i="1" s="1"/>
  <c r="O59" i="1"/>
  <c r="E59" i="1" s="1"/>
  <c r="L60" i="1"/>
  <c r="B60" i="1" s="1"/>
  <c r="M60" i="1"/>
  <c r="C60" i="1" s="1"/>
  <c r="N60" i="1"/>
  <c r="D60" i="1" s="1"/>
  <c r="O60" i="1"/>
  <c r="E60" i="1" s="1"/>
  <c r="L61" i="1"/>
  <c r="B61" i="1" s="1"/>
  <c r="M61" i="1"/>
  <c r="C61" i="1" s="1"/>
  <c r="N61" i="1"/>
  <c r="D61" i="1" s="1"/>
  <c r="O61" i="1"/>
  <c r="E61" i="1" s="1"/>
  <c r="L62" i="1"/>
  <c r="B62" i="1" s="1"/>
  <c r="M62" i="1"/>
  <c r="C62" i="1" s="1"/>
  <c r="N62" i="1"/>
  <c r="D62" i="1" s="1"/>
  <c r="O62" i="1"/>
  <c r="E62" i="1" s="1"/>
  <c r="L63" i="1"/>
  <c r="B63" i="1" s="1"/>
  <c r="M63" i="1"/>
  <c r="C63" i="1" s="1"/>
  <c r="N63" i="1"/>
  <c r="D63" i="1" s="1"/>
  <c r="O63" i="1"/>
  <c r="E63" i="1" s="1"/>
  <c r="L64" i="1"/>
  <c r="B64" i="1" s="1"/>
  <c r="M64" i="1"/>
  <c r="C64" i="1" s="1"/>
  <c r="N64" i="1"/>
  <c r="D64" i="1" s="1"/>
  <c r="O64" i="1"/>
  <c r="E64" i="1" s="1"/>
  <c r="L65" i="1"/>
  <c r="B65" i="1" s="1"/>
  <c r="M65" i="1"/>
  <c r="C65" i="1" s="1"/>
  <c r="N65" i="1"/>
  <c r="D65" i="1" s="1"/>
  <c r="O65" i="1"/>
  <c r="E65" i="1" s="1"/>
  <c r="L66" i="1"/>
  <c r="B66" i="1" s="1"/>
  <c r="M66" i="1"/>
  <c r="C66" i="1" s="1"/>
  <c r="N66" i="1"/>
  <c r="D66" i="1" s="1"/>
  <c r="O66" i="1"/>
  <c r="E66" i="1" s="1"/>
  <c r="L67" i="1"/>
  <c r="B67" i="1" s="1"/>
  <c r="M67" i="1"/>
  <c r="C67" i="1" s="1"/>
  <c r="N67" i="1"/>
  <c r="D67" i="1" s="1"/>
  <c r="O67" i="1"/>
  <c r="E67" i="1" s="1"/>
  <c r="L68" i="1"/>
  <c r="B68" i="1" s="1"/>
  <c r="M68" i="1"/>
  <c r="C68" i="1" s="1"/>
  <c r="N68" i="1"/>
  <c r="D68" i="1" s="1"/>
  <c r="O68" i="1"/>
  <c r="E68" i="1" s="1"/>
  <c r="L69" i="1"/>
  <c r="B69" i="1" s="1"/>
  <c r="M69" i="1"/>
  <c r="C69" i="1" s="1"/>
  <c r="N69" i="1"/>
  <c r="D69" i="1" s="1"/>
  <c r="O69" i="1"/>
  <c r="E69" i="1" s="1"/>
  <c r="L70" i="1"/>
  <c r="B70" i="1" s="1"/>
  <c r="M70" i="1"/>
  <c r="C70" i="1" s="1"/>
  <c r="N70" i="1"/>
  <c r="D70" i="1" s="1"/>
  <c r="O70" i="1"/>
  <c r="E70" i="1" s="1"/>
  <c r="L71" i="1"/>
  <c r="B71" i="1" s="1"/>
  <c r="M71" i="1"/>
  <c r="C71" i="1" s="1"/>
  <c r="N71" i="1"/>
  <c r="D71" i="1" s="1"/>
  <c r="O71" i="1"/>
  <c r="E71" i="1" s="1"/>
  <c r="L72" i="1"/>
  <c r="B72" i="1" s="1"/>
  <c r="M72" i="1"/>
  <c r="C72" i="1" s="1"/>
  <c r="N72" i="1"/>
  <c r="D72" i="1" s="1"/>
  <c r="O72" i="1"/>
  <c r="E72" i="1" s="1"/>
  <c r="L73" i="1"/>
  <c r="B73" i="1" s="1"/>
  <c r="M73" i="1"/>
  <c r="C73" i="1" s="1"/>
  <c r="N73" i="1"/>
  <c r="D73" i="1" s="1"/>
  <c r="O73" i="1"/>
  <c r="E73" i="1" s="1"/>
  <c r="L74" i="1"/>
  <c r="M74" i="1"/>
  <c r="C74" i="1" s="1"/>
  <c r="N74" i="1"/>
  <c r="D74" i="1" s="1"/>
  <c r="O74" i="1"/>
  <c r="E74" i="1" s="1"/>
  <c r="L75" i="1"/>
  <c r="B75" i="1" s="1"/>
  <c r="M75" i="1"/>
  <c r="C75" i="1" s="1"/>
  <c r="N75" i="1"/>
  <c r="D75" i="1" s="1"/>
  <c r="O75" i="1"/>
  <c r="E75" i="1" s="1"/>
  <c r="L76" i="1"/>
  <c r="B76" i="1" s="1"/>
  <c r="M76" i="1"/>
  <c r="C76" i="1" s="1"/>
  <c r="N76" i="1"/>
  <c r="D76" i="1" s="1"/>
  <c r="O76" i="1"/>
  <c r="E76" i="1" s="1"/>
  <c r="L77" i="1"/>
  <c r="B77" i="1" s="1"/>
  <c r="M77" i="1"/>
  <c r="C77" i="1" s="1"/>
  <c r="N77" i="1"/>
  <c r="D77" i="1" s="1"/>
  <c r="O77" i="1"/>
  <c r="E77" i="1" s="1"/>
  <c r="L78" i="1"/>
  <c r="B78" i="1" s="1"/>
  <c r="M78" i="1"/>
  <c r="C78" i="1" s="1"/>
  <c r="N78" i="1"/>
  <c r="D78" i="1" s="1"/>
  <c r="O78" i="1"/>
  <c r="E78" i="1" s="1"/>
  <c r="L79" i="1"/>
  <c r="B79" i="1" s="1"/>
  <c r="M79" i="1"/>
  <c r="C79" i="1" s="1"/>
  <c r="N79" i="1"/>
  <c r="D79" i="1" s="1"/>
  <c r="O79" i="1"/>
  <c r="E79" i="1" s="1"/>
  <c r="L80" i="1"/>
  <c r="B80" i="1" s="1"/>
  <c r="M80" i="1"/>
  <c r="C80" i="1" s="1"/>
  <c r="N80" i="1"/>
  <c r="D80" i="1" s="1"/>
  <c r="O80" i="1"/>
  <c r="E80" i="1" s="1"/>
  <c r="L81" i="1"/>
  <c r="B81" i="1" s="1"/>
  <c r="M81" i="1"/>
  <c r="C81" i="1" s="1"/>
  <c r="N81" i="1"/>
  <c r="D81" i="1" s="1"/>
  <c r="O81" i="1"/>
  <c r="E81" i="1" s="1"/>
  <c r="L82" i="1"/>
  <c r="B82" i="1" s="1"/>
  <c r="M82" i="1"/>
  <c r="C82" i="1" s="1"/>
  <c r="N82" i="1"/>
  <c r="D82" i="1" s="1"/>
  <c r="O82" i="1"/>
  <c r="E82" i="1" s="1"/>
  <c r="L83" i="1"/>
  <c r="B83" i="1" s="1"/>
  <c r="M83" i="1"/>
  <c r="C83" i="1" s="1"/>
  <c r="N83" i="1"/>
  <c r="D83" i="1" s="1"/>
  <c r="O83" i="1"/>
  <c r="E83" i="1" s="1"/>
  <c r="L84" i="1"/>
  <c r="B84" i="1" s="1"/>
  <c r="M84" i="1"/>
  <c r="C84" i="1" s="1"/>
  <c r="N84" i="1"/>
  <c r="D84" i="1" s="1"/>
  <c r="O84" i="1"/>
  <c r="E84" i="1" s="1"/>
  <c r="L85" i="1"/>
  <c r="B85" i="1" s="1"/>
  <c r="M85" i="1"/>
  <c r="C85" i="1" s="1"/>
  <c r="N85" i="1"/>
  <c r="D85" i="1" s="1"/>
  <c r="O85" i="1"/>
  <c r="E85" i="1" s="1"/>
  <c r="L86" i="1"/>
  <c r="B86" i="1" s="1"/>
  <c r="M86" i="1"/>
  <c r="C86" i="1" s="1"/>
  <c r="N86" i="1"/>
  <c r="D86" i="1" s="1"/>
  <c r="O86" i="1"/>
  <c r="E86" i="1" s="1"/>
  <c r="L87" i="1"/>
  <c r="B87" i="1" s="1"/>
  <c r="M87" i="1"/>
  <c r="C87" i="1" s="1"/>
  <c r="N87" i="1"/>
  <c r="O87" i="1"/>
  <c r="E87" i="1" s="1"/>
  <c r="L88" i="1"/>
  <c r="B88" i="1" s="1"/>
  <c r="M88" i="1"/>
  <c r="C88" i="1" s="1"/>
  <c r="N88" i="1"/>
  <c r="O88" i="1"/>
  <c r="E88" i="1" s="1"/>
  <c r="L89" i="1"/>
  <c r="B89" i="1" s="1"/>
  <c r="M89" i="1"/>
  <c r="C89" i="1" s="1"/>
  <c r="N89" i="1"/>
  <c r="D89" i="1" s="1"/>
  <c r="O89" i="1"/>
  <c r="E89" i="1" s="1"/>
  <c r="L90" i="1"/>
  <c r="B90" i="1" s="1"/>
  <c r="M90" i="1"/>
  <c r="C90" i="1" s="1"/>
  <c r="N90" i="1"/>
  <c r="D90" i="1" s="1"/>
  <c r="O90" i="1"/>
  <c r="E90" i="1" s="1"/>
  <c r="L91" i="1"/>
  <c r="B91" i="1" s="1"/>
  <c r="M91" i="1"/>
  <c r="C91" i="1" s="1"/>
  <c r="N91" i="1"/>
  <c r="D91" i="1" s="1"/>
  <c r="O91" i="1"/>
  <c r="E91" i="1" s="1"/>
  <c r="L92" i="1"/>
  <c r="B92" i="1" s="1"/>
  <c r="M92" i="1"/>
  <c r="C92" i="1" s="1"/>
  <c r="N92" i="1"/>
  <c r="D92" i="1" s="1"/>
  <c r="O92" i="1"/>
  <c r="E92" i="1" s="1"/>
  <c r="L93" i="1"/>
  <c r="B93" i="1" s="1"/>
  <c r="M93" i="1"/>
  <c r="C93" i="1" s="1"/>
  <c r="N93" i="1"/>
  <c r="D93" i="1" s="1"/>
  <c r="O93" i="1"/>
  <c r="E93" i="1" s="1"/>
  <c r="L94" i="1"/>
  <c r="B94" i="1" s="1"/>
  <c r="M94" i="1"/>
  <c r="C94" i="1" s="1"/>
  <c r="N94" i="1"/>
  <c r="D94" i="1" s="1"/>
  <c r="O94" i="1"/>
  <c r="E94" i="1" s="1"/>
  <c r="L95" i="1"/>
  <c r="B95" i="1" s="1"/>
  <c r="M95" i="1"/>
  <c r="C95" i="1" s="1"/>
  <c r="N95" i="1"/>
  <c r="D95" i="1" s="1"/>
  <c r="O95" i="1"/>
  <c r="E95" i="1" s="1"/>
  <c r="L96" i="1"/>
  <c r="B96" i="1" s="1"/>
  <c r="M96" i="1"/>
  <c r="C96" i="1" s="1"/>
  <c r="N96" i="1"/>
  <c r="D96" i="1" s="1"/>
  <c r="O96" i="1"/>
  <c r="E96" i="1" s="1"/>
  <c r="L97" i="1"/>
  <c r="B97" i="1" s="1"/>
  <c r="M97" i="1"/>
  <c r="C97" i="1" s="1"/>
  <c r="N97" i="1"/>
  <c r="D97" i="1" s="1"/>
  <c r="O97" i="1"/>
  <c r="E97" i="1" s="1"/>
  <c r="L98" i="1"/>
  <c r="B98" i="1" s="1"/>
  <c r="M98" i="1"/>
  <c r="C98" i="1" s="1"/>
  <c r="N98" i="1"/>
  <c r="D98" i="1" s="1"/>
  <c r="O98" i="1"/>
  <c r="E98" i="1" s="1"/>
  <c r="L99" i="1"/>
  <c r="B99" i="1" s="1"/>
  <c r="M99" i="1"/>
  <c r="C99" i="1" s="1"/>
  <c r="N99" i="1"/>
  <c r="D99" i="1" s="1"/>
  <c r="O99" i="1"/>
  <c r="E99" i="1" s="1"/>
  <c r="L100" i="1"/>
  <c r="B100" i="1" s="1"/>
  <c r="M100" i="1"/>
  <c r="C100" i="1" s="1"/>
  <c r="N100" i="1"/>
  <c r="D100" i="1" s="1"/>
  <c r="O100" i="1"/>
  <c r="E100" i="1" s="1"/>
  <c r="L101" i="1"/>
  <c r="B101" i="1" s="1"/>
  <c r="M101" i="1"/>
  <c r="C101" i="1" s="1"/>
  <c r="N101" i="1"/>
  <c r="D101" i="1" s="1"/>
  <c r="O101" i="1"/>
  <c r="E101" i="1" s="1"/>
  <c r="L102" i="1"/>
  <c r="B102" i="1" s="1"/>
  <c r="M102" i="1"/>
  <c r="C102" i="1" s="1"/>
  <c r="N102" i="1"/>
  <c r="D102" i="1" s="1"/>
  <c r="O102" i="1"/>
  <c r="E102" i="1" s="1"/>
  <c r="L103" i="1"/>
  <c r="B103" i="1" s="1"/>
  <c r="M103" i="1"/>
  <c r="C103" i="1" s="1"/>
  <c r="N103" i="1"/>
  <c r="D103" i="1" s="1"/>
  <c r="O103" i="1"/>
  <c r="E103" i="1" s="1"/>
  <c r="L104" i="1"/>
  <c r="B104" i="1" s="1"/>
  <c r="M104" i="1"/>
  <c r="C104" i="1" s="1"/>
  <c r="N104" i="1"/>
  <c r="D104" i="1" s="1"/>
  <c r="O104" i="1"/>
  <c r="E104" i="1" s="1"/>
  <c r="L105" i="1"/>
  <c r="B105" i="1" s="1"/>
  <c r="M105" i="1"/>
  <c r="C105" i="1" s="1"/>
  <c r="N105" i="1"/>
  <c r="D105" i="1" s="1"/>
  <c r="O105" i="1"/>
  <c r="E105" i="1" s="1"/>
  <c r="L106" i="1"/>
  <c r="B106" i="1" s="1"/>
  <c r="M106" i="1"/>
  <c r="C106" i="1" s="1"/>
  <c r="N106" i="1"/>
  <c r="D106" i="1" s="1"/>
  <c r="O106" i="1"/>
  <c r="E106" i="1" s="1"/>
  <c r="L107" i="1"/>
  <c r="B107" i="1" s="1"/>
  <c r="M107" i="1"/>
  <c r="C107" i="1" s="1"/>
  <c r="N107" i="1"/>
  <c r="D107" i="1" s="1"/>
  <c r="O107" i="1"/>
  <c r="E107" i="1" s="1"/>
  <c r="L108" i="1"/>
  <c r="B108" i="1" s="1"/>
  <c r="M108" i="1"/>
  <c r="C108" i="1" s="1"/>
  <c r="N108" i="1"/>
  <c r="D108" i="1" s="1"/>
  <c r="O108" i="1"/>
  <c r="E108" i="1" s="1"/>
  <c r="L109" i="1"/>
  <c r="B109" i="1" s="1"/>
  <c r="M109" i="1"/>
  <c r="C109" i="1" s="1"/>
  <c r="N109" i="1"/>
  <c r="D109" i="1" s="1"/>
  <c r="O109" i="1"/>
  <c r="E109" i="1" s="1"/>
  <c r="L110" i="1"/>
  <c r="B110" i="1" s="1"/>
  <c r="M110" i="1"/>
  <c r="C110" i="1" s="1"/>
  <c r="N110" i="1"/>
  <c r="D110" i="1" s="1"/>
  <c r="O110" i="1"/>
  <c r="E110" i="1" s="1"/>
  <c r="L111" i="1"/>
  <c r="B111" i="1" s="1"/>
  <c r="M111" i="1"/>
  <c r="C111" i="1" s="1"/>
  <c r="N111" i="1"/>
  <c r="D111" i="1" s="1"/>
  <c r="O111" i="1"/>
  <c r="E111" i="1" s="1"/>
  <c r="L112" i="1"/>
  <c r="B112" i="1" s="1"/>
  <c r="M112" i="1"/>
  <c r="C112" i="1" s="1"/>
  <c r="N112" i="1"/>
  <c r="D112" i="1" s="1"/>
  <c r="O112" i="1"/>
  <c r="E112" i="1" s="1"/>
  <c r="L113" i="1"/>
  <c r="B113" i="1" s="1"/>
  <c r="M113" i="1"/>
  <c r="C113" i="1" s="1"/>
  <c r="N113" i="1"/>
  <c r="D113" i="1" s="1"/>
  <c r="O113" i="1"/>
  <c r="E113" i="1" s="1"/>
  <c r="L114" i="1"/>
  <c r="B114" i="1" s="1"/>
  <c r="M114" i="1"/>
  <c r="C114" i="1" s="1"/>
  <c r="N114" i="1"/>
  <c r="D114" i="1" s="1"/>
  <c r="O114" i="1"/>
  <c r="E114" i="1" s="1"/>
  <c r="L115" i="1"/>
  <c r="B115" i="1" s="1"/>
  <c r="M115" i="1"/>
  <c r="C115" i="1" s="1"/>
  <c r="N115" i="1"/>
  <c r="D115" i="1" s="1"/>
  <c r="O115" i="1"/>
  <c r="E115" i="1" s="1"/>
  <c r="L116" i="1"/>
  <c r="B116" i="1" s="1"/>
  <c r="M116" i="1"/>
  <c r="C116" i="1" s="1"/>
  <c r="N116" i="1"/>
  <c r="D116" i="1" s="1"/>
  <c r="O116" i="1"/>
  <c r="E116" i="1" s="1"/>
  <c r="L117" i="1"/>
  <c r="B117" i="1" s="1"/>
  <c r="M117" i="1"/>
  <c r="C117" i="1" s="1"/>
  <c r="N117" i="1"/>
  <c r="D117" i="1" s="1"/>
  <c r="O117" i="1"/>
  <c r="E117" i="1" s="1"/>
  <c r="L118" i="1"/>
  <c r="B118" i="1" s="1"/>
  <c r="M118" i="1"/>
  <c r="C118" i="1" s="1"/>
  <c r="N118" i="1"/>
  <c r="D118" i="1" s="1"/>
  <c r="O118" i="1"/>
  <c r="E118" i="1" s="1"/>
  <c r="L119" i="1"/>
  <c r="B119" i="1" s="1"/>
  <c r="M119" i="1"/>
  <c r="C119" i="1" s="1"/>
  <c r="N119" i="1"/>
  <c r="D119" i="1" s="1"/>
  <c r="O119" i="1"/>
  <c r="E119" i="1" s="1"/>
  <c r="L120" i="1"/>
  <c r="B120" i="1" s="1"/>
  <c r="M120" i="1"/>
  <c r="C120" i="1" s="1"/>
  <c r="N120" i="1"/>
  <c r="D120" i="1" s="1"/>
  <c r="O120" i="1"/>
  <c r="E120" i="1" s="1"/>
  <c r="L121" i="1"/>
  <c r="B121" i="1" s="1"/>
  <c r="M121" i="1"/>
  <c r="C121" i="1" s="1"/>
  <c r="N121" i="1"/>
  <c r="D121" i="1" s="1"/>
  <c r="O121" i="1"/>
  <c r="E121" i="1" s="1"/>
  <c r="L122" i="1"/>
  <c r="M122" i="1"/>
  <c r="C122" i="1" s="1"/>
  <c r="N122" i="1"/>
  <c r="D122" i="1" s="1"/>
  <c r="O122" i="1"/>
  <c r="E122" i="1" s="1"/>
  <c r="L123" i="1"/>
  <c r="B123" i="1" s="1"/>
  <c r="M123" i="1"/>
  <c r="C123" i="1" s="1"/>
  <c r="N123" i="1"/>
  <c r="D123" i="1" s="1"/>
  <c r="O123" i="1"/>
  <c r="E123" i="1" s="1"/>
  <c r="L124" i="1"/>
  <c r="M124" i="1"/>
  <c r="N124" i="1"/>
  <c r="O124" i="1"/>
  <c r="E124" i="1" s="1"/>
  <c r="L125" i="1"/>
  <c r="B125" i="1" s="1"/>
  <c r="M125" i="1"/>
  <c r="C125" i="1" s="1"/>
  <c r="N125" i="1"/>
  <c r="D125" i="1" s="1"/>
  <c r="O125" i="1"/>
  <c r="E125" i="1" s="1"/>
  <c r="L126" i="1"/>
  <c r="B126" i="1" s="1"/>
  <c r="M126" i="1"/>
  <c r="C126" i="1" s="1"/>
  <c r="N126" i="1"/>
  <c r="D126" i="1" s="1"/>
  <c r="O126" i="1"/>
  <c r="E126" i="1" s="1"/>
  <c r="L127" i="1"/>
  <c r="B127" i="1" s="1"/>
  <c r="M127" i="1"/>
  <c r="C127" i="1" s="1"/>
  <c r="N127" i="1"/>
  <c r="D127" i="1" s="1"/>
  <c r="O127" i="1"/>
  <c r="E127" i="1" s="1"/>
  <c r="L128" i="1"/>
  <c r="B128" i="1" s="1"/>
  <c r="M128" i="1"/>
  <c r="C128" i="1" s="1"/>
  <c r="N128" i="1"/>
  <c r="D128" i="1" s="1"/>
  <c r="O128" i="1"/>
  <c r="E128" i="1" s="1"/>
  <c r="L129" i="1"/>
  <c r="B129" i="1" s="1"/>
  <c r="M129" i="1"/>
  <c r="C129" i="1" s="1"/>
  <c r="N129" i="1"/>
  <c r="O129" i="1"/>
  <c r="E129" i="1" s="1"/>
  <c r="L130" i="1"/>
  <c r="B130" i="1" s="1"/>
  <c r="M130" i="1"/>
  <c r="C130" i="1" s="1"/>
  <c r="N130" i="1"/>
  <c r="O130" i="1"/>
  <c r="E130" i="1" s="1"/>
  <c r="L131" i="1"/>
  <c r="B131" i="1" s="1"/>
  <c r="M131" i="1"/>
  <c r="C131" i="1" s="1"/>
  <c r="N131" i="1"/>
  <c r="D131" i="1" s="1"/>
  <c r="O131" i="1"/>
  <c r="E131" i="1" s="1"/>
  <c r="L132" i="1"/>
  <c r="B132" i="1" s="1"/>
  <c r="M132" i="1"/>
  <c r="C132" i="1" s="1"/>
  <c r="N132" i="1"/>
  <c r="D132" i="1" s="1"/>
  <c r="O132" i="1"/>
  <c r="L133" i="1"/>
  <c r="M133" i="1"/>
  <c r="C133" i="1" s="1"/>
  <c r="N133" i="1"/>
  <c r="D133" i="1" s="1"/>
  <c r="O133" i="1"/>
  <c r="E133" i="1" s="1"/>
  <c r="L134" i="1"/>
  <c r="B134" i="1" s="1"/>
  <c r="M134" i="1"/>
  <c r="C134" i="1" s="1"/>
  <c r="N134" i="1"/>
  <c r="D134" i="1" s="1"/>
  <c r="O134" i="1"/>
  <c r="E134" i="1" s="1"/>
  <c r="L135" i="1"/>
  <c r="B135" i="1" s="1"/>
  <c r="M135" i="1"/>
  <c r="C135" i="1" s="1"/>
  <c r="N135" i="1"/>
  <c r="D135" i="1" s="1"/>
  <c r="O135" i="1"/>
  <c r="E135" i="1" s="1"/>
  <c r="L136" i="1"/>
  <c r="B136" i="1" s="1"/>
  <c r="M136" i="1"/>
  <c r="C136" i="1" s="1"/>
  <c r="N136" i="1"/>
  <c r="D136" i="1" s="1"/>
  <c r="O136" i="1"/>
  <c r="E136" i="1" s="1"/>
  <c r="L137" i="1"/>
  <c r="B137" i="1" s="1"/>
  <c r="M137" i="1"/>
  <c r="C137" i="1" s="1"/>
  <c r="N137" i="1"/>
  <c r="D137" i="1" s="1"/>
  <c r="O137" i="1"/>
  <c r="E137" i="1" s="1"/>
  <c r="L138" i="1"/>
  <c r="B138" i="1" s="1"/>
  <c r="M138" i="1"/>
  <c r="C138" i="1" s="1"/>
  <c r="N138" i="1"/>
  <c r="D138" i="1" s="1"/>
  <c r="O138" i="1"/>
  <c r="E138" i="1" s="1"/>
  <c r="L139" i="1"/>
  <c r="B139" i="1" s="1"/>
  <c r="M139" i="1"/>
  <c r="C139" i="1" s="1"/>
  <c r="N139" i="1"/>
  <c r="D139" i="1" s="1"/>
  <c r="O139" i="1"/>
  <c r="E139" i="1" s="1"/>
  <c r="L140" i="1"/>
  <c r="B140" i="1" s="1"/>
  <c r="M140" i="1"/>
  <c r="C140" i="1" s="1"/>
  <c r="N140" i="1"/>
  <c r="D140" i="1" s="1"/>
  <c r="O140" i="1"/>
  <c r="E140" i="1" s="1"/>
  <c r="L141" i="1"/>
  <c r="B141" i="1" s="1"/>
  <c r="M141" i="1"/>
  <c r="C141" i="1" s="1"/>
  <c r="N141" i="1"/>
  <c r="D141" i="1" s="1"/>
  <c r="O141" i="1"/>
  <c r="E141" i="1" s="1"/>
  <c r="L142" i="1"/>
  <c r="M142" i="1"/>
  <c r="C142" i="1" s="1"/>
  <c r="N142" i="1"/>
  <c r="D142" i="1" s="1"/>
  <c r="O142" i="1"/>
  <c r="L143" i="1"/>
  <c r="B143" i="1" s="1"/>
  <c r="M143" i="1"/>
  <c r="C143" i="1" s="1"/>
  <c r="N143" i="1"/>
  <c r="D143" i="1" s="1"/>
  <c r="O143" i="1"/>
  <c r="L144" i="1"/>
  <c r="B144" i="1" s="1"/>
  <c r="M144" i="1"/>
  <c r="C144" i="1" s="1"/>
  <c r="N144" i="1"/>
  <c r="D144" i="1" s="1"/>
  <c r="O144" i="1"/>
  <c r="E144" i="1" s="1"/>
  <c r="L145" i="1"/>
  <c r="B145" i="1" s="1"/>
  <c r="M145" i="1"/>
  <c r="C145" i="1" s="1"/>
  <c r="N145" i="1"/>
  <c r="D145" i="1" s="1"/>
  <c r="O145" i="1"/>
  <c r="E145" i="1" s="1"/>
  <c r="L146" i="1"/>
  <c r="B146" i="1" s="1"/>
  <c r="M146" i="1"/>
  <c r="C146" i="1" s="1"/>
  <c r="N146" i="1"/>
  <c r="D146" i="1" s="1"/>
  <c r="O146" i="1"/>
  <c r="E146" i="1" s="1"/>
  <c r="L147" i="1"/>
  <c r="B147" i="1" s="1"/>
  <c r="M147" i="1"/>
  <c r="C147" i="1" s="1"/>
  <c r="N147" i="1"/>
  <c r="D147" i="1" s="1"/>
  <c r="O147" i="1"/>
  <c r="E147" i="1" s="1"/>
  <c r="L148" i="1"/>
  <c r="B148" i="1" s="1"/>
  <c r="M148" i="1"/>
  <c r="C148" i="1" s="1"/>
  <c r="N148" i="1"/>
  <c r="D148" i="1" s="1"/>
  <c r="O148" i="1"/>
  <c r="E148" i="1" s="1"/>
  <c r="L149" i="1"/>
  <c r="M149" i="1"/>
  <c r="N149" i="1"/>
  <c r="D149" i="1" s="1"/>
  <c r="O149" i="1"/>
  <c r="E149" i="1" s="1"/>
  <c r="L150" i="1"/>
  <c r="B150" i="1" s="1"/>
  <c r="M150" i="1"/>
  <c r="C150" i="1" s="1"/>
  <c r="N150" i="1"/>
  <c r="D150" i="1" s="1"/>
  <c r="O150" i="1"/>
  <c r="E150" i="1" s="1"/>
  <c r="L151" i="1"/>
  <c r="B151" i="1" s="1"/>
  <c r="M151" i="1"/>
  <c r="C151" i="1" s="1"/>
  <c r="N151" i="1"/>
  <c r="D151" i="1" s="1"/>
  <c r="O151" i="1"/>
  <c r="E151" i="1" s="1"/>
  <c r="L152" i="1"/>
  <c r="B152" i="1" s="1"/>
  <c r="M152" i="1"/>
  <c r="C152" i="1" s="1"/>
  <c r="N152" i="1"/>
  <c r="D152" i="1" s="1"/>
  <c r="O152" i="1"/>
  <c r="E152" i="1" s="1"/>
  <c r="L153" i="1"/>
  <c r="B153" i="1" s="1"/>
  <c r="M153" i="1"/>
  <c r="C153" i="1" s="1"/>
  <c r="N153" i="1"/>
  <c r="D153" i="1" s="1"/>
  <c r="O153" i="1"/>
  <c r="E153" i="1" s="1"/>
  <c r="L154" i="1"/>
  <c r="B154" i="1" s="1"/>
  <c r="M154" i="1"/>
  <c r="C154" i="1" s="1"/>
  <c r="N154" i="1"/>
  <c r="D154" i="1" s="1"/>
  <c r="O154" i="1"/>
  <c r="E154" i="1" s="1"/>
  <c r="L155" i="1"/>
  <c r="B155" i="1" s="1"/>
  <c r="M155" i="1"/>
  <c r="C155" i="1" s="1"/>
  <c r="N155" i="1"/>
  <c r="D155" i="1" s="1"/>
  <c r="O155" i="1"/>
  <c r="E155" i="1" s="1"/>
  <c r="L156" i="1"/>
  <c r="B156" i="1" s="1"/>
  <c r="M156" i="1"/>
  <c r="C156" i="1" s="1"/>
  <c r="N156" i="1"/>
  <c r="D156" i="1" s="1"/>
  <c r="O156" i="1"/>
  <c r="E156" i="1" s="1"/>
  <c r="L157" i="1"/>
  <c r="M157" i="1"/>
  <c r="C157" i="1" s="1"/>
  <c r="N157" i="1"/>
  <c r="D157" i="1" s="1"/>
  <c r="O157" i="1"/>
  <c r="E157" i="1" s="1"/>
  <c r="L158" i="1"/>
  <c r="B158" i="1" s="1"/>
  <c r="M158" i="1"/>
  <c r="C158" i="1" s="1"/>
  <c r="N158" i="1"/>
  <c r="D158" i="1" s="1"/>
  <c r="O158" i="1"/>
  <c r="E158" i="1" s="1"/>
  <c r="L159" i="1"/>
  <c r="M159" i="1"/>
  <c r="N159" i="1"/>
  <c r="O159" i="1"/>
  <c r="E159" i="1" s="1"/>
  <c r="L160" i="1"/>
  <c r="B160" i="1" s="1"/>
  <c r="M160" i="1"/>
  <c r="N160" i="1"/>
  <c r="O160" i="1"/>
  <c r="L161" i="1"/>
  <c r="B161" i="1" s="1"/>
  <c r="M161" i="1"/>
  <c r="C161" i="1" s="1"/>
  <c r="N161" i="1"/>
  <c r="D161" i="1" s="1"/>
  <c r="O161" i="1"/>
  <c r="E161" i="1" s="1"/>
  <c r="L162" i="1"/>
  <c r="B162" i="1" s="1"/>
  <c r="M162" i="1"/>
  <c r="C162" i="1" s="1"/>
  <c r="N162" i="1"/>
  <c r="D162" i="1" s="1"/>
  <c r="O162" i="1"/>
  <c r="E162" i="1" s="1"/>
  <c r="L163" i="1"/>
  <c r="B163" i="1" s="1"/>
  <c r="M163" i="1"/>
  <c r="C163" i="1" s="1"/>
  <c r="N163" i="1"/>
  <c r="D163" i="1" s="1"/>
  <c r="O163" i="1"/>
  <c r="E163" i="1" s="1"/>
  <c r="L164" i="1"/>
  <c r="B164" i="1" s="1"/>
  <c r="M164" i="1"/>
  <c r="C164" i="1" s="1"/>
  <c r="N164" i="1"/>
  <c r="D164" i="1" s="1"/>
  <c r="O164" i="1"/>
  <c r="E164" i="1" s="1"/>
  <c r="L165" i="1"/>
  <c r="B165" i="1" s="1"/>
  <c r="M165" i="1"/>
  <c r="C165" i="1" s="1"/>
  <c r="N165" i="1"/>
  <c r="D165" i="1" s="1"/>
  <c r="O165" i="1"/>
  <c r="E165" i="1" s="1"/>
  <c r="L166" i="1"/>
  <c r="B166" i="1" s="1"/>
  <c r="M166" i="1"/>
  <c r="C166" i="1" s="1"/>
  <c r="N166" i="1"/>
  <c r="D166" i="1" s="1"/>
  <c r="O166" i="1"/>
  <c r="E166" i="1" s="1"/>
  <c r="L167" i="1"/>
  <c r="B167" i="1" s="1"/>
  <c r="M167" i="1"/>
  <c r="C167" i="1" s="1"/>
  <c r="N167" i="1"/>
  <c r="D167" i="1" s="1"/>
  <c r="O167" i="1"/>
  <c r="E167" i="1" s="1"/>
  <c r="L168" i="1"/>
  <c r="B168" i="1" s="1"/>
  <c r="M168" i="1"/>
  <c r="C168" i="1" s="1"/>
  <c r="N168" i="1"/>
  <c r="D168" i="1" s="1"/>
  <c r="O168" i="1"/>
  <c r="E168" i="1" s="1"/>
  <c r="L169" i="1"/>
  <c r="B169" i="1" s="1"/>
  <c r="M169" i="1"/>
  <c r="C169" i="1" s="1"/>
  <c r="N169" i="1"/>
  <c r="D169" i="1" s="1"/>
  <c r="O169" i="1"/>
  <c r="E169" i="1" s="1"/>
  <c r="L170" i="1"/>
  <c r="M170" i="1"/>
  <c r="N170" i="1"/>
  <c r="O170" i="1"/>
  <c r="E170" i="1" s="1"/>
  <c r="L171" i="1"/>
  <c r="B171" i="1" s="1"/>
  <c r="M171" i="1"/>
  <c r="C171" i="1" s="1"/>
  <c r="N171" i="1"/>
  <c r="D171" i="1" s="1"/>
  <c r="O171" i="1"/>
  <c r="E171" i="1" s="1"/>
  <c r="L172" i="1"/>
  <c r="B172" i="1" s="1"/>
  <c r="M172" i="1"/>
  <c r="C172" i="1" s="1"/>
  <c r="N172" i="1"/>
  <c r="D172" i="1" s="1"/>
  <c r="O172" i="1"/>
  <c r="E172" i="1" s="1"/>
  <c r="L173" i="1"/>
  <c r="B173" i="1" s="1"/>
  <c r="M173" i="1"/>
  <c r="C173" i="1" s="1"/>
  <c r="N173" i="1"/>
  <c r="D173" i="1" s="1"/>
  <c r="O173" i="1"/>
  <c r="E173" i="1" s="1"/>
  <c r="L174" i="1"/>
  <c r="B174" i="1" s="1"/>
  <c r="M174" i="1"/>
  <c r="C174" i="1" s="1"/>
  <c r="N174" i="1"/>
  <c r="D174" i="1" s="1"/>
  <c r="O174" i="1"/>
  <c r="E174" i="1" s="1"/>
  <c r="L175" i="1"/>
  <c r="B175" i="1" s="1"/>
  <c r="M175" i="1"/>
  <c r="C175" i="1" s="1"/>
  <c r="N175" i="1"/>
  <c r="D175" i="1" s="1"/>
  <c r="O175" i="1"/>
  <c r="E175" i="1" s="1"/>
  <c r="L176" i="1"/>
  <c r="B176" i="1" s="1"/>
  <c r="M176" i="1"/>
  <c r="C176" i="1" s="1"/>
  <c r="N176" i="1"/>
  <c r="D176" i="1" s="1"/>
  <c r="O176" i="1"/>
  <c r="E176" i="1" s="1"/>
  <c r="L177" i="1"/>
  <c r="B177" i="1" s="1"/>
  <c r="M177" i="1"/>
  <c r="C177" i="1" s="1"/>
  <c r="N177" i="1"/>
  <c r="D177" i="1" s="1"/>
  <c r="O177" i="1"/>
  <c r="E177" i="1" s="1"/>
  <c r="L178" i="1"/>
  <c r="M178" i="1"/>
  <c r="N178" i="1"/>
  <c r="D178" i="1" s="1"/>
  <c r="O178" i="1"/>
  <c r="E178" i="1" s="1"/>
  <c r="L179" i="1"/>
  <c r="B179" i="1" s="1"/>
  <c r="M179" i="1"/>
  <c r="C179" i="1" s="1"/>
  <c r="N179" i="1"/>
  <c r="D179" i="1" s="1"/>
  <c r="O179" i="1"/>
  <c r="E179" i="1" s="1"/>
  <c r="L180" i="1"/>
  <c r="B180" i="1" s="1"/>
  <c r="M180" i="1"/>
  <c r="C180" i="1" s="1"/>
  <c r="N180" i="1"/>
  <c r="D180" i="1" s="1"/>
  <c r="O180" i="1"/>
  <c r="E180" i="1" s="1"/>
  <c r="L181" i="1"/>
  <c r="B181" i="1" s="1"/>
  <c r="M181" i="1"/>
  <c r="C181" i="1" s="1"/>
  <c r="N181" i="1"/>
  <c r="D181" i="1" s="1"/>
  <c r="O181" i="1"/>
  <c r="E181" i="1" s="1"/>
  <c r="L182" i="1"/>
  <c r="B182" i="1" s="1"/>
  <c r="M182" i="1"/>
  <c r="C182" i="1" s="1"/>
  <c r="N182" i="1"/>
  <c r="D182" i="1" s="1"/>
  <c r="O182" i="1"/>
  <c r="E182" i="1" s="1"/>
  <c r="L183" i="1"/>
  <c r="M183" i="1"/>
  <c r="N183" i="1"/>
  <c r="D183" i="1" s="1"/>
  <c r="O183" i="1"/>
  <c r="E183" i="1" s="1"/>
  <c r="L184" i="1"/>
  <c r="B184" i="1" s="1"/>
  <c r="M184" i="1"/>
  <c r="C184" i="1" s="1"/>
  <c r="N184" i="1"/>
  <c r="D184" i="1" s="1"/>
  <c r="O184" i="1"/>
  <c r="E184" i="1" s="1"/>
  <c r="L185" i="1"/>
  <c r="B185" i="1" s="1"/>
  <c r="M185" i="1"/>
  <c r="C185" i="1" s="1"/>
  <c r="N185" i="1"/>
  <c r="D185" i="1" s="1"/>
  <c r="O185" i="1"/>
  <c r="E185" i="1" s="1"/>
  <c r="L186" i="1"/>
  <c r="M186" i="1"/>
  <c r="C186" i="1" s="1"/>
  <c r="N186" i="1"/>
  <c r="D186" i="1" s="1"/>
  <c r="O186" i="1"/>
  <c r="E186" i="1" s="1"/>
  <c r="L187" i="1"/>
  <c r="B187" i="1" s="1"/>
  <c r="M187" i="1"/>
  <c r="C187" i="1" s="1"/>
  <c r="N187" i="1"/>
  <c r="D187" i="1" s="1"/>
  <c r="O187" i="1"/>
  <c r="E187" i="1" s="1"/>
  <c r="L188" i="1"/>
  <c r="B188" i="1" s="1"/>
  <c r="M188" i="1"/>
  <c r="C188" i="1" s="1"/>
  <c r="N188" i="1"/>
  <c r="D188" i="1" s="1"/>
  <c r="O188" i="1"/>
  <c r="E188" i="1" s="1"/>
  <c r="L189" i="1"/>
  <c r="B189" i="1" s="1"/>
  <c r="M189" i="1"/>
  <c r="C189" i="1" s="1"/>
  <c r="N189" i="1"/>
  <c r="D189" i="1" s="1"/>
  <c r="O189" i="1"/>
  <c r="E189" i="1" s="1"/>
  <c r="L190" i="1"/>
  <c r="B190" i="1" s="1"/>
  <c r="M190" i="1"/>
  <c r="C190" i="1" s="1"/>
  <c r="N190" i="1"/>
  <c r="D190" i="1" s="1"/>
  <c r="O190" i="1"/>
  <c r="E190" i="1" s="1"/>
  <c r="L191" i="1"/>
  <c r="B191" i="1" s="1"/>
  <c r="M191" i="1"/>
  <c r="C191" i="1" s="1"/>
  <c r="N191" i="1"/>
  <c r="D191" i="1" s="1"/>
  <c r="O191" i="1"/>
  <c r="E191" i="1" s="1"/>
  <c r="L192" i="1"/>
  <c r="B192" i="1" s="1"/>
  <c r="M192" i="1"/>
  <c r="C192" i="1" s="1"/>
  <c r="N192" i="1"/>
  <c r="D192" i="1" s="1"/>
  <c r="O192" i="1"/>
  <c r="E192" i="1" s="1"/>
  <c r="L193" i="1"/>
  <c r="B193" i="1" s="1"/>
  <c r="M193" i="1"/>
  <c r="C193" i="1" s="1"/>
  <c r="N193" i="1"/>
  <c r="D193" i="1" s="1"/>
  <c r="O193" i="1"/>
  <c r="E193" i="1" s="1"/>
  <c r="L194" i="1"/>
  <c r="B194" i="1" s="1"/>
  <c r="M194" i="1"/>
  <c r="C194" i="1" s="1"/>
  <c r="N194" i="1"/>
  <c r="D194" i="1" s="1"/>
  <c r="O194" i="1"/>
  <c r="E194" i="1" s="1"/>
  <c r="L195" i="1"/>
  <c r="B195" i="1" s="1"/>
  <c r="M195" i="1"/>
  <c r="C195" i="1" s="1"/>
  <c r="N195" i="1"/>
  <c r="O195" i="1"/>
  <c r="E195" i="1" s="1"/>
  <c r="L196" i="1"/>
  <c r="B196" i="1" s="1"/>
  <c r="M196" i="1"/>
  <c r="C196" i="1" s="1"/>
  <c r="N196" i="1"/>
  <c r="O196" i="1"/>
  <c r="E196" i="1" s="1"/>
  <c r="L197" i="1"/>
  <c r="M197" i="1"/>
  <c r="N197" i="1"/>
  <c r="D197" i="1" s="1"/>
  <c r="O197" i="1"/>
  <c r="E197" i="1" s="1"/>
  <c r="L198" i="1"/>
  <c r="B198" i="1" s="1"/>
  <c r="M198" i="1"/>
  <c r="C198" i="1" s="1"/>
  <c r="N198" i="1"/>
  <c r="D198" i="1" s="1"/>
  <c r="O198" i="1"/>
  <c r="E198" i="1" s="1"/>
  <c r="L199" i="1"/>
  <c r="B199" i="1" s="1"/>
  <c r="M199" i="1"/>
  <c r="C199" i="1" s="1"/>
  <c r="N199" i="1"/>
  <c r="D199" i="1" s="1"/>
  <c r="O199" i="1"/>
  <c r="E199" i="1" s="1"/>
  <c r="L200" i="1"/>
  <c r="B200" i="1" s="1"/>
  <c r="M200" i="1"/>
  <c r="C200" i="1" s="1"/>
  <c r="N200" i="1"/>
  <c r="D200" i="1" s="1"/>
  <c r="O200" i="1"/>
  <c r="E200" i="1" s="1"/>
  <c r="L201" i="1"/>
  <c r="B201" i="1" s="1"/>
  <c r="M201" i="1"/>
  <c r="C201" i="1" s="1"/>
  <c r="N201" i="1"/>
  <c r="D201" i="1" s="1"/>
  <c r="O201" i="1"/>
  <c r="L202" i="1"/>
  <c r="B202" i="1" s="1"/>
  <c r="M202" i="1"/>
  <c r="C202" i="1" s="1"/>
  <c r="N202" i="1"/>
  <c r="D202" i="1" s="1"/>
  <c r="O202" i="1"/>
  <c r="L203" i="1"/>
  <c r="B203" i="1" s="1"/>
  <c r="M203" i="1"/>
  <c r="C203" i="1" s="1"/>
  <c r="N203" i="1"/>
  <c r="D203" i="1" s="1"/>
  <c r="O203" i="1"/>
  <c r="E203" i="1" s="1"/>
  <c r="L204" i="1"/>
  <c r="B204" i="1" s="1"/>
  <c r="M204" i="1"/>
  <c r="C204" i="1" s="1"/>
  <c r="N204" i="1"/>
  <c r="D204" i="1" s="1"/>
  <c r="O204" i="1"/>
  <c r="E204" i="1" s="1"/>
  <c r="L205" i="1"/>
  <c r="B205" i="1" s="1"/>
  <c r="M205" i="1"/>
  <c r="C205" i="1" s="1"/>
  <c r="N205" i="1"/>
  <c r="D205" i="1" s="1"/>
  <c r="O205" i="1"/>
  <c r="E205" i="1" s="1"/>
  <c r="L206" i="1"/>
  <c r="B206" i="1" s="1"/>
  <c r="M206" i="1"/>
  <c r="C206" i="1" s="1"/>
  <c r="N206" i="1"/>
  <c r="D206" i="1" s="1"/>
  <c r="O206" i="1"/>
  <c r="E206" i="1" s="1"/>
  <c r="L207" i="1"/>
  <c r="B207" i="1" s="1"/>
  <c r="M207" i="1"/>
  <c r="C207" i="1" s="1"/>
  <c r="N207" i="1"/>
  <c r="D207" i="1" s="1"/>
  <c r="O207" i="1"/>
  <c r="E207" i="1" s="1"/>
  <c r="L208" i="1"/>
  <c r="B208" i="1" s="1"/>
  <c r="M208" i="1"/>
  <c r="C208" i="1" s="1"/>
  <c r="N208" i="1"/>
  <c r="D208" i="1" s="1"/>
  <c r="O208" i="1"/>
  <c r="E208" i="1" s="1"/>
  <c r="L209" i="1"/>
  <c r="B209" i="1" s="1"/>
  <c r="M209" i="1"/>
  <c r="C209" i="1" s="1"/>
  <c r="N209" i="1"/>
  <c r="D209" i="1" s="1"/>
  <c r="O209" i="1"/>
  <c r="E209" i="1" s="1"/>
  <c r="L210" i="1"/>
  <c r="B210" i="1" s="1"/>
  <c r="M210" i="1"/>
  <c r="C210" i="1" s="1"/>
  <c r="N210" i="1"/>
  <c r="D210" i="1" s="1"/>
  <c r="O210" i="1"/>
  <c r="E210" i="1" s="1"/>
  <c r="L211" i="1"/>
  <c r="B211" i="1" s="1"/>
  <c r="M211" i="1"/>
  <c r="C211" i="1" s="1"/>
  <c r="N211" i="1"/>
  <c r="D211" i="1" s="1"/>
  <c r="O211" i="1"/>
  <c r="E211" i="1" s="1"/>
  <c r="L212" i="1"/>
  <c r="B212" i="1" s="1"/>
  <c r="M212" i="1"/>
  <c r="C212" i="1" s="1"/>
  <c r="N212" i="1"/>
  <c r="D212" i="1" s="1"/>
  <c r="O212" i="1"/>
  <c r="E212" i="1" s="1"/>
  <c r="L213" i="1"/>
  <c r="B213" i="1" s="1"/>
  <c r="M213" i="1"/>
  <c r="C213" i="1" s="1"/>
  <c r="N213" i="1"/>
  <c r="D213" i="1" s="1"/>
  <c r="O213" i="1"/>
  <c r="E213" i="1" s="1"/>
  <c r="L214" i="1"/>
  <c r="B214" i="1" s="1"/>
  <c r="M214" i="1"/>
  <c r="C214" i="1" s="1"/>
  <c r="N214" i="1"/>
  <c r="D214" i="1" s="1"/>
  <c r="O214" i="1"/>
  <c r="E214" i="1" s="1"/>
  <c r="L215" i="1"/>
  <c r="B215" i="1" s="1"/>
  <c r="M215" i="1"/>
  <c r="C215" i="1" s="1"/>
  <c r="N215" i="1"/>
  <c r="D215" i="1" s="1"/>
  <c r="O215" i="1"/>
  <c r="E215" i="1" s="1"/>
  <c r="L216" i="1"/>
  <c r="M216" i="1"/>
  <c r="N216" i="1"/>
  <c r="D216" i="1" s="1"/>
  <c r="O216" i="1"/>
  <c r="E216" i="1" s="1"/>
  <c r="L217" i="1"/>
  <c r="B217" i="1" s="1"/>
  <c r="M217" i="1"/>
  <c r="C217" i="1" s="1"/>
  <c r="N217" i="1"/>
  <c r="D217" i="1" s="1"/>
  <c r="O217" i="1"/>
  <c r="E217" i="1" s="1"/>
  <c r="L218" i="1"/>
  <c r="B218" i="1" s="1"/>
  <c r="M218" i="1"/>
  <c r="C218" i="1" s="1"/>
  <c r="N218" i="1"/>
  <c r="D218" i="1" s="1"/>
  <c r="O218" i="1"/>
  <c r="E218" i="1" s="1"/>
  <c r="L219" i="1"/>
  <c r="B219" i="1" s="1"/>
  <c r="M219" i="1"/>
  <c r="C219" i="1" s="1"/>
  <c r="N219" i="1"/>
  <c r="D219" i="1" s="1"/>
  <c r="O219" i="1"/>
  <c r="E219" i="1" s="1"/>
  <c r="L220" i="1"/>
  <c r="B220" i="1" s="1"/>
  <c r="M220" i="1"/>
  <c r="C220" i="1" s="1"/>
  <c r="N220" i="1"/>
  <c r="D220" i="1" s="1"/>
  <c r="O220" i="1"/>
  <c r="E220" i="1" s="1"/>
  <c r="L221" i="1"/>
  <c r="M221" i="1"/>
  <c r="C221" i="1" s="1"/>
  <c r="N221" i="1"/>
  <c r="D221" i="1" s="1"/>
  <c r="O221" i="1"/>
  <c r="E221" i="1" s="1"/>
  <c r="L222" i="1"/>
  <c r="B222" i="1" s="1"/>
  <c r="M222" i="1"/>
  <c r="C222" i="1" s="1"/>
  <c r="N222" i="1"/>
  <c r="D222" i="1" s="1"/>
  <c r="O222" i="1"/>
  <c r="E222" i="1" s="1"/>
  <c r="L223" i="1"/>
  <c r="B223" i="1" s="1"/>
  <c r="M223" i="1"/>
  <c r="C223" i="1" s="1"/>
  <c r="N223" i="1"/>
  <c r="D223" i="1" s="1"/>
  <c r="O223" i="1"/>
  <c r="E223" i="1" s="1"/>
  <c r="L224" i="1"/>
  <c r="B224" i="1" s="1"/>
  <c r="M224" i="1"/>
  <c r="C224" i="1" s="1"/>
  <c r="N224" i="1"/>
  <c r="D224" i="1" s="1"/>
  <c r="O224" i="1"/>
  <c r="E224" i="1" s="1"/>
  <c r="L225" i="1"/>
  <c r="B225" i="1" s="1"/>
  <c r="M225" i="1"/>
  <c r="C225" i="1" s="1"/>
  <c r="N225" i="1"/>
  <c r="D225" i="1" s="1"/>
  <c r="O225" i="1"/>
  <c r="E225" i="1" s="1"/>
  <c r="L226" i="1"/>
  <c r="B226" i="1" s="1"/>
  <c r="M226" i="1"/>
  <c r="C226" i="1" s="1"/>
  <c r="N226" i="1"/>
  <c r="D226" i="1" s="1"/>
  <c r="O226" i="1"/>
  <c r="E226" i="1" s="1"/>
  <c r="L227" i="1"/>
  <c r="B227" i="1" s="1"/>
  <c r="M227" i="1"/>
  <c r="C227" i="1" s="1"/>
  <c r="N227" i="1"/>
  <c r="D227" i="1" s="1"/>
  <c r="O227" i="1"/>
  <c r="E227" i="1" s="1"/>
  <c r="L228" i="1"/>
  <c r="B228" i="1" s="1"/>
  <c r="M228" i="1"/>
  <c r="C228" i="1" s="1"/>
  <c r="N228" i="1"/>
  <c r="D228" i="1" s="1"/>
  <c r="O228" i="1"/>
  <c r="E228" i="1" s="1"/>
  <c r="L229" i="1"/>
  <c r="B229" i="1" s="1"/>
  <c r="M229" i="1"/>
  <c r="C229" i="1" s="1"/>
  <c r="N229" i="1"/>
  <c r="D229" i="1" s="1"/>
  <c r="O229" i="1"/>
  <c r="E229" i="1" s="1"/>
  <c r="L230" i="1"/>
  <c r="B230" i="1" s="1"/>
  <c r="M230" i="1"/>
  <c r="C230" i="1" s="1"/>
  <c r="N230" i="1"/>
  <c r="D230" i="1" s="1"/>
  <c r="O230" i="1"/>
  <c r="E230" i="1" s="1"/>
  <c r="L231" i="1"/>
  <c r="B231" i="1" s="1"/>
  <c r="M231" i="1"/>
  <c r="C231" i="1" s="1"/>
  <c r="N231" i="1"/>
  <c r="D231" i="1" s="1"/>
  <c r="O231" i="1"/>
  <c r="E231" i="1" s="1"/>
  <c r="L232" i="1"/>
  <c r="B232" i="1" s="1"/>
  <c r="M232" i="1"/>
  <c r="C232" i="1" s="1"/>
  <c r="N232" i="1"/>
  <c r="D232" i="1" s="1"/>
  <c r="O232" i="1"/>
  <c r="E232" i="1" s="1"/>
  <c r="L233" i="1"/>
  <c r="B233" i="1" s="1"/>
  <c r="M233" i="1"/>
  <c r="C233" i="1" s="1"/>
  <c r="N233" i="1"/>
  <c r="D233" i="1" s="1"/>
  <c r="O233" i="1"/>
  <c r="E233" i="1" s="1"/>
  <c r="L234" i="1"/>
  <c r="B234" i="1" s="1"/>
  <c r="M234" i="1"/>
  <c r="C234" i="1" s="1"/>
  <c r="N234" i="1"/>
  <c r="D234" i="1" s="1"/>
  <c r="O234" i="1"/>
  <c r="E234" i="1" s="1"/>
  <c r="L235" i="1"/>
  <c r="B235" i="1" s="1"/>
  <c r="M235" i="1"/>
  <c r="C235" i="1" s="1"/>
  <c r="N235" i="1"/>
  <c r="D235" i="1" s="1"/>
  <c r="O235" i="1"/>
  <c r="E235" i="1" s="1"/>
  <c r="L236" i="1"/>
  <c r="B236" i="1" s="1"/>
  <c r="M236" i="1"/>
  <c r="C236" i="1" s="1"/>
  <c r="N236" i="1"/>
  <c r="D236" i="1" s="1"/>
  <c r="O236" i="1"/>
  <c r="E236" i="1" s="1"/>
  <c r="L237" i="1"/>
  <c r="B237" i="1" s="1"/>
  <c r="M237" i="1"/>
  <c r="C237" i="1" s="1"/>
  <c r="N237" i="1"/>
  <c r="D237" i="1" s="1"/>
  <c r="O237" i="1"/>
  <c r="E237" i="1" s="1"/>
  <c r="L238" i="1"/>
  <c r="B238" i="1" s="1"/>
  <c r="M238" i="1"/>
  <c r="C238" i="1" s="1"/>
  <c r="N238" i="1"/>
  <c r="D238" i="1" s="1"/>
  <c r="O238" i="1"/>
  <c r="E238" i="1" s="1"/>
  <c r="L239" i="1"/>
  <c r="B239" i="1" s="1"/>
  <c r="M239" i="1"/>
  <c r="C239" i="1" s="1"/>
  <c r="N239" i="1"/>
  <c r="D239" i="1" s="1"/>
  <c r="O239" i="1"/>
  <c r="E239" i="1" s="1"/>
  <c r="L240" i="1"/>
  <c r="B240" i="1" s="1"/>
  <c r="M240" i="1"/>
  <c r="C240" i="1" s="1"/>
  <c r="N240" i="1"/>
  <c r="D240" i="1" s="1"/>
  <c r="O240" i="1"/>
  <c r="E240" i="1" s="1"/>
  <c r="L241" i="1"/>
  <c r="B241" i="1" s="1"/>
  <c r="M241" i="1"/>
  <c r="C241" i="1" s="1"/>
  <c r="N241" i="1"/>
  <c r="D241" i="1" s="1"/>
  <c r="O241" i="1"/>
  <c r="E241" i="1" s="1"/>
  <c r="L242" i="1"/>
  <c r="B242" i="1" s="1"/>
  <c r="M242" i="1"/>
  <c r="C242" i="1" s="1"/>
  <c r="N242" i="1"/>
  <c r="D242" i="1" s="1"/>
  <c r="O242" i="1"/>
  <c r="E242" i="1" s="1"/>
  <c r="L243" i="1"/>
  <c r="B243" i="1" s="1"/>
  <c r="M243" i="1"/>
  <c r="C243" i="1" s="1"/>
  <c r="N243" i="1"/>
  <c r="D243" i="1" s="1"/>
  <c r="O243" i="1"/>
  <c r="E243" i="1" s="1"/>
  <c r="L244" i="1"/>
  <c r="B244" i="1" s="1"/>
  <c r="M244" i="1"/>
  <c r="C244" i="1" s="1"/>
  <c r="N244" i="1"/>
  <c r="D244" i="1" s="1"/>
  <c r="O244" i="1"/>
  <c r="E244" i="1" s="1"/>
  <c r="L245" i="1"/>
  <c r="B245" i="1" s="1"/>
  <c r="M245" i="1"/>
  <c r="C245" i="1" s="1"/>
  <c r="N245" i="1"/>
  <c r="D245" i="1" s="1"/>
  <c r="O245" i="1"/>
  <c r="E245" i="1" s="1"/>
  <c r="L246" i="1"/>
  <c r="B246" i="1" s="1"/>
  <c r="M246" i="1"/>
  <c r="C246" i="1" s="1"/>
  <c r="N246" i="1"/>
  <c r="D246" i="1" s="1"/>
  <c r="O246" i="1"/>
  <c r="E246" i="1" s="1"/>
  <c r="L247" i="1"/>
  <c r="B247" i="1" s="1"/>
  <c r="M247" i="1"/>
  <c r="C247" i="1" s="1"/>
  <c r="N247" i="1"/>
  <c r="D247" i="1" s="1"/>
  <c r="O247" i="1"/>
  <c r="E247" i="1" s="1"/>
  <c r="L248" i="1"/>
  <c r="B248" i="1" s="1"/>
  <c r="M248" i="1"/>
  <c r="C248" i="1" s="1"/>
  <c r="N248" i="1"/>
  <c r="D248" i="1" s="1"/>
  <c r="O248" i="1"/>
  <c r="E248" i="1" s="1"/>
  <c r="L249" i="1"/>
  <c r="B249" i="1" s="1"/>
  <c r="M249" i="1"/>
  <c r="C249" i="1" s="1"/>
  <c r="N249" i="1"/>
  <c r="D249" i="1" s="1"/>
  <c r="O249" i="1"/>
  <c r="E249" i="1" s="1"/>
  <c r="L250" i="1"/>
  <c r="B250" i="1" s="1"/>
  <c r="M250" i="1"/>
  <c r="C250" i="1" s="1"/>
  <c r="N250" i="1"/>
  <c r="D250" i="1" s="1"/>
  <c r="O250" i="1"/>
  <c r="E250" i="1" s="1"/>
  <c r="L251" i="1"/>
  <c r="B251" i="1" s="1"/>
  <c r="M251" i="1"/>
  <c r="C251" i="1" s="1"/>
  <c r="N251" i="1"/>
  <c r="D251" i="1" s="1"/>
  <c r="O251" i="1"/>
  <c r="E251" i="1" s="1"/>
  <c r="L252" i="1"/>
  <c r="B252" i="1" s="1"/>
  <c r="M252" i="1"/>
  <c r="C252" i="1" s="1"/>
  <c r="N252" i="1"/>
  <c r="D252" i="1" s="1"/>
  <c r="O252" i="1"/>
  <c r="E252" i="1" s="1"/>
  <c r="L253" i="1"/>
  <c r="B253" i="1" s="1"/>
  <c r="M253" i="1"/>
  <c r="C253" i="1" s="1"/>
  <c r="N253" i="1"/>
  <c r="D253" i="1" s="1"/>
  <c r="O253" i="1"/>
  <c r="E253" i="1" s="1"/>
  <c r="L254" i="1"/>
  <c r="B254" i="1" s="1"/>
  <c r="M254" i="1"/>
  <c r="C254" i="1" s="1"/>
  <c r="N254" i="1"/>
  <c r="D254" i="1" s="1"/>
  <c r="O254" i="1"/>
  <c r="E254" i="1" s="1"/>
  <c r="L255" i="1"/>
  <c r="B255" i="1" s="1"/>
  <c r="M255" i="1"/>
  <c r="C255" i="1" s="1"/>
  <c r="N255" i="1"/>
  <c r="D255" i="1" s="1"/>
  <c r="O255" i="1"/>
  <c r="E255" i="1" s="1"/>
  <c r="L256" i="1"/>
  <c r="B256" i="1" s="1"/>
  <c r="M256" i="1"/>
  <c r="C256" i="1" s="1"/>
  <c r="N256" i="1"/>
  <c r="D256" i="1" s="1"/>
  <c r="O256" i="1"/>
  <c r="E256" i="1" s="1"/>
  <c r="L257" i="1"/>
  <c r="B257" i="1" s="1"/>
  <c r="M257" i="1"/>
  <c r="C257" i="1" s="1"/>
  <c r="N257" i="1"/>
  <c r="D257" i="1" s="1"/>
  <c r="O257" i="1"/>
  <c r="E257" i="1" s="1"/>
  <c r="L258" i="1"/>
  <c r="B258" i="1" s="1"/>
  <c r="M258" i="1"/>
  <c r="C258" i="1" s="1"/>
  <c r="N258" i="1"/>
  <c r="D258" i="1" s="1"/>
  <c r="O258" i="1"/>
  <c r="L259" i="1"/>
  <c r="B259" i="1" s="1"/>
  <c r="M259" i="1"/>
  <c r="C259" i="1" s="1"/>
  <c r="N259" i="1"/>
  <c r="D259" i="1" s="1"/>
  <c r="O259" i="1"/>
  <c r="L260" i="1"/>
  <c r="B260" i="1" s="1"/>
  <c r="M260" i="1"/>
  <c r="C260" i="1" s="1"/>
  <c r="N260" i="1"/>
  <c r="D260" i="1" s="1"/>
  <c r="O260" i="1"/>
  <c r="E260" i="1" s="1"/>
  <c r="L261" i="1"/>
  <c r="B261" i="1" s="1"/>
  <c r="M261" i="1"/>
  <c r="C261" i="1" s="1"/>
  <c r="N261" i="1"/>
  <c r="D261" i="1" s="1"/>
  <c r="O261" i="1"/>
  <c r="E261" i="1" s="1"/>
  <c r="L262" i="1"/>
  <c r="B262" i="1" s="1"/>
  <c r="M262" i="1"/>
  <c r="N262" i="1"/>
  <c r="D262" i="1" s="1"/>
  <c r="O262" i="1"/>
  <c r="E262" i="1" s="1"/>
  <c r="L263" i="1"/>
  <c r="B263" i="1" s="1"/>
  <c r="M263" i="1"/>
  <c r="C263" i="1" s="1"/>
  <c r="N263" i="1"/>
  <c r="D263" i="1" s="1"/>
  <c r="O263" i="1"/>
  <c r="E263" i="1" s="1"/>
  <c r="L264" i="1"/>
  <c r="B264" i="1" s="1"/>
  <c r="M264" i="1"/>
  <c r="C264" i="1" s="1"/>
  <c r="N264" i="1"/>
  <c r="D264" i="1" s="1"/>
  <c r="O264" i="1"/>
  <c r="E264" i="1" s="1"/>
  <c r="L265" i="1"/>
  <c r="B265" i="1" s="1"/>
  <c r="M265" i="1"/>
  <c r="C265" i="1" s="1"/>
  <c r="N265" i="1"/>
  <c r="D265" i="1" s="1"/>
  <c r="O265" i="1"/>
  <c r="E265" i="1" s="1"/>
  <c r="L266" i="1"/>
  <c r="B266" i="1" s="1"/>
  <c r="M266" i="1"/>
  <c r="C266" i="1" s="1"/>
  <c r="N266" i="1"/>
  <c r="D266" i="1" s="1"/>
  <c r="O266" i="1"/>
  <c r="E266" i="1" s="1"/>
  <c r="L267" i="1"/>
  <c r="B267" i="1" s="1"/>
  <c r="M267" i="1"/>
  <c r="C267" i="1" s="1"/>
  <c r="N267" i="1"/>
  <c r="D267" i="1" s="1"/>
  <c r="O267" i="1"/>
  <c r="E267" i="1" s="1"/>
  <c r="L268" i="1"/>
  <c r="B268" i="1" s="1"/>
  <c r="M268" i="1"/>
  <c r="C268" i="1" s="1"/>
  <c r="N268" i="1"/>
  <c r="D268" i="1" s="1"/>
  <c r="O268" i="1"/>
  <c r="E268" i="1" s="1"/>
  <c r="L269" i="1"/>
  <c r="B269" i="1" s="1"/>
  <c r="M269" i="1"/>
  <c r="C269" i="1" s="1"/>
  <c r="N269" i="1"/>
  <c r="D269" i="1" s="1"/>
  <c r="O269" i="1"/>
  <c r="E269" i="1" s="1"/>
  <c r="L270" i="1"/>
  <c r="B270" i="1" s="1"/>
  <c r="M270" i="1"/>
  <c r="C270" i="1" s="1"/>
  <c r="N270" i="1"/>
  <c r="D270" i="1" s="1"/>
  <c r="O270" i="1"/>
  <c r="E270" i="1" s="1"/>
  <c r="L271" i="1"/>
  <c r="B271" i="1" s="1"/>
  <c r="M271" i="1"/>
  <c r="C271" i="1" s="1"/>
  <c r="N271" i="1"/>
  <c r="D271" i="1" s="1"/>
  <c r="O271" i="1"/>
  <c r="E271" i="1" s="1"/>
  <c r="L272" i="1"/>
  <c r="B272" i="1" s="1"/>
  <c r="M272" i="1"/>
  <c r="C272" i="1" s="1"/>
  <c r="N272" i="1"/>
  <c r="D272" i="1" s="1"/>
  <c r="O272" i="1"/>
  <c r="E272" i="1" s="1"/>
  <c r="L273" i="1"/>
  <c r="B273" i="1" s="1"/>
  <c r="M273" i="1"/>
  <c r="C273" i="1" s="1"/>
  <c r="N273" i="1"/>
  <c r="D273" i="1" s="1"/>
  <c r="O273" i="1"/>
  <c r="E273" i="1" s="1"/>
  <c r="L274" i="1"/>
  <c r="B274" i="1" s="1"/>
  <c r="M274" i="1"/>
  <c r="C274" i="1" s="1"/>
  <c r="N274" i="1"/>
  <c r="D274" i="1" s="1"/>
  <c r="O274" i="1"/>
  <c r="E274" i="1" s="1"/>
  <c r="L275" i="1"/>
  <c r="B275" i="1" s="1"/>
  <c r="M275" i="1"/>
  <c r="C275" i="1" s="1"/>
  <c r="N275" i="1"/>
  <c r="D275" i="1" s="1"/>
  <c r="O275" i="1"/>
  <c r="E275" i="1" s="1"/>
  <c r="L276" i="1"/>
  <c r="B276" i="1" s="1"/>
  <c r="M276" i="1"/>
  <c r="C276" i="1" s="1"/>
  <c r="N276" i="1"/>
  <c r="D276" i="1" s="1"/>
  <c r="O276" i="1"/>
  <c r="E276" i="1" s="1"/>
  <c r="L277" i="1"/>
  <c r="B277" i="1" s="1"/>
  <c r="M277" i="1"/>
  <c r="C277" i="1" s="1"/>
  <c r="N277" i="1"/>
  <c r="O277" i="1"/>
  <c r="E277" i="1" s="1"/>
  <c r="L278" i="1"/>
  <c r="M278" i="1"/>
  <c r="N278" i="1"/>
  <c r="O278" i="1"/>
  <c r="E278" i="1" s="1"/>
  <c r="L279" i="1"/>
  <c r="B279" i="1" s="1"/>
  <c r="M279" i="1"/>
  <c r="N279" i="1"/>
  <c r="O279" i="1"/>
  <c r="L280" i="1"/>
  <c r="B280" i="1" s="1"/>
  <c r="M280" i="1"/>
  <c r="C280" i="1" s="1"/>
  <c r="N280" i="1"/>
  <c r="D280" i="1" s="1"/>
  <c r="O280" i="1"/>
  <c r="E280" i="1" s="1"/>
  <c r="L281" i="1"/>
  <c r="B281" i="1" s="1"/>
  <c r="M281" i="1"/>
  <c r="C281" i="1" s="1"/>
  <c r="N281" i="1"/>
  <c r="D281" i="1" s="1"/>
  <c r="O281" i="1"/>
  <c r="E281" i="1" s="1"/>
  <c r="L282" i="1"/>
  <c r="B282" i="1" s="1"/>
  <c r="M282" i="1"/>
  <c r="C282" i="1" s="1"/>
  <c r="N282" i="1"/>
  <c r="D282" i="1" s="1"/>
  <c r="O282" i="1"/>
  <c r="E282" i="1" s="1"/>
  <c r="L283" i="1"/>
  <c r="B283" i="1" s="1"/>
  <c r="M283" i="1"/>
  <c r="C283" i="1" s="1"/>
  <c r="N283" i="1"/>
  <c r="D283" i="1" s="1"/>
  <c r="O283" i="1"/>
  <c r="E283" i="1" s="1"/>
  <c r="L284" i="1"/>
  <c r="B284" i="1" s="1"/>
  <c r="M284" i="1"/>
  <c r="C284" i="1" s="1"/>
  <c r="N284" i="1"/>
  <c r="D284" i="1" s="1"/>
  <c r="O284" i="1"/>
  <c r="E284" i="1" s="1"/>
  <c r="L285" i="1"/>
  <c r="B285" i="1" s="1"/>
  <c r="M285" i="1"/>
  <c r="C285" i="1" s="1"/>
  <c r="N285" i="1"/>
  <c r="D285" i="1" s="1"/>
  <c r="O285" i="1"/>
  <c r="E285" i="1" s="1"/>
  <c r="L286" i="1"/>
  <c r="B286" i="1" s="1"/>
  <c r="M286" i="1"/>
  <c r="C286" i="1" s="1"/>
  <c r="N286" i="1"/>
  <c r="D286" i="1" s="1"/>
  <c r="O286" i="1"/>
  <c r="E286" i="1" s="1"/>
  <c r="L287" i="1"/>
  <c r="B287" i="1" s="1"/>
  <c r="M287" i="1"/>
  <c r="C287" i="1" s="1"/>
  <c r="N287" i="1"/>
  <c r="D287" i="1" s="1"/>
  <c r="O287" i="1"/>
  <c r="E287" i="1" s="1"/>
  <c r="L288" i="1"/>
  <c r="B288" i="1" s="1"/>
  <c r="M288" i="1"/>
  <c r="C288" i="1" s="1"/>
  <c r="N288" i="1"/>
  <c r="D288" i="1" s="1"/>
  <c r="O288" i="1"/>
  <c r="E288" i="1" s="1"/>
  <c r="L289" i="1"/>
  <c r="B289" i="1" s="1"/>
  <c r="M289" i="1"/>
  <c r="C289" i="1" s="1"/>
  <c r="N289" i="1"/>
  <c r="D289" i="1" s="1"/>
  <c r="O289" i="1"/>
  <c r="E289" i="1" s="1"/>
  <c r="L290" i="1"/>
  <c r="B290" i="1" s="1"/>
  <c r="M290" i="1"/>
  <c r="C290" i="1" s="1"/>
  <c r="N290" i="1"/>
  <c r="D290" i="1" s="1"/>
  <c r="O290" i="1"/>
  <c r="E290" i="1" s="1"/>
  <c r="L291" i="1"/>
  <c r="B291" i="1" s="1"/>
  <c r="M291" i="1"/>
  <c r="C291" i="1" s="1"/>
  <c r="N291" i="1"/>
  <c r="D291" i="1" s="1"/>
  <c r="O291" i="1"/>
  <c r="E291" i="1" s="1"/>
  <c r="L292" i="1"/>
  <c r="B292" i="1" s="1"/>
  <c r="M292" i="1"/>
  <c r="C292" i="1" s="1"/>
  <c r="N292" i="1"/>
  <c r="D292" i="1" s="1"/>
  <c r="O292" i="1"/>
  <c r="E292" i="1" s="1"/>
  <c r="L293" i="1"/>
  <c r="B293" i="1" s="1"/>
  <c r="M293" i="1"/>
  <c r="C293" i="1" s="1"/>
  <c r="N293" i="1"/>
  <c r="D293" i="1" s="1"/>
  <c r="O293" i="1"/>
  <c r="E293" i="1" s="1"/>
  <c r="L294" i="1"/>
  <c r="B294" i="1" s="1"/>
  <c r="M294" i="1"/>
  <c r="C294" i="1" s="1"/>
  <c r="N294" i="1"/>
  <c r="D294" i="1" s="1"/>
  <c r="O294" i="1"/>
  <c r="E294" i="1" s="1"/>
  <c r="L295" i="1"/>
  <c r="B295" i="1" s="1"/>
  <c r="M295" i="1"/>
  <c r="C295" i="1" s="1"/>
  <c r="N295" i="1"/>
  <c r="D295" i="1" s="1"/>
  <c r="O295" i="1"/>
  <c r="E295" i="1" s="1"/>
  <c r="L296" i="1"/>
  <c r="B296" i="1" s="1"/>
  <c r="M296" i="1"/>
  <c r="C296" i="1" s="1"/>
  <c r="N296" i="1"/>
  <c r="D296" i="1" s="1"/>
  <c r="O296" i="1"/>
  <c r="E296" i="1" s="1"/>
  <c r="L297" i="1"/>
  <c r="M297" i="1"/>
  <c r="C297" i="1" s="1"/>
  <c r="N297" i="1"/>
  <c r="D297" i="1" s="1"/>
  <c r="O297" i="1"/>
  <c r="E297" i="1" s="1"/>
  <c r="L298" i="1"/>
  <c r="B298" i="1" s="1"/>
  <c r="M298" i="1"/>
  <c r="C298" i="1" s="1"/>
  <c r="N298" i="1"/>
  <c r="D298" i="1" s="1"/>
  <c r="O298" i="1"/>
  <c r="E298" i="1" s="1"/>
  <c r="L299" i="1"/>
  <c r="B299" i="1" s="1"/>
  <c r="M299" i="1"/>
  <c r="C299" i="1" s="1"/>
  <c r="N299" i="1"/>
  <c r="D299" i="1" s="1"/>
  <c r="O299" i="1"/>
  <c r="E299" i="1" s="1"/>
  <c r="L300" i="1"/>
  <c r="B300" i="1" s="1"/>
  <c r="M300" i="1"/>
  <c r="C300" i="1" s="1"/>
  <c r="N300" i="1"/>
  <c r="D300" i="1" s="1"/>
  <c r="O300" i="1"/>
  <c r="E300" i="1" s="1"/>
  <c r="L301" i="1"/>
  <c r="B301" i="1" s="1"/>
  <c r="M301" i="1"/>
  <c r="C301" i="1" s="1"/>
  <c r="N301" i="1"/>
  <c r="D301" i="1" s="1"/>
  <c r="O301" i="1"/>
  <c r="E301" i="1" s="1"/>
  <c r="L302" i="1"/>
  <c r="B302" i="1" s="1"/>
  <c r="M302" i="1"/>
  <c r="C302" i="1" s="1"/>
  <c r="N302" i="1"/>
  <c r="D302" i="1" s="1"/>
  <c r="O302" i="1"/>
  <c r="E302" i="1" s="1"/>
  <c r="L303" i="1"/>
  <c r="B303" i="1" s="1"/>
  <c r="M303" i="1"/>
  <c r="C303" i="1" s="1"/>
  <c r="N303" i="1"/>
  <c r="D303" i="1" s="1"/>
  <c r="O303" i="1"/>
  <c r="E303" i="1" s="1"/>
  <c r="L304" i="1"/>
  <c r="B304" i="1" s="1"/>
  <c r="M304" i="1"/>
  <c r="C304" i="1" s="1"/>
  <c r="N304" i="1"/>
  <c r="D304" i="1" s="1"/>
  <c r="O304" i="1"/>
  <c r="E304" i="1" s="1"/>
  <c r="L305" i="1"/>
  <c r="B305" i="1" s="1"/>
  <c r="M305" i="1"/>
  <c r="C305" i="1" s="1"/>
  <c r="N305" i="1"/>
  <c r="D305" i="1" s="1"/>
  <c r="O305" i="1"/>
  <c r="E305" i="1" s="1"/>
  <c r="L306" i="1"/>
  <c r="B306" i="1" s="1"/>
  <c r="M306" i="1"/>
  <c r="C306" i="1" s="1"/>
  <c r="N306" i="1"/>
  <c r="D306" i="1" s="1"/>
  <c r="O306" i="1"/>
  <c r="E306" i="1" s="1"/>
  <c r="L307" i="1"/>
  <c r="B307" i="1" s="1"/>
  <c r="M307" i="1"/>
  <c r="C307" i="1" s="1"/>
  <c r="N307" i="1"/>
  <c r="D307" i="1" s="1"/>
  <c r="O307" i="1"/>
  <c r="E307" i="1" s="1"/>
  <c r="L308" i="1"/>
  <c r="B308" i="1" s="1"/>
  <c r="M308" i="1"/>
  <c r="C308" i="1" s="1"/>
  <c r="N308" i="1"/>
  <c r="D308" i="1" s="1"/>
  <c r="O308" i="1"/>
  <c r="E308" i="1" s="1"/>
  <c r="L309" i="1"/>
  <c r="B309" i="1" s="1"/>
  <c r="M309" i="1"/>
  <c r="C309" i="1" s="1"/>
  <c r="N309" i="1"/>
  <c r="D309" i="1" s="1"/>
  <c r="O309" i="1"/>
  <c r="E309" i="1" s="1"/>
  <c r="L310" i="1"/>
  <c r="B310" i="1" s="1"/>
  <c r="M310" i="1"/>
  <c r="C310" i="1" s="1"/>
  <c r="N310" i="1"/>
  <c r="D310" i="1" s="1"/>
  <c r="O310" i="1"/>
  <c r="E310" i="1" s="1"/>
  <c r="L311" i="1"/>
  <c r="B311" i="1" s="1"/>
  <c r="M311" i="1"/>
  <c r="C311" i="1" s="1"/>
  <c r="N311" i="1"/>
  <c r="D311" i="1" s="1"/>
  <c r="O311" i="1"/>
  <c r="E311" i="1" s="1"/>
  <c r="L312" i="1"/>
  <c r="B312" i="1" s="1"/>
  <c r="M312" i="1"/>
  <c r="C312" i="1" s="1"/>
  <c r="N312" i="1"/>
  <c r="D312" i="1" s="1"/>
  <c r="O312" i="1"/>
  <c r="E312" i="1" s="1"/>
  <c r="L313" i="1"/>
  <c r="B313" i="1" s="1"/>
  <c r="M313" i="1"/>
  <c r="C313" i="1" s="1"/>
  <c r="N313" i="1"/>
  <c r="D313" i="1" s="1"/>
  <c r="O313" i="1"/>
  <c r="E313" i="1" s="1"/>
  <c r="L314" i="1"/>
  <c r="B314" i="1" s="1"/>
  <c r="M314" i="1"/>
  <c r="C314" i="1" s="1"/>
  <c r="N314" i="1"/>
  <c r="D314" i="1" s="1"/>
  <c r="O314" i="1"/>
  <c r="E314" i="1" s="1"/>
  <c r="L315" i="1"/>
  <c r="B315" i="1" s="1"/>
  <c r="M315" i="1"/>
  <c r="C315" i="1" s="1"/>
  <c r="N315" i="1"/>
  <c r="D315" i="1" s="1"/>
  <c r="O315" i="1"/>
  <c r="E315" i="1" s="1"/>
  <c r="L316" i="1"/>
  <c r="B316" i="1" s="1"/>
  <c r="M316" i="1"/>
  <c r="C316" i="1" s="1"/>
  <c r="N316" i="1"/>
  <c r="D316" i="1" s="1"/>
  <c r="O316" i="1"/>
  <c r="E316" i="1" s="1"/>
  <c r="L317" i="1"/>
  <c r="M317" i="1"/>
  <c r="N317" i="1"/>
  <c r="O317" i="1"/>
  <c r="E317" i="1" s="1"/>
  <c r="L318" i="1"/>
  <c r="B318" i="1" s="1"/>
  <c r="M318" i="1"/>
  <c r="C318" i="1" s="1"/>
  <c r="N318" i="1"/>
  <c r="D318" i="1" s="1"/>
  <c r="O318" i="1"/>
  <c r="E318" i="1" s="1"/>
  <c r="L319" i="1"/>
  <c r="B319" i="1" s="1"/>
  <c r="M319" i="1"/>
  <c r="C319" i="1" s="1"/>
  <c r="N319" i="1"/>
  <c r="D319" i="1" s="1"/>
  <c r="O319" i="1"/>
  <c r="E319" i="1" s="1"/>
  <c r="L320" i="1"/>
  <c r="B320" i="1" s="1"/>
  <c r="M320" i="1"/>
  <c r="C320" i="1" s="1"/>
  <c r="N320" i="1"/>
  <c r="D320" i="1" s="1"/>
  <c r="O320" i="1"/>
  <c r="E320" i="1" s="1"/>
  <c r="L321" i="1"/>
  <c r="B321" i="1" s="1"/>
  <c r="M321" i="1"/>
  <c r="C321" i="1" s="1"/>
  <c r="N321" i="1"/>
  <c r="O321" i="1"/>
  <c r="E321" i="1" s="1"/>
  <c r="L322" i="1"/>
  <c r="B322" i="1" s="1"/>
  <c r="M322" i="1"/>
  <c r="C322" i="1" s="1"/>
  <c r="N322" i="1"/>
  <c r="O322" i="1"/>
  <c r="E322" i="1" s="1"/>
  <c r="L323" i="1"/>
  <c r="B323" i="1" s="1"/>
  <c r="M323" i="1"/>
  <c r="C323" i="1" s="1"/>
  <c r="N323" i="1"/>
  <c r="D323" i="1" s="1"/>
  <c r="O323" i="1"/>
  <c r="E323" i="1" s="1"/>
  <c r="L324" i="1"/>
  <c r="B324" i="1" s="1"/>
  <c r="M324" i="1"/>
  <c r="C324" i="1" s="1"/>
  <c r="N324" i="1"/>
  <c r="D324" i="1" s="1"/>
  <c r="O324" i="1"/>
  <c r="E324" i="1" s="1"/>
  <c r="L325" i="1"/>
  <c r="B325" i="1" s="1"/>
  <c r="M325" i="1"/>
  <c r="C325" i="1" s="1"/>
  <c r="N325" i="1"/>
  <c r="D325" i="1" s="1"/>
  <c r="O325" i="1"/>
  <c r="E325" i="1" s="1"/>
  <c r="L326" i="1"/>
  <c r="M326" i="1"/>
  <c r="C326" i="1" s="1"/>
  <c r="N326" i="1"/>
  <c r="D326" i="1" s="1"/>
  <c r="O326" i="1"/>
  <c r="E326" i="1" s="1"/>
  <c r="L327" i="1"/>
  <c r="B327" i="1" s="1"/>
  <c r="M327" i="1"/>
  <c r="C327" i="1" s="1"/>
  <c r="N327" i="1"/>
  <c r="D327" i="1" s="1"/>
  <c r="O327" i="1"/>
  <c r="E327" i="1" s="1"/>
  <c r="L328" i="1"/>
  <c r="B328" i="1" s="1"/>
  <c r="M328" i="1"/>
  <c r="C328" i="1" s="1"/>
  <c r="N328" i="1"/>
  <c r="D328" i="1" s="1"/>
  <c r="O328" i="1"/>
  <c r="E328" i="1" s="1"/>
  <c r="L329" i="1"/>
  <c r="B329" i="1" s="1"/>
  <c r="M329" i="1"/>
  <c r="C329" i="1" s="1"/>
  <c r="N329" i="1"/>
  <c r="D329" i="1" s="1"/>
  <c r="O329" i="1"/>
  <c r="E329" i="1" s="1"/>
  <c r="L330" i="1"/>
  <c r="B330" i="1" s="1"/>
  <c r="M330" i="1"/>
  <c r="C330" i="1" s="1"/>
  <c r="N330" i="1"/>
  <c r="D330" i="1" s="1"/>
  <c r="O330" i="1"/>
  <c r="E330" i="1" s="1"/>
  <c r="L331" i="1"/>
  <c r="B331" i="1" s="1"/>
  <c r="M331" i="1"/>
  <c r="C331" i="1" s="1"/>
  <c r="N331" i="1"/>
  <c r="D331" i="1" s="1"/>
  <c r="O331" i="1"/>
  <c r="E331" i="1" s="1"/>
  <c r="L332" i="1"/>
  <c r="B332" i="1" s="1"/>
  <c r="M332" i="1"/>
  <c r="C332" i="1" s="1"/>
  <c r="N332" i="1"/>
  <c r="D332" i="1" s="1"/>
  <c r="O332" i="1"/>
  <c r="E332" i="1" s="1"/>
  <c r="L333" i="1"/>
  <c r="B333" i="1" s="1"/>
  <c r="M333" i="1"/>
  <c r="C333" i="1" s="1"/>
  <c r="N333" i="1"/>
  <c r="D333" i="1" s="1"/>
  <c r="O333" i="1"/>
  <c r="E333" i="1" s="1"/>
  <c r="L334" i="1"/>
  <c r="B334" i="1" s="1"/>
  <c r="M334" i="1"/>
  <c r="C334" i="1" s="1"/>
  <c r="N334" i="1"/>
  <c r="D334" i="1" s="1"/>
  <c r="O334" i="1"/>
  <c r="E334" i="1" s="1"/>
  <c r="L335" i="1"/>
  <c r="M335" i="1"/>
  <c r="C335" i="1" s="1"/>
  <c r="N335" i="1"/>
  <c r="D335" i="1" s="1"/>
  <c r="O335" i="1"/>
  <c r="E335" i="1" s="1"/>
  <c r="L336" i="1"/>
  <c r="B336" i="1" s="1"/>
  <c r="M336" i="1"/>
  <c r="C336" i="1" s="1"/>
  <c r="N336" i="1"/>
  <c r="D336" i="1" s="1"/>
  <c r="O336" i="1"/>
  <c r="E336" i="1" s="1"/>
  <c r="L337" i="1"/>
  <c r="B337" i="1" s="1"/>
  <c r="M337" i="1"/>
  <c r="C337" i="1" s="1"/>
  <c r="N337" i="1"/>
  <c r="D337" i="1" s="1"/>
  <c r="O337" i="1"/>
  <c r="E337" i="1" s="1"/>
  <c r="L338" i="1"/>
  <c r="B338" i="1" s="1"/>
  <c r="M338" i="1"/>
  <c r="C338" i="1" s="1"/>
  <c r="N338" i="1"/>
  <c r="D338" i="1" s="1"/>
  <c r="O338" i="1"/>
  <c r="E338" i="1" s="1"/>
  <c r="L339" i="1"/>
  <c r="B339" i="1" s="1"/>
  <c r="M339" i="1"/>
  <c r="C339" i="1" s="1"/>
  <c r="N339" i="1"/>
  <c r="D339" i="1" s="1"/>
  <c r="O339" i="1"/>
  <c r="E339" i="1" s="1"/>
  <c r="L340" i="1"/>
  <c r="B340" i="1" s="1"/>
  <c r="M340" i="1"/>
  <c r="C340" i="1" s="1"/>
  <c r="N340" i="1"/>
  <c r="D340" i="1" s="1"/>
  <c r="O340" i="1"/>
  <c r="E340" i="1" s="1"/>
  <c r="L341" i="1"/>
  <c r="B341" i="1" s="1"/>
  <c r="M341" i="1"/>
  <c r="C341" i="1" s="1"/>
  <c r="N341" i="1"/>
  <c r="D341" i="1" s="1"/>
  <c r="O341" i="1"/>
  <c r="E341" i="1" s="1"/>
  <c r="L342" i="1"/>
  <c r="B342" i="1" s="1"/>
  <c r="M342" i="1"/>
  <c r="C342" i="1" s="1"/>
  <c r="N342" i="1"/>
  <c r="D342" i="1" s="1"/>
  <c r="O342" i="1"/>
  <c r="E342" i="1" s="1"/>
  <c r="L343" i="1"/>
  <c r="B343" i="1" s="1"/>
  <c r="M343" i="1"/>
  <c r="C343" i="1" s="1"/>
  <c r="N343" i="1"/>
  <c r="D343" i="1" s="1"/>
  <c r="O343" i="1"/>
  <c r="E343" i="1" s="1"/>
  <c r="L344" i="1"/>
  <c r="B344" i="1" s="1"/>
  <c r="M344" i="1"/>
  <c r="C344" i="1" s="1"/>
  <c r="N344" i="1"/>
  <c r="D344" i="1" s="1"/>
  <c r="O344" i="1"/>
  <c r="E344" i="1" s="1"/>
  <c r="L345" i="1"/>
  <c r="B345" i="1" s="1"/>
  <c r="M345" i="1"/>
  <c r="C345" i="1" s="1"/>
  <c r="N345" i="1"/>
  <c r="D345" i="1" s="1"/>
  <c r="O345" i="1"/>
  <c r="E345" i="1" s="1"/>
  <c r="L346" i="1"/>
  <c r="B346" i="1" s="1"/>
  <c r="M346" i="1"/>
  <c r="C346" i="1" s="1"/>
  <c r="N346" i="1"/>
  <c r="D346" i="1" s="1"/>
  <c r="O346" i="1"/>
  <c r="E346" i="1" s="1"/>
  <c r="L347" i="1"/>
  <c r="B347" i="1" s="1"/>
  <c r="M347" i="1"/>
  <c r="C347" i="1" s="1"/>
  <c r="N347" i="1"/>
  <c r="D347" i="1" s="1"/>
  <c r="O347" i="1"/>
  <c r="E347" i="1" s="1"/>
  <c r="L348" i="1"/>
  <c r="M348" i="1"/>
  <c r="C348" i="1" s="1"/>
  <c r="N348" i="1"/>
  <c r="D348" i="1" s="1"/>
  <c r="O348" i="1"/>
  <c r="E348" i="1" s="1"/>
  <c r="L349" i="1"/>
  <c r="B349" i="1" s="1"/>
  <c r="M349" i="1"/>
  <c r="N349" i="1"/>
  <c r="D349" i="1" s="1"/>
  <c r="O349" i="1"/>
  <c r="E349" i="1" s="1"/>
  <c r="L350" i="1"/>
  <c r="B350" i="1" s="1"/>
  <c r="M350" i="1"/>
  <c r="C350" i="1" s="1"/>
  <c r="N350" i="1"/>
  <c r="O350" i="1"/>
  <c r="E350" i="1" s="1"/>
  <c r="L351" i="1"/>
  <c r="B351" i="1" s="1"/>
  <c r="M351" i="1"/>
  <c r="C351" i="1" s="1"/>
  <c r="N351" i="1"/>
  <c r="D351" i="1" s="1"/>
  <c r="O351" i="1"/>
  <c r="L352" i="1"/>
  <c r="B352" i="1" s="1"/>
  <c r="M352" i="1"/>
  <c r="C352" i="1" s="1"/>
  <c r="N352" i="1"/>
  <c r="D352" i="1" s="1"/>
  <c r="O352" i="1"/>
  <c r="E352" i="1" s="1"/>
  <c r="L353" i="1"/>
  <c r="B353" i="1" s="1"/>
  <c r="M353" i="1"/>
  <c r="C353" i="1" s="1"/>
  <c r="N353" i="1"/>
  <c r="D353" i="1" s="1"/>
  <c r="O353" i="1"/>
  <c r="E353" i="1" s="1"/>
  <c r="L354" i="1"/>
  <c r="B354" i="1" s="1"/>
  <c r="M354" i="1"/>
  <c r="C354" i="1" s="1"/>
  <c r="N354" i="1"/>
  <c r="D354" i="1" s="1"/>
  <c r="O354" i="1"/>
  <c r="E354" i="1" s="1"/>
  <c r="L355" i="1"/>
  <c r="B355" i="1" s="1"/>
  <c r="M355" i="1"/>
  <c r="C355" i="1" s="1"/>
  <c r="N355" i="1"/>
  <c r="D355" i="1" s="1"/>
  <c r="O355" i="1"/>
  <c r="E355" i="1" s="1"/>
  <c r="L356" i="1"/>
  <c r="B356" i="1" s="1"/>
  <c r="M356" i="1"/>
  <c r="C356" i="1" s="1"/>
  <c r="N356" i="1"/>
  <c r="D356" i="1" s="1"/>
  <c r="O356" i="1"/>
  <c r="E356" i="1" s="1"/>
  <c r="L357" i="1"/>
  <c r="B357" i="1" s="1"/>
  <c r="M357" i="1"/>
  <c r="C357" i="1" s="1"/>
  <c r="N357" i="1"/>
  <c r="D357" i="1" s="1"/>
  <c r="O357" i="1"/>
  <c r="E357" i="1" s="1"/>
  <c r="L358" i="1"/>
  <c r="B358" i="1" s="1"/>
  <c r="M358" i="1"/>
  <c r="C358" i="1" s="1"/>
  <c r="N358" i="1"/>
  <c r="D358" i="1" s="1"/>
  <c r="O358" i="1"/>
  <c r="E358" i="1" s="1"/>
  <c r="L359" i="1"/>
  <c r="B359" i="1" s="1"/>
  <c r="M359" i="1"/>
  <c r="C359" i="1" s="1"/>
  <c r="N359" i="1"/>
  <c r="D359" i="1" s="1"/>
  <c r="O359" i="1"/>
  <c r="E359" i="1" s="1"/>
  <c r="L360" i="1"/>
  <c r="B360" i="1" s="1"/>
  <c r="M360" i="1"/>
  <c r="C360" i="1" s="1"/>
  <c r="N360" i="1"/>
  <c r="D360" i="1" s="1"/>
  <c r="O360" i="1"/>
  <c r="E360" i="1" s="1"/>
  <c r="L361" i="1"/>
  <c r="B361" i="1" s="1"/>
  <c r="M361" i="1"/>
  <c r="C361" i="1" s="1"/>
  <c r="N361" i="1"/>
  <c r="D361" i="1" s="1"/>
  <c r="O361" i="1"/>
  <c r="E361" i="1" s="1"/>
  <c r="L362" i="1"/>
  <c r="B362" i="1" s="1"/>
  <c r="M362" i="1"/>
  <c r="C362" i="1" s="1"/>
  <c r="N362" i="1"/>
  <c r="D362" i="1" s="1"/>
  <c r="O362" i="1"/>
  <c r="E362" i="1" s="1"/>
  <c r="L363" i="1"/>
  <c r="B363" i="1" s="1"/>
  <c r="M363" i="1"/>
  <c r="C363" i="1" s="1"/>
  <c r="N363" i="1"/>
  <c r="D363" i="1" s="1"/>
  <c r="O363" i="1"/>
  <c r="E363" i="1" s="1"/>
  <c r="L364" i="1"/>
  <c r="B364" i="1" s="1"/>
  <c r="M364" i="1"/>
  <c r="C364" i="1" s="1"/>
  <c r="N364" i="1"/>
  <c r="D364" i="1" s="1"/>
  <c r="O364" i="1"/>
  <c r="E364" i="1" s="1"/>
  <c r="L365" i="1"/>
  <c r="B365" i="1" s="1"/>
  <c r="M365" i="1"/>
  <c r="C365" i="1" s="1"/>
  <c r="N365" i="1"/>
  <c r="D365" i="1" s="1"/>
  <c r="O365" i="1"/>
  <c r="E365" i="1" s="1"/>
  <c r="L366" i="1"/>
  <c r="B366" i="1" s="1"/>
  <c r="M366" i="1"/>
  <c r="C366" i="1" s="1"/>
  <c r="N366" i="1"/>
  <c r="D366" i="1" s="1"/>
  <c r="O366" i="1"/>
  <c r="E366" i="1" s="1"/>
  <c r="L367" i="1"/>
  <c r="B367" i="1" s="1"/>
  <c r="M367" i="1"/>
  <c r="C367" i="1" s="1"/>
  <c r="N367" i="1"/>
  <c r="D367" i="1" s="1"/>
  <c r="O367" i="1"/>
  <c r="E367" i="1" s="1"/>
  <c r="L368" i="1"/>
  <c r="B368" i="1" s="1"/>
  <c r="M368" i="1"/>
  <c r="C368" i="1" s="1"/>
  <c r="N368" i="1"/>
  <c r="D368" i="1" s="1"/>
  <c r="O368" i="1"/>
  <c r="E368" i="1" s="1"/>
  <c r="L369" i="1"/>
  <c r="B369" i="1" s="1"/>
  <c r="M369" i="1"/>
  <c r="C369" i="1" s="1"/>
  <c r="N369" i="1"/>
  <c r="D369" i="1" s="1"/>
  <c r="O369" i="1"/>
  <c r="E369" i="1" s="1"/>
  <c r="L370" i="1"/>
  <c r="B370" i="1" s="1"/>
  <c r="M370" i="1"/>
  <c r="C370" i="1" s="1"/>
  <c r="N370" i="1"/>
  <c r="D370" i="1" s="1"/>
  <c r="O370" i="1"/>
  <c r="E370" i="1" s="1"/>
  <c r="L371" i="1"/>
  <c r="B371" i="1" s="1"/>
  <c r="M371" i="1"/>
  <c r="C371" i="1" s="1"/>
  <c r="N371" i="1"/>
  <c r="D371" i="1" s="1"/>
  <c r="O371" i="1"/>
  <c r="E371" i="1" s="1"/>
  <c r="L372" i="1"/>
  <c r="B372" i="1" s="1"/>
  <c r="M372" i="1"/>
  <c r="C372" i="1" s="1"/>
  <c r="N372" i="1"/>
  <c r="D372" i="1" s="1"/>
  <c r="O372" i="1"/>
  <c r="E372" i="1" s="1"/>
  <c r="L373" i="1"/>
  <c r="B373" i="1" s="1"/>
  <c r="M373" i="1"/>
  <c r="C373" i="1" s="1"/>
  <c r="N373" i="1"/>
  <c r="D373" i="1" s="1"/>
  <c r="O373" i="1"/>
  <c r="E373" i="1" s="1"/>
  <c r="L374" i="1"/>
  <c r="B374" i="1" s="1"/>
  <c r="M374" i="1"/>
  <c r="C374" i="1" s="1"/>
  <c r="N374" i="1"/>
  <c r="D374" i="1" s="1"/>
  <c r="O374" i="1"/>
  <c r="E374" i="1" s="1"/>
  <c r="L375" i="1"/>
  <c r="B375" i="1" s="1"/>
  <c r="M375" i="1"/>
  <c r="C375" i="1" s="1"/>
  <c r="N375" i="1"/>
  <c r="D375" i="1" s="1"/>
  <c r="O375" i="1"/>
  <c r="E375" i="1" s="1"/>
  <c r="L376" i="1"/>
  <c r="B376" i="1" s="1"/>
  <c r="M376" i="1"/>
  <c r="C376" i="1" s="1"/>
  <c r="N376" i="1"/>
  <c r="D376" i="1" s="1"/>
  <c r="O376" i="1"/>
  <c r="E376" i="1" s="1"/>
  <c r="L377" i="1"/>
  <c r="B377" i="1" s="1"/>
  <c r="M377" i="1"/>
  <c r="C377" i="1" s="1"/>
  <c r="N377" i="1"/>
  <c r="D377" i="1" s="1"/>
  <c r="O377" i="1"/>
  <c r="E377" i="1" s="1"/>
  <c r="L378" i="1"/>
  <c r="B378" i="1" s="1"/>
  <c r="M378" i="1"/>
  <c r="C378" i="1" s="1"/>
  <c r="N378" i="1"/>
  <c r="D378" i="1" s="1"/>
  <c r="O378" i="1"/>
  <c r="E378" i="1" s="1"/>
  <c r="L379" i="1"/>
  <c r="B379" i="1" s="1"/>
  <c r="M379" i="1"/>
  <c r="C379" i="1" s="1"/>
  <c r="N379" i="1"/>
  <c r="D379" i="1" s="1"/>
  <c r="O379" i="1"/>
  <c r="E379" i="1" s="1"/>
  <c r="L380" i="1"/>
  <c r="B380" i="1" s="1"/>
  <c r="M380" i="1"/>
  <c r="C380" i="1" s="1"/>
  <c r="N380" i="1"/>
  <c r="D380" i="1" s="1"/>
  <c r="O380" i="1"/>
  <c r="E380" i="1" s="1"/>
  <c r="L381" i="1"/>
  <c r="B381" i="1" s="1"/>
  <c r="M381" i="1"/>
  <c r="C381" i="1" s="1"/>
  <c r="N381" i="1"/>
  <c r="D381" i="1" s="1"/>
  <c r="O381" i="1"/>
  <c r="E381" i="1" s="1"/>
  <c r="L382" i="1"/>
  <c r="B382" i="1" s="1"/>
  <c r="M382" i="1"/>
  <c r="C382" i="1" s="1"/>
  <c r="N382" i="1"/>
  <c r="D382" i="1" s="1"/>
  <c r="O382" i="1"/>
  <c r="E382" i="1" s="1"/>
  <c r="L383" i="1"/>
  <c r="B383" i="1" s="1"/>
  <c r="M383" i="1"/>
  <c r="C383" i="1" s="1"/>
  <c r="N383" i="1"/>
  <c r="D383" i="1" s="1"/>
  <c r="O383" i="1"/>
  <c r="E383" i="1" s="1"/>
  <c r="L384" i="1"/>
  <c r="B384" i="1" s="1"/>
  <c r="M384" i="1"/>
  <c r="C384" i="1" s="1"/>
  <c r="N384" i="1"/>
  <c r="D384" i="1" s="1"/>
  <c r="O384" i="1"/>
  <c r="E384" i="1" s="1"/>
  <c r="L385" i="1"/>
  <c r="B385" i="1" s="1"/>
  <c r="M385" i="1"/>
  <c r="C385" i="1" s="1"/>
  <c r="N385" i="1"/>
  <c r="D385" i="1" s="1"/>
  <c r="O385" i="1"/>
  <c r="E385" i="1" s="1"/>
  <c r="L386" i="1"/>
  <c r="B386" i="1" s="1"/>
  <c r="M386" i="1"/>
  <c r="C386" i="1" s="1"/>
  <c r="N386" i="1"/>
  <c r="D386" i="1" s="1"/>
  <c r="O386" i="1"/>
  <c r="E386" i="1" s="1"/>
  <c r="L387" i="1"/>
  <c r="B387" i="1" s="1"/>
  <c r="M387" i="1"/>
  <c r="C387" i="1" s="1"/>
  <c r="N387" i="1"/>
  <c r="D387" i="1" s="1"/>
  <c r="O387" i="1"/>
  <c r="E387" i="1" s="1"/>
  <c r="L388" i="1"/>
  <c r="B388" i="1" s="1"/>
  <c r="M388" i="1"/>
  <c r="C388" i="1" s="1"/>
  <c r="N388" i="1"/>
  <c r="D388" i="1" s="1"/>
  <c r="O388" i="1"/>
  <c r="E388" i="1" s="1"/>
  <c r="L389" i="1"/>
  <c r="B389" i="1" s="1"/>
  <c r="M389" i="1"/>
  <c r="C389" i="1" s="1"/>
  <c r="N389" i="1"/>
  <c r="D389" i="1" s="1"/>
  <c r="O389" i="1"/>
  <c r="E389" i="1" s="1"/>
  <c r="L390" i="1"/>
  <c r="B390" i="1" s="1"/>
  <c r="M390" i="1"/>
  <c r="C390" i="1" s="1"/>
  <c r="N390" i="1"/>
  <c r="D390" i="1" s="1"/>
  <c r="O390" i="1"/>
  <c r="E390" i="1" s="1"/>
  <c r="L391" i="1"/>
  <c r="B391" i="1" s="1"/>
  <c r="M391" i="1"/>
  <c r="C391" i="1" s="1"/>
  <c r="N391" i="1"/>
  <c r="D391" i="1" s="1"/>
  <c r="O391" i="1"/>
  <c r="E391" i="1" s="1"/>
  <c r="L392" i="1"/>
  <c r="B392" i="1" s="1"/>
  <c r="M392" i="1"/>
  <c r="C392" i="1" s="1"/>
  <c r="N392" i="1"/>
  <c r="D392" i="1" s="1"/>
  <c r="O392" i="1"/>
  <c r="E392" i="1" s="1"/>
  <c r="L393" i="1"/>
  <c r="B393" i="1" s="1"/>
  <c r="M393" i="1"/>
  <c r="C393" i="1" s="1"/>
  <c r="N393" i="1"/>
  <c r="D393" i="1" s="1"/>
  <c r="O393" i="1"/>
  <c r="E393" i="1" s="1"/>
  <c r="L394" i="1"/>
  <c r="B394" i="1" s="1"/>
  <c r="M394" i="1"/>
  <c r="C394" i="1" s="1"/>
  <c r="N394" i="1"/>
  <c r="D394" i="1" s="1"/>
  <c r="O394" i="1"/>
  <c r="E394" i="1" s="1"/>
  <c r="L395" i="1"/>
  <c r="B395" i="1" s="1"/>
  <c r="M395" i="1"/>
  <c r="C395" i="1" s="1"/>
  <c r="N395" i="1"/>
  <c r="D395" i="1" s="1"/>
  <c r="O395" i="1"/>
  <c r="E395" i="1" s="1"/>
  <c r="L396" i="1"/>
  <c r="B396" i="1" s="1"/>
  <c r="M396" i="1"/>
  <c r="C396" i="1" s="1"/>
  <c r="N396" i="1"/>
  <c r="D396" i="1" s="1"/>
  <c r="O396" i="1"/>
  <c r="E396" i="1" s="1"/>
  <c r="L397" i="1"/>
  <c r="B397" i="1" s="1"/>
  <c r="M397" i="1"/>
  <c r="C397" i="1" s="1"/>
  <c r="N397" i="1"/>
  <c r="D397" i="1" s="1"/>
  <c r="O397" i="1"/>
  <c r="E397" i="1" s="1"/>
  <c r="L398" i="1"/>
  <c r="B398" i="1" s="1"/>
  <c r="M398" i="1"/>
  <c r="C398" i="1" s="1"/>
  <c r="N398" i="1"/>
  <c r="D398" i="1" s="1"/>
  <c r="O398" i="1"/>
  <c r="E398" i="1" s="1"/>
  <c r="L399" i="1"/>
  <c r="B399" i="1" s="1"/>
  <c r="M399" i="1"/>
  <c r="C399" i="1" s="1"/>
  <c r="N399" i="1"/>
  <c r="D399" i="1" s="1"/>
  <c r="O399" i="1"/>
  <c r="E399" i="1" s="1"/>
  <c r="L400" i="1"/>
  <c r="B400" i="1" s="1"/>
  <c r="M400" i="1"/>
  <c r="C400" i="1" s="1"/>
  <c r="N400" i="1"/>
  <c r="D400" i="1" s="1"/>
  <c r="O400" i="1"/>
  <c r="E400" i="1" s="1"/>
  <c r="L401" i="1"/>
  <c r="B401" i="1" s="1"/>
  <c r="M401" i="1"/>
  <c r="C401" i="1" s="1"/>
  <c r="N401" i="1"/>
  <c r="D401" i="1" s="1"/>
  <c r="O401" i="1"/>
  <c r="E401" i="1" s="1"/>
  <c r="L402" i="1"/>
  <c r="B402" i="1" s="1"/>
  <c r="M402" i="1"/>
  <c r="C402" i="1" s="1"/>
  <c r="N402" i="1"/>
  <c r="D402" i="1" s="1"/>
  <c r="O402" i="1"/>
  <c r="E402" i="1" s="1"/>
  <c r="L403" i="1"/>
  <c r="B403" i="1" s="1"/>
  <c r="M403" i="1"/>
  <c r="C403" i="1" s="1"/>
  <c r="N403" i="1"/>
  <c r="D403" i="1" s="1"/>
  <c r="O403" i="1"/>
  <c r="E403" i="1" s="1"/>
  <c r="L404" i="1"/>
  <c r="B404" i="1" s="1"/>
  <c r="M404" i="1"/>
  <c r="C404" i="1" s="1"/>
  <c r="N404" i="1"/>
  <c r="D404" i="1" s="1"/>
  <c r="O404" i="1"/>
  <c r="E404" i="1" s="1"/>
  <c r="L405" i="1"/>
  <c r="B405" i="1" s="1"/>
  <c r="M405" i="1"/>
  <c r="C405" i="1" s="1"/>
  <c r="N405" i="1"/>
  <c r="D405" i="1" s="1"/>
  <c r="O405" i="1"/>
  <c r="E405" i="1" s="1"/>
  <c r="L406" i="1"/>
  <c r="B406" i="1" s="1"/>
  <c r="M406" i="1"/>
  <c r="C406" i="1" s="1"/>
  <c r="N406" i="1"/>
  <c r="D406" i="1" s="1"/>
  <c r="O406" i="1"/>
  <c r="E406" i="1" s="1"/>
  <c r="L407" i="1"/>
  <c r="B407" i="1" s="1"/>
  <c r="M407" i="1"/>
  <c r="C407" i="1" s="1"/>
  <c r="N407" i="1"/>
  <c r="D407" i="1" s="1"/>
  <c r="O407" i="1"/>
  <c r="E407" i="1" s="1"/>
  <c r="L408" i="1"/>
  <c r="B408" i="1" s="1"/>
  <c r="M408" i="1"/>
  <c r="C408" i="1" s="1"/>
  <c r="N408" i="1"/>
  <c r="D408" i="1" s="1"/>
  <c r="O408" i="1"/>
  <c r="E408" i="1" s="1"/>
  <c r="L409" i="1"/>
  <c r="B409" i="1" s="1"/>
  <c r="M409" i="1"/>
  <c r="C409" i="1" s="1"/>
  <c r="N409" i="1"/>
  <c r="D409" i="1" s="1"/>
  <c r="O409" i="1"/>
  <c r="E409" i="1" s="1"/>
  <c r="L410" i="1"/>
  <c r="B410" i="1" s="1"/>
  <c r="M410" i="1"/>
  <c r="C410" i="1" s="1"/>
  <c r="N410" i="1"/>
  <c r="D410" i="1" s="1"/>
  <c r="O410" i="1"/>
  <c r="E410" i="1" s="1"/>
  <c r="L411" i="1"/>
  <c r="B411" i="1" s="1"/>
  <c r="M411" i="1"/>
  <c r="C411" i="1" s="1"/>
  <c r="N411" i="1"/>
  <c r="D411" i="1" s="1"/>
  <c r="O411" i="1"/>
  <c r="E411" i="1" s="1"/>
  <c r="L412" i="1"/>
  <c r="B412" i="1" s="1"/>
  <c r="M412" i="1"/>
  <c r="C412" i="1" s="1"/>
  <c r="N412" i="1"/>
  <c r="D412" i="1" s="1"/>
  <c r="O412" i="1"/>
  <c r="E412" i="1" s="1"/>
  <c r="L413" i="1"/>
  <c r="B413" i="1" s="1"/>
  <c r="M413" i="1"/>
  <c r="C413" i="1" s="1"/>
  <c r="N413" i="1"/>
  <c r="D413" i="1" s="1"/>
  <c r="O413" i="1"/>
  <c r="E413" i="1" s="1"/>
  <c r="L414" i="1"/>
  <c r="B414" i="1" s="1"/>
  <c r="M414" i="1"/>
  <c r="C414" i="1" s="1"/>
  <c r="N414" i="1"/>
  <c r="D414" i="1" s="1"/>
  <c r="O414" i="1"/>
  <c r="E414" i="1" s="1"/>
  <c r="L415" i="1"/>
  <c r="B415" i="1" s="1"/>
  <c r="M415" i="1"/>
  <c r="C415" i="1" s="1"/>
  <c r="N415" i="1"/>
  <c r="D415" i="1" s="1"/>
  <c r="O415" i="1"/>
  <c r="E415" i="1" s="1"/>
  <c r="L416" i="1"/>
  <c r="B416" i="1" s="1"/>
  <c r="M416" i="1"/>
  <c r="C416" i="1" s="1"/>
  <c r="N416" i="1"/>
  <c r="D416" i="1" s="1"/>
  <c r="O416" i="1"/>
  <c r="E416" i="1" s="1"/>
  <c r="L417" i="1"/>
  <c r="B417" i="1" s="1"/>
  <c r="M417" i="1"/>
  <c r="C417" i="1" s="1"/>
  <c r="N417" i="1"/>
  <c r="D417" i="1" s="1"/>
  <c r="O417" i="1"/>
  <c r="E417" i="1" s="1"/>
  <c r="L418" i="1"/>
  <c r="B418" i="1" s="1"/>
  <c r="M418" i="1"/>
  <c r="C418" i="1" s="1"/>
  <c r="N418" i="1"/>
  <c r="D418" i="1" s="1"/>
  <c r="O418" i="1"/>
  <c r="E418" i="1" s="1"/>
  <c r="L419" i="1"/>
  <c r="B419" i="1" s="1"/>
  <c r="M419" i="1"/>
  <c r="C419" i="1" s="1"/>
  <c r="N419" i="1"/>
  <c r="D419" i="1" s="1"/>
  <c r="O419" i="1"/>
  <c r="E419" i="1" s="1"/>
  <c r="L420" i="1"/>
  <c r="B420" i="1" s="1"/>
  <c r="M420" i="1"/>
  <c r="C420" i="1" s="1"/>
  <c r="N420" i="1"/>
  <c r="D420" i="1" s="1"/>
  <c r="O420" i="1"/>
  <c r="E420" i="1" s="1"/>
  <c r="L421" i="1"/>
  <c r="B421" i="1" s="1"/>
  <c r="M421" i="1"/>
  <c r="C421" i="1" s="1"/>
  <c r="N421" i="1"/>
  <c r="D421" i="1" s="1"/>
  <c r="O421" i="1"/>
  <c r="E421" i="1" s="1"/>
  <c r="L422" i="1"/>
  <c r="B422" i="1" s="1"/>
  <c r="M422" i="1"/>
  <c r="C422" i="1" s="1"/>
  <c r="N422" i="1"/>
  <c r="D422" i="1" s="1"/>
  <c r="O422" i="1"/>
  <c r="E422" i="1" s="1"/>
  <c r="L423" i="1"/>
  <c r="B423" i="1" s="1"/>
  <c r="M423" i="1"/>
  <c r="C423" i="1" s="1"/>
  <c r="N423" i="1"/>
  <c r="D423" i="1" s="1"/>
  <c r="O423" i="1"/>
  <c r="E423" i="1" s="1"/>
  <c r="L424" i="1"/>
  <c r="B424" i="1" s="1"/>
  <c r="M424" i="1"/>
  <c r="C424" i="1" s="1"/>
  <c r="N424" i="1"/>
  <c r="D424" i="1" s="1"/>
  <c r="O424" i="1"/>
  <c r="E424" i="1" s="1"/>
  <c r="L425" i="1"/>
  <c r="B425" i="1" s="1"/>
  <c r="M425" i="1"/>
  <c r="C425" i="1" s="1"/>
  <c r="N425" i="1"/>
  <c r="D425" i="1" s="1"/>
  <c r="O425" i="1"/>
  <c r="E425" i="1" s="1"/>
  <c r="L426" i="1"/>
  <c r="B426" i="1" s="1"/>
  <c r="M426" i="1"/>
  <c r="C426" i="1" s="1"/>
  <c r="N426" i="1"/>
  <c r="D426" i="1" s="1"/>
  <c r="O426" i="1"/>
  <c r="E426" i="1" s="1"/>
  <c r="L427" i="1"/>
  <c r="B427" i="1" s="1"/>
  <c r="M427" i="1"/>
  <c r="C427" i="1" s="1"/>
  <c r="N427" i="1"/>
  <c r="D427" i="1" s="1"/>
  <c r="O427" i="1"/>
  <c r="E427" i="1" s="1"/>
  <c r="L428" i="1"/>
  <c r="B428" i="1" s="1"/>
  <c r="M428" i="1"/>
  <c r="C428" i="1" s="1"/>
  <c r="N428" i="1"/>
  <c r="D428" i="1" s="1"/>
  <c r="O428" i="1"/>
  <c r="E428" i="1" s="1"/>
  <c r="L429" i="1"/>
  <c r="B429" i="1" s="1"/>
  <c r="M429" i="1"/>
  <c r="C429" i="1" s="1"/>
  <c r="N429" i="1"/>
  <c r="D429" i="1" s="1"/>
  <c r="O429" i="1"/>
  <c r="E429" i="1" s="1"/>
  <c r="L430" i="1"/>
  <c r="B430" i="1" s="1"/>
  <c r="M430" i="1"/>
  <c r="C430" i="1" s="1"/>
  <c r="N430" i="1"/>
  <c r="D430" i="1" s="1"/>
  <c r="O430" i="1"/>
  <c r="E430" i="1" s="1"/>
  <c r="L431" i="1"/>
  <c r="B431" i="1" s="1"/>
  <c r="M431" i="1"/>
  <c r="C431" i="1" s="1"/>
  <c r="N431" i="1"/>
  <c r="D431" i="1" s="1"/>
  <c r="O431" i="1"/>
  <c r="E431" i="1" s="1"/>
  <c r="L432" i="1"/>
  <c r="B432" i="1" s="1"/>
  <c r="M432" i="1"/>
  <c r="C432" i="1" s="1"/>
  <c r="N432" i="1"/>
  <c r="D432" i="1" s="1"/>
  <c r="O432" i="1"/>
  <c r="E432" i="1" s="1"/>
  <c r="L433" i="1"/>
  <c r="B433" i="1" s="1"/>
  <c r="M433" i="1"/>
  <c r="C433" i="1" s="1"/>
  <c r="N433" i="1"/>
  <c r="D433" i="1" s="1"/>
  <c r="O433" i="1"/>
  <c r="E433" i="1" s="1"/>
  <c r="L434" i="1"/>
  <c r="B434" i="1" s="1"/>
  <c r="M434" i="1"/>
  <c r="C434" i="1" s="1"/>
  <c r="N434" i="1"/>
  <c r="D434" i="1" s="1"/>
  <c r="O434" i="1"/>
  <c r="E434" i="1" s="1"/>
  <c r="L435" i="1"/>
  <c r="B435" i="1" s="1"/>
  <c r="M435" i="1"/>
  <c r="C435" i="1" s="1"/>
  <c r="N435" i="1"/>
  <c r="D435" i="1" s="1"/>
  <c r="O435" i="1"/>
  <c r="E435" i="1" s="1"/>
  <c r="L436" i="1"/>
  <c r="B436" i="1" s="1"/>
  <c r="M436" i="1"/>
  <c r="C436" i="1" s="1"/>
  <c r="N436" i="1"/>
  <c r="D436" i="1" s="1"/>
  <c r="O436" i="1"/>
  <c r="E436" i="1" s="1"/>
  <c r="L437" i="1"/>
  <c r="B437" i="1" s="1"/>
  <c r="M437" i="1"/>
  <c r="C437" i="1" s="1"/>
  <c r="N437" i="1"/>
  <c r="D437" i="1" s="1"/>
  <c r="O437" i="1"/>
  <c r="E437" i="1" s="1"/>
  <c r="L438" i="1"/>
  <c r="B438" i="1" s="1"/>
  <c r="M438" i="1"/>
  <c r="C438" i="1" s="1"/>
  <c r="N438" i="1"/>
  <c r="D438" i="1" s="1"/>
  <c r="O438" i="1"/>
  <c r="E438" i="1" s="1"/>
  <c r="L439" i="1"/>
  <c r="B439" i="1" s="1"/>
  <c r="M439" i="1"/>
  <c r="C439" i="1" s="1"/>
  <c r="N439" i="1"/>
  <c r="D439" i="1" s="1"/>
  <c r="O439" i="1"/>
  <c r="E439" i="1" s="1"/>
  <c r="L440" i="1"/>
  <c r="B440" i="1" s="1"/>
  <c r="M440" i="1"/>
  <c r="C440" i="1" s="1"/>
  <c r="N440" i="1"/>
  <c r="D440" i="1" s="1"/>
  <c r="O440" i="1"/>
  <c r="E440" i="1" s="1"/>
  <c r="L441" i="1"/>
  <c r="B441" i="1" s="1"/>
  <c r="M441" i="1"/>
  <c r="C441" i="1" s="1"/>
  <c r="N441" i="1"/>
  <c r="D441" i="1" s="1"/>
  <c r="O441" i="1"/>
  <c r="E441" i="1" s="1"/>
  <c r="L442" i="1"/>
  <c r="B442" i="1" s="1"/>
  <c r="M442" i="1"/>
  <c r="C442" i="1" s="1"/>
  <c r="N442" i="1"/>
  <c r="D442" i="1" s="1"/>
  <c r="O442" i="1"/>
  <c r="E442" i="1" s="1"/>
  <c r="L443" i="1"/>
  <c r="B443" i="1" s="1"/>
  <c r="M443" i="1"/>
  <c r="C443" i="1" s="1"/>
  <c r="N443" i="1"/>
  <c r="D443" i="1" s="1"/>
  <c r="O443" i="1"/>
  <c r="E443" i="1" s="1"/>
  <c r="L444" i="1"/>
  <c r="B444" i="1" s="1"/>
  <c r="M444" i="1"/>
  <c r="C444" i="1" s="1"/>
  <c r="N444" i="1"/>
  <c r="D444" i="1" s="1"/>
  <c r="O444" i="1"/>
  <c r="E444" i="1" s="1"/>
  <c r="L445" i="1"/>
  <c r="B445" i="1" s="1"/>
  <c r="M445" i="1"/>
  <c r="C445" i="1" s="1"/>
  <c r="N445" i="1"/>
  <c r="D445" i="1" s="1"/>
  <c r="O445" i="1"/>
  <c r="E445" i="1" s="1"/>
  <c r="L446" i="1"/>
  <c r="B446" i="1" s="1"/>
  <c r="M446" i="1"/>
  <c r="C446" i="1" s="1"/>
  <c r="N446" i="1"/>
  <c r="D446" i="1" s="1"/>
  <c r="O446" i="1"/>
  <c r="E446" i="1" s="1"/>
  <c r="L447" i="1"/>
  <c r="B447" i="1" s="1"/>
  <c r="M447" i="1"/>
  <c r="C447" i="1" s="1"/>
  <c r="N447" i="1"/>
  <c r="D447" i="1" s="1"/>
  <c r="O447" i="1"/>
  <c r="E447" i="1" s="1"/>
  <c r="L448" i="1"/>
  <c r="B448" i="1" s="1"/>
  <c r="M448" i="1"/>
  <c r="C448" i="1" s="1"/>
  <c r="N448" i="1"/>
  <c r="D448" i="1" s="1"/>
  <c r="O448" i="1"/>
  <c r="E448" i="1" s="1"/>
  <c r="L449" i="1"/>
  <c r="B449" i="1" s="1"/>
  <c r="M449" i="1"/>
  <c r="C449" i="1" s="1"/>
  <c r="N449" i="1"/>
  <c r="D449" i="1" s="1"/>
  <c r="O449" i="1"/>
  <c r="E449" i="1" s="1"/>
  <c r="L450" i="1"/>
  <c r="B450" i="1" s="1"/>
  <c r="M450" i="1"/>
  <c r="C450" i="1" s="1"/>
  <c r="N450" i="1"/>
  <c r="D450" i="1" s="1"/>
  <c r="O450" i="1"/>
  <c r="E450" i="1" s="1"/>
  <c r="L451" i="1"/>
  <c r="B451" i="1" s="1"/>
  <c r="M451" i="1"/>
  <c r="C451" i="1" s="1"/>
  <c r="N451" i="1"/>
  <c r="D451" i="1" s="1"/>
  <c r="O451" i="1"/>
  <c r="E451" i="1" s="1"/>
  <c r="L452" i="1"/>
  <c r="B452" i="1" s="1"/>
  <c r="M452" i="1"/>
  <c r="C452" i="1" s="1"/>
  <c r="N452" i="1"/>
  <c r="D452" i="1" s="1"/>
  <c r="O452" i="1"/>
  <c r="E452" i="1" s="1"/>
  <c r="L453" i="1"/>
  <c r="B453" i="1" s="1"/>
  <c r="M453" i="1"/>
  <c r="C453" i="1" s="1"/>
  <c r="N453" i="1"/>
  <c r="D453" i="1" s="1"/>
  <c r="O453" i="1"/>
  <c r="E453" i="1" s="1"/>
  <c r="L454" i="1"/>
  <c r="B454" i="1" s="1"/>
  <c r="M454" i="1"/>
  <c r="C454" i="1" s="1"/>
  <c r="N454" i="1"/>
  <c r="D454" i="1" s="1"/>
  <c r="O454" i="1"/>
  <c r="E454" i="1" s="1"/>
  <c r="L455" i="1"/>
  <c r="B455" i="1" s="1"/>
  <c r="M455" i="1"/>
  <c r="C455" i="1" s="1"/>
  <c r="N455" i="1"/>
  <c r="D455" i="1" s="1"/>
  <c r="O455" i="1"/>
  <c r="E455" i="1" s="1"/>
  <c r="L456" i="1"/>
  <c r="B456" i="1" s="1"/>
  <c r="M456" i="1"/>
  <c r="C456" i="1" s="1"/>
  <c r="N456" i="1"/>
  <c r="D456" i="1" s="1"/>
  <c r="O456" i="1"/>
  <c r="E456" i="1" s="1"/>
  <c r="L457" i="1"/>
  <c r="B457" i="1" s="1"/>
  <c r="M457" i="1"/>
  <c r="C457" i="1" s="1"/>
  <c r="N457" i="1"/>
  <c r="D457" i="1" s="1"/>
  <c r="O457" i="1"/>
  <c r="E457" i="1" s="1"/>
  <c r="L458" i="1"/>
  <c r="B458" i="1" s="1"/>
  <c r="M458" i="1"/>
  <c r="C458" i="1" s="1"/>
  <c r="N458" i="1"/>
  <c r="D458" i="1" s="1"/>
  <c r="O458" i="1"/>
  <c r="E458" i="1" s="1"/>
  <c r="L459" i="1"/>
  <c r="B459" i="1" s="1"/>
  <c r="M459" i="1"/>
  <c r="C459" i="1" s="1"/>
  <c r="N459" i="1"/>
  <c r="D459" i="1" s="1"/>
  <c r="O459" i="1"/>
  <c r="E459" i="1" s="1"/>
  <c r="L460" i="1"/>
  <c r="B460" i="1" s="1"/>
  <c r="M460" i="1"/>
  <c r="C460" i="1" s="1"/>
  <c r="N460" i="1"/>
  <c r="D460" i="1" s="1"/>
  <c r="O460" i="1"/>
  <c r="E460" i="1" s="1"/>
  <c r="L461" i="1"/>
  <c r="B461" i="1" s="1"/>
  <c r="M461" i="1"/>
  <c r="C461" i="1" s="1"/>
  <c r="N461" i="1"/>
  <c r="D461" i="1" s="1"/>
  <c r="O461" i="1"/>
  <c r="E461" i="1" s="1"/>
  <c r="L462" i="1"/>
  <c r="B462" i="1" s="1"/>
  <c r="M462" i="1"/>
  <c r="C462" i="1" s="1"/>
  <c r="N462" i="1"/>
  <c r="D462" i="1" s="1"/>
  <c r="O462" i="1"/>
  <c r="E462" i="1" s="1"/>
  <c r="L463" i="1"/>
  <c r="B463" i="1" s="1"/>
  <c r="M463" i="1"/>
  <c r="C463" i="1" s="1"/>
  <c r="N463" i="1"/>
  <c r="D463" i="1" s="1"/>
  <c r="O463" i="1"/>
  <c r="E463" i="1" s="1"/>
  <c r="L464" i="1"/>
  <c r="B464" i="1" s="1"/>
  <c r="M464" i="1"/>
  <c r="C464" i="1" s="1"/>
  <c r="N464" i="1"/>
  <c r="D464" i="1" s="1"/>
  <c r="O464" i="1"/>
  <c r="E464" i="1" s="1"/>
  <c r="L465" i="1"/>
  <c r="B465" i="1" s="1"/>
  <c r="M465" i="1"/>
  <c r="C465" i="1" s="1"/>
  <c r="N465" i="1"/>
  <c r="D465" i="1" s="1"/>
  <c r="O465" i="1"/>
  <c r="E465" i="1" s="1"/>
  <c r="L466" i="1"/>
  <c r="B466" i="1" s="1"/>
  <c r="M466" i="1"/>
  <c r="C466" i="1" s="1"/>
  <c r="N466" i="1"/>
  <c r="D466" i="1" s="1"/>
  <c r="O466" i="1"/>
  <c r="E466" i="1" s="1"/>
  <c r="L467" i="1"/>
  <c r="B467" i="1" s="1"/>
  <c r="M467" i="1"/>
  <c r="C467" i="1" s="1"/>
  <c r="N467" i="1"/>
  <c r="D467" i="1" s="1"/>
  <c r="O467" i="1"/>
  <c r="E467" i="1" s="1"/>
  <c r="L468" i="1"/>
  <c r="B468" i="1" s="1"/>
  <c r="M468" i="1"/>
  <c r="C468" i="1" s="1"/>
  <c r="N468" i="1"/>
  <c r="D468" i="1" s="1"/>
  <c r="O468" i="1"/>
  <c r="E468" i="1" s="1"/>
  <c r="L469" i="1"/>
  <c r="B469" i="1" s="1"/>
  <c r="M469" i="1"/>
  <c r="C469" i="1" s="1"/>
  <c r="N469" i="1"/>
  <c r="D469" i="1" s="1"/>
  <c r="O469" i="1"/>
  <c r="E469" i="1" s="1"/>
  <c r="L470" i="1"/>
  <c r="B470" i="1" s="1"/>
  <c r="M470" i="1"/>
  <c r="C470" i="1" s="1"/>
  <c r="N470" i="1"/>
  <c r="D470" i="1" s="1"/>
  <c r="O470" i="1"/>
  <c r="E470" i="1" s="1"/>
  <c r="L471" i="1"/>
  <c r="B471" i="1" s="1"/>
  <c r="M471" i="1"/>
  <c r="C471" i="1" s="1"/>
  <c r="N471" i="1"/>
  <c r="D471" i="1" s="1"/>
  <c r="O471" i="1"/>
  <c r="E471" i="1" s="1"/>
  <c r="L472" i="1"/>
  <c r="B472" i="1" s="1"/>
  <c r="M472" i="1"/>
  <c r="C472" i="1" s="1"/>
  <c r="N472" i="1"/>
  <c r="D472" i="1" s="1"/>
  <c r="O472" i="1"/>
  <c r="E472" i="1" s="1"/>
  <c r="L473" i="1"/>
  <c r="B473" i="1" s="1"/>
  <c r="M473" i="1"/>
  <c r="C473" i="1" s="1"/>
  <c r="N473" i="1"/>
  <c r="D473" i="1" s="1"/>
  <c r="O473" i="1"/>
  <c r="E473" i="1" s="1"/>
  <c r="L474" i="1"/>
  <c r="B474" i="1" s="1"/>
  <c r="M474" i="1"/>
  <c r="C474" i="1" s="1"/>
  <c r="N474" i="1"/>
  <c r="D474" i="1" s="1"/>
  <c r="O474" i="1"/>
  <c r="E474" i="1" s="1"/>
  <c r="L475" i="1"/>
  <c r="B475" i="1" s="1"/>
  <c r="M475" i="1"/>
  <c r="C475" i="1" s="1"/>
  <c r="N475" i="1"/>
  <c r="D475" i="1" s="1"/>
  <c r="O475" i="1"/>
  <c r="E475" i="1" s="1"/>
  <c r="L476" i="1"/>
  <c r="B476" i="1" s="1"/>
  <c r="M476" i="1"/>
  <c r="C476" i="1" s="1"/>
  <c r="N476" i="1"/>
  <c r="D476" i="1" s="1"/>
  <c r="O476" i="1"/>
  <c r="E476" i="1" s="1"/>
  <c r="L477" i="1"/>
  <c r="B477" i="1" s="1"/>
  <c r="M477" i="1"/>
  <c r="C477" i="1" s="1"/>
  <c r="N477" i="1"/>
  <c r="D477" i="1" s="1"/>
  <c r="O477" i="1"/>
  <c r="E477" i="1" s="1"/>
  <c r="L478" i="1"/>
  <c r="B478" i="1" s="1"/>
  <c r="M478" i="1"/>
  <c r="C478" i="1" s="1"/>
  <c r="N478" i="1"/>
  <c r="D478" i="1" s="1"/>
  <c r="O478" i="1"/>
  <c r="E478" i="1" s="1"/>
  <c r="L479" i="1"/>
  <c r="B479" i="1" s="1"/>
  <c r="M479" i="1"/>
  <c r="C479" i="1" s="1"/>
  <c r="N479" i="1"/>
  <c r="D479" i="1" s="1"/>
  <c r="O479" i="1"/>
  <c r="E479" i="1" s="1"/>
  <c r="L480" i="1"/>
  <c r="B480" i="1" s="1"/>
  <c r="M480" i="1"/>
  <c r="C480" i="1" s="1"/>
  <c r="N480" i="1"/>
  <c r="D480" i="1" s="1"/>
  <c r="O480" i="1"/>
  <c r="E480" i="1" s="1"/>
  <c r="L481" i="1"/>
  <c r="B481" i="1" s="1"/>
  <c r="M481" i="1"/>
  <c r="C481" i="1" s="1"/>
  <c r="N481" i="1"/>
  <c r="D481" i="1" s="1"/>
  <c r="O481" i="1"/>
  <c r="E481" i="1" s="1"/>
  <c r="L482" i="1"/>
  <c r="B482" i="1" s="1"/>
  <c r="M482" i="1"/>
  <c r="C482" i="1" s="1"/>
  <c r="N482" i="1"/>
  <c r="D482" i="1" s="1"/>
  <c r="O482" i="1"/>
  <c r="E482" i="1" s="1"/>
  <c r="L483" i="1"/>
  <c r="B483" i="1" s="1"/>
  <c r="M483" i="1"/>
  <c r="C483" i="1" s="1"/>
  <c r="N483" i="1"/>
  <c r="D483" i="1" s="1"/>
  <c r="O483" i="1"/>
  <c r="E483" i="1" s="1"/>
  <c r="L484" i="1"/>
  <c r="B484" i="1" s="1"/>
  <c r="M484" i="1"/>
  <c r="C484" i="1" s="1"/>
  <c r="N484" i="1"/>
  <c r="D484" i="1" s="1"/>
  <c r="O484" i="1"/>
  <c r="E484" i="1" s="1"/>
  <c r="L485" i="1"/>
  <c r="B485" i="1" s="1"/>
  <c r="M485" i="1"/>
  <c r="C485" i="1" s="1"/>
  <c r="N485" i="1"/>
  <c r="D485" i="1" s="1"/>
  <c r="O485" i="1"/>
  <c r="E485" i="1" s="1"/>
  <c r="L486" i="1"/>
  <c r="B486" i="1" s="1"/>
  <c r="M486" i="1"/>
  <c r="C486" i="1" s="1"/>
  <c r="N486" i="1"/>
  <c r="D486" i="1" s="1"/>
  <c r="O486" i="1"/>
  <c r="E486" i="1" s="1"/>
  <c r="L487" i="1"/>
  <c r="B487" i="1" s="1"/>
  <c r="M487" i="1"/>
  <c r="C487" i="1" s="1"/>
  <c r="N487" i="1"/>
  <c r="D487" i="1" s="1"/>
  <c r="O487" i="1"/>
  <c r="E487" i="1" s="1"/>
  <c r="L488" i="1"/>
  <c r="B488" i="1" s="1"/>
  <c r="M488" i="1"/>
  <c r="C488" i="1" s="1"/>
  <c r="N488" i="1"/>
  <c r="D488" i="1" s="1"/>
  <c r="O488" i="1"/>
  <c r="E488" i="1" s="1"/>
  <c r="L489" i="1"/>
  <c r="B489" i="1" s="1"/>
  <c r="M489" i="1"/>
  <c r="C489" i="1" s="1"/>
  <c r="N489" i="1"/>
  <c r="D489" i="1" s="1"/>
  <c r="O489" i="1"/>
  <c r="E489" i="1" s="1"/>
  <c r="L490" i="1"/>
  <c r="B490" i="1" s="1"/>
  <c r="M490" i="1"/>
  <c r="C490" i="1" s="1"/>
  <c r="N490" i="1"/>
  <c r="D490" i="1" s="1"/>
  <c r="O490" i="1"/>
  <c r="E490" i="1" s="1"/>
  <c r="L491" i="1"/>
  <c r="B491" i="1" s="1"/>
  <c r="M491" i="1"/>
  <c r="C491" i="1" s="1"/>
  <c r="N491" i="1"/>
  <c r="D491" i="1" s="1"/>
  <c r="O491" i="1"/>
  <c r="E491" i="1" s="1"/>
  <c r="L492" i="1"/>
  <c r="B492" i="1" s="1"/>
  <c r="M492" i="1"/>
  <c r="C492" i="1" s="1"/>
  <c r="N492" i="1"/>
  <c r="D492" i="1" s="1"/>
  <c r="O492" i="1"/>
  <c r="E492" i="1" s="1"/>
  <c r="L493" i="1"/>
  <c r="B493" i="1" s="1"/>
  <c r="M493" i="1"/>
  <c r="C493" i="1" s="1"/>
  <c r="N493" i="1"/>
  <c r="D493" i="1" s="1"/>
  <c r="O493" i="1"/>
  <c r="E493" i="1" s="1"/>
  <c r="L494" i="1"/>
  <c r="B494" i="1" s="1"/>
  <c r="M494" i="1"/>
  <c r="C494" i="1" s="1"/>
  <c r="N494" i="1"/>
  <c r="D494" i="1" s="1"/>
  <c r="O494" i="1"/>
  <c r="E494" i="1" s="1"/>
  <c r="L495" i="1"/>
  <c r="B495" i="1" s="1"/>
  <c r="M495" i="1"/>
  <c r="C495" i="1" s="1"/>
  <c r="N495" i="1"/>
  <c r="D495" i="1" s="1"/>
  <c r="O495" i="1"/>
  <c r="E495" i="1" s="1"/>
  <c r="L496" i="1"/>
  <c r="B496" i="1" s="1"/>
  <c r="M496" i="1"/>
  <c r="C496" i="1" s="1"/>
  <c r="N496" i="1"/>
  <c r="D496" i="1" s="1"/>
  <c r="O496" i="1"/>
  <c r="E496" i="1" s="1"/>
  <c r="L497" i="1"/>
  <c r="B497" i="1" s="1"/>
  <c r="M497" i="1"/>
  <c r="C497" i="1" s="1"/>
  <c r="N497" i="1"/>
  <c r="D497" i="1" s="1"/>
  <c r="O497" i="1"/>
  <c r="E497" i="1" s="1"/>
  <c r="L498" i="1"/>
  <c r="B498" i="1" s="1"/>
  <c r="M498" i="1"/>
  <c r="C498" i="1" s="1"/>
  <c r="N498" i="1"/>
  <c r="D498" i="1" s="1"/>
  <c r="O498" i="1"/>
  <c r="E498" i="1" s="1"/>
  <c r="L499" i="1"/>
  <c r="B499" i="1" s="1"/>
  <c r="M499" i="1"/>
  <c r="C499" i="1" s="1"/>
  <c r="N499" i="1"/>
  <c r="D499" i="1" s="1"/>
  <c r="O499" i="1"/>
  <c r="E499" i="1" s="1"/>
  <c r="L500" i="1"/>
  <c r="B500" i="1" s="1"/>
  <c r="M500" i="1"/>
  <c r="C500" i="1" s="1"/>
  <c r="N500" i="1"/>
  <c r="D500" i="1" s="1"/>
  <c r="O500" i="1"/>
  <c r="E500" i="1" s="1"/>
  <c r="L4" i="1"/>
  <c r="B4" i="1" s="1"/>
  <c r="M4" i="1"/>
  <c r="C4" i="1" s="1"/>
  <c r="N4" i="1"/>
  <c r="D4" i="1" s="1"/>
  <c r="O4" i="1"/>
  <c r="E4" i="1" s="1"/>
  <c r="L5" i="1"/>
  <c r="B5" i="1" s="1"/>
  <c r="M5" i="1"/>
  <c r="C5" i="1" s="1"/>
  <c r="N5" i="1"/>
  <c r="D5" i="1" s="1"/>
  <c r="O5" i="1"/>
  <c r="E5" i="1" s="1"/>
  <c r="L6" i="1"/>
  <c r="B6" i="1" s="1"/>
  <c r="M6" i="1"/>
  <c r="C6" i="1" s="1"/>
  <c r="N6" i="1"/>
  <c r="D6" i="1" s="1"/>
  <c r="O6" i="1"/>
  <c r="E6" i="1" s="1"/>
  <c r="L7" i="1"/>
  <c r="B7" i="1" s="1"/>
  <c r="M7" i="1"/>
  <c r="C7" i="1" s="1"/>
  <c r="N7" i="1"/>
  <c r="D7" i="1" s="1"/>
  <c r="O7" i="1"/>
  <c r="E7" i="1" s="1"/>
  <c r="L8" i="1"/>
  <c r="B8" i="1" s="1"/>
  <c r="M8" i="1"/>
  <c r="C8" i="1" s="1"/>
  <c r="N8" i="1"/>
  <c r="D8" i="1" s="1"/>
  <c r="O8" i="1"/>
  <c r="E8" i="1" s="1"/>
  <c r="L9" i="1"/>
  <c r="B9" i="1" s="1"/>
  <c r="M9" i="1"/>
  <c r="C9" i="1" s="1"/>
  <c r="N9" i="1"/>
  <c r="D9" i="1" s="1"/>
  <c r="O9" i="1"/>
  <c r="E9" i="1" s="1"/>
  <c r="L10" i="1"/>
  <c r="B10" i="1" s="1"/>
  <c r="M10" i="1"/>
  <c r="C10" i="1" s="1"/>
  <c r="N10" i="1"/>
  <c r="D10" i="1" s="1"/>
  <c r="O10" i="1"/>
  <c r="E10" i="1" s="1"/>
  <c r="L11" i="1"/>
  <c r="B11" i="1" s="1"/>
  <c r="M11" i="1"/>
  <c r="C11" i="1" s="1"/>
  <c r="N11" i="1"/>
  <c r="D11" i="1" s="1"/>
  <c r="O11" i="1"/>
  <c r="E11" i="1" s="1"/>
  <c r="L12" i="1"/>
  <c r="B12" i="1" s="1"/>
  <c r="M12" i="1"/>
  <c r="C12" i="1" s="1"/>
  <c r="N12" i="1"/>
  <c r="D12" i="1" s="1"/>
  <c r="O12" i="1"/>
  <c r="E12" i="1" s="1"/>
  <c r="L13" i="1"/>
  <c r="B13" i="1" s="1"/>
  <c r="M13" i="1"/>
  <c r="C13" i="1" s="1"/>
  <c r="N13" i="1"/>
  <c r="D13" i="1" s="1"/>
  <c r="O13" i="1"/>
  <c r="E13" i="1" s="1"/>
  <c r="L14" i="1"/>
  <c r="B14" i="1" s="1"/>
  <c r="M14" i="1"/>
  <c r="C14" i="1" s="1"/>
  <c r="N14" i="1"/>
  <c r="D14" i="1" s="1"/>
  <c r="O14" i="1"/>
  <c r="E14" i="1" s="1"/>
  <c r="L15" i="1"/>
  <c r="B15" i="1" s="1"/>
  <c r="M15" i="1"/>
  <c r="C15" i="1" s="1"/>
  <c r="N15" i="1"/>
  <c r="D15" i="1" s="1"/>
  <c r="O15" i="1"/>
  <c r="E15" i="1" s="1"/>
  <c r="L16" i="1"/>
  <c r="B16" i="1" s="1"/>
  <c r="M16" i="1"/>
  <c r="C16" i="1" s="1"/>
  <c r="N16" i="1"/>
  <c r="D16" i="1" s="1"/>
  <c r="O16" i="1"/>
  <c r="E16" i="1" s="1"/>
  <c r="L17" i="1"/>
  <c r="B17" i="1" s="1"/>
  <c r="M17" i="1"/>
  <c r="C17" i="1" s="1"/>
  <c r="N17" i="1"/>
  <c r="D17" i="1" s="1"/>
  <c r="O17" i="1"/>
  <c r="E17" i="1" s="1"/>
  <c r="L18" i="1"/>
  <c r="B18" i="1" s="1"/>
  <c r="M18" i="1"/>
  <c r="C18" i="1" s="1"/>
  <c r="N18" i="1"/>
  <c r="D18" i="1" s="1"/>
  <c r="O18" i="1"/>
  <c r="E18" i="1" s="1"/>
  <c r="L19" i="1"/>
  <c r="B19" i="1" s="1"/>
  <c r="M19" i="1"/>
  <c r="C19" i="1" s="1"/>
  <c r="N19" i="1"/>
  <c r="D19" i="1" s="1"/>
  <c r="O19" i="1"/>
  <c r="E19" i="1" s="1"/>
  <c r="L20" i="1"/>
  <c r="B20" i="1" s="1"/>
  <c r="M20" i="1"/>
  <c r="C20" i="1" s="1"/>
  <c r="N20" i="1"/>
  <c r="D20" i="1" s="1"/>
  <c r="O20" i="1"/>
  <c r="E20" i="1" s="1"/>
  <c r="L21" i="1"/>
  <c r="B21" i="1" s="1"/>
  <c r="M21" i="1"/>
  <c r="C21" i="1" s="1"/>
  <c r="N21" i="1"/>
  <c r="D21" i="1" s="1"/>
  <c r="O21" i="1"/>
  <c r="E21" i="1" s="1"/>
  <c r="L22" i="1"/>
  <c r="B22" i="1" s="1"/>
  <c r="M22" i="1"/>
  <c r="C22" i="1" s="1"/>
  <c r="N22" i="1"/>
  <c r="D22" i="1" s="1"/>
  <c r="O22" i="1"/>
  <c r="E22" i="1" s="1"/>
  <c r="L3" i="1"/>
  <c r="B3" i="1" s="1"/>
  <c r="M3" i="1"/>
  <c r="C3" i="1" s="1"/>
  <c r="N3" i="1"/>
  <c r="D3" i="1" s="1"/>
  <c r="O3" i="1"/>
  <c r="E3" i="1" s="1"/>
  <c r="D350" i="1" l="1"/>
  <c r="B348" i="1"/>
  <c r="C349" i="1"/>
  <c r="E351" i="1"/>
  <c r="F303" i="1"/>
  <c r="E143" i="1"/>
  <c r="E259" i="1"/>
  <c r="E202" i="1"/>
  <c r="D322" i="1"/>
  <c r="D196" i="1"/>
  <c r="D130" i="1"/>
  <c r="D88" i="1"/>
  <c r="F256" i="1"/>
  <c r="F255" i="1"/>
  <c r="F302" i="1"/>
  <c r="E142" i="1"/>
  <c r="D277" i="1"/>
  <c r="E258" i="1"/>
  <c r="E201" i="1"/>
  <c r="F197" i="1"/>
  <c r="D321" i="1"/>
  <c r="D195" i="1"/>
  <c r="D129" i="1"/>
  <c r="D87" i="1"/>
  <c r="B159" i="1"/>
  <c r="B317" i="1"/>
  <c r="B278" i="1"/>
  <c r="B170" i="1"/>
  <c r="B56" i="1"/>
  <c r="B23" i="1"/>
  <c r="F129" i="1"/>
  <c r="C262" i="1"/>
  <c r="C160" i="1"/>
  <c r="C43" i="1"/>
  <c r="B124" i="1"/>
  <c r="C279" i="1"/>
  <c r="B39" i="1"/>
  <c r="E26" i="1"/>
  <c r="E132" i="1"/>
  <c r="F201" i="1"/>
  <c r="F258" i="1"/>
  <c r="F465" i="1"/>
  <c r="F393" i="1"/>
  <c r="F357" i="1"/>
  <c r="F261" i="1"/>
  <c r="F225" i="1"/>
  <c r="F165" i="1"/>
  <c r="F93" i="1"/>
  <c r="F57" i="1"/>
  <c r="F21" i="1"/>
  <c r="F9" i="1"/>
  <c r="F489" i="1"/>
  <c r="F453" i="1"/>
  <c r="F429" i="1"/>
  <c r="F405" i="1"/>
  <c r="F369" i="1"/>
  <c r="F285" i="1"/>
  <c r="F249" i="1"/>
  <c r="F213" i="1"/>
  <c r="F177" i="1"/>
  <c r="F428" i="1"/>
  <c r="F499" i="1"/>
  <c r="F487" i="1"/>
  <c r="F475" i="1"/>
  <c r="F463" i="1"/>
  <c r="F451" i="1"/>
  <c r="F439" i="1"/>
  <c r="F427" i="1"/>
  <c r="F415" i="1"/>
  <c r="F403" i="1"/>
  <c r="F391" i="1"/>
  <c r="F379" i="1"/>
  <c r="F367" i="1"/>
  <c r="F355" i="1"/>
  <c r="F343" i="1"/>
  <c r="F331" i="1"/>
  <c r="F307" i="1"/>
  <c r="F247" i="1"/>
  <c r="F223" i="1"/>
  <c r="F211" i="1"/>
  <c r="F187" i="1"/>
  <c r="F175" i="1"/>
  <c r="F163" i="1"/>
  <c r="F127" i="1"/>
  <c r="F103" i="1"/>
  <c r="F91" i="1"/>
  <c r="F67" i="1"/>
  <c r="F31" i="1"/>
  <c r="F7" i="1"/>
  <c r="F477" i="1"/>
  <c r="F441" i="1"/>
  <c r="F417" i="1"/>
  <c r="F381" i="1"/>
  <c r="F345" i="1"/>
  <c r="F309" i="1"/>
  <c r="F273" i="1"/>
  <c r="F237" i="1"/>
  <c r="F189" i="1"/>
  <c r="F141" i="1"/>
  <c r="F284" i="1"/>
  <c r="F498" i="1"/>
  <c r="F486" i="1"/>
  <c r="F474" i="1"/>
  <c r="F462" i="1"/>
  <c r="F450" i="1"/>
  <c r="F438" i="1"/>
  <c r="F426" i="1"/>
  <c r="F414" i="1"/>
  <c r="F402" i="1"/>
  <c r="F390" i="1"/>
  <c r="F378" i="1"/>
  <c r="F366" i="1"/>
  <c r="F354" i="1"/>
  <c r="F342" i="1"/>
  <c r="F318" i="1"/>
  <c r="F306" i="1"/>
  <c r="F282" i="1"/>
  <c r="F210" i="1"/>
  <c r="F198" i="1"/>
  <c r="F162" i="1"/>
  <c r="F150" i="1"/>
  <c r="F138" i="1"/>
  <c r="F126" i="1"/>
  <c r="F102" i="1"/>
  <c r="F90" i="1"/>
  <c r="F78" i="1"/>
  <c r="F66" i="1"/>
  <c r="F30" i="1"/>
  <c r="F18" i="1"/>
  <c r="F497" i="1"/>
  <c r="F425" i="1"/>
  <c r="F341" i="1"/>
  <c r="F496" i="1"/>
  <c r="F484" i="1"/>
  <c r="F472" i="1"/>
  <c r="F460" i="1"/>
  <c r="F448" i="1"/>
  <c r="F436" i="1"/>
  <c r="F424" i="1"/>
  <c r="F412" i="1"/>
  <c r="F400" i="1"/>
  <c r="F388" i="1"/>
  <c r="F376" i="1"/>
  <c r="F364" i="1"/>
  <c r="F352" i="1"/>
  <c r="F340" i="1"/>
  <c r="F328" i="1"/>
  <c r="F316" i="1"/>
  <c r="F304" i="1"/>
  <c r="F292" i="1"/>
  <c r="F280" i="1"/>
  <c r="F268" i="1"/>
  <c r="F244" i="1"/>
  <c r="F232" i="1"/>
  <c r="F220" i="1"/>
  <c r="F208" i="1"/>
  <c r="F172" i="1"/>
  <c r="F148" i="1"/>
  <c r="F136" i="1"/>
  <c r="F112" i="1"/>
  <c r="F100" i="1"/>
  <c r="F64" i="1"/>
  <c r="F40" i="1"/>
  <c r="F28" i="1"/>
  <c r="F16" i="1"/>
  <c r="F4" i="1"/>
  <c r="F485" i="1"/>
  <c r="F413" i="1"/>
  <c r="F245" i="1"/>
  <c r="F125" i="1"/>
  <c r="F236" i="1"/>
  <c r="F495" i="1"/>
  <c r="F483" i="1"/>
  <c r="F471" i="1"/>
  <c r="F459" i="1"/>
  <c r="F447" i="1"/>
  <c r="F435" i="1"/>
  <c r="F423" i="1"/>
  <c r="F411" i="1"/>
  <c r="F399" i="1"/>
  <c r="F387" i="1"/>
  <c r="F375" i="1"/>
  <c r="F363" i="1"/>
  <c r="F351" i="1"/>
  <c r="F339" i="1"/>
  <c r="F327" i="1"/>
  <c r="F291" i="1"/>
  <c r="F243" i="1"/>
  <c r="F231" i="1"/>
  <c r="F219" i="1"/>
  <c r="F207" i="1"/>
  <c r="F171" i="1"/>
  <c r="F135" i="1"/>
  <c r="F111" i="1"/>
  <c r="F99" i="1"/>
  <c r="F75" i="1"/>
  <c r="F63" i="1"/>
  <c r="F15" i="1"/>
  <c r="F473" i="1"/>
  <c r="F389" i="1"/>
  <c r="F137" i="1"/>
  <c r="F92" i="1"/>
  <c r="F494" i="1"/>
  <c r="F482" i="1"/>
  <c r="F470" i="1"/>
  <c r="F458" i="1"/>
  <c r="F446" i="1"/>
  <c r="F434" i="1"/>
  <c r="F422" i="1"/>
  <c r="F410" i="1"/>
  <c r="F398" i="1"/>
  <c r="F386" i="1"/>
  <c r="F374" i="1"/>
  <c r="F362" i="1"/>
  <c r="F350" i="1"/>
  <c r="F338" i="1"/>
  <c r="F266" i="1"/>
  <c r="F206" i="1"/>
  <c r="F194" i="1"/>
  <c r="F182" i="1"/>
  <c r="F158" i="1"/>
  <c r="F146" i="1"/>
  <c r="F86" i="1"/>
  <c r="F62" i="1"/>
  <c r="F14" i="1"/>
  <c r="F461" i="1"/>
  <c r="F365" i="1"/>
  <c r="F293" i="1"/>
  <c r="F173" i="1"/>
  <c r="F89" i="1"/>
  <c r="F65" i="1"/>
  <c r="F5" i="1"/>
  <c r="F493" i="1"/>
  <c r="F481" i="1"/>
  <c r="F469" i="1"/>
  <c r="F457" i="1"/>
  <c r="F445" i="1"/>
  <c r="F433" i="1"/>
  <c r="F421" i="1"/>
  <c r="F409" i="1"/>
  <c r="F397" i="1"/>
  <c r="F385" i="1"/>
  <c r="F373" i="1"/>
  <c r="F361" i="1"/>
  <c r="F349" i="1"/>
  <c r="F337" i="1"/>
  <c r="F325" i="1"/>
  <c r="F313" i="1"/>
  <c r="F301" i="1"/>
  <c r="F289" i="1"/>
  <c r="F265" i="1"/>
  <c r="F241" i="1"/>
  <c r="F229" i="1"/>
  <c r="F205" i="1"/>
  <c r="F193" i="1"/>
  <c r="F181" i="1"/>
  <c r="F145" i="1"/>
  <c r="F121" i="1"/>
  <c r="F73" i="1"/>
  <c r="F25" i="1"/>
  <c r="F13" i="1"/>
  <c r="F437" i="1"/>
  <c r="F353" i="1"/>
  <c r="F257" i="1"/>
  <c r="F161" i="1"/>
  <c r="F17" i="1"/>
  <c r="F492" i="1"/>
  <c r="F480" i="1"/>
  <c r="F468" i="1"/>
  <c r="F456" i="1"/>
  <c r="F444" i="1"/>
  <c r="F432" i="1"/>
  <c r="F420" i="1"/>
  <c r="F408" i="1"/>
  <c r="F396" i="1"/>
  <c r="F384" i="1"/>
  <c r="F372" i="1"/>
  <c r="F360" i="1"/>
  <c r="F348" i="1"/>
  <c r="F288" i="1"/>
  <c r="F252" i="1"/>
  <c r="F240" i="1"/>
  <c r="F228" i="1"/>
  <c r="F204" i="1"/>
  <c r="F192" i="1"/>
  <c r="F156" i="1"/>
  <c r="F96" i="1"/>
  <c r="F84" i="1"/>
  <c r="F36" i="1"/>
  <c r="F24" i="1"/>
  <c r="F12" i="1"/>
  <c r="F449" i="1"/>
  <c r="F377" i="1"/>
  <c r="F305" i="1"/>
  <c r="F233" i="1"/>
  <c r="F380" i="1"/>
  <c r="F491" i="1"/>
  <c r="F479" i="1"/>
  <c r="F467" i="1"/>
  <c r="F455" i="1"/>
  <c r="F443" i="1"/>
  <c r="F431" i="1"/>
  <c r="F419" i="1"/>
  <c r="F407" i="1"/>
  <c r="F395" i="1"/>
  <c r="F383" i="1"/>
  <c r="F371" i="1"/>
  <c r="F359" i="1"/>
  <c r="F347" i="1"/>
  <c r="F311" i="1"/>
  <c r="F299" i="1"/>
  <c r="F287" i="1"/>
  <c r="F275" i="1"/>
  <c r="F263" i="1"/>
  <c r="F251" i="1"/>
  <c r="F239" i="1"/>
  <c r="F203" i="1"/>
  <c r="F191" i="1"/>
  <c r="F179" i="1"/>
  <c r="F167" i="1"/>
  <c r="F131" i="1"/>
  <c r="F107" i="1"/>
  <c r="F71" i="1"/>
  <c r="F59" i="1"/>
  <c r="F47" i="1"/>
  <c r="F11" i="1"/>
  <c r="F401" i="1"/>
  <c r="F269" i="1"/>
  <c r="F490" i="1"/>
  <c r="F478" i="1"/>
  <c r="F466" i="1"/>
  <c r="F454" i="1"/>
  <c r="F442" i="1"/>
  <c r="F430" i="1"/>
  <c r="F418" i="1"/>
  <c r="F406" i="1"/>
  <c r="F394" i="1"/>
  <c r="F382" i="1"/>
  <c r="F370" i="1"/>
  <c r="F358" i="1"/>
  <c r="F346" i="1"/>
  <c r="F334" i="1"/>
  <c r="F310" i="1"/>
  <c r="F298" i="1"/>
  <c r="F274" i="1"/>
  <c r="F250" i="1"/>
  <c r="F214" i="1"/>
  <c r="F190" i="1"/>
  <c r="F166" i="1"/>
  <c r="F154" i="1"/>
  <c r="F130" i="1"/>
  <c r="F118" i="1"/>
  <c r="F106" i="1"/>
  <c r="F94" i="1"/>
  <c r="F70" i="1"/>
  <c r="F58" i="1"/>
  <c r="F46" i="1"/>
  <c r="F34" i="1"/>
  <c r="C317" i="1"/>
  <c r="C278" i="1"/>
  <c r="C170" i="1"/>
  <c r="C56" i="1"/>
  <c r="C23" i="1"/>
  <c r="B197" i="1"/>
  <c r="B149" i="1"/>
  <c r="B53" i="1"/>
  <c r="B50" i="1"/>
  <c r="D160" i="1"/>
  <c r="C124" i="1"/>
  <c r="B178" i="1"/>
  <c r="B49" i="1"/>
  <c r="D279" i="1"/>
  <c r="C159" i="1"/>
  <c r="C39" i="1"/>
  <c r="B216" i="1"/>
  <c r="B183" i="1"/>
  <c r="B33" i="1"/>
  <c r="C178" i="1"/>
  <c r="C49" i="1"/>
  <c r="B157" i="1"/>
  <c r="B142" i="1"/>
  <c r="B133" i="1"/>
  <c r="E279" i="1"/>
  <c r="D159" i="1"/>
  <c r="D39" i="1"/>
  <c r="C216" i="1"/>
  <c r="C183" i="1"/>
  <c r="C33" i="1"/>
  <c r="D124" i="1"/>
  <c r="B297" i="1"/>
  <c r="B186" i="1"/>
  <c r="D317" i="1"/>
  <c r="D278" i="1"/>
  <c r="D170" i="1"/>
  <c r="D56" i="1"/>
  <c r="D23" i="1"/>
  <c r="C197" i="1"/>
  <c r="C149" i="1"/>
  <c r="C53" i="1"/>
  <c r="C50" i="1"/>
  <c r="B335" i="1"/>
  <c r="B326" i="1"/>
  <c r="B221" i="1"/>
  <c r="B122" i="1"/>
  <c r="B74" i="1"/>
  <c r="E160" i="1"/>
  <c r="F26" i="3" l="1"/>
  <c r="I27" i="3"/>
  <c r="E27" i="3"/>
  <c r="G25" i="3"/>
  <c r="F25" i="3"/>
  <c r="E26" i="3"/>
  <c r="I25" i="3"/>
  <c r="F27" i="3"/>
  <c r="I26" i="3"/>
  <c r="G27" i="3"/>
  <c r="E25" i="3"/>
  <c r="H25" i="3"/>
  <c r="H26" i="3"/>
  <c r="G26" i="3"/>
  <c r="H27" i="3"/>
  <c r="E8" i="3"/>
  <c r="F8" i="3"/>
  <c r="G8" i="3"/>
  <c r="H8" i="3"/>
  <c r="I8" i="3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" i="1"/>
  <c r="G5535" i="1" l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I1" i="3"/>
  <c r="D7" i="3"/>
  <c r="K506" i="1" l="1"/>
  <c r="A506" i="1" s="1"/>
  <c r="K507" i="1"/>
  <c r="A507" i="1" s="1"/>
  <c r="K508" i="1"/>
  <c r="A508" i="1" s="1"/>
  <c r="K501" i="1"/>
  <c r="A501" i="1" s="1"/>
  <c r="K509" i="1"/>
  <c r="A509" i="1" s="1"/>
  <c r="K510" i="1"/>
  <c r="A510" i="1" s="1"/>
  <c r="K502" i="1"/>
  <c r="A502" i="1" s="1"/>
  <c r="K503" i="1"/>
  <c r="A503" i="1" s="1"/>
  <c r="K504" i="1"/>
  <c r="A504" i="1" s="1"/>
  <c r="K505" i="1"/>
  <c r="A505" i="1" s="1"/>
  <c r="D4" i="3"/>
  <c r="B2" i="2"/>
  <c r="H3" i="1"/>
  <c r="A6" i="2"/>
  <c r="G15" i="3" l="1"/>
  <c r="F12" i="3"/>
  <c r="F13" i="3"/>
  <c r="I19" i="3"/>
  <c r="G23" i="3"/>
  <c r="I18" i="3"/>
  <c r="I17" i="3"/>
  <c r="I15" i="3"/>
  <c r="G18" i="3"/>
  <c r="H20" i="3"/>
  <c r="H12" i="3"/>
  <c r="F16" i="3"/>
  <c r="F20" i="3"/>
  <c r="E15" i="3"/>
  <c r="G24" i="3"/>
  <c r="H22" i="3"/>
  <c r="E23" i="3"/>
  <c r="E18" i="3"/>
  <c r="F18" i="3"/>
  <c r="H13" i="3"/>
  <c r="I23" i="3"/>
  <c r="E19" i="3"/>
  <c r="F22" i="3"/>
  <c r="E21" i="3"/>
  <c r="E10" i="3"/>
  <c r="F15" i="3"/>
  <c r="H18" i="3"/>
  <c r="I22" i="3"/>
  <c r="H14" i="3"/>
  <c r="H21" i="3"/>
  <c r="E22" i="3"/>
  <c r="F14" i="3"/>
  <c r="I13" i="3"/>
  <c r="H23" i="3"/>
  <c r="I16" i="3"/>
  <c r="E24" i="3"/>
  <c r="G16" i="3"/>
  <c r="F19" i="3"/>
  <c r="I12" i="3"/>
  <c r="H24" i="3"/>
  <c r="F10" i="3"/>
  <c r="H19" i="3"/>
  <c r="F17" i="3"/>
  <c r="G21" i="3"/>
  <c r="I24" i="3"/>
  <c r="G20" i="3"/>
  <c r="I21" i="3"/>
  <c r="F24" i="3"/>
  <c r="H15" i="3"/>
  <c r="I20" i="3"/>
  <c r="G17" i="3"/>
  <c r="G19" i="3"/>
  <c r="G14" i="3"/>
  <c r="G22" i="3"/>
  <c r="I14" i="3"/>
  <c r="F21" i="3"/>
  <c r="E20" i="3"/>
  <c r="H17" i="3"/>
  <c r="E17" i="3"/>
  <c r="H16" i="3"/>
  <c r="E13" i="3"/>
  <c r="F23" i="3"/>
  <c r="E14" i="3"/>
  <c r="G13" i="3"/>
  <c r="E16" i="3"/>
  <c r="H11" i="3"/>
  <c r="I9" i="3"/>
  <c r="G9" i="3"/>
  <c r="I10" i="3"/>
  <c r="E11" i="3"/>
  <c r="G11" i="3"/>
  <c r="F11" i="3"/>
  <c r="G10" i="3"/>
  <c r="E12" i="3"/>
  <c r="F9" i="3"/>
  <c r="G12" i="3"/>
  <c r="E9" i="3"/>
  <c r="I11" i="3"/>
  <c r="H10" i="3"/>
  <c r="H9" i="3"/>
  <c r="K119" i="1"/>
  <c r="A119" i="1" s="1"/>
  <c r="K263" i="1"/>
  <c r="K407" i="1"/>
  <c r="A407" i="1" s="1"/>
  <c r="K160" i="1"/>
  <c r="K304" i="1"/>
  <c r="A304" i="1" s="1"/>
  <c r="K448" i="1"/>
  <c r="A448" i="1" s="1"/>
  <c r="K45" i="1"/>
  <c r="A45" i="1" s="1"/>
  <c r="K189" i="1"/>
  <c r="A189" i="1" s="1"/>
  <c r="K333" i="1"/>
  <c r="A333" i="1" s="1"/>
  <c r="K401" i="1"/>
  <c r="A401" i="1" s="1"/>
  <c r="K74" i="1"/>
  <c r="K218" i="1"/>
  <c r="A218" i="1" s="1"/>
  <c r="K362" i="1"/>
  <c r="A362" i="1" s="1"/>
  <c r="K499" i="1"/>
  <c r="A499" i="1" s="1"/>
  <c r="K115" i="1"/>
  <c r="A115" i="1" s="1"/>
  <c r="K259" i="1"/>
  <c r="A259" i="1" s="1"/>
  <c r="K403" i="1"/>
  <c r="A403" i="1" s="1"/>
  <c r="K491" i="1"/>
  <c r="A491" i="1" s="1"/>
  <c r="K156" i="1"/>
  <c r="A156" i="1" s="1"/>
  <c r="K300" i="1"/>
  <c r="A300" i="1" s="1"/>
  <c r="K444" i="1"/>
  <c r="A444" i="1" s="1"/>
  <c r="K41" i="1"/>
  <c r="A41" i="1" s="1"/>
  <c r="K185" i="1"/>
  <c r="A185" i="1" s="1"/>
  <c r="K329" i="1"/>
  <c r="A329" i="1" s="1"/>
  <c r="K46" i="1"/>
  <c r="A46" i="1" s="1"/>
  <c r="K190" i="1"/>
  <c r="A190" i="1" s="1"/>
  <c r="K334" i="1"/>
  <c r="A334" i="1" s="1"/>
  <c r="K478" i="1"/>
  <c r="A478" i="1" s="1"/>
  <c r="K87" i="1"/>
  <c r="K231" i="1"/>
  <c r="A231" i="1" s="1"/>
  <c r="K375" i="1"/>
  <c r="A375" i="1" s="1"/>
  <c r="K42" i="1"/>
  <c r="A42" i="1" s="1"/>
  <c r="K68" i="1"/>
  <c r="A68" i="1" s="1"/>
  <c r="K212" i="1"/>
  <c r="A212" i="1" s="1"/>
  <c r="K356" i="1"/>
  <c r="A356" i="1" s="1"/>
  <c r="K500" i="1"/>
  <c r="A500" i="1" s="1"/>
  <c r="K73" i="1"/>
  <c r="A73" i="1" s="1"/>
  <c r="K217" i="1"/>
  <c r="A217" i="1" s="1"/>
  <c r="K361" i="1"/>
  <c r="A361" i="1" s="1"/>
  <c r="K186" i="1"/>
  <c r="K17" i="1"/>
  <c r="A17" i="1" s="1"/>
  <c r="K57" i="1"/>
  <c r="A57" i="1" s="1"/>
  <c r="K415" i="1"/>
  <c r="A415" i="1" s="1"/>
  <c r="K197" i="1"/>
  <c r="K490" i="1"/>
  <c r="A490" i="1" s="1"/>
  <c r="K80" i="1"/>
  <c r="A80" i="1" s="1"/>
  <c r="K229" i="1"/>
  <c r="A229" i="1" s="1"/>
  <c r="K445" i="1"/>
  <c r="A445" i="1" s="1"/>
  <c r="K131" i="1"/>
  <c r="A131" i="1" s="1"/>
  <c r="K275" i="1"/>
  <c r="A275" i="1" s="1"/>
  <c r="K28" i="1"/>
  <c r="A28" i="1" s="1"/>
  <c r="K172" i="1"/>
  <c r="A172" i="1" s="1"/>
  <c r="K316" i="1"/>
  <c r="A316" i="1" s="1"/>
  <c r="K460" i="1"/>
  <c r="A460" i="1" s="1"/>
  <c r="K473" i="1"/>
  <c r="A473" i="1" s="1"/>
  <c r="K230" i="1"/>
  <c r="A230" i="1" s="1"/>
  <c r="K374" i="1"/>
  <c r="A374" i="1" s="1"/>
  <c r="K24" i="1"/>
  <c r="A24" i="1" s="1"/>
  <c r="K53" i="1"/>
  <c r="A53" i="1" s="1"/>
  <c r="K346" i="1"/>
  <c r="A346" i="1" s="1"/>
  <c r="K54" i="1"/>
  <c r="A54" i="1" s="1"/>
  <c r="K85" i="1"/>
  <c r="A85" i="1" s="1"/>
  <c r="K301" i="1"/>
  <c r="A301" i="1" s="1"/>
  <c r="K35" i="1"/>
  <c r="K143" i="1"/>
  <c r="A143" i="1" s="1"/>
  <c r="K287" i="1"/>
  <c r="A287" i="1" s="1"/>
  <c r="K40" i="1"/>
  <c r="A40" i="1" s="1"/>
  <c r="K184" i="1"/>
  <c r="A184" i="1" s="1"/>
  <c r="K328" i="1"/>
  <c r="A328" i="1" s="1"/>
  <c r="K472" i="1"/>
  <c r="A472" i="1" s="1"/>
  <c r="K69" i="1"/>
  <c r="A69" i="1" s="1"/>
  <c r="K213" i="1"/>
  <c r="A213" i="1" s="1"/>
  <c r="K357" i="1"/>
  <c r="A357" i="1" s="1"/>
  <c r="K258" i="1"/>
  <c r="A258" i="1" s="1"/>
  <c r="K98" i="1"/>
  <c r="A98" i="1" s="1"/>
  <c r="K242" i="1"/>
  <c r="A242" i="1" s="1"/>
  <c r="K386" i="1"/>
  <c r="A386" i="1" s="1"/>
  <c r="K377" i="1"/>
  <c r="A377" i="1" s="1"/>
  <c r="K139" i="1"/>
  <c r="A139" i="1" s="1"/>
  <c r="K283" i="1"/>
  <c r="A283" i="1" s="1"/>
  <c r="K427" i="1"/>
  <c r="A427" i="1" s="1"/>
  <c r="K36" i="1"/>
  <c r="A36" i="1" s="1"/>
  <c r="K180" i="1"/>
  <c r="A180" i="1" s="1"/>
  <c r="K324" i="1"/>
  <c r="A324" i="1" s="1"/>
  <c r="K468" i="1"/>
  <c r="A468" i="1" s="1"/>
  <c r="K65" i="1"/>
  <c r="A65" i="1" s="1"/>
  <c r="K209" i="1"/>
  <c r="A209" i="1" s="1"/>
  <c r="K365" i="1"/>
  <c r="A365" i="1" s="1"/>
  <c r="K70" i="1"/>
  <c r="A70" i="1" s="1"/>
  <c r="K214" i="1"/>
  <c r="A214" i="1" s="1"/>
  <c r="K358" i="1"/>
  <c r="A358" i="1" s="1"/>
  <c r="K174" i="1"/>
  <c r="A174" i="1" s="1"/>
  <c r="K111" i="1"/>
  <c r="A111" i="1" s="1"/>
  <c r="K255" i="1"/>
  <c r="A255" i="1" s="1"/>
  <c r="K399" i="1"/>
  <c r="A399" i="1" s="1"/>
  <c r="K66" i="1"/>
  <c r="A66" i="1" s="1"/>
  <c r="K92" i="1"/>
  <c r="A92" i="1" s="1"/>
  <c r="K236" i="1"/>
  <c r="A236" i="1" s="1"/>
  <c r="K380" i="1"/>
  <c r="A380" i="1" s="1"/>
  <c r="K102" i="1"/>
  <c r="A102" i="1" s="1"/>
  <c r="K97" i="1"/>
  <c r="A97" i="1" s="1"/>
  <c r="K241" i="1"/>
  <c r="A241" i="1" s="1"/>
  <c r="K385" i="1"/>
  <c r="A385" i="1" s="1"/>
  <c r="K16" i="1"/>
  <c r="A16" i="1" s="1"/>
  <c r="K22" i="1"/>
  <c r="A22" i="1" s="1"/>
  <c r="K59" i="1"/>
  <c r="A59" i="1" s="1"/>
  <c r="K388" i="1"/>
  <c r="A388" i="1" s="1"/>
  <c r="K158" i="1"/>
  <c r="A158" i="1" s="1"/>
  <c r="K199" i="1"/>
  <c r="A199" i="1" s="1"/>
  <c r="K240" i="1"/>
  <c r="A240" i="1" s="1"/>
  <c r="K269" i="1"/>
  <c r="A269" i="1" s="1"/>
  <c r="K27" i="1"/>
  <c r="A27" i="1" s="1"/>
  <c r="K296" i="1"/>
  <c r="A296" i="1" s="1"/>
  <c r="K4" i="1"/>
  <c r="A4" i="1" s="1"/>
  <c r="K155" i="1"/>
  <c r="A155" i="1" s="1"/>
  <c r="K299" i="1"/>
  <c r="A299" i="1" s="1"/>
  <c r="K52" i="1"/>
  <c r="A52" i="1" s="1"/>
  <c r="K196" i="1"/>
  <c r="A196" i="1" s="1"/>
  <c r="K340" i="1"/>
  <c r="A340" i="1" s="1"/>
  <c r="K484" i="1"/>
  <c r="A484" i="1" s="1"/>
  <c r="K81" i="1"/>
  <c r="A81" i="1" s="1"/>
  <c r="K225" i="1"/>
  <c r="A225" i="1" s="1"/>
  <c r="K369" i="1"/>
  <c r="A369" i="1" s="1"/>
  <c r="K294" i="1"/>
  <c r="A294" i="1" s="1"/>
  <c r="K110" i="1"/>
  <c r="A110" i="1" s="1"/>
  <c r="K254" i="1"/>
  <c r="A254" i="1" s="1"/>
  <c r="K398" i="1"/>
  <c r="A398" i="1" s="1"/>
  <c r="K246" i="1"/>
  <c r="A246" i="1" s="1"/>
  <c r="K151" i="1"/>
  <c r="A151" i="1" s="1"/>
  <c r="K295" i="1"/>
  <c r="K439" i="1"/>
  <c r="A439" i="1" s="1"/>
  <c r="K48" i="1"/>
  <c r="A48" i="1" s="1"/>
  <c r="K192" i="1"/>
  <c r="A192" i="1" s="1"/>
  <c r="K336" i="1"/>
  <c r="A336" i="1" s="1"/>
  <c r="K480" i="1"/>
  <c r="A480" i="1" s="1"/>
  <c r="K77" i="1"/>
  <c r="A77" i="1" s="1"/>
  <c r="K221" i="1"/>
  <c r="K389" i="1"/>
  <c r="A389" i="1" s="1"/>
  <c r="K82" i="1"/>
  <c r="A82" i="1" s="1"/>
  <c r="K226" i="1"/>
  <c r="K370" i="1"/>
  <c r="A370" i="1" s="1"/>
  <c r="K198" i="1"/>
  <c r="A198" i="1" s="1"/>
  <c r="K123" i="1"/>
  <c r="A123" i="1" s="1"/>
  <c r="K267" i="1"/>
  <c r="A267" i="1" s="1"/>
  <c r="K411" i="1"/>
  <c r="A411" i="1" s="1"/>
  <c r="K114" i="1"/>
  <c r="A114" i="1" s="1"/>
  <c r="K104" i="1"/>
  <c r="A104" i="1" s="1"/>
  <c r="K248" i="1"/>
  <c r="A248" i="1" s="1"/>
  <c r="K392" i="1"/>
  <c r="A392" i="1" s="1"/>
  <c r="K150" i="1"/>
  <c r="A150" i="1" s="1"/>
  <c r="K109" i="1"/>
  <c r="A109" i="1" s="1"/>
  <c r="K253" i="1"/>
  <c r="A253" i="1" s="1"/>
  <c r="K397" i="1"/>
  <c r="A397" i="1" s="1"/>
  <c r="K9" i="1"/>
  <c r="A9" i="1" s="1"/>
  <c r="K15" i="1"/>
  <c r="A15" i="1" s="1"/>
  <c r="K244" i="1"/>
  <c r="A244" i="1" s="1"/>
  <c r="K90" i="1"/>
  <c r="A90" i="1" s="1"/>
  <c r="K419" i="1"/>
  <c r="A419" i="1" s="1"/>
  <c r="K302" i="1"/>
  <c r="A302" i="1" s="1"/>
  <c r="K487" i="1"/>
  <c r="A487" i="1" s="1"/>
  <c r="K125" i="1"/>
  <c r="A125" i="1" s="1"/>
  <c r="K418" i="1"/>
  <c r="A418" i="1" s="1"/>
  <c r="K152" i="1"/>
  <c r="A152" i="1" s="1"/>
  <c r="K19" i="1"/>
  <c r="A19" i="1" s="1"/>
  <c r="K3" i="1"/>
  <c r="A3" i="1" s="1"/>
  <c r="K167" i="1"/>
  <c r="A167" i="1" s="1"/>
  <c r="K311" i="1"/>
  <c r="A311" i="1" s="1"/>
  <c r="K64" i="1"/>
  <c r="A64" i="1" s="1"/>
  <c r="K208" i="1"/>
  <c r="A208" i="1" s="1"/>
  <c r="K352" i="1"/>
  <c r="A352" i="1" s="1"/>
  <c r="K496" i="1"/>
  <c r="A496" i="1" s="1"/>
  <c r="K93" i="1"/>
  <c r="A93" i="1" s="1"/>
  <c r="K237" i="1"/>
  <c r="A237" i="1" s="1"/>
  <c r="K381" i="1"/>
  <c r="A381" i="1" s="1"/>
  <c r="K426" i="1"/>
  <c r="A426" i="1" s="1"/>
  <c r="K122" i="1"/>
  <c r="K266" i="1"/>
  <c r="A266" i="1" s="1"/>
  <c r="K410" i="1"/>
  <c r="A410" i="1" s="1"/>
  <c r="K282" i="1"/>
  <c r="A282" i="1" s="1"/>
  <c r="K163" i="1"/>
  <c r="A163" i="1" s="1"/>
  <c r="K307" i="1"/>
  <c r="A307" i="1" s="1"/>
  <c r="K451" i="1"/>
  <c r="A451" i="1" s="1"/>
  <c r="K60" i="1"/>
  <c r="A60" i="1" s="1"/>
  <c r="K204" i="1"/>
  <c r="A204" i="1" s="1"/>
  <c r="K348" i="1"/>
  <c r="A348" i="1" s="1"/>
  <c r="K492" i="1"/>
  <c r="A492" i="1" s="1"/>
  <c r="K89" i="1"/>
  <c r="A89" i="1" s="1"/>
  <c r="K233" i="1"/>
  <c r="A233" i="1" s="1"/>
  <c r="K437" i="1"/>
  <c r="A437" i="1" s="1"/>
  <c r="K94" i="1"/>
  <c r="A94" i="1" s="1"/>
  <c r="K238" i="1"/>
  <c r="A238" i="1" s="1"/>
  <c r="K382" i="1"/>
  <c r="A382" i="1" s="1"/>
  <c r="K210" i="1"/>
  <c r="A210" i="1" s="1"/>
  <c r="K135" i="1"/>
  <c r="A135" i="1" s="1"/>
  <c r="K279" i="1"/>
  <c r="K423" i="1"/>
  <c r="A423" i="1" s="1"/>
  <c r="K126" i="1"/>
  <c r="A126" i="1" s="1"/>
  <c r="K116" i="1"/>
  <c r="A116" i="1" s="1"/>
  <c r="K260" i="1"/>
  <c r="A260" i="1" s="1"/>
  <c r="K404" i="1"/>
  <c r="A404" i="1" s="1"/>
  <c r="K222" i="1"/>
  <c r="A222" i="1" s="1"/>
  <c r="K121" i="1"/>
  <c r="A121" i="1" s="1"/>
  <c r="K265" i="1"/>
  <c r="A265" i="1" s="1"/>
  <c r="K409" i="1"/>
  <c r="A409" i="1" s="1"/>
  <c r="K21" i="1"/>
  <c r="A21" i="1" s="1"/>
  <c r="K8" i="1"/>
  <c r="A8" i="1" s="1"/>
  <c r="K100" i="1"/>
  <c r="A100" i="1" s="1"/>
  <c r="K273" i="1"/>
  <c r="A273" i="1" s="1"/>
  <c r="K55" i="1"/>
  <c r="A55" i="1" s="1"/>
  <c r="K384" i="1"/>
  <c r="A384" i="1" s="1"/>
  <c r="K130" i="1"/>
  <c r="A130" i="1" s="1"/>
  <c r="K171" i="1"/>
  <c r="A171" i="1" s="1"/>
  <c r="K330" i="1"/>
  <c r="A330" i="1" s="1"/>
  <c r="K157" i="1"/>
  <c r="K23" i="1"/>
  <c r="A23" i="1" s="1"/>
  <c r="K179" i="1"/>
  <c r="A179" i="1" s="1"/>
  <c r="K323" i="1"/>
  <c r="A323" i="1" s="1"/>
  <c r="K76" i="1"/>
  <c r="A76" i="1" s="1"/>
  <c r="K220" i="1"/>
  <c r="A220" i="1" s="1"/>
  <c r="K364" i="1"/>
  <c r="A364" i="1" s="1"/>
  <c r="K465" i="1"/>
  <c r="A465" i="1" s="1"/>
  <c r="K105" i="1"/>
  <c r="A105" i="1" s="1"/>
  <c r="K249" i="1"/>
  <c r="A249" i="1" s="1"/>
  <c r="K393" i="1"/>
  <c r="A393" i="1" s="1"/>
  <c r="K474" i="1"/>
  <c r="A474" i="1" s="1"/>
  <c r="K134" i="1"/>
  <c r="A134" i="1" s="1"/>
  <c r="K278" i="1"/>
  <c r="A278" i="1" s="1"/>
  <c r="K422" i="1"/>
  <c r="A422" i="1" s="1"/>
  <c r="K31" i="1"/>
  <c r="A31" i="1" s="1"/>
  <c r="K175" i="1"/>
  <c r="A175" i="1" s="1"/>
  <c r="K319" i="1"/>
  <c r="A319" i="1" s="1"/>
  <c r="K463" i="1"/>
  <c r="A463" i="1" s="1"/>
  <c r="K72" i="1"/>
  <c r="A72" i="1" s="1"/>
  <c r="K216" i="1"/>
  <c r="K360" i="1"/>
  <c r="A360" i="1" s="1"/>
  <c r="K413" i="1"/>
  <c r="A413" i="1" s="1"/>
  <c r="K101" i="1"/>
  <c r="A101" i="1" s="1"/>
  <c r="K245" i="1"/>
  <c r="A245" i="1" s="1"/>
  <c r="K449" i="1"/>
  <c r="A449" i="1" s="1"/>
  <c r="K106" i="1"/>
  <c r="A106" i="1" s="1"/>
  <c r="K250" i="1"/>
  <c r="A250" i="1" s="1"/>
  <c r="K394" i="1"/>
  <c r="A394" i="1" s="1"/>
  <c r="K450" i="1"/>
  <c r="A450" i="1" s="1"/>
  <c r="K147" i="1"/>
  <c r="A147" i="1" s="1"/>
  <c r="K291" i="1"/>
  <c r="A291" i="1" s="1"/>
  <c r="K435" i="1"/>
  <c r="A435" i="1" s="1"/>
  <c r="K138" i="1"/>
  <c r="A138" i="1" s="1"/>
  <c r="K128" i="1"/>
  <c r="A128" i="1" s="1"/>
  <c r="K272" i="1"/>
  <c r="A272" i="1" s="1"/>
  <c r="K416" i="1"/>
  <c r="A416" i="1" s="1"/>
  <c r="K234" i="1"/>
  <c r="A234" i="1" s="1"/>
  <c r="K133" i="1"/>
  <c r="K277" i="1"/>
  <c r="K421" i="1"/>
  <c r="A421" i="1" s="1"/>
  <c r="K14" i="1"/>
  <c r="A14" i="1" s="1"/>
  <c r="K20" i="1"/>
  <c r="A20" i="1" s="1"/>
  <c r="K347" i="1"/>
  <c r="K129" i="1"/>
  <c r="K446" i="1"/>
  <c r="A446" i="1" s="1"/>
  <c r="K96" i="1"/>
  <c r="A96" i="1" s="1"/>
  <c r="K306" i="1"/>
  <c r="A306" i="1" s="1"/>
  <c r="K315" i="1"/>
  <c r="A315" i="1" s="1"/>
  <c r="K440" i="1"/>
  <c r="A440" i="1" s="1"/>
  <c r="K47" i="1"/>
  <c r="A47" i="1" s="1"/>
  <c r="K191" i="1"/>
  <c r="A191" i="1" s="1"/>
  <c r="K335" i="1"/>
  <c r="K88" i="1"/>
  <c r="K232" i="1"/>
  <c r="A232" i="1" s="1"/>
  <c r="K376" i="1"/>
  <c r="A376" i="1" s="1"/>
  <c r="K477" i="1"/>
  <c r="A477" i="1" s="1"/>
  <c r="K117" i="1"/>
  <c r="A117" i="1" s="1"/>
  <c r="K261" i="1"/>
  <c r="A261" i="1" s="1"/>
  <c r="K405" i="1"/>
  <c r="A405" i="1" s="1"/>
  <c r="K486" i="1"/>
  <c r="A486" i="1" s="1"/>
  <c r="K146" i="1"/>
  <c r="A146" i="1" s="1"/>
  <c r="K290" i="1"/>
  <c r="A290" i="1" s="1"/>
  <c r="K434" i="1"/>
  <c r="A434" i="1" s="1"/>
  <c r="K43" i="1"/>
  <c r="K187" i="1"/>
  <c r="A187" i="1" s="1"/>
  <c r="K331" i="1"/>
  <c r="A331" i="1" s="1"/>
  <c r="K475" i="1"/>
  <c r="A475" i="1" s="1"/>
  <c r="K84" i="1"/>
  <c r="A84" i="1" s="1"/>
  <c r="K228" i="1"/>
  <c r="A228" i="1" s="1"/>
  <c r="K372" i="1"/>
  <c r="A372" i="1" s="1"/>
  <c r="K461" i="1"/>
  <c r="A461" i="1" s="1"/>
  <c r="K113" i="1"/>
  <c r="A113" i="1" s="1"/>
  <c r="K257" i="1"/>
  <c r="A257" i="1" s="1"/>
  <c r="K485" i="1"/>
  <c r="A485" i="1" s="1"/>
  <c r="K118" i="1"/>
  <c r="A118" i="1" s="1"/>
  <c r="K262" i="1"/>
  <c r="K406" i="1"/>
  <c r="A406" i="1" s="1"/>
  <c r="K455" i="1"/>
  <c r="A455" i="1" s="1"/>
  <c r="K159" i="1"/>
  <c r="A159" i="1" s="1"/>
  <c r="K303" i="1"/>
  <c r="A303" i="1" s="1"/>
  <c r="K447" i="1"/>
  <c r="A447" i="1" s="1"/>
  <c r="K162" i="1"/>
  <c r="A162" i="1" s="1"/>
  <c r="K140" i="1"/>
  <c r="A140" i="1" s="1"/>
  <c r="K284" i="1"/>
  <c r="A284" i="1" s="1"/>
  <c r="K428" i="1"/>
  <c r="A428" i="1" s="1"/>
  <c r="K438" i="1"/>
  <c r="A438" i="1" s="1"/>
  <c r="K145" i="1"/>
  <c r="A145" i="1" s="1"/>
  <c r="K289" i="1"/>
  <c r="A289" i="1" s="1"/>
  <c r="K433" i="1"/>
  <c r="A433" i="1" s="1"/>
  <c r="K7" i="1"/>
  <c r="A7" i="1" s="1"/>
  <c r="K13" i="1"/>
  <c r="A13" i="1" s="1"/>
  <c r="K203" i="1"/>
  <c r="A203" i="1" s="1"/>
  <c r="K417" i="1"/>
  <c r="A417" i="1" s="1"/>
  <c r="K343" i="1"/>
  <c r="A343" i="1" s="1"/>
  <c r="K354" i="1"/>
  <c r="A354" i="1" s="1"/>
  <c r="K274" i="1"/>
  <c r="A274" i="1" s="1"/>
  <c r="K459" i="1"/>
  <c r="A459" i="1" s="1"/>
  <c r="K498" i="1"/>
  <c r="A498" i="1" s="1"/>
  <c r="K71" i="1"/>
  <c r="A71" i="1" s="1"/>
  <c r="K215" i="1"/>
  <c r="A215" i="1" s="1"/>
  <c r="K359" i="1"/>
  <c r="A359" i="1" s="1"/>
  <c r="K112" i="1"/>
  <c r="A112" i="1" s="1"/>
  <c r="K256" i="1"/>
  <c r="A256" i="1" s="1"/>
  <c r="K400" i="1"/>
  <c r="A400" i="1" s="1"/>
  <c r="K270" i="1"/>
  <c r="A270" i="1" s="1"/>
  <c r="K141" i="1"/>
  <c r="A141" i="1" s="1"/>
  <c r="K285" i="1"/>
  <c r="A285" i="1" s="1"/>
  <c r="K429" i="1"/>
  <c r="A429" i="1" s="1"/>
  <c r="K26" i="1"/>
  <c r="A26" i="1" s="1"/>
  <c r="K170" i="1"/>
  <c r="A170" i="1" s="1"/>
  <c r="K314" i="1"/>
  <c r="A314" i="1" s="1"/>
  <c r="K458" i="1"/>
  <c r="A458" i="1" s="1"/>
  <c r="K67" i="1"/>
  <c r="A67" i="1" s="1"/>
  <c r="K211" i="1"/>
  <c r="A211" i="1" s="1"/>
  <c r="K355" i="1"/>
  <c r="A355" i="1" s="1"/>
  <c r="K425" i="1"/>
  <c r="A425" i="1" s="1"/>
  <c r="K108" i="1"/>
  <c r="A108" i="1" s="1"/>
  <c r="K252" i="1"/>
  <c r="A252" i="1" s="1"/>
  <c r="K396" i="1"/>
  <c r="A396" i="1" s="1"/>
  <c r="K390" i="1"/>
  <c r="A390" i="1" s="1"/>
  <c r="K137" i="1"/>
  <c r="A137" i="1" s="1"/>
  <c r="K281" i="1"/>
  <c r="A281" i="1" s="1"/>
  <c r="K378" i="1"/>
  <c r="A378" i="1" s="1"/>
  <c r="K142" i="1"/>
  <c r="K286" i="1"/>
  <c r="K430" i="1"/>
  <c r="A430" i="1" s="1"/>
  <c r="K39" i="1"/>
  <c r="A39" i="1" s="1"/>
  <c r="K183" i="1"/>
  <c r="K327" i="1"/>
  <c r="A327" i="1" s="1"/>
  <c r="K471" i="1"/>
  <c r="A471" i="1" s="1"/>
  <c r="K414" i="1"/>
  <c r="A414" i="1" s="1"/>
  <c r="K164" i="1"/>
  <c r="A164" i="1" s="1"/>
  <c r="K308" i="1"/>
  <c r="A308" i="1" s="1"/>
  <c r="K452" i="1"/>
  <c r="A452" i="1" s="1"/>
  <c r="K25" i="1"/>
  <c r="A25" i="1" s="1"/>
  <c r="K169" i="1"/>
  <c r="A169" i="1" s="1"/>
  <c r="K313" i="1"/>
  <c r="A313" i="1" s="1"/>
  <c r="K457" i="1"/>
  <c r="A457" i="1" s="1"/>
  <c r="K11" i="1"/>
  <c r="A11" i="1" s="1"/>
  <c r="K83" i="1"/>
  <c r="A83" i="1" s="1"/>
  <c r="K227" i="1"/>
  <c r="A227" i="1" s="1"/>
  <c r="K371" i="1"/>
  <c r="A371" i="1" s="1"/>
  <c r="K124" i="1"/>
  <c r="A124" i="1" s="1"/>
  <c r="K268" i="1"/>
  <c r="A268" i="1" s="1"/>
  <c r="K412" i="1"/>
  <c r="A412" i="1" s="1"/>
  <c r="K342" i="1"/>
  <c r="A342" i="1" s="1"/>
  <c r="K153" i="1"/>
  <c r="A153" i="1" s="1"/>
  <c r="K297" i="1"/>
  <c r="K441" i="1"/>
  <c r="A441" i="1" s="1"/>
  <c r="K38" i="1"/>
  <c r="A38" i="1" s="1"/>
  <c r="K182" i="1"/>
  <c r="A182" i="1" s="1"/>
  <c r="K326" i="1"/>
  <c r="K470" i="1"/>
  <c r="A470" i="1" s="1"/>
  <c r="K79" i="1"/>
  <c r="A79" i="1" s="1"/>
  <c r="K223" i="1"/>
  <c r="A223" i="1" s="1"/>
  <c r="K367" i="1"/>
  <c r="A367" i="1" s="1"/>
  <c r="K497" i="1"/>
  <c r="A497" i="1" s="1"/>
  <c r="K120" i="1"/>
  <c r="A120" i="1" s="1"/>
  <c r="K264" i="1"/>
  <c r="A264" i="1" s="1"/>
  <c r="K408" i="1"/>
  <c r="A408" i="1" s="1"/>
  <c r="K402" i="1"/>
  <c r="A402" i="1" s="1"/>
  <c r="K149" i="1"/>
  <c r="K293" i="1"/>
  <c r="A293" i="1" s="1"/>
  <c r="K431" i="1"/>
  <c r="A431" i="1" s="1"/>
  <c r="K154" i="1"/>
  <c r="A154" i="1" s="1"/>
  <c r="K298" i="1"/>
  <c r="A298" i="1" s="1"/>
  <c r="K442" i="1"/>
  <c r="A442" i="1" s="1"/>
  <c r="K51" i="1"/>
  <c r="A51" i="1" s="1"/>
  <c r="K195" i="1"/>
  <c r="K339" i="1"/>
  <c r="A339" i="1" s="1"/>
  <c r="K483" i="1"/>
  <c r="A483" i="1" s="1"/>
  <c r="K32" i="1"/>
  <c r="A32" i="1" s="1"/>
  <c r="K176" i="1"/>
  <c r="A176" i="1" s="1"/>
  <c r="K320" i="1"/>
  <c r="A320" i="1" s="1"/>
  <c r="K464" i="1"/>
  <c r="A464" i="1" s="1"/>
  <c r="K37" i="1"/>
  <c r="A37" i="1" s="1"/>
  <c r="K181" i="1"/>
  <c r="A181" i="1" s="1"/>
  <c r="K325" i="1"/>
  <c r="A325" i="1" s="1"/>
  <c r="K481" i="1"/>
  <c r="A481" i="1" s="1"/>
  <c r="K12" i="1"/>
  <c r="A12" i="1" s="1"/>
  <c r="D8" i="3"/>
  <c r="K86" i="1"/>
  <c r="A86" i="1" s="1"/>
  <c r="K271" i="1"/>
  <c r="A271" i="1" s="1"/>
  <c r="K456" i="1"/>
  <c r="A456" i="1" s="1"/>
  <c r="K202" i="1"/>
  <c r="A202" i="1" s="1"/>
  <c r="K243" i="1"/>
  <c r="A243" i="1" s="1"/>
  <c r="K368" i="1"/>
  <c r="A368" i="1" s="1"/>
  <c r="K366" i="1"/>
  <c r="A366" i="1" s="1"/>
  <c r="K95" i="1"/>
  <c r="A95" i="1" s="1"/>
  <c r="K239" i="1"/>
  <c r="A239" i="1" s="1"/>
  <c r="K383" i="1"/>
  <c r="A383" i="1" s="1"/>
  <c r="K136" i="1"/>
  <c r="A136" i="1" s="1"/>
  <c r="K280" i="1"/>
  <c r="K424" i="1"/>
  <c r="A424" i="1" s="1"/>
  <c r="K462" i="1"/>
  <c r="A462" i="1" s="1"/>
  <c r="K165" i="1"/>
  <c r="A165" i="1" s="1"/>
  <c r="K309" i="1"/>
  <c r="A309" i="1" s="1"/>
  <c r="K453" i="1"/>
  <c r="A453" i="1" s="1"/>
  <c r="K50" i="1"/>
  <c r="K194" i="1"/>
  <c r="A194" i="1" s="1"/>
  <c r="K338" i="1"/>
  <c r="A338" i="1" s="1"/>
  <c r="K482" i="1"/>
  <c r="A482" i="1" s="1"/>
  <c r="K91" i="1"/>
  <c r="A91" i="1" s="1"/>
  <c r="K235" i="1"/>
  <c r="A235" i="1" s="1"/>
  <c r="K379" i="1"/>
  <c r="A379" i="1" s="1"/>
  <c r="K318" i="1"/>
  <c r="A318" i="1" s="1"/>
  <c r="K132" i="1"/>
  <c r="A132" i="1" s="1"/>
  <c r="K276" i="1"/>
  <c r="K420" i="1"/>
  <c r="A420" i="1" s="1"/>
  <c r="K443" i="1"/>
  <c r="A443" i="1" s="1"/>
  <c r="K161" i="1"/>
  <c r="K305" i="1"/>
  <c r="A305" i="1" s="1"/>
  <c r="K467" i="1"/>
  <c r="A467" i="1" s="1"/>
  <c r="K166" i="1"/>
  <c r="A166" i="1" s="1"/>
  <c r="K310" i="1"/>
  <c r="A310" i="1" s="1"/>
  <c r="K454" i="1"/>
  <c r="A454" i="1" s="1"/>
  <c r="K63" i="1"/>
  <c r="A63" i="1" s="1"/>
  <c r="K207" i="1"/>
  <c r="A207" i="1" s="1"/>
  <c r="K351" i="1"/>
  <c r="A351" i="1" s="1"/>
  <c r="K495" i="1"/>
  <c r="A495" i="1" s="1"/>
  <c r="K44" i="1"/>
  <c r="K188" i="1"/>
  <c r="A188" i="1" s="1"/>
  <c r="K332" i="1"/>
  <c r="A332" i="1" s="1"/>
  <c r="K476" i="1"/>
  <c r="A476" i="1" s="1"/>
  <c r="K49" i="1"/>
  <c r="K193" i="1"/>
  <c r="A193" i="1" s="1"/>
  <c r="K337" i="1"/>
  <c r="A337" i="1" s="1"/>
  <c r="K493" i="1"/>
  <c r="A493" i="1" s="1"/>
  <c r="K18" i="1"/>
  <c r="A18" i="1" s="1"/>
  <c r="K345" i="1"/>
  <c r="A345" i="1" s="1"/>
  <c r="K353" i="1"/>
  <c r="A353" i="1" s="1"/>
  <c r="K312" i="1"/>
  <c r="A312" i="1" s="1"/>
  <c r="K58" i="1"/>
  <c r="A58" i="1" s="1"/>
  <c r="K387" i="1"/>
  <c r="A387" i="1" s="1"/>
  <c r="K469" i="1"/>
  <c r="A469" i="1" s="1"/>
  <c r="K10" i="1"/>
  <c r="A10" i="1" s="1"/>
  <c r="K107" i="1"/>
  <c r="A107" i="1" s="1"/>
  <c r="K251" i="1"/>
  <c r="A251" i="1" s="1"/>
  <c r="K395" i="1"/>
  <c r="A395" i="1" s="1"/>
  <c r="K148" i="1"/>
  <c r="A148" i="1" s="1"/>
  <c r="K292" i="1"/>
  <c r="A292" i="1" s="1"/>
  <c r="K436" i="1"/>
  <c r="A436" i="1" s="1"/>
  <c r="K33" i="1"/>
  <c r="K177" i="1"/>
  <c r="A177" i="1" s="1"/>
  <c r="K321" i="1"/>
  <c r="K489" i="1"/>
  <c r="A489" i="1" s="1"/>
  <c r="K62" i="1"/>
  <c r="A62" i="1" s="1"/>
  <c r="K206" i="1"/>
  <c r="A206" i="1" s="1"/>
  <c r="K350" i="1"/>
  <c r="A350" i="1" s="1"/>
  <c r="K494" i="1"/>
  <c r="A494" i="1" s="1"/>
  <c r="K103" i="1"/>
  <c r="A103" i="1" s="1"/>
  <c r="K247" i="1"/>
  <c r="A247" i="1" s="1"/>
  <c r="K391" i="1"/>
  <c r="A391" i="1" s="1"/>
  <c r="K479" i="1"/>
  <c r="A479" i="1" s="1"/>
  <c r="K144" i="1"/>
  <c r="A144" i="1" s="1"/>
  <c r="K288" i="1"/>
  <c r="A288" i="1" s="1"/>
  <c r="K432" i="1"/>
  <c r="A432" i="1" s="1"/>
  <c r="K29" i="1"/>
  <c r="A29" i="1" s="1"/>
  <c r="K173" i="1"/>
  <c r="A173" i="1" s="1"/>
  <c r="K317" i="1"/>
  <c r="A317" i="1" s="1"/>
  <c r="K34" i="1"/>
  <c r="A34" i="1" s="1"/>
  <c r="K178" i="1"/>
  <c r="K322" i="1"/>
  <c r="A322" i="1" s="1"/>
  <c r="K466" i="1"/>
  <c r="A466" i="1" s="1"/>
  <c r="K75" i="1"/>
  <c r="A75" i="1" s="1"/>
  <c r="K219" i="1"/>
  <c r="A219" i="1" s="1"/>
  <c r="K363" i="1"/>
  <c r="A363" i="1" s="1"/>
  <c r="K30" i="1"/>
  <c r="A30" i="1" s="1"/>
  <c r="K56" i="1"/>
  <c r="A56" i="1" s="1"/>
  <c r="K200" i="1"/>
  <c r="A200" i="1" s="1"/>
  <c r="K344" i="1"/>
  <c r="A344" i="1" s="1"/>
  <c r="K488" i="1"/>
  <c r="A488" i="1" s="1"/>
  <c r="K61" i="1"/>
  <c r="A61" i="1" s="1"/>
  <c r="K205" i="1"/>
  <c r="A205" i="1" s="1"/>
  <c r="K349" i="1"/>
  <c r="A349" i="1" s="1"/>
  <c r="K78" i="1"/>
  <c r="A78" i="1" s="1"/>
  <c r="K5" i="1"/>
  <c r="A5" i="1" s="1"/>
  <c r="K201" i="1"/>
  <c r="A201" i="1" s="1"/>
  <c r="K127" i="1"/>
  <c r="A127" i="1" s="1"/>
  <c r="K168" i="1"/>
  <c r="A168" i="1" s="1"/>
  <c r="K341" i="1"/>
  <c r="A341" i="1" s="1"/>
  <c r="K99" i="1"/>
  <c r="A99" i="1" s="1"/>
  <c r="K224" i="1"/>
  <c r="A224" i="1" s="1"/>
  <c r="K373" i="1"/>
  <c r="A373" i="1" s="1"/>
  <c r="K6" i="1"/>
  <c r="A6" i="1" s="1"/>
  <c r="A347" i="1" l="1"/>
  <c r="A280" i="1"/>
  <c r="A161" i="1"/>
  <c r="A44" i="1"/>
  <c r="A263" i="1"/>
  <c r="A160" i="1"/>
  <c r="A279" i="1"/>
  <c r="A262" i="1"/>
  <c r="A43" i="1"/>
  <c r="A178" i="1"/>
  <c r="A197" i="1"/>
  <c r="A49" i="1"/>
  <c r="A183" i="1"/>
  <c r="A216" i="1"/>
  <c r="A50" i="1"/>
  <c r="A149" i="1"/>
  <c r="A33" i="1"/>
  <c r="A133" i="1"/>
  <c r="A157" i="1"/>
  <c r="A74" i="1"/>
  <c r="A122" i="1"/>
  <c r="A326" i="1"/>
  <c r="A221" i="1"/>
  <c r="A186" i="1"/>
  <c r="A297" i="1"/>
  <c r="A142" i="1"/>
  <c r="A335" i="1"/>
  <c r="A286" i="1"/>
  <c r="A195" i="1"/>
  <c r="A87" i="1"/>
  <c r="A276" i="1"/>
  <c r="A321" i="1"/>
  <c r="A35" i="1"/>
  <c r="A295" i="1"/>
  <c r="A226" i="1"/>
  <c r="A277" i="1"/>
  <c r="A88" i="1"/>
  <c r="A129" i="1"/>
  <c r="D15" i="3" l="1"/>
  <c r="D10" i="3"/>
  <c r="D13" i="3"/>
  <c r="D11" i="3"/>
  <c r="D26" i="3"/>
  <c r="D24" i="3"/>
  <c r="D22" i="3"/>
  <c r="D27" i="3"/>
  <c r="D20" i="3"/>
  <c r="D25" i="3"/>
  <c r="D18" i="3"/>
  <c r="D23" i="3"/>
  <c r="D16" i="3"/>
  <c r="D21" i="3"/>
  <c r="D14" i="3"/>
  <c r="D19" i="3"/>
  <c r="D12" i="3"/>
  <c r="D17" i="3"/>
  <c r="D9" i="3"/>
</calcChain>
</file>

<file path=xl/comments1.xml><?xml version="1.0" encoding="utf-8"?>
<comments xmlns="http://schemas.openxmlformats.org/spreadsheetml/2006/main">
  <authors>
    <author>Cui YongQiang</author>
  </authors>
  <commentList>
    <comment ref="D7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>
  <authors>
    <author>Cui YongQiang</author>
  </authors>
  <commentList>
    <comment ref="A6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3.xml><?xml version="1.0" encoding="utf-8"?>
<comments xmlns="http://schemas.openxmlformats.org/spreadsheetml/2006/main">
  <authors>
    <author>Cui YongQiang</author>
  </authors>
  <commentList>
    <comment ref="H3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<sst xmlns="http://schemas.openxmlformats.org/spreadsheetml/2006/main" count="1197" uniqueCount="863">
  <si>
    <t>PDD.O</t>
  </si>
  <si>
    <t>数据集名称</t>
  </si>
  <si>
    <t>板块成分</t>
  </si>
  <si>
    <t>日期</t>
  </si>
  <si>
    <t>板块ID</t>
  </si>
  <si>
    <t>date</t>
  </si>
  <si>
    <t>最新调整日期</t>
  </si>
  <si>
    <t>Wind代码</t>
  </si>
  <si>
    <t>sec_name</t>
  </si>
  <si>
    <t>证券名称</t>
  </si>
  <si>
    <t>ABLV.O</t>
  </si>
  <si>
    <t>ABLE VIEW GLOBAL</t>
  </si>
  <si>
    <t>ABTS.O</t>
  </si>
  <si>
    <t>ABITS</t>
  </si>
  <si>
    <t>ACMR.O</t>
  </si>
  <si>
    <t>盛美半导体</t>
  </si>
  <si>
    <t>ADAG.O</t>
  </si>
  <si>
    <t>天演药业</t>
  </si>
  <si>
    <t>ADD.O</t>
  </si>
  <si>
    <t>彩色星球科技</t>
  </si>
  <si>
    <t>AEHL.O</t>
  </si>
  <si>
    <t>ANTELOPE ENTERPRISE</t>
  </si>
  <si>
    <t>AGBA.O</t>
  </si>
  <si>
    <t>AGBA</t>
  </si>
  <si>
    <t>AGMH.O</t>
  </si>
  <si>
    <t>安高盟</t>
  </si>
  <si>
    <t>AHG.O</t>
  </si>
  <si>
    <t>AKSO HEALTH</t>
  </si>
  <si>
    <t>AIHS.O</t>
  </si>
  <si>
    <t>森淼科技</t>
  </si>
  <si>
    <t>AIXI.O</t>
  </si>
  <si>
    <t>小I</t>
  </si>
  <si>
    <t>AMBO.A</t>
  </si>
  <si>
    <t>安博教育</t>
  </si>
  <si>
    <t>AMTD.N</t>
  </si>
  <si>
    <t>尚乘IDEA集团</t>
  </si>
  <si>
    <t>ANL.O</t>
  </si>
  <si>
    <t>阿诺医药</t>
  </si>
  <si>
    <t>ANTE.O</t>
  </si>
  <si>
    <t>悦航阳光</t>
  </si>
  <si>
    <t>API.O</t>
  </si>
  <si>
    <t>声网</t>
  </si>
  <si>
    <t>APLM.O</t>
  </si>
  <si>
    <t>冠科美博</t>
  </si>
  <si>
    <t>APM.O</t>
  </si>
  <si>
    <t>知临集团</t>
  </si>
  <si>
    <t>AS.N</t>
  </si>
  <si>
    <t>亚玛芬体育</t>
  </si>
  <si>
    <t>ATAT.O</t>
  </si>
  <si>
    <t>亚朵</t>
  </si>
  <si>
    <t>ATGL.O</t>
  </si>
  <si>
    <t>阿尔法科技</t>
  </si>
  <si>
    <t>ATHM.N</t>
  </si>
  <si>
    <t>汽车之家</t>
  </si>
  <si>
    <t>ATIF.O</t>
  </si>
  <si>
    <t>亚洲时代</t>
  </si>
  <si>
    <t>ATXG.O</t>
  </si>
  <si>
    <t>盈喜集团</t>
  </si>
  <si>
    <t>BABA.N</t>
  </si>
  <si>
    <t>阿里巴巴</t>
  </si>
  <si>
    <t>BAOS.O</t>
  </si>
  <si>
    <t>宝盛</t>
  </si>
  <si>
    <t>BEDU.N</t>
  </si>
  <si>
    <t>博实乐</t>
  </si>
  <si>
    <t>BEKE.N</t>
  </si>
  <si>
    <t>贝壳</t>
  </si>
  <si>
    <t>BEST.N</t>
  </si>
  <si>
    <t>百世集团</t>
  </si>
  <si>
    <t>BGM.O</t>
  </si>
  <si>
    <t>祁连国际</t>
  </si>
  <si>
    <t>BGNE.O</t>
  </si>
  <si>
    <t>百济神州</t>
  </si>
  <si>
    <t>BHAT.O</t>
  </si>
  <si>
    <t>蓝帽子</t>
  </si>
  <si>
    <t>BIDU.O</t>
  </si>
  <si>
    <t>百度</t>
  </si>
  <si>
    <t>BILI.O</t>
  </si>
  <si>
    <t>哔哩哔哩</t>
  </si>
  <si>
    <t>BNR.O</t>
  </si>
  <si>
    <t>燃石医学</t>
  </si>
  <si>
    <t>BON.O</t>
  </si>
  <si>
    <t>天美生物</t>
  </si>
  <si>
    <t>BQ.A</t>
  </si>
  <si>
    <t>波奇网</t>
  </si>
  <si>
    <t>BTBT.O</t>
  </si>
  <si>
    <t>比特数字</t>
  </si>
  <si>
    <t>BTCM.N</t>
  </si>
  <si>
    <t>比特矿业</t>
  </si>
  <si>
    <t>BTCT.O</t>
  </si>
  <si>
    <t>BTC DIGITAL</t>
  </si>
  <si>
    <t>BTDR.O</t>
  </si>
  <si>
    <t>比特小鹿</t>
  </si>
  <si>
    <t>BTOG.O</t>
  </si>
  <si>
    <t>BIT ORIGIN</t>
  </si>
  <si>
    <t>BYSI.O</t>
  </si>
  <si>
    <t>万春医药</t>
  </si>
  <si>
    <t>BYU.O</t>
  </si>
  <si>
    <t>泊谕</t>
  </si>
  <si>
    <t>BZ.O</t>
  </si>
  <si>
    <t>BOSS直聘</t>
  </si>
  <si>
    <t>BZUN.O</t>
  </si>
  <si>
    <t>宝尊电商</t>
  </si>
  <si>
    <t>CAAS.O</t>
  </si>
  <si>
    <t>中汽系统</t>
  </si>
  <si>
    <t>CAN.O</t>
  </si>
  <si>
    <t>嘉楠科技</t>
  </si>
  <si>
    <t>CANG.N</t>
  </si>
  <si>
    <t>灿谷</t>
  </si>
  <si>
    <t>CASI.O</t>
  </si>
  <si>
    <t>CASI PHARMACEUTICALS</t>
  </si>
  <si>
    <t>CBAT.O</t>
  </si>
  <si>
    <t>CBAK ENERGY TECHNOLOGY</t>
  </si>
  <si>
    <t>CCG.O</t>
  </si>
  <si>
    <t>车车科技</t>
  </si>
  <si>
    <t>CCM.N</t>
  </si>
  <si>
    <t>泰和诚医疗</t>
  </si>
  <si>
    <t>CCTG.O</t>
  </si>
  <si>
    <t>承创互连</t>
  </si>
  <si>
    <t>CDTG.O</t>
  </si>
  <si>
    <t>城道通</t>
  </si>
  <si>
    <t>CENN.O</t>
  </si>
  <si>
    <t>恒源电动汽车</t>
  </si>
  <si>
    <t>CGA.N</t>
  </si>
  <si>
    <t>中国绿色农业</t>
  </si>
  <si>
    <t>CHEB.N</t>
  </si>
  <si>
    <t>CHENGHE ACQUISITION II</t>
  </si>
  <si>
    <t>CHNR.O</t>
  </si>
  <si>
    <t>中国天然资源</t>
  </si>
  <si>
    <t>CHR.O</t>
  </si>
  <si>
    <t>悦享控股</t>
  </si>
  <si>
    <t>CHSN.O</t>
  </si>
  <si>
    <t>乔治香颂</t>
  </si>
  <si>
    <t>CJET.O</t>
  </si>
  <si>
    <t>驰捷汽车</t>
  </si>
  <si>
    <t>CJJD.O</t>
  </si>
  <si>
    <t>九洲大药房</t>
  </si>
  <si>
    <t>CLEU.O</t>
  </si>
  <si>
    <t>华夏博雅</t>
  </si>
  <si>
    <t>CLPS.O</t>
  </si>
  <si>
    <t>华钦科技</t>
  </si>
  <si>
    <t>CLWT.O</t>
  </si>
  <si>
    <t>欧陆科仪</t>
  </si>
  <si>
    <t>CMCM.N</t>
  </si>
  <si>
    <t>猎豹移动</t>
  </si>
  <si>
    <t>CNET.O</t>
  </si>
  <si>
    <t>中网在线</t>
  </si>
  <si>
    <t>CNEY.O</t>
  </si>
  <si>
    <t>中北能</t>
  </si>
  <si>
    <t>CNF.N</t>
  </si>
  <si>
    <t>泛华金融</t>
  </si>
  <si>
    <t>CNTB.O</t>
  </si>
  <si>
    <t>康乃德</t>
  </si>
  <si>
    <t>COE.A</t>
  </si>
  <si>
    <t>无忧英语</t>
  </si>
  <si>
    <t>CPHI.A</t>
  </si>
  <si>
    <t>惠普森医药</t>
  </si>
  <si>
    <t>CPOP.O</t>
  </si>
  <si>
    <t>普普文化</t>
  </si>
  <si>
    <t>CREG.O</t>
  </si>
  <si>
    <t>中国循环能源</t>
  </si>
  <si>
    <t>CSIQ.O</t>
  </si>
  <si>
    <t>阿特斯太阳能</t>
  </si>
  <si>
    <t>CYD.N</t>
  </si>
  <si>
    <t>玉柴国际</t>
  </si>
  <si>
    <t>DADA.O</t>
  </si>
  <si>
    <t>达达集团</t>
  </si>
  <si>
    <t>DAO.N</t>
  </si>
  <si>
    <t>有道</t>
  </si>
  <si>
    <t>DDC.A</t>
  </si>
  <si>
    <t>日日煮</t>
  </si>
  <si>
    <t>DDL.N</t>
  </si>
  <si>
    <t>叮咚买菜</t>
  </si>
  <si>
    <t>DOGZ.O</t>
  </si>
  <si>
    <t>多尼斯</t>
  </si>
  <si>
    <t>DOYU.O</t>
  </si>
  <si>
    <t>斗鱼</t>
  </si>
  <si>
    <t>DQ.N</t>
  </si>
  <si>
    <t>大全新能源</t>
  </si>
  <si>
    <t>DSWL.O</t>
  </si>
  <si>
    <t>德斯维尔工业</t>
  </si>
  <si>
    <t>DSY.O</t>
  </si>
  <si>
    <t>大树云</t>
  </si>
  <si>
    <t>DTSS.O</t>
  </si>
  <si>
    <t>数海信息</t>
  </si>
  <si>
    <t>DUO.O</t>
  </si>
  <si>
    <t>房多多</t>
  </si>
  <si>
    <t>DXF.A</t>
  </si>
  <si>
    <t>敦信金融</t>
  </si>
  <si>
    <t>EBON.O</t>
  </si>
  <si>
    <t>亿邦通信</t>
  </si>
  <si>
    <t>ECX.O</t>
  </si>
  <si>
    <t>亿咖通科技</t>
  </si>
  <si>
    <t>EDTK.O</t>
  </si>
  <si>
    <t>王道科技</t>
  </si>
  <si>
    <t>EDU.N</t>
  </si>
  <si>
    <t>新东方</t>
  </si>
  <si>
    <t>EH.O</t>
  </si>
  <si>
    <t>亿航智能</t>
  </si>
  <si>
    <t>EHGO.O</t>
  </si>
  <si>
    <t>一修哥</t>
  </si>
  <si>
    <t>EJH.O</t>
  </si>
  <si>
    <t>E家快服</t>
  </si>
  <si>
    <t>EM.O</t>
  </si>
  <si>
    <t>怪兽充电</t>
  </si>
  <si>
    <t>EPOW.O</t>
  </si>
  <si>
    <t>兆新能源</t>
  </si>
  <si>
    <t>EZGO.O</t>
  </si>
  <si>
    <t>易电行</t>
  </si>
  <si>
    <t>FAMI.O</t>
  </si>
  <si>
    <t>农米良品</t>
  </si>
  <si>
    <t>FANH.O</t>
  </si>
  <si>
    <t>泛华</t>
  </si>
  <si>
    <t>FEBO.O</t>
  </si>
  <si>
    <t>晖宝</t>
  </si>
  <si>
    <t>FEDU.N</t>
  </si>
  <si>
    <t>四季教育</t>
  </si>
  <si>
    <t>FENG.N</t>
  </si>
  <si>
    <t>凤凰新媒体</t>
  </si>
  <si>
    <t>FINV.N</t>
  </si>
  <si>
    <t>信也科技</t>
  </si>
  <si>
    <t>FNGR.O</t>
  </si>
  <si>
    <t>FINGERMOTION</t>
  </si>
  <si>
    <t>FRES.O</t>
  </si>
  <si>
    <t>FRESH2</t>
  </si>
  <si>
    <t>FRGT.O</t>
  </si>
  <si>
    <t>FREIGHT TECHNOLOGIES</t>
  </si>
  <si>
    <t>FTFT.O</t>
  </si>
  <si>
    <t>未来金融科技</t>
  </si>
  <si>
    <t>FUFU.O</t>
  </si>
  <si>
    <t>BITFUFU</t>
  </si>
  <si>
    <t>FUTU.O</t>
  </si>
  <si>
    <t>富途控股</t>
  </si>
  <si>
    <t>GCT.O</t>
  </si>
  <si>
    <t>大健云仓</t>
  </si>
  <si>
    <t>GDC.O</t>
  </si>
  <si>
    <t>GD CULTURE</t>
  </si>
  <si>
    <t>GDHG.O</t>
  </si>
  <si>
    <t>金生游乐</t>
  </si>
  <si>
    <t>GDS.O</t>
  </si>
  <si>
    <t>万国数据</t>
  </si>
  <si>
    <t>GHG.N</t>
  </si>
  <si>
    <t>格林酒店</t>
  </si>
  <si>
    <t>GMM.O</t>
  </si>
  <si>
    <t>环球墨非</t>
  </si>
  <si>
    <t>GOTU.N</t>
  </si>
  <si>
    <t>高途集团</t>
  </si>
  <si>
    <t>GPCR.O</t>
  </si>
  <si>
    <t>硕迪生物</t>
  </si>
  <si>
    <t>GRFX.A</t>
  </si>
  <si>
    <t>烯石电车新材料</t>
  </si>
  <si>
    <t>GRRR.O</t>
  </si>
  <si>
    <t>大猩猩科技</t>
  </si>
  <si>
    <t>GSIW.O</t>
  </si>
  <si>
    <t>一盈证券</t>
  </si>
  <si>
    <t>GSUN.O</t>
  </si>
  <si>
    <t>金太阳健康科技</t>
  </si>
  <si>
    <t>GTEC.O</t>
  </si>
  <si>
    <t>格陵兰科技</t>
  </si>
  <si>
    <t>GURE.O</t>
  </si>
  <si>
    <t>海湾资源</t>
  </si>
  <si>
    <t>GVH.O</t>
  </si>
  <si>
    <t>GLOBAVEND</t>
  </si>
  <si>
    <t>HAO.O</t>
  </si>
  <si>
    <t>浩希健康科技</t>
  </si>
  <si>
    <t>HCM.O</t>
  </si>
  <si>
    <t>和黄医药</t>
  </si>
  <si>
    <t>HDL.O</t>
  </si>
  <si>
    <t>特海国际</t>
  </si>
  <si>
    <t>HIHO.O</t>
  </si>
  <si>
    <t>骇维金属加工</t>
  </si>
  <si>
    <t>HKD.N</t>
  </si>
  <si>
    <t>尚乘数科</t>
  </si>
  <si>
    <t>HKIT.O</t>
  </si>
  <si>
    <t>亨达海天</t>
  </si>
  <si>
    <t>HLP.O</t>
  </si>
  <si>
    <t>宏力型钢</t>
  </si>
  <si>
    <t>HPH.O</t>
  </si>
  <si>
    <t>华普</t>
  </si>
  <si>
    <t>HSAI.O</t>
  </si>
  <si>
    <t>禾赛科技</t>
  </si>
  <si>
    <t>HTHT.O</t>
  </si>
  <si>
    <t>华住</t>
  </si>
  <si>
    <t>HUDI.O</t>
  </si>
  <si>
    <t>华迪国际</t>
  </si>
  <si>
    <t>HUIZ.O</t>
  </si>
  <si>
    <t>慧择</t>
  </si>
  <si>
    <t>HUYA.N</t>
  </si>
  <si>
    <t>虎牙直播</t>
  </si>
  <si>
    <t>ICG.O</t>
  </si>
  <si>
    <t>聪链</t>
  </si>
  <si>
    <t>ICLK.O</t>
  </si>
  <si>
    <t>爱点击</t>
  </si>
  <si>
    <t>IFBD.O</t>
  </si>
  <si>
    <t>讯鸟软件</t>
  </si>
  <si>
    <t>IH.N</t>
  </si>
  <si>
    <t>洪恩</t>
  </si>
  <si>
    <t>ILAG.O</t>
  </si>
  <si>
    <t>INTELLIGENT LIVING APPLICATION</t>
  </si>
  <si>
    <t>IMAB.O</t>
  </si>
  <si>
    <t>天境生物</t>
  </si>
  <si>
    <t>INTJ.O</t>
  </si>
  <si>
    <t>慧悦财经</t>
  </si>
  <si>
    <t>IQ.O</t>
  </si>
  <si>
    <t>爱奇艺</t>
  </si>
  <si>
    <t>ISPR.O</t>
  </si>
  <si>
    <t>雾麻科技</t>
  </si>
  <si>
    <t>ITP.A</t>
  </si>
  <si>
    <t>互联网科技包装</t>
  </si>
  <si>
    <t>IZM.O</t>
  </si>
  <si>
    <t>拍明芯城</t>
  </si>
  <si>
    <t>JD.O</t>
  </si>
  <si>
    <t>京东</t>
  </si>
  <si>
    <t>JDZG.O</t>
  </si>
  <si>
    <t>课标科技</t>
  </si>
  <si>
    <t>JFIN.O</t>
  </si>
  <si>
    <t>嘉银科技</t>
  </si>
  <si>
    <t>JFU.O</t>
  </si>
  <si>
    <t>9F</t>
  </si>
  <si>
    <t>JG.O</t>
  </si>
  <si>
    <t>极光</t>
  </si>
  <si>
    <t>JKS.N</t>
  </si>
  <si>
    <t>晶科能源</t>
  </si>
  <si>
    <t>JL.O</t>
  </si>
  <si>
    <t>J-LONG</t>
  </si>
  <si>
    <t>JUNE.O</t>
  </si>
  <si>
    <t>JUNEE</t>
  </si>
  <si>
    <t>JWEL.O</t>
  </si>
  <si>
    <t>聚好商城</t>
  </si>
  <si>
    <t>JXJT.O</t>
  </si>
  <si>
    <t>金铉品旅</t>
  </si>
  <si>
    <t>JYD.O</t>
  </si>
  <si>
    <t>佳裕达</t>
  </si>
  <si>
    <t>JZ.O</t>
  </si>
  <si>
    <t>见知教育科技</t>
  </si>
  <si>
    <t>JZXN.O</t>
  </si>
  <si>
    <t>九紫新能</t>
  </si>
  <si>
    <t>KC.O</t>
  </si>
  <si>
    <t>金山云</t>
  </si>
  <si>
    <t>KNDI.O</t>
  </si>
  <si>
    <t>康迪车业</t>
  </si>
  <si>
    <t>KRKR.O</t>
  </si>
  <si>
    <t>36氪</t>
  </si>
  <si>
    <t>KUKE.N</t>
  </si>
  <si>
    <t>库客音乐</t>
  </si>
  <si>
    <t>KXIN.O</t>
  </si>
  <si>
    <t>开心汽车</t>
  </si>
  <si>
    <t>LANV.N</t>
  </si>
  <si>
    <t>浪凡</t>
  </si>
  <si>
    <t>LEGN.O</t>
  </si>
  <si>
    <t>传奇生物</t>
  </si>
  <si>
    <t>LGCB.O</t>
  </si>
  <si>
    <t>传丞环球</t>
  </si>
  <si>
    <t>LGCL.O</t>
  </si>
  <si>
    <t>罗科仕</t>
  </si>
  <si>
    <t>LGHL.O</t>
  </si>
  <si>
    <t>狮子集团控股</t>
  </si>
  <si>
    <t>LI.O</t>
  </si>
  <si>
    <t>理想汽车</t>
  </si>
  <si>
    <t>LICN.O</t>
  </si>
  <si>
    <t>理臣中国</t>
  </si>
  <si>
    <t>LITB.N</t>
  </si>
  <si>
    <t>兰亭集势</t>
  </si>
  <si>
    <t>LKCO.O</t>
  </si>
  <si>
    <t>箩筐技术</t>
  </si>
  <si>
    <t>LOBO.O</t>
  </si>
  <si>
    <t>萝贝智能</t>
  </si>
  <si>
    <t>LOT.O</t>
  </si>
  <si>
    <t>路特斯科技</t>
  </si>
  <si>
    <t>LSB.O</t>
  </si>
  <si>
    <t>LAKESHORE BIOPHARMA</t>
  </si>
  <si>
    <t>LU.N</t>
  </si>
  <si>
    <t>陆金所控股</t>
  </si>
  <si>
    <t>LX.O</t>
  </si>
  <si>
    <t>乐信</t>
  </si>
  <si>
    <t>LXEH.O</t>
  </si>
  <si>
    <t>丽翔教育</t>
  </si>
  <si>
    <t>MATH.O</t>
  </si>
  <si>
    <t>METALPHA TECHNOLOGY</t>
  </si>
  <si>
    <t>MDJH.O</t>
  </si>
  <si>
    <t>明大嘉和</t>
  </si>
  <si>
    <t>MEGL.O</t>
  </si>
  <si>
    <t>智富</t>
  </si>
  <si>
    <t>MFH.O</t>
  </si>
  <si>
    <t>MERCURITY FINTECH</t>
  </si>
  <si>
    <t>MFI.O</t>
  </si>
  <si>
    <t>移动财经</t>
  </si>
  <si>
    <t>MGIH.O</t>
  </si>
  <si>
    <t>禧图</t>
  </si>
  <si>
    <t>MHUA.O</t>
  </si>
  <si>
    <t>美华国际医疗</t>
  </si>
  <si>
    <t>MI.A</t>
  </si>
  <si>
    <t>NFT</t>
  </si>
  <si>
    <t>MLCO.O</t>
  </si>
  <si>
    <t>新濠博亚娱乐</t>
  </si>
  <si>
    <t>MLGO.O</t>
  </si>
  <si>
    <t>MICROALGO</t>
  </si>
  <si>
    <t>MMV.O</t>
  </si>
  <si>
    <t>元宇宙控股</t>
  </si>
  <si>
    <t>MNSO.N</t>
  </si>
  <si>
    <t>名创优品</t>
  </si>
  <si>
    <t>MOGU.N</t>
  </si>
  <si>
    <t>蘑菇街</t>
  </si>
  <si>
    <t>MOMO.O</t>
  </si>
  <si>
    <t>挚文集团</t>
  </si>
  <si>
    <t>MSC.N</t>
  </si>
  <si>
    <t>新濠影汇</t>
  </si>
  <si>
    <t>MTC.O</t>
  </si>
  <si>
    <t>海川证券</t>
  </si>
  <si>
    <t>MTEN.O</t>
  </si>
  <si>
    <t>铭腾国际</t>
  </si>
  <si>
    <t>MYND.A</t>
  </si>
  <si>
    <t>MYND.AI</t>
  </si>
  <si>
    <t>NA.O</t>
  </si>
  <si>
    <t>NANO LABS</t>
  </si>
  <si>
    <t>NAAS.O</t>
  </si>
  <si>
    <t>能链智电</t>
  </si>
  <si>
    <t>NCI.O</t>
  </si>
  <si>
    <t>思宏国际</t>
  </si>
  <si>
    <t>NCL.A</t>
  </si>
  <si>
    <t>诺森</t>
  </si>
  <si>
    <t>NCTY.O</t>
  </si>
  <si>
    <t>第九城市</t>
  </si>
  <si>
    <t>NEGG.O</t>
  </si>
  <si>
    <t>新蛋</t>
  </si>
  <si>
    <t>NIO.N</t>
  </si>
  <si>
    <t>蔚来</t>
  </si>
  <si>
    <t>NIPG.O</t>
  </si>
  <si>
    <t>星竞威武</t>
  </si>
  <si>
    <t>NISN.O</t>
  </si>
  <si>
    <t>宁圣国际</t>
  </si>
  <si>
    <t>NIU.O</t>
  </si>
  <si>
    <t>小牛电动</t>
  </si>
  <si>
    <t>NOAH.N</t>
  </si>
  <si>
    <t>诺亚财富</t>
  </si>
  <si>
    <t>NTES.O</t>
  </si>
  <si>
    <t>网易</t>
  </si>
  <si>
    <t>NVFY.O</t>
  </si>
  <si>
    <t>诺华家具</t>
  </si>
  <si>
    <t>NWGL.O</t>
  </si>
  <si>
    <t>自然之木</t>
  </si>
  <si>
    <t>NWTN.O</t>
  </si>
  <si>
    <t>NWTN</t>
  </si>
  <si>
    <t>NXTT.O</t>
  </si>
  <si>
    <t>NEXT TECHNOLOGY</t>
  </si>
  <si>
    <t>OCFT.N</t>
  </si>
  <si>
    <t>金融壹账通</t>
  </si>
  <si>
    <t>OCG.O</t>
  </si>
  <si>
    <t>东方文化</t>
  </si>
  <si>
    <t>OST.O</t>
  </si>
  <si>
    <t>奥斯汀光电科技</t>
  </si>
  <si>
    <t>PAVS.O</t>
  </si>
  <si>
    <t>PARANOVUS</t>
  </si>
  <si>
    <t>拼多多</t>
  </si>
  <si>
    <t>PERF.N</t>
  </si>
  <si>
    <t>玩美</t>
  </si>
  <si>
    <t>PETZ.O</t>
  </si>
  <si>
    <t>天地荟</t>
  </si>
  <si>
    <t>PGHL.O</t>
  </si>
  <si>
    <t>均御</t>
  </si>
  <si>
    <t>PLAG.A</t>
  </si>
  <si>
    <t>美国绿星球</t>
  </si>
  <si>
    <t>PSIG.O</t>
  </si>
  <si>
    <t>利航国际</t>
  </si>
  <si>
    <t>PT.O</t>
  </si>
  <si>
    <t>品钛</t>
  </si>
  <si>
    <t>PWM.O</t>
  </si>
  <si>
    <t>盛德财富</t>
  </si>
  <si>
    <t>QD.N</t>
  </si>
  <si>
    <t>趣店</t>
  </si>
  <si>
    <t>QFIN.O</t>
  </si>
  <si>
    <t>奇富科技</t>
  </si>
  <si>
    <t>QH.O</t>
  </si>
  <si>
    <t>趣活科技</t>
  </si>
  <si>
    <t>QMMM.O</t>
  </si>
  <si>
    <t>QMMM</t>
  </si>
  <si>
    <t>QSG.O</t>
  </si>
  <si>
    <t>量子之歌</t>
  </si>
  <si>
    <t>RAY.O</t>
  </si>
  <si>
    <t>雷特</t>
  </si>
  <si>
    <t>RAYA.O</t>
  </si>
  <si>
    <t>雷亚电源</t>
  </si>
  <si>
    <t>RCON.O</t>
  </si>
  <si>
    <t>研控科技</t>
  </si>
  <si>
    <t>RERE.N</t>
  </si>
  <si>
    <t>万物新生</t>
  </si>
  <si>
    <t>RETO.O</t>
  </si>
  <si>
    <t>瑞图生态</t>
  </si>
  <si>
    <t>RGC.O</t>
  </si>
  <si>
    <t>脑再生</t>
  </si>
  <si>
    <t>RITR.O</t>
  </si>
  <si>
    <t>域塔物流科技</t>
  </si>
  <si>
    <t>RLX.N</t>
  </si>
  <si>
    <t>雾芯科技</t>
  </si>
  <si>
    <t>ROMA.O</t>
  </si>
  <si>
    <t>ROMA GREEN FINANCE</t>
  </si>
  <si>
    <t>RTC.O</t>
  </si>
  <si>
    <t>百家云</t>
  </si>
  <si>
    <t>SDA.O</t>
  </si>
  <si>
    <t>盛大科技</t>
  </si>
  <si>
    <t>SEED.O</t>
  </si>
  <si>
    <t>奥瑞金种业</t>
  </si>
  <si>
    <t>SELX.O</t>
  </si>
  <si>
    <t>SEMILUX INTERNATIONAL</t>
  </si>
  <si>
    <t>SFWL.O</t>
  </si>
  <si>
    <t>盛丰物流</t>
  </si>
  <si>
    <t>SGLY.O</t>
  </si>
  <si>
    <t>奇点未来</t>
  </si>
  <si>
    <t>SISI.O</t>
  </si>
  <si>
    <t>尚高</t>
  </si>
  <si>
    <t>SJ.O</t>
  </si>
  <si>
    <t>思享无限</t>
  </si>
  <si>
    <t>SMXT.O</t>
  </si>
  <si>
    <t>弘冠光能科技</t>
  </si>
  <si>
    <t>SNTG.O</t>
  </si>
  <si>
    <t>百达通</t>
  </si>
  <si>
    <t>SOGP.O</t>
  </si>
  <si>
    <t>SOUND</t>
  </si>
  <si>
    <t>SOHU.O</t>
  </si>
  <si>
    <t>搜狐</t>
  </si>
  <si>
    <t>SOL.N</t>
  </si>
  <si>
    <t>瑞能新能源</t>
  </si>
  <si>
    <t>SOS.N</t>
  </si>
  <si>
    <t>SOS</t>
  </si>
  <si>
    <t>SPI.O</t>
  </si>
  <si>
    <t>绿能宝</t>
  </si>
  <si>
    <t>STEC.O</t>
  </si>
  <si>
    <t>三合智能</t>
  </si>
  <si>
    <t>STG.N</t>
  </si>
  <si>
    <t>尚德机构</t>
  </si>
  <si>
    <t>SUGP.O</t>
  </si>
  <si>
    <t>荣志集团控股</t>
  </si>
  <si>
    <t>SVA.O</t>
  </si>
  <si>
    <t>科兴生物</t>
  </si>
  <si>
    <t>SVM.A</t>
  </si>
  <si>
    <t>希尔威金属矿业</t>
  </si>
  <si>
    <t>SWIN.O</t>
  </si>
  <si>
    <t>华赢控股</t>
  </si>
  <si>
    <t>SXTC.O</t>
  </si>
  <si>
    <t>中国苏轩堂药业</t>
  </si>
  <si>
    <t>SY.O</t>
  </si>
  <si>
    <t>新氧</t>
  </si>
  <si>
    <t>TAL.N</t>
  </si>
  <si>
    <t>好未来</t>
  </si>
  <si>
    <t>TANH.O</t>
  </si>
  <si>
    <t>碳博士控股</t>
  </si>
  <si>
    <t>TAOP.O</t>
  </si>
  <si>
    <t>淘屏</t>
  </si>
  <si>
    <t>TC.O</t>
  </si>
  <si>
    <t>团车</t>
  </si>
  <si>
    <t>TCJH.O</t>
  </si>
  <si>
    <t>天成金汇</t>
  </si>
  <si>
    <t>TCOM.O</t>
  </si>
  <si>
    <t>携程集团</t>
  </si>
  <si>
    <t>TCTM.O</t>
  </si>
  <si>
    <t>达内教育</t>
  </si>
  <si>
    <t>THCH.O</t>
  </si>
  <si>
    <t>TH INTERNATIONAL</t>
  </si>
  <si>
    <t>TIGR.O</t>
  </si>
  <si>
    <t>老虎证券</t>
  </si>
  <si>
    <t>TIRX.O</t>
  </si>
  <si>
    <t>天睿祥</t>
  </si>
  <si>
    <t>TME.N</t>
  </si>
  <si>
    <t>腾讯音乐</t>
  </si>
  <si>
    <t>TOP.O</t>
  </si>
  <si>
    <t>中阳金融</t>
  </si>
  <si>
    <t>TOUR.O</t>
  </si>
  <si>
    <t>途牛</t>
  </si>
  <si>
    <t>TROO.O</t>
  </si>
  <si>
    <t>盟军集团</t>
  </si>
  <si>
    <t>TRSG.O</t>
  </si>
  <si>
    <t>同日科技</t>
  </si>
  <si>
    <t>TUYA.N</t>
  </si>
  <si>
    <t>涂鸦智能</t>
  </si>
  <si>
    <t>TWG.O</t>
  </si>
  <si>
    <t>富原</t>
  </si>
  <si>
    <t>UBXG.O</t>
  </si>
  <si>
    <t>有家保险</t>
  </si>
  <si>
    <t>UCAR.O</t>
  </si>
  <si>
    <t>优品车</t>
  </si>
  <si>
    <t>UCL.O</t>
  </si>
  <si>
    <t>优克联新</t>
  </si>
  <si>
    <t>UK.O</t>
  </si>
  <si>
    <t>优客工厂</t>
  </si>
  <si>
    <t>UPC.O</t>
  </si>
  <si>
    <t>大自然药业</t>
  </si>
  <si>
    <t>UTSI.O</t>
  </si>
  <si>
    <t>UT斯达康</t>
  </si>
  <si>
    <t>UXIN.O</t>
  </si>
  <si>
    <t>优信</t>
  </si>
  <si>
    <t>VIOT.O</t>
  </si>
  <si>
    <t>云米科技</t>
  </si>
  <si>
    <t>VIPS.N</t>
  </si>
  <si>
    <t>唯品会</t>
  </si>
  <si>
    <t>VNET.O</t>
  </si>
  <si>
    <t>世纪互联</t>
  </si>
  <si>
    <t>VSME.O</t>
  </si>
  <si>
    <t>VS MEDIA</t>
  </si>
  <si>
    <t>WAFU.O</t>
  </si>
  <si>
    <t>华富教育</t>
  </si>
  <si>
    <t>WB.O</t>
  </si>
  <si>
    <t>微博</t>
  </si>
  <si>
    <t>WBUY.O</t>
  </si>
  <si>
    <t>WEBUY GLOBAL</t>
  </si>
  <si>
    <t>WDH.N</t>
  </si>
  <si>
    <t>水滴公司</t>
  </si>
  <si>
    <t>WETH.O</t>
  </si>
  <si>
    <t>伟易达科技</t>
  </si>
  <si>
    <t>WIMI.O</t>
  </si>
  <si>
    <t>微美全息</t>
  </si>
  <si>
    <t>WLGS.O</t>
  </si>
  <si>
    <t>宏利营造</t>
  </si>
  <si>
    <t>WNW.O</t>
  </si>
  <si>
    <t>物农科技</t>
  </si>
  <si>
    <t>WOK.O</t>
  </si>
  <si>
    <t>沃氪</t>
  </si>
  <si>
    <t>WTO.O</t>
  </si>
  <si>
    <t>联代科技</t>
  </si>
  <si>
    <t>XHG.O</t>
  </si>
  <si>
    <t>XCHANGE TEC</t>
  </si>
  <si>
    <t>XIN.N</t>
  </si>
  <si>
    <t>鑫苑置业</t>
  </si>
  <si>
    <t>XNET.O</t>
  </si>
  <si>
    <t>迅雷</t>
  </si>
  <si>
    <t>XPEV.N</t>
  </si>
  <si>
    <t>小鹏汽车</t>
  </si>
  <si>
    <t>XTKG.O</t>
  </si>
  <si>
    <t>X3</t>
  </si>
  <si>
    <t>XYF.N</t>
  </si>
  <si>
    <t>小赢科技</t>
  </si>
  <si>
    <t>YALA.N</t>
  </si>
  <si>
    <t>雅乐科技</t>
  </si>
  <si>
    <t>YGMZ.O</t>
  </si>
  <si>
    <t>盐港明珠</t>
  </si>
  <si>
    <t>YI.O</t>
  </si>
  <si>
    <t>1药网</t>
  </si>
  <si>
    <t>YIBO.O</t>
  </si>
  <si>
    <t>星图国际</t>
  </si>
  <si>
    <t>YJ.O</t>
  </si>
  <si>
    <t>云集</t>
  </si>
  <si>
    <t>YMM.N</t>
  </si>
  <si>
    <t>满帮集团</t>
  </si>
  <si>
    <t>YQ.O</t>
  </si>
  <si>
    <t>一起教育科技</t>
  </si>
  <si>
    <t>YRD.N</t>
  </si>
  <si>
    <t>宜人智科</t>
  </si>
  <si>
    <t>YSG.N</t>
  </si>
  <si>
    <t>逸仙电商</t>
  </si>
  <si>
    <t>YUMC.N</t>
  </si>
  <si>
    <t>百胜中国</t>
  </si>
  <si>
    <t>YXT.O</t>
  </si>
  <si>
    <t>云学堂</t>
  </si>
  <si>
    <t>YY.O</t>
  </si>
  <si>
    <t>欢聚</t>
  </si>
  <si>
    <t>ZBAO.O</t>
  </si>
  <si>
    <t>致保科技</t>
  </si>
  <si>
    <t>ZCMD.O</t>
  </si>
  <si>
    <t>众巢医学</t>
  </si>
  <si>
    <t>ZEPP.N</t>
  </si>
  <si>
    <t>ZEPP HEALTH</t>
  </si>
  <si>
    <t>ZH.N</t>
  </si>
  <si>
    <t>知乎</t>
  </si>
  <si>
    <t>ZJYL.O</t>
  </si>
  <si>
    <t>中进医疗</t>
  </si>
  <si>
    <t>ZK.N</t>
  </si>
  <si>
    <t>极氪</t>
  </si>
  <si>
    <t>ZKH.N</t>
  </si>
  <si>
    <t>震坤行</t>
  </si>
  <si>
    <t>ZKIN.O</t>
  </si>
  <si>
    <t>正康国际</t>
  </si>
  <si>
    <t>ZLAB.O</t>
  </si>
  <si>
    <t>再鼎医药</t>
  </si>
  <si>
    <t>ZTO.N</t>
  </si>
  <si>
    <t>中通快递</t>
  </si>
  <si>
    <t>代码</t>
    <phoneticPr fontId="1" type="noConversion"/>
  </si>
  <si>
    <t>Code</t>
    <phoneticPr fontId="1" type="noConversion"/>
  </si>
  <si>
    <t>名称</t>
    <phoneticPr fontId="1" type="noConversion"/>
  </si>
  <si>
    <t>Name</t>
    <phoneticPr fontId="1" type="noConversion"/>
  </si>
  <si>
    <t>定期报告预计披露日期</t>
    <phoneticPr fontId="1" type="noConversion"/>
  </si>
  <si>
    <t>总市值1</t>
    <phoneticPr fontId="1" type="noConversion"/>
  </si>
  <si>
    <t>stm_predict_issuingdate</t>
    <phoneticPr fontId="1" type="noConversion"/>
  </si>
  <si>
    <t>ev</t>
    <phoneticPr fontId="1" type="noConversion"/>
  </si>
  <si>
    <t>wind_code</t>
    <phoneticPr fontId="1" type="noConversion"/>
  </si>
  <si>
    <t>ATCO.N</t>
  </si>
  <si>
    <t>ATLAS(退市)</t>
  </si>
  <si>
    <t>业绩披露日期</t>
  </si>
  <si>
    <t>AZI.O</t>
  </si>
  <si>
    <t>中驰车福</t>
  </si>
  <si>
    <t>业绩披露日期</t>
    <phoneticPr fontId="6" type="noConversion"/>
  </si>
  <si>
    <t>最近更新:</t>
    <phoneticPr fontId="8" type="noConversion"/>
  </si>
  <si>
    <t>业绩预计披露日期</t>
    <phoneticPr fontId="6" type="noConversion"/>
  </si>
  <si>
    <t>倒数日</t>
    <phoneticPr fontId="6" type="noConversion"/>
  </si>
  <si>
    <t>板块名称：</t>
    <phoneticPr fontId="11" type="noConversion"/>
  </si>
  <si>
    <t>财报期：</t>
    <phoneticPr fontId="11" type="noConversion"/>
  </si>
  <si>
    <t>新纪元能源(NEXTERA ENERGY)</t>
  </si>
  <si>
    <t>NEWMONT</t>
  </si>
  <si>
    <t>奈飞(NETFLIX)</t>
  </si>
  <si>
    <t>尼索思(NISOURCE)</t>
  </si>
  <si>
    <t>耐克(NIKE)</t>
  </si>
  <si>
    <t>诺斯罗普-格鲁曼(NORTHROP GRUMMAN)</t>
  </si>
  <si>
    <t>SERVICENOW</t>
  </si>
  <si>
    <t>NRG能源(NRG ENERGY)</t>
  </si>
  <si>
    <t>诺福克南方(NORFOLK SOUTHERN)</t>
  </si>
  <si>
    <t>美国网存(NETAPP)</t>
  </si>
  <si>
    <t>北美信托(NORTHERN TRUST)</t>
  </si>
  <si>
    <t>纽柯钢铁(NUCOR)</t>
  </si>
  <si>
    <t>英伟达(NVIDIA)</t>
  </si>
  <si>
    <t>NVR</t>
  </si>
  <si>
    <t>新闻集团(NEWS)-B</t>
  </si>
  <si>
    <t>新闻集团(NEWS)-A</t>
  </si>
  <si>
    <t>恩智浦半导体(NXP SEMICONDUCTORS)</t>
  </si>
  <si>
    <t>REALTY INCOME</t>
  </si>
  <si>
    <t>统领货运线</t>
  </si>
  <si>
    <t>欧尼克(ONEOK)</t>
  </si>
  <si>
    <t>宏盟集团(OMNICOM)</t>
  </si>
  <si>
    <t>安森美半导体(ON SEMICONDUCTOR)</t>
  </si>
  <si>
    <t>甲骨文(ORACLE)</t>
  </si>
  <si>
    <t>奥莱利汽车(O REILLY AUTOMOTIVE)</t>
  </si>
  <si>
    <t>奥的斯(OTIS WORLDWIDE)</t>
  </si>
  <si>
    <t>西方石油(OCCIDENTAL)</t>
  </si>
  <si>
    <t>PALO ALTO NETWORKS</t>
  </si>
  <si>
    <t>PARAMOUNT GLOBAL</t>
  </si>
  <si>
    <t>PAYCOM SOFTWARE</t>
  </si>
  <si>
    <t>沛齐(PAYCHEX)</t>
  </si>
  <si>
    <t>帕卡(PACCAR)</t>
  </si>
  <si>
    <t>太平洋煤气与电力(PG&amp;E)</t>
  </si>
  <si>
    <t>公共服务企业集团</t>
  </si>
  <si>
    <t>百事(PEPSICO)</t>
  </si>
  <si>
    <t>辉瑞制药(PFIZER)</t>
  </si>
  <si>
    <t>信安金融(PRINCIPAL FINANCIAL)</t>
  </si>
  <si>
    <t>宝洁公司(PROCTER &amp; GAMBLE)</t>
  </si>
  <si>
    <t>前进保险(THE PROGRESSIVE)</t>
  </si>
  <si>
    <t>派克汉尼汾</t>
  </si>
  <si>
    <t>普尔特房屋(PULTE)</t>
  </si>
  <si>
    <t>美国包装</t>
  </si>
  <si>
    <t>安博(PROLOGIS)</t>
  </si>
  <si>
    <t>菲利普莫里斯国际(PHILIP MORRIS)</t>
  </si>
  <si>
    <t>PNC金融服务</t>
  </si>
  <si>
    <t>滨特尔(PENTAIR)</t>
  </si>
  <si>
    <t>品尼高西方资本(PINNACLE)</t>
  </si>
  <si>
    <t>INSULET</t>
  </si>
  <si>
    <t>POOL</t>
  </si>
  <si>
    <t>PPG工业</t>
  </si>
  <si>
    <t>PPL</t>
  </si>
  <si>
    <t>保德信金融(PRUDENTIAL)</t>
  </si>
  <si>
    <t>大众仓储信托(PUBLIC STORAGE)</t>
  </si>
  <si>
    <t>PHILLIPS 66</t>
  </si>
  <si>
    <t>PTC</t>
  </si>
  <si>
    <t>广达服务(QUANTA SERVICES)</t>
  </si>
  <si>
    <t>贝宝(PAYPAL)</t>
  </si>
  <si>
    <t>高通(QUALCOMM)</t>
  </si>
  <si>
    <t>QORVO</t>
  </si>
  <si>
    <t>ROYAL CARIBBEAN CRUISES</t>
  </si>
  <si>
    <t>REGENCY CENTERS</t>
  </si>
  <si>
    <t>再生元制药(REGENERON)</t>
  </si>
  <si>
    <t>地区金融(REGIONS FINANCIAL)</t>
  </si>
  <si>
    <t>瑞杰金融(RAYMOND JAMES)</t>
  </si>
  <si>
    <t>拉夫劳伦(RALPH LAUREN)</t>
  </si>
  <si>
    <t>瑞思迈(RESMED)</t>
  </si>
  <si>
    <t>罗克韦尔自动化(ROCKWELL)</t>
  </si>
  <si>
    <t>ROLLINS</t>
  </si>
  <si>
    <t>儒博科技(ROPER TECHNOLOGIES)</t>
  </si>
  <si>
    <t>罗斯百货(ROSS)</t>
  </si>
  <si>
    <t>共和废品处理(REPUBLIC SERVICES)</t>
  </si>
  <si>
    <t>雷神技术(RTX)</t>
  </si>
  <si>
    <t>REVVITY</t>
  </si>
  <si>
    <t>SBA通信</t>
  </si>
  <si>
    <t>星巴克(STARBUCKS)</t>
  </si>
  <si>
    <t>嘉信理财(CHARLES SCHWAB)</t>
  </si>
  <si>
    <t>宣伟(SHERWIN-WILLIAMS)</t>
  </si>
  <si>
    <t>斯马克(J M SMUCKER)</t>
  </si>
  <si>
    <t>斯伦贝谢(SCHLUMBERGER)</t>
  </si>
  <si>
    <t>超微电脑</t>
  </si>
  <si>
    <t>实耐宝(SNAP-ON)</t>
  </si>
  <si>
    <t>新思科技(SYNOPSYS)</t>
  </si>
  <si>
    <t>南方电力(SOUTHERN)</t>
  </si>
  <si>
    <t>SOLVENTUM</t>
  </si>
  <si>
    <t>西蒙地产(SIMON PROPERTY)</t>
  </si>
  <si>
    <t>标普全球(S&amp;P GLOBAL)</t>
  </si>
  <si>
    <t>SEMPRA</t>
  </si>
  <si>
    <t>思泰瑞医疗(STERIS)</t>
  </si>
  <si>
    <t>STEEL DYNAMICS</t>
  </si>
  <si>
    <t>道富银行(STATE STREET)</t>
  </si>
  <si>
    <t>希捷科技(SEAGATE)</t>
  </si>
  <si>
    <t>星座品牌-A(CONSTELLATION BRANDS-A)</t>
  </si>
  <si>
    <t>SMURFIT WESTROCK</t>
  </si>
  <si>
    <t>史丹利百得</t>
  </si>
  <si>
    <t>思佳讯(SKYWORKS)</t>
  </si>
  <si>
    <t>SYNCHRONY FINANCIAL</t>
  </si>
  <si>
    <t>史赛克(STRYKER)</t>
  </si>
  <si>
    <t>西斯科(SYSCO)</t>
  </si>
  <si>
    <t>美国电话电报(AT&amp;T)</t>
  </si>
  <si>
    <t>莫尔森库尔斯饮料</t>
  </si>
  <si>
    <t>TRANSDIGM</t>
  </si>
  <si>
    <t>TELEDYNE TECHNOLOGIES</t>
  </si>
  <si>
    <t>BIO-TECHNE</t>
  </si>
  <si>
    <t>泰科电子(TE CONNECTIVITY)</t>
  </si>
  <si>
    <t>泰瑞达(TERADYNE)</t>
  </si>
  <si>
    <t>TRUIST FINANCIAL</t>
  </si>
  <si>
    <t>泰利福(TELEFLEX)</t>
  </si>
  <si>
    <t>塔吉特(TARGET)</t>
  </si>
  <si>
    <t>TJX公司(TJX)</t>
  </si>
  <si>
    <t>赛默飞世尔科技</t>
  </si>
  <si>
    <t>T-MOBILE US</t>
  </si>
  <si>
    <t>TAPESTRY</t>
  </si>
  <si>
    <t>TARGA RESOURCES</t>
  </si>
  <si>
    <t>TRIMBLE</t>
  </si>
  <si>
    <t>普信金融(T ROWE PRICE)</t>
  </si>
  <si>
    <t>旅行者集团(TRAVELERS)</t>
  </si>
  <si>
    <t>拖拉机供应(TRACTOR SUPPLY)</t>
  </si>
  <si>
    <t>特斯拉(TESLA)</t>
  </si>
  <si>
    <t>泰森食品(TYSON)</t>
  </si>
  <si>
    <t>特灵科技(TRANE TECHNOLOGIES)</t>
  </si>
  <si>
    <t>TAKE-TWO互动软件</t>
  </si>
  <si>
    <t>德州仪器(TEXAS INSTRUMENTS)</t>
  </si>
  <si>
    <t>德事隆(TEXTRON)</t>
  </si>
  <si>
    <t>泰勒科技(TYLER TECHNOLOG)</t>
  </si>
  <si>
    <t>美联航(UNITED AIRLINES)</t>
  </si>
  <si>
    <t>优步(UBER TECHNOLOGIES)</t>
  </si>
  <si>
    <t>UDR不动产信托(UDR)</t>
  </si>
  <si>
    <t>环球健康服务(UNIVERSAL HEALTH)</t>
  </si>
  <si>
    <t>ULTA美妆</t>
  </si>
  <si>
    <t>联合健康集团(UNITEDHEALTH)</t>
  </si>
  <si>
    <t>联合太平洋(UNION PACIFIC)</t>
  </si>
  <si>
    <t>联合包裹服务(UNITED PARCEL)</t>
  </si>
  <si>
    <t>美国联合租赁(UNITED RENTALS)</t>
  </si>
  <si>
    <t>美国合众银行(US BANCORP)</t>
  </si>
  <si>
    <t>VISA</t>
  </si>
  <si>
    <t>VICI PROPERTIES</t>
  </si>
  <si>
    <t>瓦莱罗能源(VALERO ENERGY)</t>
  </si>
  <si>
    <t>VERALTO</t>
  </si>
  <si>
    <t>火神材料(VULCAN)</t>
  </si>
  <si>
    <t>VERISK ANALYTICS</t>
  </si>
  <si>
    <t>威瑞信(VERISIGN)</t>
  </si>
  <si>
    <t>福泰制药(VERTEX)</t>
  </si>
  <si>
    <t>VISTRA</t>
  </si>
  <si>
    <t>芬塔(VENTAS)</t>
  </si>
  <si>
    <t>晖致(VIATRIS)</t>
  </si>
  <si>
    <t>威瑞森电信(VERIZON)</t>
  </si>
  <si>
    <t>美国西屋制动</t>
  </si>
  <si>
    <t>沃特世(WATERS)</t>
  </si>
  <si>
    <t>沃尔格林联合博姿</t>
  </si>
  <si>
    <t>西部数据(WESTERN DIGITAL)</t>
  </si>
  <si>
    <t>WEC能源(WEC ENERGY)</t>
  </si>
  <si>
    <t>WELLTOWER信托</t>
  </si>
  <si>
    <t>富国银行(WELLS FARGO)</t>
  </si>
  <si>
    <t>美国废物管理(WASTE MANAGEMENT)</t>
  </si>
  <si>
    <t>威廉姆斯(WILLIAMS)</t>
  </si>
  <si>
    <t>沃尔玛(WALMART)</t>
  </si>
  <si>
    <t>BERKLEY W R</t>
  </si>
  <si>
    <t>WEST PHARMACEUTICAL SERVICES</t>
  </si>
  <si>
    <t>韦莱韬悦</t>
  </si>
  <si>
    <t>惠好(WEYERHAEUSER)</t>
  </si>
  <si>
    <t>永利度假(WYNN RESORTS)</t>
  </si>
  <si>
    <t>埃克西尔能源(XCEL ENERGY)</t>
  </si>
  <si>
    <t>埃克森美孚(EXXON MOBIL)</t>
  </si>
  <si>
    <t>赛莱默(XYLEM)</t>
  </si>
  <si>
    <t>百胜餐饮(YUM BRANDS)</t>
  </si>
  <si>
    <t>捷迈邦美(ZIMMER BIOMET)</t>
  </si>
  <si>
    <t>斑马技术(ZEBRA)</t>
  </si>
  <si>
    <t>硕腾(ZOETIS)</t>
  </si>
  <si>
    <t>美国中国股</t>
  </si>
  <si>
    <t>AACG.O</t>
    <phoneticPr fontId="1" type="noConversion"/>
  </si>
  <si>
    <t>ATA CREATIVITY GLOBAL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</si>
</sst>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\-dd"/>
    <numFmt numFmtId="177" formatCode="0.0000"/>
  </numFmts>
  <fonts count="15" x14ac:knownFonts="1">
    <font>
      <sz val="14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9"/>
      <color indexed="81"/>
      <name val="宋体"/>
      <family val="3"/>
      <charset val="134"/>
    </font>
    <font>
      <sz val="14"/>
      <color theme="0"/>
      <name val="微软雅黑"/>
      <family val="2"/>
      <charset val="134"/>
    </font>
    <font>
      <sz val="12"/>
      <color theme="1"/>
      <name val="Arial"/>
      <family val="2"/>
    </font>
    <font>
      <sz val="20"/>
      <color theme="0"/>
      <name val="微软雅黑"/>
      <family val="2"/>
      <charset val="134"/>
    </font>
    <font>
      <sz val="9"/>
      <name val="宋体"/>
      <family val="3"/>
      <charset val="134"/>
    </font>
    <font>
      <sz val="12"/>
      <color theme="0"/>
      <name val="微软雅黑"/>
      <family val="2"/>
      <charset val="134"/>
    </font>
    <font>
      <sz val="9"/>
      <name val="等线"/>
      <family val="2"/>
      <charset val="134"/>
      <scheme val="minor"/>
    </font>
    <font>
      <sz val="12"/>
      <color theme="0"/>
      <name val="Arial"/>
      <family val="2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4"/>
      <color theme="1"/>
      <name val="Arial"/>
      <family val="2"/>
    </font>
    <font>
      <sz val="12"/>
      <color rgb="FF212121"/>
      <name val="微软雅黑"/>
      <family val="2"/>
      <charset val="134"/>
    </font>
    <font>
      <b/>
      <sz val="12"/>
      <color rgb="FF21212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rgb="FFE9E9E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4" fillId="2" borderId="0" xfId="0" applyFont="1" applyFill="1" applyAlignme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right" vertical="center"/>
    </xf>
    <xf numFmtId="14" fontId="9" fillId="2" borderId="0" xfId="0" applyNumberFormat="1" applyFont="1" applyFill="1" applyBorder="1" applyAlignment="1">
      <alignment horizontal="right" vertical="center"/>
    </xf>
    <xf numFmtId="0" fontId="10" fillId="4" borderId="0" xfId="0" applyFont="1" applyFill="1" applyBorder="1" applyAlignment="1"/>
    <xf numFmtId="0" fontId="12" fillId="5" borderId="0" xfId="0" applyNumberFormat="1" applyFont="1" applyFill="1" applyAlignment="1" applyProtection="1">
      <alignment horizontal="right"/>
      <protection locked="0"/>
    </xf>
    <xf numFmtId="14" fontId="12" fillId="5" borderId="0" xfId="0" applyNumberFormat="1" applyFont="1" applyFill="1" applyAlignment="1" applyProtection="1">
      <alignment horizontal="right"/>
      <protection locked="0"/>
    </xf>
    <xf numFmtId="0" fontId="13" fillId="4" borderId="0" xfId="0" applyFont="1" applyFill="1" applyAlignment="1">
      <alignment horizontal="right" vertical="top"/>
    </xf>
    <xf numFmtId="0" fontId="13" fillId="3" borderId="0" xfId="0" applyFont="1" applyFill="1" applyAlignment="1">
      <alignment horizontal="right" vertical="top"/>
    </xf>
    <xf numFmtId="0" fontId="14" fillId="4" borderId="0" xfId="0" applyFont="1" applyFill="1" applyAlignment="1">
      <alignment horizontal="right" vertical="top"/>
    </xf>
    <xf numFmtId="176" fontId="14" fillId="4" borderId="0" xfId="0" applyNumberFormat="1" applyFont="1" applyFill="1" applyAlignment="1">
      <alignment horizontal="right" vertical="top"/>
    </xf>
    <xf numFmtId="0" fontId="3" fillId="0" borderId="0" xfId="0" applyNumberFormat="1" applyFont="1">
      <alignment vertical="center"/>
    </xf>
    <xf numFmtId="0" fontId="0" fillId="6" borderId="0" xfId="0" applyFill="1" applyAlignment="1"/>
    <xf numFmtId="49" fontId="0" fillId="0" borderId="0" xfId="0" applyNumberFormat="1" applyAlignment="1">
      <alignment horizontal="left" vertical="center"/>
    </xf>
    <xf numFmtId="0" fontId="14" fillId="3" borderId="0" xfId="0" applyFont="1" applyFill="1" applyAlignment="1">
      <alignment horizontal="right" vertical="top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636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190500</xdr:colOff>
      <xdr:row>0</xdr:row>
      <xdr:rowOff>85725</xdr:rowOff>
    </xdr:from>
    <xdr:ext cx="607152" cy="219075"/>
    <xdr:pic>
      <xdr:nvPicPr>
        <xdr:cNvPr id="4" name="图片 3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85725"/>
          <a:ext cx="607152" cy="219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TDays"/>
      <definedName name="wset"/>
      <definedName name="WSS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63636D"/>
  </sheetPr>
  <dimension ref="A1:AI29"/>
  <sheetViews>
    <sheetView showGridLines="0" tabSelected="1" workbookViewId="0">
      <selection activeCell="A35" sqref="A35"/>
    </sheetView>
  </sheetViews>
  <sheetFormatPr defaultRowHeight="20.25" x14ac:dyDescent="0.35"/>
  <cols>
    <col min="1" max="1" width="3.81640625" customWidth="1"/>
    <col min="2" max="2" width="2.6328125" customWidth="1"/>
    <col min="3" max="3" width="14.6328125" style="4" customWidth="1"/>
    <col min="4" max="9" width="14.6328125" customWidth="1"/>
    <col min="10" max="10" width="2.6328125" customWidth="1"/>
    <col min="11" max="11" width="3.81640625" customWidth="1"/>
    <col min="12" max="25" width="10.81640625" bestFit="1" customWidth="1"/>
  </cols>
  <sheetData>
    <row r="1" spans="1:35" ht="27.75" x14ac:dyDescent="0.2">
      <c r="A1" s="7"/>
      <c r="B1" s="7"/>
      <c r="C1" s="7"/>
      <c r="D1" s="8" t="s">
        <v>687</v>
      </c>
      <c r="E1" s="8"/>
      <c r="F1" s="8"/>
      <c r="G1" s="8"/>
      <c r="H1" s="10" t="s">
        <v>688</v>
      </c>
      <c r="I1" s="11">
        <f ca="1">TODAY()</f>
        <v>45534</v>
      </c>
      <c r="J1" s="9"/>
      <c r="K1" s="9"/>
    </row>
    <row r="2" spans="1:35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35" ht="9.9499999999999993" customHeight="1" x14ac:dyDescent="0.35">
      <c r="A3" s="20"/>
      <c r="C3"/>
      <c r="K3" s="20"/>
    </row>
    <row r="4" spans="1:35" x14ac:dyDescent="0.35">
      <c r="A4" s="20"/>
      <c r="C4" s="12" t="s">
        <v>692</v>
      </c>
      <c r="D4" s="14">
        <f ca="1">IF(MONTH(I1)&lt;=3,DATE(YEAR(I1)-1,12,31),IF(MONTH(I1)&lt;=6,DATE(YEAR(I1),3,30),IF(MONTH(I1)&lt;=9,DATE(YEAR(I1),6,30),IF(MONTH(I1)&lt;=12,DATE(YEAR(I1),9,30),""))))</f>
        <v>45473</v>
      </c>
      <c r="H4" s="4"/>
      <c r="I4" s="4"/>
      <c r="J4" s="4"/>
      <c r="K4" s="20"/>
      <c r="L4" s="4"/>
      <c r="M4" s="4"/>
      <c r="N4" s="4"/>
      <c r="O4" s="4"/>
    </row>
    <row r="5" spans="1:35" x14ac:dyDescent="0.35">
      <c r="A5" s="20"/>
      <c r="C5" s="12" t="s">
        <v>691</v>
      </c>
      <c r="D5" s="13" t="s">
        <v>860</v>
      </c>
      <c r="F5" s="4"/>
      <c r="G5" s="4"/>
      <c r="H5" s="4"/>
      <c r="I5" s="4"/>
      <c r="J5" s="4"/>
      <c r="K5" s="20"/>
      <c r="L5" s="4"/>
      <c r="M5" s="4"/>
      <c r="N5" s="4"/>
      <c r="O5" s="4"/>
    </row>
    <row r="6" spans="1:35" x14ac:dyDescent="0.35">
      <c r="A6" s="20"/>
      <c r="B6" s="1"/>
      <c r="D6" s="4"/>
      <c r="E6" s="4"/>
      <c r="F6" s="4"/>
      <c r="G6" s="4"/>
      <c r="H6" s="4"/>
      <c r="I6" s="4"/>
      <c r="J6" s="4"/>
      <c r="K6" s="20"/>
      <c r="L6" s="4"/>
      <c r="M6" s="4"/>
      <c r="N6" s="4"/>
      <c r="O6" s="4"/>
    </row>
    <row r="7" spans="1:35" x14ac:dyDescent="0.35">
      <c r="A7" s="20"/>
      <c r="B7" s="1"/>
      <c r="C7" s="17" t="s">
        <v>689</v>
      </c>
      <c r="D7" s="18">
        <f ca="1">[1]!TDays(I1,I1+5,"Days=Alldays","Direction=H","cols=6;rows=1")</f>
        <v>45534</v>
      </c>
      <c r="E7" s="18">
        <v>45535</v>
      </c>
      <c r="F7" s="18">
        <v>45536</v>
      </c>
      <c r="G7" s="18">
        <v>45537</v>
      </c>
      <c r="H7" s="18">
        <v>45538</v>
      </c>
      <c r="I7" s="18">
        <v>45539</v>
      </c>
      <c r="J7" s="4"/>
      <c r="K7" s="20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s="1" customFormat="1" x14ac:dyDescent="0.35">
      <c r="A8" s="20"/>
      <c r="C8" s="22" t="s">
        <v>690</v>
      </c>
      <c r="D8" s="22">
        <f ca="1">D7-TODAY()</f>
        <v>0</v>
      </c>
      <c r="E8" s="22">
        <f t="shared" ref="E8:I8" ca="1" si="0">E7-TODAY()</f>
        <v>1</v>
      </c>
      <c r="F8" s="22">
        <f t="shared" ca="1" si="0"/>
        <v>2</v>
      </c>
      <c r="G8" s="22">
        <f t="shared" ca="1" si="0"/>
        <v>3</v>
      </c>
      <c r="H8" s="22">
        <f t="shared" ca="1" si="0"/>
        <v>4</v>
      </c>
      <c r="I8" s="22">
        <f t="shared" ca="1" si="0"/>
        <v>5</v>
      </c>
      <c r="J8" s="4"/>
      <c r="K8" s="20"/>
      <c r="L8" s="3"/>
      <c r="M8" s="3"/>
      <c r="N8" s="3"/>
      <c r="O8" s="3"/>
      <c r="P8" s="2"/>
      <c r="Q8" s="2"/>
      <c r="R8" s="2"/>
      <c r="S8" s="2"/>
      <c r="T8" s="2"/>
      <c r="U8" s="2"/>
      <c r="V8" s="2"/>
      <c r="W8" s="2"/>
      <c r="X8" s="2"/>
    </row>
    <row r="9" spans="1:35" x14ac:dyDescent="0.35">
      <c r="A9" s="20"/>
      <c r="B9" s="19">
        <v>1</v>
      </c>
      <c r="C9" s="15"/>
      <c r="D9" s="15" t="str">
        <f ca="1">_xlfn.IFNA(VLOOKUP(业绩披露日期!B9,内容筛选!$A:$J,7,0)&amp;" "&amp;VLOOKUP(业绩披露日期!B9,内容筛选!$A:$J,8,0),"")</f>
        <v>BTCM.N 比特矿业</v>
      </c>
      <c r="E9" s="15" t="str">
        <f>_xlfn.IFNA(VLOOKUP(业绩披露日期!$B9,内容筛选!$B:$J,6,0)&amp;" "&amp;VLOOKUP(业绩披露日期!$B9,内容筛选!$B:$J,7,0),"")</f>
        <v/>
      </c>
      <c r="F9" s="15" t="str">
        <f>_xlfn.IFNA(VLOOKUP(业绩披露日期!$B9,内容筛选!$C:$J,5,0)&amp;" "&amp;VLOOKUP(业绩披露日期!$B9,内容筛选!$C:$J,6,0),"")</f>
        <v/>
      </c>
      <c r="G9" s="15" t="str">
        <f>_xlfn.IFNA(VLOOKUP(业绩披露日期!$B9,内容筛选!$D:$J,4,0)&amp;" "&amp;VLOOKUP(业绩披露日期!$B9,内容筛选!$D:$J,5,0),"")</f>
        <v>DOYU.O 斗鱼</v>
      </c>
      <c r="H9" s="15" t="str">
        <f>_xlfn.IFNA(VLOOKUP(业绩披露日期!$B9,内容筛选!$E:$J,3,0)&amp;" "&amp;VLOOKUP(业绩披露日期!$B9,内容筛选!$E:$J,4,0),"")</f>
        <v>HUIZ.O 慧择</v>
      </c>
      <c r="I9" s="15" t="str">
        <f>_xlfn.IFNA(VLOOKUP(业绩披露日期!$B9,内容筛选!$F:$J,2,0)&amp;" "&amp;VLOOKUP(业绩披露日期!$B9,内容筛选!$F:$J,3,0),"")</f>
        <v>MLGO.O MICROALGO</v>
      </c>
      <c r="J9" s="4"/>
      <c r="K9" s="20"/>
      <c r="L9" s="3"/>
      <c r="M9" s="3"/>
      <c r="N9" s="3"/>
      <c r="O9" s="3"/>
    </row>
    <row r="10" spans="1:35" x14ac:dyDescent="0.35">
      <c r="A10" s="20"/>
      <c r="B10" s="19">
        <v>2</v>
      </c>
      <c r="C10" s="16"/>
      <c r="D10" s="16" t="str">
        <f ca="1">_xlfn.IFNA(VLOOKUP(业绩披露日期!B10,内容筛选!$A:$J,7,0)&amp;" "&amp;VLOOKUP(业绩披露日期!B10,内容筛选!$A:$J,8,0),"")</f>
        <v>JKS.N 晶科能源</v>
      </c>
      <c r="E10" s="16" t="str">
        <f>_xlfn.IFNA(VLOOKUP(业绩披露日期!$B10,内容筛选!$B:$J,6,0)&amp;" "&amp;VLOOKUP(业绩披露日期!$B10,内容筛选!$B:$J,7,0),"")</f>
        <v/>
      </c>
      <c r="F10" s="16" t="str">
        <f>_xlfn.IFNA(VLOOKUP(业绩披露日期!$B10,内容筛选!$C:$J,5,0)&amp;" "&amp;VLOOKUP(业绩披露日期!$B10,内容筛选!$C:$J,6,0),"")</f>
        <v/>
      </c>
      <c r="G10" s="16" t="str">
        <f>_xlfn.IFNA(VLOOKUP(业绩披露日期!$B10,内容筛选!$D:$J,4,0)&amp;" "&amp;VLOOKUP(业绩披露日期!$B10,内容筛选!$D:$J,5,0),"")</f>
        <v>GURE.O 海湾资源</v>
      </c>
      <c r="H10" s="16" t="str">
        <f>_xlfn.IFNA(VLOOKUP(业绩披露日期!$B10,内容筛选!$E:$J,3,0)&amp;" "&amp;VLOOKUP(业绩披露日期!$B10,内容筛选!$E:$J,4,0),"")</f>
        <v>MOMO.O 挚文集团</v>
      </c>
      <c r="I10" s="16" t="str">
        <f>_xlfn.IFNA(VLOOKUP(业绩披露日期!$B10,内容筛选!$F:$J,2,0)&amp;" "&amp;VLOOKUP(业绩披露日期!$B10,内容筛选!$F:$J,3,0),"")</f>
        <v>SJ.O 思享无限</v>
      </c>
      <c r="J10" s="4"/>
      <c r="K10" s="20"/>
      <c r="L10" s="3"/>
      <c r="M10" s="3"/>
      <c r="N10" s="3"/>
      <c r="O10" s="3"/>
    </row>
    <row r="11" spans="1:35" x14ac:dyDescent="0.35">
      <c r="A11" s="20"/>
      <c r="B11" s="19">
        <v>3</v>
      </c>
      <c r="C11" s="15"/>
      <c r="D11" s="15" t="str">
        <f ca="1">_xlfn.IFNA(VLOOKUP(业绩披露日期!B11,内容筛选!$A:$J,7,0)&amp;" "&amp;VLOOKUP(业绩披露日期!B11,内容筛选!$A:$J,8,0),"")</f>
        <v>SPI.O 绿能宝</v>
      </c>
      <c r="E11" s="15" t="str">
        <f>_xlfn.IFNA(VLOOKUP(业绩披露日期!$B11,内容筛选!$B:$J,6,0)&amp;" "&amp;VLOOKUP(业绩披露日期!$B11,内容筛选!$B:$J,7,0),"")</f>
        <v/>
      </c>
      <c r="F11" s="15" t="str">
        <f>_xlfn.IFNA(VLOOKUP(业绩披露日期!$B11,内容筛选!$C:$J,5,0)&amp;" "&amp;VLOOKUP(业绩披露日期!$B11,内容筛选!$C:$J,6,0),"")</f>
        <v/>
      </c>
      <c r="G11" s="15" t="str">
        <f>_xlfn.IFNA(VLOOKUP(业绩披露日期!$B11,内容筛选!$D:$J,4,0)&amp;" "&amp;VLOOKUP(业绩披露日期!$B11,内容筛选!$D:$J,5,0),"")</f>
        <v>MI.A NFT</v>
      </c>
      <c r="H11" s="15" t="str">
        <f>_xlfn.IFNA(VLOOKUP(业绩披露日期!$B11,内容筛选!$E:$J,3,0)&amp;" "&amp;VLOOKUP(业绩披露日期!$B11,内容筛选!$E:$J,4,0),"")</f>
        <v>SOGP.O SOUND</v>
      </c>
      <c r="I11" s="15" t="str">
        <f>_xlfn.IFNA(VLOOKUP(业绩披露日期!$B11,内容筛选!$F:$J,2,0)&amp;" "&amp;VLOOKUP(业绩披露日期!$B11,内容筛选!$F:$J,3,0),"")</f>
        <v>WDH.N 水滴公司</v>
      </c>
      <c r="J11" s="4"/>
      <c r="K11" s="20"/>
      <c r="L11" s="16"/>
      <c r="M11" s="16"/>
      <c r="N11" s="3"/>
      <c r="O11" s="3"/>
    </row>
    <row r="12" spans="1:35" x14ac:dyDescent="0.35">
      <c r="A12" s="20"/>
      <c r="B12" s="19">
        <v>4</v>
      </c>
      <c r="C12" s="16"/>
      <c r="D12" s="16" t="str">
        <f ca="1">_xlfn.IFNA(VLOOKUP(业绩披露日期!B12,内容筛选!$A:$J,7,0)&amp;" "&amp;VLOOKUP(业绩披露日期!B12,内容筛选!$A:$J,8,0),"")</f>
        <v>TIGR.O 老虎证券</v>
      </c>
      <c r="E12" s="16" t="str">
        <f>_xlfn.IFNA(VLOOKUP(业绩披露日期!$B12,内容筛选!$B:$J,6,0)&amp;" "&amp;VLOOKUP(业绩披露日期!$B12,内容筛选!$B:$J,7,0),"")</f>
        <v/>
      </c>
      <c r="F12" s="16" t="str">
        <f>_xlfn.IFNA(VLOOKUP(业绩披露日期!$B12,内容筛选!$C:$J,5,0)&amp;" "&amp;VLOOKUP(业绩披露日期!$B12,内容筛选!$C:$J,6,0),"")</f>
        <v/>
      </c>
      <c r="G12" s="16" t="str">
        <f>_xlfn.IFNA(VLOOKUP(业绩披露日期!$B12,内容筛选!$D:$J,4,0)&amp;" "&amp;VLOOKUP(业绩披露日期!$B12,内容筛选!$D:$J,5,0),"")</f>
        <v>TCTM.O 达内教育</v>
      </c>
      <c r="H12" s="16" t="str">
        <f>_xlfn.IFNA(VLOOKUP(业绩披露日期!$B12,内容筛选!$E:$J,3,0)&amp;" "&amp;VLOOKUP(业绩披露日期!$B12,内容筛选!$E:$J,4,0),"")</f>
        <v/>
      </c>
      <c r="I12" s="16" t="str">
        <f>_xlfn.IFNA(VLOOKUP(业绩披露日期!$B12,内容筛选!$F:$J,2,0)&amp;" "&amp;VLOOKUP(业绩披露日期!$B12,内容筛选!$F:$J,3,0),"")</f>
        <v/>
      </c>
      <c r="J12" s="4"/>
      <c r="K12" s="20"/>
      <c r="L12" s="3"/>
      <c r="M12" s="3"/>
      <c r="N12" s="3"/>
      <c r="O12" s="3"/>
    </row>
    <row r="13" spans="1:35" x14ac:dyDescent="0.35">
      <c r="A13" s="20"/>
      <c r="B13" s="19">
        <v>5</v>
      </c>
      <c r="C13" s="15"/>
      <c r="D13" s="15" t="str">
        <f ca="1">_xlfn.IFNA(VLOOKUP(业绩披露日期!B13,内容筛选!$A:$J,7,0)&amp;" "&amp;VLOOKUP(业绩披露日期!B13,内容筛选!$A:$J,8,0),"")</f>
        <v/>
      </c>
      <c r="E13" s="15" t="str">
        <f>_xlfn.IFNA(VLOOKUP(业绩披露日期!$B13,内容筛选!$B:$J,6,0)&amp;" "&amp;VLOOKUP(业绩披露日期!$B13,内容筛选!$B:$J,7,0),"")</f>
        <v/>
      </c>
      <c r="F13" s="15" t="str">
        <f>_xlfn.IFNA(VLOOKUP(业绩披露日期!$B13,内容筛选!$C:$J,5,0)&amp;" "&amp;VLOOKUP(业绩披露日期!$B13,内容筛选!$C:$J,6,0),"")</f>
        <v/>
      </c>
      <c r="G13" s="15" t="str">
        <f>_xlfn.IFNA(VLOOKUP(业绩披露日期!$B13,内容筛选!$D:$J,4,0)&amp;" "&amp;VLOOKUP(业绩披露日期!$B13,内容筛选!$D:$J,5,0),"")</f>
        <v>YQ.O 一起教育科技</v>
      </c>
      <c r="H13" s="15" t="str">
        <f>_xlfn.IFNA(VLOOKUP(业绩披露日期!$B13,内容筛选!$E:$J,3,0)&amp;" "&amp;VLOOKUP(业绩披露日期!$B13,内容筛选!$E:$J,4,0),"")</f>
        <v/>
      </c>
      <c r="I13" s="15" t="str">
        <f>_xlfn.IFNA(VLOOKUP(业绩披露日期!$B13,内容筛选!$F:$J,2,0)&amp;" "&amp;VLOOKUP(业绩披露日期!$B13,内容筛选!$F:$J,3,0),"")</f>
        <v/>
      </c>
      <c r="J13" s="4"/>
      <c r="K13" s="20"/>
      <c r="L13" s="4"/>
      <c r="M13" s="4"/>
      <c r="N13" s="4"/>
      <c r="O13" s="4"/>
    </row>
    <row r="14" spans="1:35" x14ac:dyDescent="0.35">
      <c r="A14" s="20"/>
      <c r="B14" s="19">
        <v>6</v>
      </c>
      <c r="C14" s="16"/>
      <c r="D14" s="16" t="str">
        <f ca="1">_xlfn.IFNA(VLOOKUP(业绩披露日期!B14,内容筛选!$A:$J,7,0)&amp;" "&amp;VLOOKUP(业绩披露日期!B14,内容筛选!$A:$J,8,0),"")</f>
        <v/>
      </c>
      <c r="E14" s="16" t="str">
        <f>_xlfn.IFNA(VLOOKUP(业绩披露日期!$B14,内容筛选!$B:$J,6,0)&amp;" "&amp;VLOOKUP(业绩披露日期!$B14,内容筛选!$B:$J,7,0),"")</f>
        <v/>
      </c>
      <c r="F14" s="16" t="str">
        <f>_xlfn.IFNA(VLOOKUP(业绩披露日期!$B14,内容筛选!$C:$J,5,0)&amp;" "&amp;VLOOKUP(业绩披露日期!$B14,内容筛选!$C:$J,6,0),"")</f>
        <v/>
      </c>
      <c r="G14" s="16" t="str">
        <f>_xlfn.IFNA(VLOOKUP(业绩披露日期!$B14,内容筛选!$D:$J,4,0)&amp;" "&amp;VLOOKUP(业绩披露日期!$B14,内容筛选!$D:$J,5,0),"")</f>
        <v/>
      </c>
      <c r="H14" s="16" t="str">
        <f>_xlfn.IFNA(VLOOKUP(业绩披露日期!$B14,内容筛选!$E:$J,3,0)&amp;" "&amp;VLOOKUP(业绩披露日期!$B14,内容筛选!$E:$J,4,0),"")</f>
        <v/>
      </c>
      <c r="I14" s="16" t="str">
        <f>_xlfn.IFNA(VLOOKUP(业绩披露日期!$B14,内容筛选!$F:$J,2,0)&amp;" "&amp;VLOOKUP(业绩披露日期!$B14,内容筛选!$F:$J,3,0),"")</f>
        <v/>
      </c>
      <c r="J14" s="4"/>
      <c r="K14" s="20"/>
      <c r="L14" s="4"/>
      <c r="M14" s="4"/>
      <c r="N14" s="4"/>
      <c r="O14" s="4"/>
    </row>
    <row r="15" spans="1:35" x14ac:dyDescent="0.35">
      <c r="A15" s="20"/>
      <c r="B15" s="19">
        <v>7</v>
      </c>
      <c r="C15" s="15"/>
      <c r="D15" s="15" t="str">
        <f ca="1">_xlfn.IFNA(VLOOKUP(业绩披露日期!B15,内容筛选!$A:$J,7,0)&amp;" "&amp;VLOOKUP(业绩披露日期!B15,内容筛选!$A:$J,8,0),"")</f>
        <v/>
      </c>
      <c r="E15" s="15" t="str">
        <f>_xlfn.IFNA(VLOOKUP(业绩披露日期!$B15,内容筛选!$B:$J,6,0)&amp;" "&amp;VLOOKUP(业绩披露日期!$B15,内容筛选!$B:$J,7,0),"")</f>
        <v/>
      </c>
      <c r="F15" s="15" t="str">
        <f>_xlfn.IFNA(VLOOKUP(业绩披露日期!$B15,内容筛选!$C:$J,5,0)&amp;" "&amp;VLOOKUP(业绩披露日期!$B15,内容筛选!$C:$J,6,0),"")</f>
        <v/>
      </c>
      <c r="G15" s="15" t="str">
        <f>_xlfn.IFNA(VLOOKUP(业绩披露日期!$B15,内容筛选!$D:$J,4,0)&amp;" "&amp;VLOOKUP(业绩披露日期!$B15,内容筛选!$D:$J,5,0),"")</f>
        <v/>
      </c>
      <c r="H15" s="15" t="str">
        <f>_xlfn.IFNA(VLOOKUP(业绩披露日期!$B15,内容筛选!$E:$J,3,0)&amp;" "&amp;VLOOKUP(业绩披露日期!$B15,内容筛选!$E:$J,4,0),"")</f>
        <v/>
      </c>
      <c r="I15" s="15" t="str">
        <f>_xlfn.IFNA(VLOOKUP(业绩披露日期!$B15,内容筛选!$F:$J,2,0)&amp;" "&amp;VLOOKUP(业绩披露日期!$B15,内容筛选!$F:$J,3,0),"")</f>
        <v/>
      </c>
      <c r="J15" s="4"/>
      <c r="K15" s="20"/>
      <c r="L15" s="4"/>
      <c r="M15" s="4"/>
      <c r="N15" s="4"/>
      <c r="O15" s="4"/>
    </row>
    <row r="16" spans="1:35" x14ac:dyDescent="0.35">
      <c r="A16" s="20"/>
      <c r="B16" s="19">
        <v>8</v>
      </c>
      <c r="C16" s="16"/>
      <c r="D16" s="16" t="str">
        <f ca="1">_xlfn.IFNA(VLOOKUP(业绩披露日期!B16,内容筛选!$A:$J,7,0)&amp;" "&amp;VLOOKUP(业绩披露日期!B16,内容筛选!$A:$J,8,0),"")</f>
        <v/>
      </c>
      <c r="E16" s="16" t="str">
        <f>_xlfn.IFNA(VLOOKUP(业绩披露日期!$B16,内容筛选!$B:$J,6,0)&amp;" "&amp;VLOOKUP(业绩披露日期!$B16,内容筛选!$B:$J,7,0),"")</f>
        <v/>
      </c>
      <c r="F16" s="16" t="str">
        <f>_xlfn.IFNA(VLOOKUP(业绩披露日期!$B16,内容筛选!$C:$J,5,0)&amp;" "&amp;VLOOKUP(业绩披露日期!$B16,内容筛选!$C:$J,6,0),"")</f>
        <v/>
      </c>
      <c r="G16" s="16" t="str">
        <f>_xlfn.IFNA(VLOOKUP(业绩披露日期!$B16,内容筛选!$D:$J,4,0)&amp;" "&amp;VLOOKUP(业绩披露日期!$B16,内容筛选!$D:$J,5,0),"")</f>
        <v/>
      </c>
      <c r="H16" s="16" t="str">
        <f>_xlfn.IFNA(VLOOKUP(业绩披露日期!$B16,内容筛选!$E:$J,3,0)&amp;" "&amp;VLOOKUP(业绩披露日期!$B16,内容筛选!$E:$J,4,0),"")</f>
        <v/>
      </c>
      <c r="I16" s="16" t="str">
        <f>_xlfn.IFNA(VLOOKUP(业绩披露日期!$B16,内容筛选!$F:$J,2,0)&amp;" "&amp;VLOOKUP(业绩披露日期!$B16,内容筛选!$F:$J,3,0),"")</f>
        <v/>
      </c>
      <c r="J16" s="4"/>
      <c r="K16" s="20"/>
      <c r="L16" s="4"/>
      <c r="M16" s="4"/>
      <c r="N16" s="4"/>
      <c r="O16" s="4"/>
    </row>
    <row r="17" spans="1:15" x14ac:dyDescent="0.35">
      <c r="A17" s="20"/>
      <c r="B17" s="19">
        <v>9</v>
      </c>
      <c r="C17" s="15"/>
      <c r="D17" s="15" t="str">
        <f ca="1">_xlfn.IFNA(VLOOKUP(业绩披露日期!B17,内容筛选!$A:$J,7,0)&amp;" "&amp;VLOOKUP(业绩披露日期!B17,内容筛选!$A:$J,8,0),"")</f>
        <v/>
      </c>
      <c r="E17" s="15" t="str">
        <f>_xlfn.IFNA(VLOOKUP(业绩披露日期!$B17,内容筛选!$B:$J,6,0)&amp;" "&amp;VLOOKUP(业绩披露日期!$B17,内容筛选!$B:$J,7,0),"")</f>
        <v/>
      </c>
      <c r="F17" s="15" t="str">
        <f>_xlfn.IFNA(VLOOKUP(业绩披露日期!$B17,内容筛选!$C:$J,5,0)&amp;" "&amp;VLOOKUP(业绩披露日期!$B17,内容筛选!$C:$J,6,0),"")</f>
        <v/>
      </c>
      <c r="G17" s="15" t="str">
        <f>_xlfn.IFNA(VLOOKUP(业绩披露日期!$B17,内容筛选!$D:$J,4,0)&amp;" "&amp;VLOOKUP(业绩披露日期!$B17,内容筛选!$D:$J,5,0),"")</f>
        <v/>
      </c>
      <c r="H17" s="15" t="str">
        <f>_xlfn.IFNA(VLOOKUP(业绩披露日期!$B17,内容筛选!$E:$J,3,0)&amp;" "&amp;VLOOKUP(业绩披露日期!$B17,内容筛选!$E:$J,4,0),"")</f>
        <v/>
      </c>
      <c r="I17" s="15" t="str">
        <f>_xlfn.IFNA(VLOOKUP(业绩披露日期!$B17,内容筛选!$F:$J,2,0)&amp;" "&amp;VLOOKUP(业绩披露日期!$B17,内容筛选!$F:$J,3,0),"")</f>
        <v/>
      </c>
      <c r="J17" s="4"/>
      <c r="K17" s="20"/>
      <c r="L17" s="4"/>
      <c r="M17" s="4"/>
      <c r="N17" s="4"/>
      <c r="O17" s="4"/>
    </row>
    <row r="18" spans="1:15" x14ac:dyDescent="0.35">
      <c r="A18" s="20"/>
      <c r="B18" s="19">
        <v>10</v>
      </c>
      <c r="C18" s="16"/>
      <c r="D18" s="16" t="str">
        <f ca="1">_xlfn.IFNA(VLOOKUP(业绩披露日期!B18,内容筛选!$A:$J,7,0)&amp;" "&amp;VLOOKUP(业绩披露日期!B18,内容筛选!$A:$J,8,0),"")</f>
        <v/>
      </c>
      <c r="E18" s="16" t="str">
        <f>_xlfn.IFNA(VLOOKUP(业绩披露日期!$B18,内容筛选!$B:$J,6,0)&amp;" "&amp;VLOOKUP(业绩披露日期!$B18,内容筛选!$B:$J,7,0),"")</f>
        <v/>
      </c>
      <c r="F18" s="16" t="str">
        <f>_xlfn.IFNA(VLOOKUP(业绩披露日期!$B18,内容筛选!$C:$J,5,0)&amp;" "&amp;VLOOKUP(业绩披露日期!$B18,内容筛选!$C:$J,6,0),"")</f>
        <v/>
      </c>
      <c r="G18" s="16" t="str">
        <f>_xlfn.IFNA(VLOOKUP(业绩披露日期!$B18,内容筛选!$D:$J,4,0)&amp;" "&amp;VLOOKUP(业绩披露日期!$B18,内容筛选!$D:$J,5,0),"")</f>
        <v/>
      </c>
      <c r="H18" s="16" t="str">
        <f>_xlfn.IFNA(VLOOKUP(业绩披露日期!$B18,内容筛选!$E:$J,3,0)&amp;" "&amp;VLOOKUP(业绩披露日期!$B18,内容筛选!$E:$J,4,0),"")</f>
        <v/>
      </c>
      <c r="I18" s="16" t="str">
        <f>_xlfn.IFNA(VLOOKUP(业绩披露日期!$B18,内容筛选!$F:$J,2,0)&amp;" "&amp;VLOOKUP(业绩披露日期!$B18,内容筛选!$F:$J,3,0),"")</f>
        <v/>
      </c>
      <c r="J18" s="4"/>
      <c r="K18" s="20"/>
      <c r="L18" s="4"/>
      <c r="M18" s="4"/>
      <c r="N18" s="4"/>
      <c r="O18" s="4"/>
    </row>
    <row r="19" spans="1:15" x14ac:dyDescent="0.35">
      <c r="A19" s="20"/>
      <c r="B19" s="19">
        <v>11</v>
      </c>
      <c r="C19" s="15"/>
      <c r="D19" s="15" t="str">
        <f ca="1">_xlfn.IFNA(VLOOKUP(业绩披露日期!B19,内容筛选!$A:$J,7,0)&amp;" "&amp;VLOOKUP(业绩披露日期!B19,内容筛选!$A:$J,8,0),"")</f>
        <v/>
      </c>
      <c r="E19" s="15" t="str">
        <f>_xlfn.IFNA(VLOOKUP(业绩披露日期!$B19,内容筛选!$B:$J,6,0)&amp;" "&amp;VLOOKUP(业绩披露日期!$B19,内容筛选!$B:$J,7,0),"")</f>
        <v/>
      </c>
      <c r="F19" s="15" t="str">
        <f>_xlfn.IFNA(VLOOKUP(业绩披露日期!$B19,内容筛选!$C:$J,5,0)&amp;" "&amp;VLOOKUP(业绩披露日期!$B19,内容筛选!$C:$J,6,0),"")</f>
        <v/>
      </c>
      <c r="G19" s="15" t="str">
        <f>_xlfn.IFNA(VLOOKUP(业绩披露日期!$B19,内容筛选!$D:$J,4,0)&amp;" "&amp;VLOOKUP(业绩披露日期!$B19,内容筛选!$D:$J,5,0),"")</f>
        <v/>
      </c>
      <c r="H19" s="15" t="str">
        <f>_xlfn.IFNA(VLOOKUP(业绩披露日期!$B19,内容筛选!$E:$J,3,0)&amp;" "&amp;VLOOKUP(业绩披露日期!$B19,内容筛选!$E:$J,4,0),"")</f>
        <v/>
      </c>
      <c r="I19" s="15" t="str">
        <f>_xlfn.IFNA(VLOOKUP(业绩披露日期!$B19,内容筛选!$F:$J,2,0)&amp;" "&amp;VLOOKUP(业绩披露日期!$B19,内容筛选!$F:$J,3,0),"")</f>
        <v/>
      </c>
      <c r="J19" s="4"/>
      <c r="K19" s="20"/>
      <c r="L19" s="4"/>
      <c r="M19" s="4"/>
      <c r="N19" s="4"/>
      <c r="O19" s="4"/>
    </row>
    <row r="20" spans="1:15" x14ac:dyDescent="0.35">
      <c r="A20" s="20"/>
      <c r="B20" s="19">
        <v>12</v>
      </c>
      <c r="C20" s="16"/>
      <c r="D20" s="16" t="str">
        <f ca="1">_xlfn.IFNA(VLOOKUP(业绩披露日期!B20,内容筛选!$A:$J,7,0)&amp;" "&amp;VLOOKUP(业绩披露日期!B20,内容筛选!$A:$J,8,0),"")</f>
        <v/>
      </c>
      <c r="E20" s="16" t="str">
        <f>_xlfn.IFNA(VLOOKUP(业绩披露日期!$B20,内容筛选!$B:$J,6,0)&amp;" "&amp;VLOOKUP(业绩披露日期!$B20,内容筛选!$B:$J,7,0),"")</f>
        <v/>
      </c>
      <c r="F20" s="16" t="str">
        <f>_xlfn.IFNA(VLOOKUP(业绩披露日期!$B20,内容筛选!$C:$J,5,0)&amp;" "&amp;VLOOKUP(业绩披露日期!$B20,内容筛选!$C:$J,6,0),"")</f>
        <v/>
      </c>
      <c r="G20" s="16" t="str">
        <f>_xlfn.IFNA(VLOOKUP(业绩披露日期!$B20,内容筛选!$D:$J,4,0)&amp;" "&amp;VLOOKUP(业绩披露日期!$B20,内容筛选!$D:$J,5,0),"")</f>
        <v/>
      </c>
      <c r="H20" s="16" t="str">
        <f>_xlfn.IFNA(VLOOKUP(业绩披露日期!$B20,内容筛选!$E:$J,3,0)&amp;" "&amp;VLOOKUP(业绩披露日期!$B20,内容筛选!$E:$J,4,0),"")</f>
        <v/>
      </c>
      <c r="I20" s="16" t="str">
        <f>_xlfn.IFNA(VLOOKUP(业绩披露日期!$B20,内容筛选!$F:$J,2,0)&amp;" "&amp;VLOOKUP(业绩披露日期!$B20,内容筛选!$F:$J,3,0),"")</f>
        <v/>
      </c>
      <c r="J20" s="4"/>
      <c r="K20" s="20"/>
      <c r="L20" s="4"/>
      <c r="M20" s="4"/>
      <c r="N20" s="4"/>
      <c r="O20" s="4"/>
    </row>
    <row r="21" spans="1:15" x14ac:dyDescent="0.35">
      <c r="A21" s="20"/>
      <c r="B21" s="19">
        <v>13</v>
      </c>
      <c r="C21" s="15"/>
      <c r="D21" s="15" t="str">
        <f ca="1">_xlfn.IFNA(VLOOKUP(业绩披露日期!B21,内容筛选!$A:$J,7,0)&amp;" "&amp;VLOOKUP(业绩披露日期!B21,内容筛选!$A:$J,8,0),"")</f>
        <v/>
      </c>
      <c r="E21" s="15" t="str">
        <f>_xlfn.IFNA(VLOOKUP(业绩披露日期!$B21,内容筛选!$B:$J,6,0)&amp;" "&amp;VLOOKUP(业绩披露日期!$B21,内容筛选!$B:$J,7,0),"")</f>
        <v/>
      </c>
      <c r="F21" s="15" t="str">
        <f>_xlfn.IFNA(VLOOKUP(业绩披露日期!$B21,内容筛选!$C:$J,5,0)&amp;" "&amp;VLOOKUP(业绩披露日期!$B21,内容筛选!$C:$J,6,0),"")</f>
        <v/>
      </c>
      <c r="G21" s="15" t="str">
        <f>_xlfn.IFNA(VLOOKUP(业绩披露日期!$B21,内容筛选!$D:$J,4,0)&amp;" "&amp;VLOOKUP(业绩披露日期!$B21,内容筛选!$D:$J,5,0),"")</f>
        <v/>
      </c>
      <c r="H21" s="15" t="str">
        <f>_xlfn.IFNA(VLOOKUP(业绩披露日期!$B21,内容筛选!$E:$J,3,0)&amp;" "&amp;VLOOKUP(业绩披露日期!$B21,内容筛选!$E:$J,4,0),"")</f>
        <v/>
      </c>
      <c r="I21" s="15" t="str">
        <f>_xlfn.IFNA(VLOOKUP(业绩披露日期!$B21,内容筛选!$F:$J,2,0)&amp;" "&amp;VLOOKUP(业绩披露日期!$B21,内容筛选!$F:$J,3,0),"")</f>
        <v/>
      </c>
      <c r="J21" s="4"/>
      <c r="K21" s="20"/>
      <c r="L21" s="4"/>
      <c r="M21" s="4"/>
      <c r="N21" s="4"/>
      <c r="O21" s="4"/>
    </row>
    <row r="22" spans="1:15" x14ac:dyDescent="0.35">
      <c r="A22" s="20"/>
      <c r="B22" s="19">
        <v>14</v>
      </c>
      <c r="C22" s="16"/>
      <c r="D22" s="16" t="str">
        <f ca="1">_xlfn.IFNA(VLOOKUP(业绩披露日期!B22,内容筛选!$A:$J,7,0)&amp;" "&amp;VLOOKUP(业绩披露日期!B22,内容筛选!$A:$J,8,0),"")</f>
        <v/>
      </c>
      <c r="E22" s="16" t="str">
        <f>_xlfn.IFNA(VLOOKUP(业绩披露日期!$B22,内容筛选!$B:$J,6,0)&amp;" "&amp;VLOOKUP(业绩披露日期!$B22,内容筛选!$B:$J,7,0),"")</f>
        <v/>
      </c>
      <c r="F22" s="16" t="str">
        <f>_xlfn.IFNA(VLOOKUP(业绩披露日期!$B22,内容筛选!$C:$J,5,0)&amp;" "&amp;VLOOKUP(业绩披露日期!$B22,内容筛选!$C:$J,6,0),"")</f>
        <v/>
      </c>
      <c r="G22" s="16" t="str">
        <f>_xlfn.IFNA(VLOOKUP(业绩披露日期!$B22,内容筛选!$D:$J,4,0)&amp;" "&amp;VLOOKUP(业绩披露日期!$B22,内容筛选!$D:$J,5,0),"")</f>
        <v/>
      </c>
      <c r="H22" s="16" t="str">
        <f>_xlfn.IFNA(VLOOKUP(业绩披露日期!$B22,内容筛选!$E:$J,3,0)&amp;" "&amp;VLOOKUP(业绩披露日期!$B22,内容筛选!$E:$J,4,0),"")</f>
        <v/>
      </c>
      <c r="I22" s="16" t="str">
        <f>_xlfn.IFNA(VLOOKUP(业绩披露日期!$B22,内容筛选!$F:$J,2,0)&amp;" "&amp;VLOOKUP(业绩披露日期!$B22,内容筛选!$F:$J,3,0),"")</f>
        <v/>
      </c>
      <c r="J22" s="4"/>
      <c r="K22" s="20"/>
      <c r="L22" s="4"/>
      <c r="M22" s="4"/>
      <c r="N22" s="4"/>
      <c r="O22" s="4"/>
    </row>
    <row r="23" spans="1:15" x14ac:dyDescent="0.35">
      <c r="A23" s="20"/>
      <c r="B23" s="19">
        <v>15</v>
      </c>
      <c r="C23" s="15"/>
      <c r="D23" s="15" t="str">
        <f ca="1">_xlfn.IFNA(VLOOKUP(业绩披露日期!B23,内容筛选!$A:$J,7,0)&amp;" "&amp;VLOOKUP(业绩披露日期!B23,内容筛选!$A:$J,8,0),"")</f>
        <v/>
      </c>
      <c r="E23" s="15" t="str">
        <f>_xlfn.IFNA(VLOOKUP(业绩披露日期!$B23,内容筛选!$B:$J,6,0)&amp;" "&amp;VLOOKUP(业绩披露日期!$B23,内容筛选!$B:$J,7,0),"")</f>
        <v/>
      </c>
      <c r="F23" s="15" t="str">
        <f>_xlfn.IFNA(VLOOKUP(业绩披露日期!$B23,内容筛选!$C:$J,5,0)&amp;" "&amp;VLOOKUP(业绩披露日期!$B23,内容筛选!$C:$J,6,0),"")</f>
        <v/>
      </c>
      <c r="G23" s="15" t="str">
        <f>_xlfn.IFNA(VLOOKUP(业绩披露日期!$B23,内容筛选!$D:$J,4,0)&amp;" "&amp;VLOOKUP(业绩披露日期!$B23,内容筛选!$D:$J,5,0),"")</f>
        <v/>
      </c>
      <c r="H23" s="15" t="str">
        <f>_xlfn.IFNA(VLOOKUP(业绩披露日期!$B23,内容筛选!$E:$J,3,0)&amp;" "&amp;VLOOKUP(业绩披露日期!$B23,内容筛选!$E:$J,4,0),"")</f>
        <v/>
      </c>
      <c r="I23" s="15" t="str">
        <f>_xlfn.IFNA(VLOOKUP(业绩披露日期!$B23,内容筛选!$F:$J,2,0)&amp;" "&amp;VLOOKUP(业绩披露日期!$B23,内容筛选!$F:$J,3,0),"")</f>
        <v/>
      </c>
      <c r="J23" s="4"/>
      <c r="K23" s="20"/>
      <c r="L23" s="4"/>
      <c r="M23" s="4"/>
      <c r="N23" s="4"/>
      <c r="O23" s="4"/>
    </row>
    <row r="24" spans="1:15" x14ac:dyDescent="0.35">
      <c r="A24" s="20"/>
      <c r="B24" s="19">
        <v>16</v>
      </c>
      <c r="C24" s="16"/>
      <c r="D24" s="16" t="str">
        <f ca="1">_xlfn.IFNA(VLOOKUP(业绩披露日期!B24,内容筛选!$A:$J,7,0)&amp;" "&amp;VLOOKUP(业绩披露日期!B24,内容筛选!$A:$J,8,0),"")</f>
        <v/>
      </c>
      <c r="E24" s="16" t="str">
        <f>_xlfn.IFNA(VLOOKUP(业绩披露日期!$B24,内容筛选!$B:$J,6,0)&amp;" "&amp;VLOOKUP(业绩披露日期!$B24,内容筛选!$B:$J,7,0),"")</f>
        <v/>
      </c>
      <c r="F24" s="16" t="str">
        <f>_xlfn.IFNA(VLOOKUP(业绩披露日期!$B24,内容筛选!$C:$J,5,0)&amp;" "&amp;VLOOKUP(业绩披露日期!$B24,内容筛选!$C:$J,6,0),"")</f>
        <v/>
      </c>
      <c r="G24" s="16" t="str">
        <f>_xlfn.IFNA(VLOOKUP(业绩披露日期!$B24,内容筛选!$D:$J,4,0)&amp;" "&amp;VLOOKUP(业绩披露日期!$B24,内容筛选!$D:$J,5,0),"")</f>
        <v/>
      </c>
      <c r="H24" s="16" t="str">
        <f>_xlfn.IFNA(VLOOKUP(业绩披露日期!$B24,内容筛选!$E:$J,3,0)&amp;" "&amp;VLOOKUP(业绩披露日期!$B24,内容筛选!$E:$J,4,0),"")</f>
        <v/>
      </c>
      <c r="I24" s="16" t="str">
        <f>_xlfn.IFNA(VLOOKUP(业绩披露日期!$B24,内容筛选!$F:$J,2,0)&amp;" "&amp;VLOOKUP(业绩披露日期!$B24,内容筛选!$F:$J,3,0),"")</f>
        <v/>
      </c>
      <c r="J24" s="4"/>
      <c r="K24" s="20"/>
      <c r="L24" s="4"/>
      <c r="M24" s="4"/>
      <c r="N24" s="4"/>
      <c r="O24" s="4"/>
    </row>
    <row r="25" spans="1:15" x14ac:dyDescent="0.35">
      <c r="A25" s="20"/>
      <c r="B25" s="19">
        <v>17</v>
      </c>
      <c r="C25" s="15"/>
      <c r="D25" s="15" t="str">
        <f ca="1">_xlfn.IFNA(VLOOKUP(业绩披露日期!B25,内容筛选!$A:$J,7,0)&amp;" "&amp;VLOOKUP(业绩披露日期!B25,内容筛选!$A:$J,8,0),"")</f>
        <v/>
      </c>
      <c r="E25" s="15" t="str">
        <f>_xlfn.IFNA(VLOOKUP(业绩披露日期!$B25,内容筛选!$B:$J,6,0)&amp;" "&amp;VLOOKUP(业绩披露日期!$B25,内容筛选!$B:$J,7,0),"")</f>
        <v/>
      </c>
      <c r="F25" s="15" t="str">
        <f>_xlfn.IFNA(VLOOKUP(业绩披露日期!$B25,内容筛选!$C:$J,5,0)&amp;" "&amp;VLOOKUP(业绩披露日期!$B25,内容筛选!$C:$J,6,0),"")</f>
        <v/>
      </c>
      <c r="G25" s="15" t="str">
        <f>_xlfn.IFNA(VLOOKUP(业绩披露日期!$B25,内容筛选!$D:$J,4,0)&amp;" "&amp;VLOOKUP(业绩披露日期!$B25,内容筛选!$D:$J,5,0),"")</f>
        <v/>
      </c>
      <c r="H25" s="15" t="str">
        <f>_xlfn.IFNA(VLOOKUP(业绩披露日期!$B25,内容筛选!$E:$J,3,0)&amp;" "&amp;VLOOKUP(业绩披露日期!$B25,内容筛选!$E:$J,4,0),"")</f>
        <v/>
      </c>
      <c r="I25" s="15" t="str">
        <f>_xlfn.IFNA(VLOOKUP(业绩披露日期!$B25,内容筛选!$F:$J,2,0)&amp;" "&amp;VLOOKUP(业绩披露日期!$B25,内容筛选!$F:$J,3,0),"")</f>
        <v/>
      </c>
      <c r="J25" s="4"/>
      <c r="K25" s="20"/>
      <c r="L25" s="4"/>
      <c r="M25" s="4"/>
      <c r="N25" s="4"/>
      <c r="O25" s="4"/>
    </row>
    <row r="26" spans="1:15" x14ac:dyDescent="0.35">
      <c r="A26" s="20"/>
      <c r="B26" s="19">
        <v>18</v>
      </c>
      <c r="C26" s="16"/>
      <c r="D26" s="16" t="str">
        <f ca="1">_xlfn.IFNA(VLOOKUP(业绩披露日期!B26,内容筛选!$A:$J,7,0)&amp;" "&amp;VLOOKUP(业绩披露日期!B26,内容筛选!$A:$J,8,0),"")</f>
        <v/>
      </c>
      <c r="E26" s="16" t="str">
        <f>_xlfn.IFNA(VLOOKUP(业绩披露日期!$B26,内容筛选!$B:$J,6,0)&amp;" "&amp;VLOOKUP(业绩披露日期!$B26,内容筛选!$B:$J,7,0),"")</f>
        <v/>
      </c>
      <c r="F26" s="16" t="str">
        <f>_xlfn.IFNA(VLOOKUP(业绩披露日期!$B26,内容筛选!$C:$J,5,0)&amp;" "&amp;VLOOKUP(业绩披露日期!$B26,内容筛选!$C:$J,6,0),"")</f>
        <v/>
      </c>
      <c r="G26" s="16" t="str">
        <f>_xlfn.IFNA(VLOOKUP(业绩披露日期!$B26,内容筛选!$D:$J,4,0)&amp;" "&amp;VLOOKUP(业绩披露日期!$B26,内容筛选!$D:$J,5,0),"")</f>
        <v/>
      </c>
      <c r="H26" s="16" t="str">
        <f>_xlfn.IFNA(VLOOKUP(业绩披露日期!$B26,内容筛选!$E:$J,3,0)&amp;" "&amp;VLOOKUP(业绩披露日期!$B26,内容筛选!$E:$J,4,0),"")</f>
        <v/>
      </c>
      <c r="I26" s="16" t="str">
        <f>_xlfn.IFNA(VLOOKUP(业绩披露日期!$B26,内容筛选!$F:$J,2,0)&amp;" "&amp;VLOOKUP(业绩披露日期!$B26,内容筛选!$F:$J,3,0),"")</f>
        <v/>
      </c>
      <c r="J26" s="4"/>
      <c r="K26" s="20"/>
      <c r="L26" s="4"/>
      <c r="M26" s="4"/>
      <c r="N26" s="4"/>
      <c r="O26" s="4"/>
    </row>
    <row r="27" spans="1:15" x14ac:dyDescent="0.35">
      <c r="A27" s="20"/>
      <c r="B27" s="19">
        <v>19</v>
      </c>
      <c r="C27" s="15"/>
      <c r="D27" s="15" t="str">
        <f ca="1">_xlfn.IFNA(VLOOKUP(业绩披露日期!B27,内容筛选!$A:$J,7,0)&amp;" "&amp;VLOOKUP(业绩披露日期!B27,内容筛选!$A:$J,8,0),"")</f>
        <v/>
      </c>
      <c r="E27" s="15" t="str">
        <f>_xlfn.IFNA(VLOOKUP(业绩披露日期!$B27,内容筛选!$B:$J,6,0)&amp;" "&amp;VLOOKUP(业绩披露日期!$B27,内容筛选!$B:$J,7,0),"")</f>
        <v/>
      </c>
      <c r="F27" s="15" t="str">
        <f>_xlfn.IFNA(VLOOKUP(业绩披露日期!$B27,内容筛选!$C:$J,5,0)&amp;" "&amp;VLOOKUP(业绩披露日期!$B27,内容筛选!$C:$J,6,0),"")</f>
        <v/>
      </c>
      <c r="G27" s="15" t="str">
        <f>_xlfn.IFNA(VLOOKUP(业绩披露日期!$B27,内容筛选!$D:$J,4,0)&amp;" "&amp;VLOOKUP(业绩披露日期!$B27,内容筛选!$D:$J,5,0),"")</f>
        <v/>
      </c>
      <c r="H27" s="15" t="str">
        <f>_xlfn.IFNA(VLOOKUP(业绩披露日期!$B27,内容筛选!$E:$J,3,0)&amp;" "&amp;VLOOKUP(业绩披露日期!$B27,内容筛选!$E:$J,4,0),"")</f>
        <v/>
      </c>
      <c r="I27" s="15" t="str">
        <f>_xlfn.IFNA(VLOOKUP(业绩披露日期!$B27,内容筛选!$F:$J,2,0)&amp;" "&amp;VLOOKUP(业绩披露日期!$B27,内容筛选!$F:$J,3,0),"")</f>
        <v/>
      </c>
      <c r="J27" s="4"/>
      <c r="K27" s="20"/>
      <c r="L27" s="4"/>
      <c r="M27" s="4"/>
      <c r="N27" s="4"/>
      <c r="O27" s="4"/>
    </row>
    <row r="28" spans="1:15" x14ac:dyDescent="0.35">
      <c r="A28" s="20"/>
      <c r="B28" s="19"/>
      <c r="D28" s="3"/>
      <c r="J28" s="4"/>
      <c r="K28" s="20"/>
    </row>
    <row r="29" spans="1:15" x14ac:dyDescent="0.3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</row>
  </sheetData>
  <mergeCells count="1">
    <mergeCell ref="D1:G1"/>
  </mergeCells>
  <phoneticPr fontId="6" type="noConversion"/>
  <dataValidations count="1">
    <dataValidation type="list" allowBlank="1" showInputMessage="1" showErrorMessage="1" sqref="D5">
      <formula1>"美国中国股,标普500成分股"</formula1>
    </dataValidation>
  </dataValidation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H5537"/>
  <sheetViews>
    <sheetView workbookViewId="0">
      <selection activeCell="B12" sqref="B12"/>
    </sheetView>
  </sheetViews>
  <sheetFormatPr defaultRowHeight="20.25" x14ac:dyDescent="0.35"/>
  <cols>
    <col min="1" max="1" width="13.6328125" customWidth="1"/>
    <col min="2" max="2" width="17.90625" bestFit="1" customWidth="1"/>
    <col min="3" max="3" width="47.6328125" customWidth="1"/>
    <col min="5" max="5" width="13.1796875" bestFit="1" customWidth="1"/>
    <col min="6" max="6" width="10.81640625" bestFit="1" customWidth="1"/>
    <col min="7" max="7" width="9.54296875" bestFit="1" customWidth="1"/>
    <col min="8" max="8" width="40.6328125" customWidth="1"/>
  </cols>
  <sheetData>
    <row r="1" spans="1:8" x14ac:dyDescent="0.35">
      <c r="A1" t="s">
        <v>1</v>
      </c>
      <c r="B1" s="4" t="s">
        <v>2</v>
      </c>
    </row>
    <row r="2" spans="1:8" x14ac:dyDescent="0.35">
      <c r="A2" t="s">
        <v>3</v>
      </c>
      <c r="B2" s="2" t="str">
        <f ca="1">TEXT(业绩披露日期!I1-1,"YYYYMMDD")</f>
        <v>20240829</v>
      </c>
      <c r="F2" s="21"/>
    </row>
    <row r="3" spans="1:8" x14ac:dyDescent="0.35">
      <c r="A3" t="s">
        <v>4</v>
      </c>
      <c r="B3" t="str">
        <f>IF(业绩披露日期!D5="美国中国股","a005010700000000",IF(业绩披露日期!D5="标普500成分股","a005010800000000",""))</f>
        <v>a005010700000000</v>
      </c>
    </row>
    <row r="4" spans="1:8" x14ac:dyDescent="0.35">
      <c r="A4" t="s">
        <v>5</v>
      </c>
      <c r="B4" s="5" t="s">
        <v>681</v>
      </c>
      <c r="C4" t="s">
        <v>8</v>
      </c>
      <c r="G4" s="5"/>
    </row>
    <row r="5" spans="1:8" x14ac:dyDescent="0.35">
      <c r="A5" t="s">
        <v>6</v>
      </c>
      <c r="B5" s="5" t="s">
        <v>7</v>
      </c>
      <c r="C5" t="s">
        <v>9</v>
      </c>
      <c r="G5" s="5"/>
    </row>
    <row r="6" spans="1:8" x14ac:dyDescent="0.35">
      <c r="A6" s="3">
        <f ca="1">[1]!wset("sectorconstituent","date="&amp;B2,"sectorId="&amp;B3,"field=date,wind_code,sec_name","cols=3;rows=335")</f>
        <v>45533</v>
      </c>
      <c r="B6" s="5" t="s">
        <v>861</v>
      </c>
      <c r="C6" s="5" t="s">
        <v>862</v>
      </c>
      <c r="G6" s="5"/>
    </row>
    <row r="7" spans="1:8" x14ac:dyDescent="0.35">
      <c r="A7" s="3">
        <v>45533</v>
      </c>
      <c r="B7" s="5" t="s">
        <v>10</v>
      </c>
      <c r="C7" s="5" t="s">
        <v>11</v>
      </c>
    </row>
    <row r="8" spans="1:8" x14ac:dyDescent="0.35">
      <c r="A8" s="3">
        <v>45533</v>
      </c>
      <c r="B8" s="5" t="s">
        <v>12</v>
      </c>
      <c r="C8" s="5" t="s">
        <v>13</v>
      </c>
      <c r="F8" s="3"/>
      <c r="G8" s="5"/>
      <c r="H8" s="5"/>
    </row>
    <row r="9" spans="1:8" x14ac:dyDescent="0.35">
      <c r="A9" s="3">
        <v>45533</v>
      </c>
      <c r="B9" s="5" t="s">
        <v>14</v>
      </c>
      <c r="C9" s="5" t="s">
        <v>15</v>
      </c>
      <c r="F9" s="3"/>
      <c r="G9" s="5"/>
      <c r="H9" s="5"/>
    </row>
    <row r="10" spans="1:8" x14ac:dyDescent="0.35">
      <c r="A10" s="3">
        <v>45533</v>
      </c>
      <c r="B10" s="5" t="s">
        <v>16</v>
      </c>
      <c r="C10" s="5" t="s">
        <v>17</v>
      </c>
      <c r="F10" s="3"/>
      <c r="G10" s="5"/>
      <c r="H10" s="5"/>
    </row>
    <row r="11" spans="1:8" x14ac:dyDescent="0.35">
      <c r="A11" s="3">
        <v>45533</v>
      </c>
      <c r="B11" s="5" t="s">
        <v>18</v>
      </c>
      <c r="C11" s="5" t="s">
        <v>19</v>
      </c>
      <c r="F11" s="3"/>
      <c r="G11" s="5"/>
      <c r="H11" s="5"/>
    </row>
    <row r="12" spans="1:8" x14ac:dyDescent="0.35">
      <c r="A12" s="3">
        <v>45533</v>
      </c>
      <c r="B12" s="5" t="s">
        <v>20</v>
      </c>
      <c r="C12" s="5" t="s">
        <v>21</v>
      </c>
      <c r="F12" s="3"/>
      <c r="G12" s="5"/>
      <c r="H12" s="5"/>
    </row>
    <row r="13" spans="1:8" x14ac:dyDescent="0.35">
      <c r="A13" s="3">
        <v>45533</v>
      </c>
      <c r="B13" s="5" t="s">
        <v>22</v>
      </c>
      <c r="C13" s="5" t="s">
        <v>23</v>
      </c>
      <c r="F13" s="3"/>
      <c r="G13" s="5"/>
      <c r="H13" s="5"/>
    </row>
    <row r="14" spans="1:8" x14ac:dyDescent="0.35">
      <c r="A14" s="3">
        <v>45533</v>
      </c>
      <c r="B14" s="5" t="s">
        <v>24</v>
      </c>
      <c r="C14" s="5" t="s">
        <v>25</v>
      </c>
      <c r="F14" s="3"/>
      <c r="G14" s="5"/>
      <c r="H14" s="5"/>
    </row>
    <row r="15" spans="1:8" x14ac:dyDescent="0.35">
      <c r="A15" s="3">
        <v>45533</v>
      </c>
      <c r="B15" s="5" t="s">
        <v>26</v>
      </c>
      <c r="C15" s="5" t="s">
        <v>27</v>
      </c>
      <c r="F15" s="3"/>
      <c r="G15" s="5"/>
      <c r="H15" s="5"/>
    </row>
    <row r="16" spans="1:8" x14ac:dyDescent="0.35">
      <c r="A16" s="3">
        <v>45533</v>
      </c>
      <c r="B16" s="5" t="s">
        <v>28</v>
      </c>
      <c r="C16" s="5" t="s">
        <v>29</v>
      </c>
      <c r="F16" s="3"/>
      <c r="G16" s="5"/>
      <c r="H16" s="5"/>
    </row>
    <row r="17" spans="1:8" x14ac:dyDescent="0.35">
      <c r="A17" s="3">
        <v>45533</v>
      </c>
      <c r="B17" s="5" t="s">
        <v>30</v>
      </c>
      <c r="C17" s="5" t="s">
        <v>31</v>
      </c>
      <c r="F17" s="3"/>
      <c r="G17" s="5"/>
      <c r="H17" s="5"/>
    </row>
    <row r="18" spans="1:8" x14ac:dyDescent="0.35">
      <c r="A18" s="3">
        <v>45533</v>
      </c>
      <c r="B18" s="5" t="s">
        <v>32</v>
      </c>
      <c r="C18" s="5" t="s">
        <v>33</v>
      </c>
      <c r="F18" s="3"/>
      <c r="G18" s="5"/>
      <c r="H18" s="5"/>
    </row>
    <row r="19" spans="1:8" x14ac:dyDescent="0.35">
      <c r="A19" s="3">
        <v>45533</v>
      </c>
      <c r="B19" s="5" t="s">
        <v>34</v>
      </c>
      <c r="C19" s="5" t="s">
        <v>35</v>
      </c>
      <c r="F19" s="3"/>
      <c r="G19" s="5"/>
      <c r="H19" s="5"/>
    </row>
    <row r="20" spans="1:8" x14ac:dyDescent="0.35">
      <c r="A20" s="3">
        <v>45533</v>
      </c>
      <c r="B20" s="5" t="s">
        <v>36</v>
      </c>
      <c r="C20" s="5" t="s">
        <v>37</v>
      </c>
      <c r="F20" s="3"/>
      <c r="G20" s="5"/>
      <c r="H20" s="5"/>
    </row>
    <row r="21" spans="1:8" x14ac:dyDescent="0.35">
      <c r="A21" s="3">
        <v>45533</v>
      </c>
      <c r="B21" s="5" t="s">
        <v>38</v>
      </c>
      <c r="C21" s="5" t="s">
        <v>39</v>
      </c>
      <c r="F21" s="3"/>
      <c r="G21" s="5"/>
      <c r="H21" s="5"/>
    </row>
    <row r="22" spans="1:8" x14ac:dyDescent="0.35">
      <c r="A22" s="3">
        <v>45533</v>
      </c>
      <c r="B22" s="5" t="s">
        <v>40</v>
      </c>
      <c r="C22" s="5" t="s">
        <v>41</v>
      </c>
      <c r="F22" s="3"/>
      <c r="G22" s="5"/>
      <c r="H22" s="5"/>
    </row>
    <row r="23" spans="1:8" x14ac:dyDescent="0.35">
      <c r="A23" s="3">
        <v>45533</v>
      </c>
      <c r="B23" s="5" t="s">
        <v>42</v>
      </c>
      <c r="C23" s="5" t="s">
        <v>43</v>
      </c>
      <c r="F23" s="3"/>
      <c r="G23" s="5"/>
      <c r="H23" s="5"/>
    </row>
    <row r="24" spans="1:8" x14ac:dyDescent="0.35">
      <c r="A24" s="3">
        <v>45533</v>
      </c>
      <c r="B24" s="5" t="s">
        <v>44</v>
      </c>
      <c r="C24" s="5" t="s">
        <v>45</v>
      </c>
      <c r="F24" s="3"/>
      <c r="G24" s="5"/>
      <c r="H24" s="5"/>
    </row>
    <row r="25" spans="1:8" x14ac:dyDescent="0.35">
      <c r="A25" s="3">
        <v>45533</v>
      </c>
      <c r="B25" s="5" t="s">
        <v>46</v>
      </c>
      <c r="C25" s="5" t="s">
        <v>47</v>
      </c>
      <c r="F25" s="3"/>
      <c r="G25" s="5"/>
      <c r="H25" s="5"/>
    </row>
    <row r="26" spans="1:8" x14ac:dyDescent="0.35">
      <c r="A26" s="3">
        <v>45533</v>
      </c>
      <c r="B26" s="5" t="s">
        <v>48</v>
      </c>
      <c r="C26" s="5" t="s">
        <v>49</v>
      </c>
      <c r="F26" s="3"/>
      <c r="G26" s="5"/>
      <c r="H26" s="5"/>
    </row>
    <row r="27" spans="1:8" x14ac:dyDescent="0.35">
      <c r="A27" s="3">
        <v>45533</v>
      </c>
      <c r="B27" s="5" t="s">
        <v>682</v>
      </c>
      <c r="C27" s="5" t="s">
        <v>683</v>
      </c>
      <c r="F27" s="3"/>
      <c r="G27" s="5"/>
      <c r="H27" s="5"/>
    </row>
    <row r="28" spans="1:8" x14ac:dyDescent="0.35">
      <c r="A28" s="3">
        <v>45533</v>
      </c>
      <c r="B28" s="5" t="s">
        <v>50</v>
      </c>
      <c r="C28" s="5" t="s">
        <v>51</v>
      </c>
      <c r="F28" s="3"/>
      <c r="G28" s="5"/>
      <c r="H28" s="5"/>
    </row>
    <row r="29" spans="1:8" x14ac:dyDescent="0.35">
      <c r="A29" s="3">
        <v>45533</v>
      </c>
      <c r="B29" s="5" t="s">
        <v>52</v>
      </c>
      <c r="C29" s="5" t="s">
        <v>53</v>
      </c>
      <c r="F29" s="3"/>
      <c r="G29" s="5"/>
      <c r="H29" s="5"/>
    </row>
    <row r="30" spans="1:8" x14ac:dyDescent="0.35">
      <c r="A30" s="3">
        <v>45533</v>
      </c>
      <c r="B30" s="5" t="s">
        <v>54</v>
      </c>
      <c r="C30" s="5" t="s">
        <v>55</v>
      </c>
      <c r="F30" s="3"/>
      <c r="G30" s="5"/>
      <c r="H30" s="5"/>
    </row>
    <row r="31" spans="1:8" x14ac:dyDescent="0.35">
      <c r="A31" s="3">
        <v>45533</v>
      </c>
      <c r="B31" s="5" t="s">
        <v>56</v>
      </c>
      <c r="C31" s="5" t="s">
        <v>57</v>
      </c>
      <c r="F31" s="3"/>
      <c r="G31" s="5"/>
      <c r="H31" s="5"/>
    </row>
    <row r="32" spans="1:8" x14ac:dyDescent="0.35">
      <c r="A32" s="3">
        <v>45533</v>
      </c>
      <c r="B32" s="5" t="s">
        <v>685</v>
      </c>
      <c r="C32" s="5" t="s">
        <v>686</v>
      </c>
      <c r="F32" s="3"/>
      <c r="G32" s="5"/>
      <c r="H32" s="5"/>
    </row>
    <row r="33" spans="1:8" x14ac:dyDescent="0.35">
      <c r="A33" s="3">
        <v>45533</v>
      </c>
      <c r="B33" s="5" t="s">
        <v>58</v>
      </c>
      <c r="C33" s="5" t="s">
        <v>59</v>
      </c>
      <c r="F33" s="3"/>
      <c r="G33" s="5"/>
      <c r="H33" s="5"/>
    </row>
    <row r="34" spans="1:8" x14ac:dyDescent="0.35">
      <c r="A34" s="3">
        <v>45533</v>
      </c>
      <c r="B34" s="5" t="s">
        <v>60</v>
      </c>
      <c r="C34" s="5" t="s">
        <v>61</v>
      </c>
      <c r="F34" s="3"/>
      <c r="G34" s="5"/>
      <c r="H34" s="5"/>
    </row>
    <row r="35" spans="1:8" x14ac:dyDescent="0.35">
      <c r="A35" s="3">
        <v>45533</v>
      </c>
      <c r="B35" s="5" t="s">
        <v>62</v>
      </c>
      <c r="C35" s="5" t="s">
        <v>63</v>
      </c>
      <c r="F35" s="3"/>
      <c r="G35" s="5"/>
      <c r="H35" s="5"/>
    </row>
    <row r="36" spans="1:8" x14ac:dyDescent="0.35">
      <c r="A36" s="3">
        <v>45533</v>
      </c>
      <c r="B36" s="5" t="s">
        <v>64</v>
      </c>
      <c r="C36" s="5" t="s">
        <v>65</v>
      </c>
      <c r="F36" s="3"/>
      <c r="G36" s="5"/>
      <c r="H36" s="5"/>
    </row>
    <row r="37" spans="1:8" x14ac:dyDescent="0.35">
      <c r="A37" s="3">
        <v>45533</v>
      </c>
      <c r="B37" s="5" t="s">
        <v>66</v>
      </c>
      <c r="C37" s="5" t="s">
        <v>67</v>
      </c>
      <c r="F37" s="3"/>
      <c r="G37" s="5"/>
      <c r="H37" s="5"/>
    </row>
    <row r="38" spans="1:8" x14ac:dyDescent="0.35">
      <c r="A38" s="3">
        <v>45533</v>
      </c>
      <c r="B38" s="5" t="s">
        <v>68</v>
      </c>
      <c r="C38" s="5" t="s">
        <v>69</v>
      </c>
      <c r="F38" s="3"/>
      <c r="G38" s="5"/>
      <c r="H38" s="5"/>
    </row>
    <row r="39" spans="1:8" x14ac:dyDescent="0.35">
      <c r="A39" s="3">
        <v>45533</v>
      </c>
      <c r="B39" s="5" t="s">
        <v>70</v>
      </c>
      <c r="C39" s="5" t="s">
        <v>71</v>
      </c>
      <c r="F39" s="3"/>
      <c r="G39" s="5"/>
      <c r="H39" s="5"/>
    </row>
    <row r="40" spans="1:8" x14ac:dyDescent="0.35">
      <c r="A40" s="3">
        <v>45533</v>
      </c>
      <c r="B40" s="5" t="s">
        <v>72</v>
      </c>
      <c r="C40" s="5" t="s">
        <v>73</v>
      </c>
      <c r="F40" s="3"/>
      <c r="G40" s="5"/>
      <c r="H40" s="5"/>
    </row>
    <row r="41" spans="1:8" x14ac:dyDescent="0.35">
      <c r="A41" s="3">
        <v>45533</v>
      </c>
      <c r="B41" s="5" t="s">
        <v>74</v>
      </c>
      <c r="C41" s="5" t="s">
        <v>75</v>
      </c>
      <c r="F41" s="3"/>
      <c r="G41" s="5"/>
      <c r="H41" s="5"/>
    </row>
    <row r="42" spans="1:8" x14ac:dyDescent="0.35">
      <c r="A42" s="3">
        <v>45533</v>
      </c>
      <c r="B42" s="5" t="s">
        <v>76</v>
      </c>
      <c r="C42" s="5" t="s">
        <v>77</v>
      </c>
      <c r="F42" s="3"/>
      <c r="G42" s="5"/>
      <c r="H42" s="5"/>
    </row>
    <row r="43" spans="1:8" x14ac:dyDescent="0.35">
      <c r="A43" s="3">
        <v>45533</v>
      </c>
      <c r="B43" s="5" t="s">
        <v>78</v>
      </c>
      <c r="C43" s="5" t="s">
        <v>79</v>
      </c>
      <c r="F43" s="3"/>
      <c r="G43" s="5"/>
      <c r="H43" s="5"/>
    </row>
    <row r="44" spans="1:8" x14ac:dyDescent="0.35">
      <c r="A44" s="3">
        <v>45533</v>
      </c>
      <c r="B44" s="5" t="s">
        <v>80</v>
      </c>
      <c r="C44" s="5" t="s">
        <v>81</v>
      </c>
      <c r="F44" s="3"/>
      <c r="G44" s="5"/>
      <c r="H44" s="5"/>
    </row>
    <row r="45" spans="1:8" x14ac:dyDescent="0.35">
      <c r="A45" s="3">
        <v>45533</v>
      </c>
      <c r="B45" s="5" t="s">
        <v>82</v>
      </c>
      <c r="C45" s="5" t="s">
        <v>83</v>
      </c>
      <c r="F45" s="3"/>
      <c r="G45" s="5"/>
      <c r="H45" s="5"/>
    </row>
    <row r="46" spans="1:8" x14ac:dyDescent="0.35">
      <c r="A46" s="3">
        <v>45533</v>
      </c>
      <c r="B46" s="5" t="s">
        <v>84</v>
      </c>
      <c r="C46" s="5" t="s">
        <v>85</v>
      </c>
      <c r="F46" s="3"/>
      <c r="G46" s="5"/>
      <c r="H46" s="5"/>
    </row>
    <row r="47" spans="1:8" x14ac:dyDescent="0.35">
      <c r="A47" s="3">
        <v>45533</v>
      </c>
      <c r="B47" s="5" t="s">
        <v>86</v>
      </c>
      <c r="C47" s="5" t="s">
        <v>87</v>
      </c>
      <c r="F47" s="3"/>
      <c r="G47" s="5"/>
      <c r="H47" s="5"/>
    </row>
    <row r="48" spans="1:8" x14ac:dyDescent="0.35">
      <c r="A48" s="3">
        <v>45533</v>
      </c>
      <c r="B48" s="5" t="s">
        <v>88</v>
      </c>
      <c r="C48" s="5" t="s">
        <v>89</v>
      </c>
      <c r="F48" s="3"/>
      <c r="G48" s="5"/>
      <c r="H48" s="5"/>
    </row>
    <row r="49" spans="1:8" x14ac:dyDescent="0.35">
      <c r="A49" s="3">
        <v>45533</v>
      </c>
      <c r="B49" s="5" t="s">
        <v>90</v>
      </c>
      <c r="C49" s="5" t="s">
        <v>91</v>
      </c>
      <c r="F49" s="3"/>
      <c r="G49" s="5"/>
      <c r="H49" s="5"/>
    </row>
    <row r="50" spans="1:8" x14ac:dyDescent="0.35">
      <c r="A50" s="3">
        <v>45533</v>
      </c>
      <c r="B50" s="5" t="s">
        <v>92</v>
      </c>
      <c r="C50" s="5" t="s">
        <v>93</v>
      </c>
      <c r="F50" s="3"/>
      <c r="G50" s="5"/>
      <c r="H50" s="5"/>
    </row>
    <row r="51" spans="1:8" x14ac:dyDescent="0.35">
      <c r="A51" s="3">
        <v>45533</v>
      </c>
      <c r="B51" s="5" t="s">
        <v>94</v>
      </c>
      <c r="C51" s="5" t="s">
        <v>95</v>
      </c>
      <c r="F51" s="3"/>
      <c r="G51" s="5"/>
      <c r="H51" s="5"/>
    </row>
    <row r="52" spans="1:8" x14ac:dyDescent="0.35">
      <c r="A52" s="3">
        <v>45533</v>
      </c>
      <c r="B52" s="5" t="s">
        <v>96</v>
      </c>
      <c r="C52" s="5" t="s">
        <v>97</v>
      </c>
      <c r="F52" s="3"/>
      <c r="G52" s="5"/>
      <c r="H52" s="5"/>
    </row>
    <row r="53" spans="1:8" x14ac:dyDescent="0.35">
      <c r="A53" s="3">
        <v>45533</v>
      </c>
      <c r="B53" s="5" t="s">
        <v>98</v>
      </c>
      <c r="C53" s="5" t="s">
        <v>99</v>
      </c>
      <c r="F53" s="3"/>
      <c r="G53" s="5"/>
      <c r="H53" s="5"/>
    </row>
    <row r="54" spans="1:8" x14ac:dyDescent="0.35">
      <c r="A54" s="3">
        <v>45533</v>
      </c>
      <c r="B54" s="5" t="s">
        <v>100</v>
      </c>
      <c r="C54" s="5" t="s">
        <v>101</v>
      </c>
      <c r="F54" s="3"/>
      <c r="G54" s="5"/>
      <c r="H54" s="5"/>
    </row>
    <row r="55" spans="1:8" x14ac:dyDescent="0.35">
      <c r="A55" s="3">
        <v>45533</v>
      </c>
      <c r="B55" s="5" t="s">
        <v>102</v>
      </c>
      <c r="C55" s="5" t="s">
        <v>103</v>
      </c>
      <c r="F55" s="3"/>
      <c r="G55" s="5"/>
      <c r="H55" s="5"/>
    </row>
    <row r="56" spans="1:8" x14ac:dyDescent="0.35">
      <c r="A56" s="3">
        <v>45533</v>
      </c>
      <c r="B56" s="5" t="s">
        <v>104</v>
      </c>
      <c r="C56" s="5" t="s">
        <v>105</v>
      </c>
      <c r="F56" s="3"/>
      <c r="G56" s="5"/>
      <c r="H56" s="5"/>
    </row>
    <row r="57" spans="1:8" x14ac:dyDescent="0.35">
      <c r="A57" s="3">
        <v>45533</v>
      </c>
      <c r="B57" s="5" t="s">
        <v>106</v>
      </c>
      <c r="C57" s="5" t="s">
        <v>107</v>
      </c>
      <c r="F57" s="3"/>
      <c r="G57" s="5"/>
      <c r="H57" s="5"/>
    </row>
    <row r="58" spans="1:8" x14ac:dyDescent="0.35">
      <c r="A58" s="3">
        <v>45533</v>
      </c>
      <c r="B58" s="5" t="s">
        <v>108</v>
      </c>
      <c r="C58" s="5" t="s">
        <v>109</v>
      </c>
      <c r="F58" s="3"/>
      <c r="G58" s="5"/>
      <c r="H58" s="5"/>
    </row>
    <row r="59" spans="1:8" x14ac:dyDescent="0.35">
      <c r="A59" s="3">
        <v>45533</v>
      </c>
      <c r="B59" s="5" t="s">
        <v>110</v>
      </c>
      <c r="C59" s="5" t="s">
        <v>111</v>
      </c>
      <c r="F59" s="3"/>
      <c r="G59" s="5"/>
      <c r="H59" s="5"/>
    </row>
    <row r="60" spans="1:8" x14ac:dyDescent="0.35">
      <c r="A60" s="3">
        <v>45533</v>
      </c>
      <c r="B60" s="5" t="s">
        <v>112</v>
      </c>
      <c r="C60" s="5" t="s">
        <v>113</v>
      </c>
      <c r="F60" s="3"/>
      <c r="G60" s="5"/>
      <c r="H60" s="5"/>
    </row>
    <row r="61" spans="1:8" x14ac:dyDescent="0.35">
      <c r="A61" s="3">
        <v>45533</v>
      </c>
      <c r="B61" s="5" t="s">
        <v>114</v>
      </c>
      <c r="C61" s="5" t="s">
        <v>115</v>
      </c>
      <c r="F61" s="3"/>
      <c r="G61" s="5"/>
      <c r="H61" s="5"/>
    </row>
    <row r="62" spans="1:8" x14ac:dyDescent="0.35">
      <c r="A62" s="3">
        <v>45533</v>
      </c>
      <c r="B62" s="5" t="s">
        <v>116</v>
      </c>
      <c r="C62" s="5" t="s">
        <v>117</v>
      </c>
      <c r="F62" s="3"/>
      <c r="G62" s="5"/>
      <c r="H62" s="5"/>
    </row>
    <row r="63" spans="1:8" x14ac:dyDescent="0.35">
      <c r="A63" s="3">
        <v>45533</v>
      </c>
      <c r="B63" s="5" t="s">
        <v>118</v>
      </c>
      <c r="C63" s="5" t="s">
        <v>119</v>
      </c>
      <c r="F63" s="3"/>
      <c r="G63" s="5"/>
      <c r="H63" s="5"/>
    </row>
    <row r="64" spans="1:8" x14ac:dyDescent="0.35">
      <c r="A64" s="3">
        <v>45533</v>
      </c>
      <c r="B64" s="5" t="s">
        <v>120</v>
      </c>
      <c r="C64" s="5" t="s">
        <v>121</v>
      </c>
      <c r="F64" s="3"/>
      <c r="G64" s="5"/>
      <c r="H64" s="5"/>
    </row>
    <row r="65" spans="1:8" x14ac:dyDescent="0.35">
      <c r="A65" s="3">
        <v>45533</v>
      </c>
      <c r="B65" s="5" t="s">
        <v>122</v>
      </c>
      <c r="C65" s="5" t="s">
        <v>123</v>
      </c>
      <c r="F65" s="3"/>
      <c r="G65" s="5"/>
      <c r="H65" s="5"/>
    </row>
    <row r="66" spans="1:8" x14ac:dyDescent="0.35">
      <c r="A66" s="3">
        <v>45533</v>
      </c>
      <c r="B66" s="5" t="s">
        <v>124</v>
      </c>
      <c r="C66" s="5" t="s">
        <v>125</v>
      </c>
      <c r="F66" s="3"/>
      <c r="G66" s="5"/>
      <c r="H66" s="5"/>
    </row>
    <row r="67" spans="1:8" x14ac:dyDescent="0.35">
      <c r="A67" s="3">
        <v>45533</v>
      </c>
      <c r="B67" s="5" t="s">
        <v>126</v>
      </c>
      <c r="C67" s="5" t="s">
        <v>127</v>
      </c>
      <c r="F67" s="3"/>
      <c r="G67" s="5"/>
      <c r="H67" s="5"/>
    </row>
    <row r="68" spans="1:8" x14ac:dyDescent="0.35">
      <c r="A68" s="3">
        <v>45533</v>
      </c>
      <c r="B68" s="5" t="s">
        <v>128</v>
      </c>
      <c r="C68" s="5" t="s">
        <v>129</v>
      </c>
      <c r="F68" s="3"/>
      <c r="G68" s="5"/>
      <c r="H68" s="5"/>
    </row>
    <row r="69" spans="1:8" x14ac:dyDescent="0.35">
      <c r="A69" s="3">
        <v>45533</v>
      </c>
      <c r="B69" s="5" t="s">
        <v>130</v>
      </c>
      <c r="C69" s="5" t="s">
        <v>131</v>
      </c>
      <c r="F69" s="3"/>
      <c r="G69" s="5"/>
      <c r="H69" s="5"/>
    </row>
    <row r="70" spans="1:8" x14ac:dyDescent="0.35">
      <c r="A70" s="3">
        <v>45533</v>
      </c>
      <c r="B70" s="5" t="s">
        <v>132</v>
      </c>
      <c r="C70" s="5" t="s">
        <v>133</v>
      </c>
      <c r="F70" s="3"/>
      <c r="G70" s="5"/>
      <c r="H70" s="5"/>
    </row>
    <row r="71" spans="1:8" x14ac:dyDescent="0.35">
      <c r="A71" s="3">
        <v>45533</v>
      </c>
      <c r="B71" s="5" t="s">
        <v>134</v>
      </c>
      <c r="C71" s="5" t="s">
        <v>135</v>
      </c>
      <c r="F71" s="3"/>
      <c r="G71" s="5"/>
      <c r="H71" s="5"/>
    </row>
    <row r="72" spans="1:8" x14ac:dyDescent="0.35">
      <c r="A72" s="3">
        <v>45533</v>
      </c>
      <c r="B72" s="5" t="s">
        <v>136</v>
      </c>
      <c r="C72" s="5" t="s">
        <v>137</v>
      </c>
      <c r="F72" s="3"/>
      <c r="G72" s="5"/>
      <c r="H72" s="5"/>
    </row>
    <row r="73" spans="1:8" x14ac:dyDescent="0.35">
      <c r="A73" s="3">
        <v>45533</v>
      </c>
      <c r="B73" s="5" t="s">
        <v>138</v>
      </c>
      <c r="C73" s="5" t="s">
        <v>139</v>
      </c>
      <c r="F73" s="3"/>
      <c r="G73" s="5"/>
      <c r="H73" s="5"/>
    </row>
    <row r="74" spans="1:8" x14ac:dyDescent="0.35">
      <c r="A74" s="3">
        <v>45533</v>
      </c>
      <c r="B74" s="5" t="s">
        <v>140</v>
      </c>
      <c r="C74" s="5" t="s">
        <v>141</v>
      </c>
      <c r="F74" s="3"/>
      <c r="G74" s="5"/>
      <c r="H74" s="5"/>
    </row>
    <row r="75" spans="1:8" x14ac:dyDescent="0.35">
      <c r="A75" s="3">
        <v>45533</v>
      </c>
      <c r="B75" s="5" t="s">
        <v>142</v>
      </c>
      <c r="C75" s="5" t="s">
        <v>143</v>
      </c>
      <c r="F75" s="3"/>
      <c r="G75" s="5"/>
      <c r="H75" s="5"/>
    </row>
    <row r="76" spans="1:8" x14ac:dyDescent="0.35">
      <c r="A76" s="3">
        <v>45533</v>
      </c>
      <c r="B76" s="5" t="s">
        <v>144</v>
      </c>
      <c r="C76" s="5" t="s">
        <v>145</v>
      </c>
      <c r="F76" s="3"/>
      <c r="G76" s="5"/>
      <c r="H76" s="5"/>
    </row>
    <row r="77" spans="1:8" x14ac:dyDescent="0.35">
      <c r="A77" s="3">
        <v>45533</v>
      </c>
      <c r="B77" s="5" t="s">
        <v>146</v>
      </c>
      <c r="C77" s="5" t="s">
        <v>147</v>
      </c>
      <c r="F77" s="3"/>
      <c r="G77" s="5"/>
      <c r="H77" s="5"/>
    </row>
    <row r="78" spans="1:8" x14ac:dyDescent="0.35">
      <c r="A78" s="3">
        <v>45533</v>
      </c>
      <c r="B78" s="5" t="s">
        <v>148</v>
      </c>
      <c r="C78" s="5" t="s">
        <v>149</v>
      </c>
      <c r="F78" s="3"/>
      <c r="G78" s="5"/>
      <c r="H78" s="5"/>
    </row>
    <row r="79" spans="1:8" x14ac:dyDescent="0.35">
      <c r="A79" s="3">
        <v>45533</v>
      </c>
      <c r="B79" s="5" t="s">
        <v>150</v>
      </c>
      <c r="C79" s="5" t="s">
        <v>151</v>
      </c>
      <c r="F79" s="3"/>
      <c r="G79" s="5"/>
      <c r="H79" s="5"/>
    </row>
    <row r="80" spans="1:8" x14ac:dyDescent="0.35">
      <c r="A80" s="3">
        <v>45533</v>
      </c>
      <c r="B80" s="5" t="s">
        <v>152</v>
      </c>
      <c r="C80" s="5" t="s">
        <v>153</v>
      </c>
      <c r="F80" s="3"/>
      <c r="G80" s="5"/>
      <c r="H80" s="5"/>
    </row>
    <row r="81" spans="1:8" x14ac:dyDescent="0.35">
      <c r="A81" s="3">
        <v>45533</v>
      </c>
      <c r="B81" s="5" t="s">
        <v>154</v>
      </c>
      <c r="C81" s="5" t="s">
        <v>155</v>
      </c>
      <c r="F81" s="3"/>
      <c r="G81" s="5"/>
      <c r="H81" s="5"/>
    </row>
    <row r="82" spans="1:8" x14ac:dyDescent="0.35">
      <c r="A82" s="3">
        <v>45533</v>
      </c>
      <c r="B82" s="5" t="s">
        <v>156</v>
      </c>
      <c r="C82" s="5" t="s">
        <v>157</v>
      </c>
      <c r="F82" s="3"/>
      <c r="G82" s="5"/>
      <c r="H82" s="5"/>
    </row>
    <row r="83" spans="1:8" x14ac:dyDescent="0.35">
      <c r="A83" s="3">
        <v>45533</v>
      </c>
      <c r="B83" s="5" t="s">
        <v>158</v>
      </c>
      <c r="C83" s="5" t="s">
        <v>159</v>
      </c>
      <c r="F83" s="3"/>
      <c r="G83" s="5"/>
      <c r="H83" s="5"/>
    </row>
    <row r="84" spans="1:8" x14ac:dyDescent="0.35">
      <c r="A84" s="3">
        <v>45533</v>
      </c>
      <c r="B84" s="5" t="s">
        <v>160</v>
      </c>
      <c r="C84" s="5" t="s">
        <v>161</v>
      </c>
      <c r="F84" s="3"/>
      <c r="G84" s="5"/>
      <c r="H84" s="5"/>
    </row>
    <row r="85" spans="1:8" x14ac:dyDescent="0.35">
      <c r="A85" s="3">
        <v>45533</v>
      </c>
      <c r="B85" s="5" t="s">
        <v>162</v>
      </c>
      <c r="C85" s="5" t="s">
        <v>163</v>
      </c>
      <c r="F85" s="3"/>
      <c r="G85" s="5"/>
      <c r="H85" s="5"/>
    </row>
    <row r="86" spans="1:8" x14ac:dyDescent="0.35">
      <c r="A86" s="3">
        <v>45533</v>
      </c>
      <c r="B86" s="5" t="s">
        <v>164</v>
      </c>
      <c r="C86" s="5" t="s">
        <v>165</v>
      </c>
      <c r="F86" s="3"/>
      <c r="G86" s="5"/>
      <c r="H86" s="5"/>
    </row>
    <row r="87" spans="1:8" x14ac:dyDescent="0.35">
      <c r="A87" s="3">
        <v>45533</v>
      </c>
      <c r="B87" s="5" t="s">
        <v>166</v>
      </c>
      <c r="C87" s="5" t="s">
        <v>167</v>
      </c>
      <c r="F87" s="3"/>
      <c r="G87" s="5"/>
      <c r="H87" s="5"/>
    </row>
    <row r="88" spans="1:8" x14ac:dyDescent="0.35">
      <c r="A88" s="3">
        <v>45533</v>
      </c>
      <c r="B88" s="5" t="s">
        <v>168</v>
      </c>
      <c r="C88" s="5" t="s">
        <v>169</v>
      </c>
      <c r="F88" s="3"/>
      <c r="G88" s="5"/>
      <c r="H88" s="5"/>
    </row>
    <row r="89" spans="1:8" x14ac:dyDescent="0.35">
      <c r="A89" s="3">
        <v>45533</v>
      </c>
      <c r="B89" s="5" t="s">
        <v>170</v>
      </c>
      <c r="C89" s="5" t="s">
        <v>171</v>
      </c>
      <c r="F89" s="3"/>
      <c r="G89" s="5"/>
      <c r="H89" s="5"/>
    </row>
    <row r="90" spans="1:8" x14ac:dyDescent="0.35">
      <c r="A90" s="3">
        <v>45533</v>
      </c>
      <c r="B90" s="5" t="s">
        <v>172</v>
      </c>
      <c r="C90" s="5" t="s">
        <v>173</v>
      </c>
      <c r="F90" s="3"/>
      <c r="G90" s="5"/>
      <c r="H90" s="5"/>
    </row>
    <row r="91" spans="1:8" x14ac:dyDescent="0.35">
      <c r="A91" s="3">
        <v>45533</v>
      </c>
      <c r="B91" s="5" t="s">
        <v>174</v>
      </c>
      <c r="C91" s="5" t="s">
        <v>175</v>
      </c>
      <c r="F91" s="3"/>
      <c r="G91" s="5"/>
      <c r="H91" s="5"/>
    </row>
    <row r="92" spans="1:8" x14ac:dyDescent="0.35">
      <c r="A92" s="3">
        <v>45533</v>
      </c>
      <c r="B92" s="5" t="s">
        <v>176</v>
      </c>
      <c r="C92" s="5" t="s">
        <v>177</v>
      </c>
      <c r="F92" s="3"/>
      <c r="G92" s="5"/>
      <c r="H92" s="5"/>
    </row>
    <row r="93" spans="1:8" x14ac:dyDescent="0.35">
      <c r="A93" s="3">
        <v>45533</v>
      </c>
      <c r="B93" s="5" t="s">
        <v>178</v>
      </c>
      <c r="C93" s="5" t="s">
        <v>179</v>
      </c>
      <c r="F93" s="3"/>
      <c r="G93" s="5"/>
      <c r="H93" s="5"/>
    </row>
    <row r="94" spans="1:8" x14ac:dyDescent="0.35">
      <c r="A94" s="3">
        <v>45533</v>
      </c>
      <c r="B94" s="5" t="s">
        <v>180</v>
      </c>
      <c r="C94" s="5" t="s">
        <v>181</v>
      </c>
      <c r="F94" s="3"/>
      <c r="G94" s="5"/>
      <c r="H94" s="5"/>
    </row>
    <row r="95" spans="1:8" x14ac:dyDescent="0.35">
      <c r="A95" s="3">
        <v>45533</v>
      </c>
      <c r="B95" s="5" t="s">
        <v>182</v>
      </c>
      <c r="C95" s="5" t="s">
        <v>183</v>
      </c>
      <c r="F95" s="3"/>
      <c r="G95" s="5"/>
      <c r="H95" s="5"/>
    </row>
    <row r="96" spans="1:8" x14ac:dyDescent="0.35">
      <c r="A96" s="3">
        <v>45533</v>
      </c>
      <c r="B96" s="5" t="s">
        <v>184</v>
      </c>
      <c r="C96" s="5" t="s">
        <v>185</v>
      </c>
      <c r="F96" s="3"/>
      <c r="G96" s="5"/>
      <c r="H96" s="5"/>
    </row>
    <row r="97" spans="1:8" x14ac:dyDescent="0.35">
      <c r="A97" s="3">
        <v>45533</v>
      </c>
      <c r="B97" s="5" t="s">
        <v>186</v>
      </c>
      <c r="C97" s="5" t="s">
        <v>187</v>
      </c>
      <c r="F97" s="3"/>
      <c r="G97" s="5"/>
      <c r="H97" s="5"/>
    </row>
    <row r="98" spans="1:8" x14ac:dyDescent="0.35">
      <c r="A98" s="3">
        <v>45533</v>
      </c>
      <c r="B98" s="5" t="s">
        <v>188</v>
      </c>
      <c r="C98" s="5" t="s">
        <v>189</v>
      </c>
      <c r="F98" s="3"/>
      <c r="G98" s="5"/>
      <c r="H98" s="5"/>
    </row>
    <row r="99" spans="1:8" x14ac:dyDescent="0.35">
      <c r="A99" s="3">
        <v>45533</v>
      </c>
      <c r="B99" s="5" t="s">
        <v>190</v>
      </c>
      <c r="C99" s="5" t="s">
        <v>191</v>
      </c>
      <c r="F99" s="3"/>
      <c r="G99" s="5"/>
      <c r="H99" s="5"/>
    </row>
    <row r="100" spans="1:8" x14ac:dyDescent="0.35">
      <c r="A100" s="3">
        <v>45533</v>
      </c>
      <c r="B100" s="5" t="s">
        <v>192</v>
      </c>
      <c r="C100" s="5" t="s">
        <v>193</v>
      </c>
      <c r="F100" s="3"/>
      <c r="G100" s="5"/>
      <c r="H100" s="5"/>
    </row>
    <row r="101" spans="1:8" x14ac:dyDescent="0.35">
      <c r="A101" s="3">
        <v>45533</v>
      </c>
      <c r="B101" s="5" t="s">
        <v>194</v>
      </c>
      <c r="C101" s="5" t="s">
        <v>195</v>
      </c>
      <c r="F101" s="3"/>
      <c r="G101" s="5"/>
      <c r="H101" s="5"/>
    </row>
    <row r="102" spans="1:8" x14ac:dyDescent="0.35">
      <c r="A102" s="3">
        <v>45533</v>
      </c>
      <c r="B102" s="5" t="s">
        <v>196</v>
      </c>
      <c r="C102" s="5" t="s">
        <v>197</v>
      </c>
      <c r="F102" s="3"/>
      <c r="G102" s="5"/>
      <c r="H102" s="5"/>
    </row>
    <row r="103" spans="1:8" x14ac:dyDescent="0.35">
      <c r="A103" s="3">
        <v>45533</v>
      </c>
      <c r="B103" s="5" t="s">
        <v>198</v>
      </c>
      <c r="C103" s="5" t="s">
        <v>199</v>
      </c>
      <c r="F103" s="3"/>
      <c r="G103" s="5"/>
      <c r="H103" s="5"/>
    </row>
    <row r="104" spans="1:8" x14ac:dyDescent="0.35">
      <c r="A104" s="3">
        <v>45533</v>
      </c>
      <c r="B104" s="5" t="s">
        <v>200</v>
      </c>
      <c r="C104" s="5" t="s">
        <v>201</v>
      </c>
      <c r="F104" s="3"/>
      <c r="G104" s="5"/>
      <c r="H104" s="5"/>
    </row>
    <row r="105" spans="1:8" x14ac:dyDescent="0.35">
      <c r="A105" s="3">
        <v>45533</v>
      </c>
      <c r="B105" s="5" t="s">
        <v>202</v>
      </c>
      <c r="C105" s="5" t="s">
        <v>203</v>
      </c>
      <c r="F105" s="3"/>
      <c r="G105" s="5"/>
      <c r="H105" s="5"/>
    </row>
    <row r="106" spans="1:8" x14ac:dyDescent="0.35">
      <c r="A106" s="3">
        <v>45533</v>
      </c>
      <c r="B106" s="5" t="s">
        <v>204</v>
      </c>
      <c r="C106" s="5" t="s">
        <v>205</v>
      </c>
      <c r="F106" s="3"/>
      <c r="G106" s="5"/>
      <c r="H106" s="5"/>
    </row>
    <row r="107" spans="1:8" x14ac:dyDescent="0.35">
      <c r="A107" s="3">
        <v>45533</v>
      </c>
      <c r="B107" s="5" t="s">
        <v>206</v>
      </c>
      <c r="C107" s="5" t="s">
        <v>207</v>
      </c>
      <c r="F107" s="3"/>
      <c r="G107" s="5"/>
      <c r="H107" s="5"/>
    </row>
    <row r="108" spans="1:8" x14ac:dyDescent="0.35">
      <c r="A108" s="3">
        <v>45533</v>
      </c>
      <c r="B108" s="5" t="s">
        <v>208</v>
      </c>
      <c r="C108" s="5" t="s">
        <v>209</v>
      </c>
      <c r="F108" s="3"/>
      <c r="G108" s="5"/>
      <c r="H108" s="5"/>
    </row>
    <row r="109" spans="1:8" x14ac:dyDescent="0.35">
      <c r="A109" s="3">
        <v>45533</v>
      </c>
      <c r="B109" s="5" t="s">
        <v>210</v>
      </c>
      <c r="C109" s="5" t="s">
        <v>211</v>
      </c>
      <c r="F109" s="3"/>
      <c r="G109" s="5"/>
      <c r="H109" s="5"/>
    </row>
    <row r="110" spans="1:8" x14ac:dyDescent="0.35">
      <c r="A110" s="3">
        <v>45533</v>
      </c>
      <c r="B110" s="5" t="s">
        <v>212</v>
      </c>
      <c r="C110" s="5" t="s">
        <v>213</v>
      </c>
      <c r="F110" s="3"/>
      <c r="G110" s="5"/>
      <c r="H110" s="5"/>
    </row>
    <row r="111" spans="1:8" x14ac:dyDescent="0.35">
      <c r="A111" s="3">
        <v>45533</v>
      </c>
      <c r="B111" s="5" t="s">
        <v>214</v>
      </c>
      <c r="C111" s="5" t="s">
        <v>215</v>
      </c>
      <c r="F111" s="3"/>
      <c r="G111" s="5"/>
      <c r="H111" s="5"/>
    </row>
    <row r="112" spans="1:8" x14ac:dyDescent="0.35">
      <c r="A112" s="3">
        <v>45533</v>
      </c>
      <c r="B112" s="5" t="s">
        <v>216</v>
      </c>
      <c r="C112" s="5" t="s">
        <v>217</v>
      </c>
      <c r="F112" s="3"/>
      <c r="G112" s="5"/>
      <c r="H112" s="5"/>
    </row>
    <row r="113" spans="1:8" x14ac:dyDescent="0.35">
      <c r="A113" s="3">
        <v>45533</v>
      </c>
      <c r="B113" s="5" t="s">
        <v>218</v>
      </c>
      <c r="C113" s="5" t="s">
        <v>219</v>
      </c>
      <c r="F113" s="3"/>
      <c r="G113" s="5"/>
      <c r="H113" s="5"/>
    </row>
    <row r="114" spans="1:8" x14ac:dyDescent="0.35">
      <c r="A114" s="3">
        <v>45533</v>
      </c>
      <c r="B114" s="5" t="s">
        <v>220</v>
      </c>
      <c r="C114" s="5" t="s">
        <v>221</v>
      </c>
      <c r="F114" s="3"/>
      <c r="G114" s="5"/>
      <c r="H114" s="5"/>
    </row>
    <row r="115" spans="1:8" x14ac:dyDescent="0.35">
      <c r="A115" s="3">
        <v>45533</v>
      </c>
      <c r="B115" s="5" t="s">
        <v>222</v>
      </c>
      <c r="C115" s="5" t="s">
        <v>223</v>
      </c>
      <c r="F115" s="3"/>
      <c r="G115" s="5"/>
      <c r="H115" s="5"/>
    </row>
    <row r="116" spans="1:8" x14ac:dyDescent="0.35">
      <c r="A116" s="3">
        <v>45533</v>
      </c>
      <c r="B116" s="5" t="s">
        <v>224</v>
      </c>
      <c r="C116" s="5" t="s">
        <v>225</v>
      </c>
      <c r="F116" s="3"/>
      <c r="G116" s="5"/>
      <c r="H116" s="5"/>
    </row>
    <row r="117" spans="1:8" x14ac:dyDescent="0.35">
      <c r="A117" s="3">
        <v>45533</v>
      </c>
      <c r="B117" s="5" t="s">
        <v>226</v>
      </c>
      <c r="C117" s="5" t="s">
        <v>227</v>
      </c>
      <c r="F117" s="3"/>
      <c r="G117" s="5"/>
      <c r="H117" s="5"/>
    </row>
    <row r="118" spans="1:8" x14ac:dyDescent="0.35">
      <c r="A118" s="3">
        <v>45533</v>
      </c>
      <c r="B118" s="5" t="s">
        <v>228</v>
      </c>
      <c r="C118" s="5" t="s">
        <v>229</v>
      </c>
      <c r="F118" s="3"/>
      <c r="G118" s="5"/>
      <c r="H118" s="5"/>
    </row>
    <row r="119" spans="1:8" x14ac:dyDescent="0.35">
      <c r="A119" s="3">
        <v>45533</v>
      </c>
      <c r="B119" s="5" t="s">
        <v>230</v>
      </c>
      <c r="C119" s="5" t="s">
        <v>231</v>
      </c>
      <c r="F119" s="3"/>
      <c r="G119" s="5"/>
      <c r="H119" s="5"/>
    </row>
    <row r="120" spans="1:8" x14ac:dyDescent="0.35">
      <c r="A120" s="3">
        <v>45533</v>
      </c>
      <c r="B120" s="5" t="s">
        <v>232</v>
      </c>
      <c r="C120" s="5" t="s">
        <v>233</v>
      </c>
      <c r="F120" s="3"/>
      <c r="G120" s="5"/>
      <c r="H120" s="5"/>
    </row>
    <row r="121" spans="1:8" x14ac:dyDescent="0.35">
      <c r="A121" s="3">
        <v>45533</v>
      </c>
      <c r="B121" s="5" t="s">
        <v>234</v>
      </c>
      <c r="C121" s="5" t="s">
        <v>235</v>
      </c>
      <c r="F121" s="3"/>
      <c r="G121" s="5"/>
      <c r="H121" s="5"/>
    </row>
    <row r="122" spans="1:8" x14ac:dyDescent="0.35">
      <c r="A122" s="3">
        <v>45533</v>
      </c>
      <c r="B122" s="5" t="s">
        <v>236</v>
      </c>
      <c r="C122" s="5" t="s">
        <v>237</v>
      </c>
      <c r="F122" s="3"/>
      <c r="G122" s="5"/>
      <c r="H122" s="5"/>
    </row>
    <row r="123" spans="1:8" x14ac:dyDescent="0.35">
      <c r="A123" s="3">
        <v>45533</v>
      </c>
      <c r="B123" s="5" t="s">
        <v>238</v>
      </c>
      <c r="C123" s="5" t="s">
        <v>239</v>
      </c>
      <c r="F123" s="3"/>
      <c r="G123" s="5"/>
      <c r="H123" s="5"/>
    </row>
    <row r="124" spans="1:8" x14ac:dyDescent="0.35">
      <c r="A124" s="3">
        <v>45533</v>
      </c>
      <c r="B124" s="5" t="s">
        <v>240</v>
      </c>
      <c r="C124" s="5" t="s">
        <v>241</v>
      </c>
      <c r="F124" s="3"/>
      <c r="G124" s="5"/>
      <c r="H124" s="5"/>
    </row>
    <row r="125" spans="1:8" x14ac:dyDescent="0.35">
      <c r="A125" s="3">
        <v>45533</v>
      </c>
      <c r="B125" s="5" t="s">
        <v>242</v>
      </c>
      <c r="C125" s="5" t="s">
        <v>243</v>
      </c>
      <c r="F125" s="3"/>
      <c r="G125" s="5"/>
      <c r="H125" s="5"/>
    </row>
    <row r="126" spans="1:8" x14ac:dyDescent="0.35">
      <c r="A126" s="3">
        <v>45533</v>
      </c>
      <c r="B126" s="5" t="s">
        <v>244</v>
      </c>
      <c r="C126" s="5" t="s">
        <v>245</v>
      </c>
      <c r="F126" s="3"/>
      <c r="G126" s="5"/>
      <c r="H126" s="5"/>
    </row>
    <row r="127" spans="1:8" x14ac:dyDescent="0.35">
      <c r="A127" s="3">
        <v>45533</v>
      </c>
      <c r="B127" s="5" t="s">
        <v>246</v>
      </c>
      <c r="C127" s="5" t="s">
        <v>247</v>
      </c>
      <c r="F127" s="3"/>
      <c r="G127" s="5"/>
      <c r="H127" s="5"/>
    </row>
    <row r="128" spans="1:8" x14ac:dyDescent="0.35">
      <c r="A128" s="3">
        <v>45533</v>
      </c>
      <c r="B128" s="5" t="s">
        <v>248</v>
      </c>
      <c r="C128" s="5" t="s">
        <v>249</v>
      </c>
      <c r="F128" s="3"/>
      <c r="G128" s="5"/>
      <c r="H128" s="5"/>
    </row>
    <row r="129" spans="1:8" x14ac:dyDescent="0.35">
      <c r="A129" s="3">
        <v>45533</v>
      </c>
      <c r="B129" s="5" t="s">
        <v>250</v>
      </c>
      <c r="C129" s="5" t="s">
        <v>251</v>
      </c>
      <c r="F129" s="3"/>
      <c r="G129" s="5"/>
      <c r="H129" s="5"/>
    </row>
    <row r="130" spans="1:8" x14ac:dyDescent="0.35">
      <c r="A130" s="3">
        <v>45533</v>
      </c>
      <c r="B130" s="5" t="s">
        <v>252</v>
      </c>
      <c r="C130" s="5" t="s">
        <v>253</v>
      </c>
      <c r="F130" s="3"/>
      <c r="G130" s="5"/>
      <c r="H130" s="5"/>
    </row>
    <row r="131" spans="1:8" x14ac:dyDescent="0.35">
      <c r="A131" s="3">
        <v>45533</v>
      </c>
      <c r="B131" s="5" t="s">
        <v>254</v>
      </c>
      <c r="C131" s="5" t="s">
        <v>255</v>
      </c>
      <c r="F131" s="3"/>
      <c r="G131" s="5"/>
      <c r="H131" s="5"/>
    </row>
    <row r="132" spans="1:8" x14ac:dyDescent="0.35">
      <c r="A132" s="3">
        <v>45533</v>
      </c>
      <c r="B132" s="5" t="s">
        <v>256</v>
      </c>
      <c r="C132" s="5" t="s">
        <v>257</v>
      </c>
      <c r="F132" s="3"/>
      <c r="G132" s="5"/>
      <c r="H132" s="5"/>
    </row>
    <row r="133" spans="1:8" x14ac:dyDescent="0.35">
      <c r="A133" s="3">
        <v>45533</v>
      </c>
      <c r="B133" s="5" t="s">
        <v>258</v>
      </c>
      <c r="C133" s="5" t="s">
        <v>259</v>
      </c>
      <c r="F133" s="3"/>
      <c r="G133" s="5"/>
      <c r="H133" s="5"/>
    </row>
    <row r="134" spans="1:8" x14ac:dyDescent="0.35">
      <c r="A134" s="3">
        <v>45533</v>
      </c>
      <c r="B134" s="5" t="s">
        <v>260</v>
      </c>
      <c r="C134" s="5" t="s">
        <v>261</v>
      </c>
      <c r="F134" s="3"/>
      <c r="G134" s="5"/>
      <c r="H134" s="5"/>
    </row>
    <row r="135" spans="1:8" x14ac:dyDescent="0.35">
      <c r="A135" s="3">
        <v>45533</v>
      </c>
      <c r="B135" s="5" t="s">
        <v>262</v>
      </c>
      <c r="C135" s="5" t="s">
        <v>263</v>
      </c>
      <c r="F135" s="3"/>
      <c r="G135" s="5"/>
      <c r="H135" s="5"/>
    </row>
    <row r="136" spans="1:8" x14ac:dyDescent="0.35">
      <c r="A136" s="3">
        <v>45533</v>
      </c>
      <c r="B136" s="5" t="s">
        <v>264</v>
      </c>
      <c r="C136" s="5" t="s">
        <v>265</v>
      </c>
      <c r="F136" s="3"/>
      <c r="G136" s="5"/>
      <c r="H136" s="5"/>
    </row>
    <row r="137" spans="1:8" x14ac:dyDescent="0.35">
      <c r="A137" s="3">
        <v>45533</v>
      </c>
      <c r="B137" s="5" t="s">
        <v>266</v>
      </c>
      <c r="C137" s="5" t="s">
        <v>267</v>
      </c>
      <c r="F137" s="3"/>
      <c r="G137" s="5"/>
      <c r="H137" s="5"/>
    </row>
    <row r="138" spans="1:8" x14ac:dyDescent="0.35">
      <c r="A138" s="3">
        <v>45533</v>
      </c>
      <c r="B138" s="5" t="s">
        <v>268</v>
      </c>
      <c r="C138" s="5" t="s">
        <v>269</v>
      </c>
      <c r="F138" s="3"/>
      <c r="G138" s="5"/>
      <c r="H138" s="5"/>
    </row>
    <row r="139" spans="1:8" x14ac:dyDescent="0.35">
      <c r="A139" s="3">
        <v>45533</v>
      </c>
      <c r="B139" s="5" t="s">
        <v>270</v>
      </c>
      <c r="C139" s="5" t="s">
        <v>271</v>
      </c>
      <c r="F139" s="3"/>
      <c r="G139" s="5"/>
      <c r="H139" s="5"/>
    </row>
    <row r="140" spans="1:8" x14ac:dyDescent="0.35">
      <c r="A140" s="3">
        <v>45533</v>
      </c>
      <c r="B140" s="5" t="s">
        <v>272</v>
      </c>
      <c r="C140" s="5" t="s">
        <v>273</v>
      </c>
      <c r="F140" s="3"/>
      <c r="G140" s="5"/>
      <c r="H140" s="5"/>
    </row>
    <row r="141" spans="1:8" x14ac:dyDescent="0.35">
      <c r="A141" s="3">
        <v>45533</v>
      </c>
      <c r="B141" s="5" t="s">
        <v>274</v>
      </c>
      <c r="C141" s="5" t="s">
        <v>275</v>
      </c>
      <c r="F141" s="3"/>
      <c r="G141" s="5"/>
      <c r="H141" s="5"/>
    </row>
    <row r="142" spans="1:8" x14ac:dyDescent="0.35">
      <c r="A142" s="3">
        <v>45533</v>
      </c>
      <c r="B142" s="5" t="s">
        <v>276</v>
      </c>
      <c r="C142" s="5" t="s">
        <v>277</v>
      </c>
      <c r="F142" s="3"/>
      <c r="G142" s="5"/>
      <c r="H142" s="5"/>
    </row>
    <row r="143" spans="1:8" x14ac:dyDescent="0.35">
      <c r="A143" s="3">
        <v>45533</v>
      </c>
      <c r="B143" s="5" t="s">
        <v>278</v>
      </c>
      <c r="C143" s="5" t="s">
        <v>279</v>
      </c>
      <c r="F143" s="3"/>
      <c r="G143" s="5"/>
      <c r="H143" s="5"/>
    </row>
    <row r="144" spans="1:8" x14ac:dyDescent="0.35">
      <c r="A144" s="3">
        <v>45533</v>
      </c>
      <c r="B144" s="5" t="s">
        <v>280</v>
      </c>
      <c r="C144" s="5" t="s">
        <v>281</v>
      </c>
      <c r="F144" s="3"/>
      <c r="G144" s="5"/>
      <c r="H144" s="5"/>
    </row>
    <row r="145" spans="1:8" x14ac:dyDescent="0.35">
      <c r="A145" s="3">
        <v>45533</v>
      </c>
      <c r="B145" s="5" t="s">
        <v>282</v>
      </c>
      <c r="C145" s="5" t="s">
        <v>283</v>
      </c>
      <c r="F145" s="3"/>
      <c r="G145" s="5"/>
      <c r="H145" s="5"/>
    </row>
    <row r="146" spans="1:8" x14ac:dyDescent="0.35">
      <c r="A146" s="3">
        <v>45533</v>
      </c>
      <c r="B146" s="5" t="s">
        <v>284</v>
      </c>
      <c r="C146" s="5" t="s">
        <v>285</v>
      </c>
      <c r="F146" s="3"/>
      <c r="G146" s="5"/>
      <c r="H146" s="5"/>
    </row>
    <row r="147" spans="1:8" x14ac:dyDescent="0.35">
      <c r="A147" s="3">
        <v>45533</v>
      </c>
      <c r="B147" s="5" t="s">
        <v>286</v>
      </c>
      <c r="C147" s="5" t="s">
        <v>287</v>
      </c>
      <c r="F147" s="3"/>
      <c r="G147" s="5"/>
      <c r="H147" s="5"/>
    </row>
    <row r="148" spans="1:8" x14ac:dyDescent="0.35">
      <c r="A148" s="3">
        <v>45533</v>
      </c>
      <c r="B148" s="5" t="s">
        <v>288</v>
      </c>
      <c r="C148" s="5" t="s">
        <v>289</v>
      </c>
      <c r="F148" s="3"/>
      <c r="G148" s="5"/>
      <c r="H148" s="5"/>
    </row>
    <row r="149" spans="1:8" x14ac:dyDescent="0.35">
      <c r="A149" s="3">
        <v>45533</v>
      </c>
      <c r="B149" s="5" t="s">
        <v>290</v>
      </c>
      <c r="C149" s="5" t="s">
        <v>291</v>
      </c>
      <c r="F149" s="3"/>
      <c r="G149" s="5"/>
      <c r="H149" s="5"/>
    </row>
    <row r="150" spans="1:8" x14ac:dyDescent="0.35">
      <c r="A150" s="3">
        <v>45533</v>
      </c>
      <c r="B150" s="5" t="s">
        <v>292</v>
      </c>
      <c r="C150" s="5" t="s">
        <v>293</v>
      </c>
      <c r="F150" s="3"/>
      <c r="G150" s="5"/>
      <c r="H150" s="5"/>
    </row>
    <row r="151" spans="1:8" x14ac:dyDescent="0.35">
      <c r="A151" s="3">
        <v>45533</v>
      </c>
      <c r="B151" s="5" t="s">
        <v>294</v>
      </c>
      <c r="C151" s="5" t="s">
        <v>295</v>
      </c>
      <c r="F151" s="3"/>
      <c r="G151" s="5"/>
      <c r="H151" s="5"/>
    </row>
    <row r="152" spans="1:8" x14ac:dyDescent="0.35">
      <c r="A152" s="3">
        <v>45533</v>
      </c>
      <c r="B152" s="5" t="s">
        <v>296</v>
      </c>
      <c r="C152" s="5" t="s">
        <v>297</v>
      </c>
      <c r="F152" s="3"/>
      <c r="G152" s="5"/>
      <c r="H152" s="5"/>
    </row>
    <row r="153" spans="1:8" x14ac:dyDescent="0.35">
      <c r="A153" s="3">
        <v>45533</v>
      </c>
      <c r="B153" s="5" t="s">
        <v>298</v>
      </c>
      <c r="C153" s="5" t="s">
        <v>299</v>
      </c>
      <c r="F153" s="3"/>
      <c r="G153" s="5"/>
      <c r="H153" s="5"/>
    </row>
    <row r="154" spans="1:8" x14ac:dyDescent="0.35">
      <c r="A154" s="3">
        <v>45533</v>
      </c>
      <c r="B154" s="5" t="s">
        <v>300</v>
      </c>
      <c r="C154" s="5" t="s">
        <v>301</v>
      </c>
      <c r="F154" s="3"/>
      <c r="G154" s="5"/>
      <c r="H154" s="5"/>
    </row>
    <row r="155" spans="1:8" x14ac:dyDescent="0.35">
      <c r="A155" s="3">
        <v>45533</v>
      </c>
      <c r="B155" s="5" t="s">
        <v>302</v>
      </c>
      <c r="C155" s="5" t="s">
        <v>303</v>
      </c>
      <c r="F155" s="3"/>
      <c r="G155" s="5"/>
      <c r="H155" s="5"/>
    </row>
    <row r="156" spans="1:8" x14ac:dyDescent="0.35">
      <c r="A156" s="3">
        <v>45533</v>
      </c>
      <c r="B156" s="5" t="s">
        <v>304</v>
      </c>
      <c r="C156" s="5" t="s">
        <v>305</v>
      </c>
      <c r="F156" s="3"/>
      <c r="G156" s="5"/>
      <c r="H156" s="5"/>
    </row>
    <row r="157" spans="1:8" x14ac:dyDescent="0.35">
      <c r="A157" s="3">
        <v>45533</v>
      </c>
      <c r="B157" s="5" t="s">
        <v>306</v>
      </c>
      <c r="C157" s="5" t="s">
        <v>307</v>
      </c>
      <c r="F157" s="3"/>
      <c r="G157" s="5"/>
      <c r="H157" s="5"/>
    </row>
    <row r="158" spans="1:8" x14ac:dyDescent="0.35">
      <c r="A158" s="3">
        <v>45533</v>
      </c>
      <c r="B158" s="5" t="s">
        <v>308</v>
      </c>
      <c r="C158" s="5" t="s">
        <v>309</v>
      </c>
      <c r="F158" s="3"/>
      <c r="G158" s="5"/>
      <c r="H158" s="5"/>
    </row>
    <row r="159" spans="1:8" x14ac:dyDescent="0.35">
      <c r="A159" s="3">
        <v>45533</v>
      </c>
      <c r="B159" s="5" t="s">
        <v>310</v>
      </c>
      <c r="C159" s="5" t="s">
        <v>311</v>
      </c>
      <c r="F159" s="3"/>
      <c r="G159" s="5"/>
      <c r="H159" s="5"/>
    </row>
    <row r="160" spans="1:8" x14ac:dyDescent="0.35">
      <c r="A160" s="3">
        <v>45533</v>
      </c>
      <c r="B160" s="5" t="s">
        <v>312</v>
      </c>
      <c r="C160" s="5" t="s">
        <v>313</v>
      </c>
      <c r="F160" s="3"/>
      <c r="G160" s="5"/>
      <c r="H160" s="5"/>
    </row>
    <row r="161" spans="1:8" x14ac:dyDescent="0.35">
      <c r="A161" s="3">
        <v>45533</v>
      </c>
      <c r="B161" s="5" t="s">
        <v>314</v>
      </c>
      <c r="C161" s="5" t="s">
        <v>315</v>
      </c>
      <c r="F161" s="3"/>
      <c r="G161" s="5"/>
      <c r="H161" s="5"/>
    </row>
    <row r="162" spans="1:8" x14ac:dyDescent="0.35">
      <c r="A162" s="3">
        <v>45533</v>
      </c>
      <c r="B162" s="5" t="s">
        <v>316</v>
      </c>
      <c r="C162" s="5" t="s">
        <v>317</v>
      </c>
      <c r="F162" s="3"/>
      <c r="G162" s="5"/>
      <c r="H162" s="5"/>
    </row>
    <row r="163" spans="1:8" x14ac:dyDescent="0.35">
      <c r="A163" s="3">
        <v>45533</v>
      </c>
      <c r="B163" s="5" t="s">
        <v>318</v>
      </c>
      <c r="C163" s="5" t="s">
        <v>319</v>
      </c>
      <c r="F163" s="3"/>
      <c r="G163" s="5"/>
      <c r="H163" s="5"/>
    </row>
    <row r="164" spans="1:8" x14ac:dyDescent="0.35">
      <c r="A164" s="3">
        <v>45533</v>
      </c>
      <c r="B164" s="5" t="s">
        <v>320</v>
      </c>
      <c r="C164" s="5" t="s">
        <v>321</v>
      </c>
      <c r="F164" s="3"/>
      <c r="G164" s="5"/>
      <c r="H164" s="5"/>
    </row>
    <row r="165" spans="1:8" x14ac:dyDescent="0.35">
      <c r="A165" s="3">
        <v>45533</v>
      </c>
      <c r="B165" s="5" t="s">
        <v>322</v>
      </c>
      <c r="C165" s="5" t="s">
        <v>323</v>
      </c>
      <c r="F165" s="3"/>
      <c r="G165" s="5"/>
      <c r="H165" s="5"/>
    </row>
    <row r="166" spans="1:8" x14ac:dyDescent="0.35">
      <c r="A166" s="3">
        <v>45533</v>
      </c>
      <c r="B166" s="5" t="s">
        <v>324</v>
      </c>
      <c r="C166" s="5" t="s">
        <v>325</v>
      </c>
      <c r="F166" s="3"/>
      <c r="G166" s="5"/>
      <c r="H166" s="5"/>
    </row>
    <row r="167" spans="1:8" x14ac:dyDescent="0.35">
      <c r="A167" s="3">
        <v>45533</v>
      </c>
      <c r="B167" s="5" t="s">
        <v>326</v>
      </c>
      <c r="C167" s="5" t="s">
        <v>327</v>
      </c>
      <c r="F167" s="3"/>
      <c r="G167" s="5"/>
      <c r="H167" s="5"/>
    </row>
    <row r="168" spans="1:8" x14ac:dyDescent="0.35">
      <c r="A168" s="3">
        <v>45533</v>
      </c>
      <c r="B168" s="5" t="s">
        <v>328</v>
      </c>
      <c r="C168" s="5" t="s">
        <v>329</v>
      </c>
      <c r="F168" s="3"/>
      <c r="G168" s="5"/>
      <c r="H168" s="5"/>
    </row>
    <row r="169" spans="1:8" x14ac:dyDescent="0.35">
      <c r="A169" s="3">
        <v>45533</v>
      </c>
      <c r="B169" s="5" t="s">
        <v>330</v>
      </c>
      <c r="C169" s="5" t="s">
        <v>331</v>
      </c>
      <c r="F169" s="3"/>
      <c r="G169" s="5"/>
      <c r="H169" s="5"/>
    </row>
    <row r="170" spans="1:8" x14ac:dyDescent="0.35">
      <c r="A170" s="3">
        <v>45533</v>
      </c>
      <c r="B170" s="5" t="s">
        <v>332</v>
      </c>
      <c r="C170" s="5" t="s">
        <v>333</v>
      </c>
      <c r="F170" s="3"/>
      <c r="G170" s="5"/>
      <c r="H170" s="5"/>
    </row>
    <row r="171" spans="1:8" x14ac:dyDescent="0.35">
      <c r="A171" s="3">
        <v>45533</v>
      </c>
      <c r="B171" s="5" t="s">
        <v>334</v>
      </c>
      <c r="C171" s="5" t="s">
        <v>335</v>
      </c>
      <c r="F171" s="3"/>
      <c r="G171" s="5"/>
      <c r="H171" s="5"/>
    </row>
    <row r="172" spans="1:8" x14ac:dyDescent="0.35">
      <c r="A172" s="3">
        <v>45533</v>
      </c>
      <c r="B172" s="5" t="s">
        <v>336</v>
      </c>
      <c r="C172" s="5" t="s">
        <v>337</v>
      </c>
      <c r="F172" s="3"/>
      <c r="G172" s="5"/>
      <c r="H172" s="5"/>
    </row>
    <row r="173" spans="1:8" x14ac:dyDescent="0.35">
      <c r="A173" s="3">
        <v>45533</v>
      </c>
      <c r="B173" s="5" t="s">
        <v>338</v>
      </c>
      <c r="C173" s="5" t="s">
        <v>339</v>
      </c>
      <c r="F173" s="3"/>
      <c r="G173" s="5"/>
      <c r="H173" s="5"/>
    </row>
    <row r="174" spans="1:8" x14ac:dyDescent="0.35">
      <c r="A174" s="3">
        <v>45533</v>
      </c>
      <c r="B174" s="5" t="s">
        <v>340</v>
      </c>
      <c r="C174" s="5" t="s">
        <v>341</v>
      </c>
      <c r="F174" s="3"/>
      <c r="G174" s="5"/>
      <c r="H174" s="5"/>
    </row>
    <row r="175" spans="1:8" x14ac:dyDescent="0.35">
      <c r="A175" s="3">
        <v>45533</v>
      </c>
      <c r="B175" s="5" t="s">
        <v>342</v>
      </c>
      <c r="C175" s="5" t="s">
        <v>343</v>
      </c>
      <c r="F175" s="3"/>
      <c r="G175" s="5"/>
      <c r="H175" s="5"/>
    </row>
    <row r="176" spans="1:8" x14ac:dyDescent="0.35">
      <c r="A176" s="3">
        <v>45533</v>
      </c>
      <c r="B176" s="5" t="s">
        <v>344</v>
      </c>
      <c r="C176" s="5" t="s">
        <v>345</v>
      </c>
      <c r="F176" s="3"/>
      <c r="G176" s="5"/>
      <c r="H176" s="5"/>
    </row>
    <row r="177" spans="1:8" x14ac:dyDescent="0.35">
      <c r="A177" s="3">
        <v>45533</v>
      </c>
      <c r="B177" s="5" t="s">
        <v>346</v>
      </c>
      <c r="C177" s="5" t="s">
        <v>347</v>
      </c>
      <c r="F177" s="3"/>
      <c r="G177" s="5"/>
      <c r="H177" s="5"/>
    </row>
    <row r="178" spans="1:8" x14ac:dyDescent="0.35">
      <c r="A178" s="3">
        <v>45533</v>
      </c>
      <c r="B178" s="5" t="s">
        <v>348</v>
      </c>
      <c r="C178" s="5" t="s">
        <v>349</v>
      </c>
      <c r="F178" s="3"/>
      <c r="G178" s="5"/>
      <c r="H178" s="5"/>
    </row>
    <row r="179" spans="1:8" x14ac:dyDescent="0.35">
      <c r="A179" s="3">
        <v>45533</v>
      </c>
      <c r="B179" s="5" t="s">
        <v>350</v>
      </c>
      <c r="C179" s="5" t="s">
        <v>351</v>
      </c>
      <c r="F179" s="3"/>
      <c r="G179" s="5"/>
      <c r="H179" s="5"/>
    </row>
    <row r="180" spans="1:8" x14ac:dyDescent="0.35">
      <c r="A180" s="3">
        <v>45533</v>
      </c>
      <c r="B180" s="5" t="s">
        <v>352</v>
      </c>
      <c r="C180" s="5" t="s">
        <v>353</v>
      </c>
      <c r="F180" s="3"/>
      <c r="G180" s="5"/>
      <c r="H180" s="5"/>
    </row>
    <row r="181" spans="1:8" x14ac:dyDescent="0.35">
      <c r="A181" s="3">
        <v>45533</v>
      </c>
      <c r="B181" s="5" t="s">
        <v>354</v>
      </c>
      <c r="C181" s="5" t="s">
        <v>355</v>
      </c>
      <c r="F181" s="3"/>
      <c r="G181" s="5"/>
      <c r="H181" s="5"/>
    </row>
    <row r="182" spans="1:8" x14ac:dyDescent="0.35">
      <c r="A182" s="3">
        <v>45533</v>
      </c>
      <c r="B182" s="5" t="s">
        <v>356</v>
      </c>
      <c r="C182" s="5" t="s">
        <v>357</v>
      </c>
      <c r="F182" s="3"/>
      <c r="G182" s="5"/>
      <c r="H182" s="5"/>
    </row>
    <row r="183" spans="1:8" x14ac:dyDescent="0.35">
      <c r="A183" s="3">
        <v>45533</v>
      </c>
      <c r="B183" s="5" t="s">
        <v>358</v>
      </c>
      <c r="C183" s="5" t="s">
        <v>359</v>
      </c>
      <c r="F183" s="3"/>
      <c r="G183" s="5"/>
      <c r="H183" s="5"/>
    </row>
    <row r="184" spans="1:8" x14ac:dyDescent="0.35">
      <c r="A184" s="3">
        <v>45533</v>
      </c>
      <c r="B184" s="5" t="s">
        <v>360</v>
      </c>
      <c r="C184" s="5" t="s">
        <v>361</v>
      </c>
      <c r="F184" s="3"/>
      <c r="G184" s="5"/>
      <c r="H184" s="5"/>
    </row>
    <row r="185" spans="1:8" x14ac:dyDescent="0.35">
      <c r="A185" s="3">
        <v>45533</v>
      </c>
      <c r="B185" s="5" t="s">
        <v>362</v>
      </c>
      <c r="C185" s="5" t="s">
        <v>363</v>
      </c>
      <c r="F185" s="3"/>
      <c r="G185" s="5"/>
      <c r="H185" s="5"/>
    </row>
    <row r="186" spans="1:8" x14ac:dyDescent="0.35">
      <c r="A186" s="3">
        <v>45533</v>
      </c>
      <c r="B186" s="5" t="s">
        <v>364</v>
      </c>
      <c r="C186" s="5" t="s">
        <v>365</v>
      </c>
      <c r="F186" s="3"/>
      <c r="G186" s="5"/>
      <c r="H186" s="5"/>
    </row>
    <row r="187" spans="1:8" x14ac:dyDescent="0.35">
      <c r="A187" s="3">
        <v>45533</v>
      </c>
      <c r="B187" s="5" t="s">
        <v>366</v>
      </c>
      <c r="C187" s="5" t="s">
        <v>367</v>
      </c>
      <c r="F187" s="3"/>
      <c r="G187" s="5"/>
      <c r="H187" s="5"/>
    </row>
    <row r="188" spans="1:8" x14ac:dyDescent="0.35">
      <c r="A188" s="3">
        <v>45533</v>
      </c>
      <c r="B188" s="5" t="s">
        <v>368</v>
      </c>
      <c r="C188" s="5" t="s">
        <v>369</v>
      </c>
      <c r="F188" s="3"/>
      <c r="G188" s="5"/>
      <c r="H188" s="5"/>
    </row>
    <row r="189" spans="1:8" x14ac:dyDescent="0.35">
      <c r="A189" s="3">
        <v>45533</v>
      </c>
      <c r="B189" s="5" t="s">
        <v>370</v>
      </c>
      <c r="C189" s="5" t="s">
        <v>371</v>
      </c>
      <c r="F189" s="3"/>
      <c r="G189" s="5"/>
      <c r="H189" s="5"/>
    </row>
    <row r="190" spans="1:8" x14ac:dyDescent="0.35">
      <c r="A190" s="3">
        <v>45533</v>
      </c>
      <c r="B190" s="5" t="s">
        <v>372</v>
      </c>
      <c r="C190" s="5" t="s">
        <v>373</v>
      </c>
      <c r="F190" s="3"/>
      <c r="G190" s="5"/>
      <c r="H190" s="5"/>
    </row>
    <row r="191" spans="1:8" x14ac:dyDescent="0.35">
      <c r="A191" s="3">
        <v>45533</v>
      </c>
      <c r="B191" s="5" t="s">
        <v>374</v>
      </c>
      <c r="C191" s="5" t="s">
        <v>375</v>
      </c>
      <c r="F191" s="3"/>
      <c r="G191" s="5"/>
      <c r="H191" s="5"/>
    </row>
    <row r="192" spans="1:8" x14ac:dyDescent="0.35">
      <c r="A192" s="3">
        <v>45533</v>
      </c>
      <c r="B192" s="5" t="s">
        <v>376</v>
      </c>
      <c r="C192" s="5" t="s">
        <v>377</v>
      </c>
      <c r="F192" s="3"/>
      <c r="G192" s="5"/>
      <c r="H192" s="5"/>
    </row>
    <row r="193" spans="1:8" x14ac:dyDescent="0.35">
      <c r="A193" s="3">
        <v>45533</v>
      </c>
      <c r="B193" s="5" t="s">
        <v>378</v>
      </c>
      <c r="C193" s="5" t="s">
        <v>379</v>
      </c>
      <c r="F193" s="3"/>
      <c r="G193" s="5"/>
      <c r="H193" s="5"/>
    </row>
    <row r="194" spans="1:8" x14ac:dyDescent="0.35">
      <c r="A194" s="3">
        <v>45533</v>
      </c>
      <c r="B194" s="5" t="s">
        <v>380</v>
      </c>
      <c r="C194" s="5" t="s">
        <v>381</v>
      </c>
      <c r="F194" s="3"/>
      <c r="G194" s="5"/>
      <c r="H194" s="5"/>
    </row>
    <row r="195" spans="1:8" x14ac:dyDescent="0.35">
      <c r="A195" s="3">
        <v>45533</v>
      </c>
      <c r="B195" s="5" t="s">
        <v>382</v>
      </c>
      <c r="C195" s="5" t="s">
        <v>383</v>
      </c>
      <c r="F195" s="3"/>
      <c r="G195" s="5"/>
      <c r="H195" s="5"/>
    </row>
    <row r="196" spans="1:8" x14ac:dyDescent="0.35">
      <c r="A196" s="3">
        <v>45533</v>
      </c>
      <c r="B196" s="5" t="s">
        <v>384</v>
      </c>
      <c r="C196" s="5" t="s">
        <v>385</v>
      </c>
      <c r="F196" s="3"/>
      <c r="G196" s="5"/>
      <c r="H196" s="5"/>
    </row>
    <row r="197" spans="1:8" x14ac:dyDescent="0.35">
      <c r="A197" s="3">
        <v>45533</v>
      </c>
      <c r="B197" s="5" t="s">
        <v>386</v>
      </c>
      <c r="C197" s="5" t="s">
        <v>387</v>
      </c>
      <c r="F197" s="3"/>
      <c r="G197" s="5"/>
      <c r="H197" s="5"/>
    </row>
    <row r="198" spans="1:8" x14ac:dyDescent="0.35">
      <c r="A198" s="3">
        <v>45533</v>
      </c>
      <c r="B198" s="5" t="s">
        <v>388</v>
      </c>
      <c r="C198" s="5" t="s">
        <v>389</v>
      </c>
      <c r="F198" s="3"/>
      <c r="G198" s="5"/>
      <c r="H198" s="5"/>
    </row>
    <row r="199" spans="1:8" x14ac:dyDescent="0.35">
      <c r="A199" s="3">
        <v>45533</v>
      </c>
      <c r="B199" s="5" t="s">
        <v>390</v>
      </c>
      <c r="C199" s="5" t="s">
        <v>391</v>
      </c>
      <c r="F199" s="3"/>
      <c r="G199" s="5"/>
      <c r="H199" s="5"/>
    </row>
    <row r="200" spans="1:8" x14ac:dyDescent="0.35">
      <c r="A200" s="3">
        <v>45533</v>
      </c>
      <c r="B200" s="5" t="s">
        <v>392</v>
      </c>
      <c r="C200" s="5" t="s">
        <v>393</v>
      </c>
      <c r="F200" s="3"/>
      <c r="G200" s="5"/>
      <c r="H200" s="5"/>
    </row>
    <row r="201" spans="1:8" x14ac:dyDescent="0.35">
      <c r="A201" s="3">
        <v>45533</v>
      </c>
      <c r="B201" s="5" t="s">
        <v>394</v>
      </c>
      <c r="C201" s="5" t="s">
        <v>395</v>
      </c>
      <c r="F201" s="3"/>
      <c r="G201" s="5"/>
      <c r="H201" s="5"/>
    </row>
    <row r="202" spans="1:8" x14ac:dyDescent="0.35">
      <c r="A202" s="3">
        <v>45533</v>
      </c>
      <c r="B202" s="5" t="s">
        <v>396</v>
      </c>
      <c r="C202" s="5" t="s">
        <v>397</v>
      </c>
      <c r="F202" s="3"/>
      <c r="G202" s="5"/>
      <c r="H202" s="5"/>
    </row>
    <row r="203" spans="1:8" x14ac:dyDescent="0.35">
      <c r="A203" s="3">
        <v>45533</v>
      </c>
      <c r="B203" s="5" t="s">
        <v>398</v>
      </c>
      <c r="C203" s="5" t="s">
        <v>399</v>
      </c>
      <c r="F203" s="3"/>
      <c r="G203" s="5"/>
      <c r="H203" s="5"/>
    </row>
    <row r="204" spans="1:8" x14ac:dyDescent="0.35">
      <c r="A204" s="3">
        <v>45533</v>
      </c>
      <c r="B204" s="5" t="s">
        <v>400</v>
      </c>
      <c r="C204" s="5" t="s">
        <v>401</v>
      </c>
      <c r="F204" s="3"/>
      <c r="G204" s="5"/>
      <c r="H204" s="5"/>
    </row>
    <row r="205" spans="1:8" x14ac:dyDescent="0.35">
      <c r="A205" s="3">
        <v>45533</v>
      </c>
      <c r="B205" s="5" t="s">
        <v>402</v>
      </c>
      <c r="C205" s="5" t="s">
        <v>403</v>
      </c>
      <c r="F205" s="3"/>
      <c r="G205" s="5"/>
      <c r="H205" s="5"/>
    </row>
    <row r="206" spans="1:8" x14ac:dyDescent="0.35">
      <c r="A206" s="3">
        <v>45533</v>
      </c>
      <c r="B206" s="5" t="s">
        <v>404</v>
      </c>
      <c r="C206" s="5" t="s">
        <v>405</v>
      </c>
      <c r="F206" s="3"/>
      <c r="G206" s="5"/>
      <c r="H206" s="5"/>
    </row>
    <row r="207" spans="1:8" x14ac:dyDescent="0.35">
      <c r="A207" s="3">
        <v>45533</v>
      </c>
      <c r="B207" s="5" t="s">
        <v>406</v>
      </c>
      <c r="C207" s="5" t="s">
        <v>407</v>
      </c>
      <c r="F207" s="3"/>
      <c r="G207" s="5"/>
      <c r="H207" s="5"/>
    </row>
    <row r="208" spans="1:8" x14ac:dyDescent="0.35">
      <c r="A208" s="3">
        <v>45533</v>
      </c>
      <c r="B208" s="5" t="s">
        <v>408</v>
      </c>
      <c r="C208" s="5" t="s">
        <v>409</v>
      </c>
      <c r="F208" s="3"/>
      <c r="G208" s="5"/>
      <c r="H208" s="5"/>
    </row>
    <row r="209" spans="1:8" x14ac:dyDescent="0.35">
      <c r="A209" s="3">
        <v>45533</v>
      </c>
      <c r="B209" s="5" t="s">
        <v>410</v>
      </c>
      <c r="C209" s="5" t="s">
        <v>411</v>
      </c>
      <c r="F209" s="3"/>
      <c r="G209" s="5"/>
      <c r="H209" s="5"/>
    </row>
    <row r="210" spans="1:8" x14ac:dyDescent="0.35">
      <c r="A210" s="3">
        <v>45533</v>
      </c>
      <c r="B210" s="5" t="s">
        <v>412</v>
      </c>
      <c r="C210" s="5" t="s">
        <v>413</v>
      </c>
      <c r="F210" s="3"/>
      <c r="G210" s="5"/>
      <c r="H210" s="5"/>
    </row>
    <row r="211" spans="1:8" x14ac:dyDescent="0.35">
      <c r="A211" s="3">
        <v>45533</v>
      </c>
      <c r="B211" s="5" t="s">
        <v>414</v>
      </c>
      <c r="C211" s="5" t="s">
        <v>415</v>
      </c>
      <c r="F211" s="3"/>
      <c r="G211" s="5"/>
      <c r="H211" s="5"/>
    </row>
    <row r="212" spans="1:8" x14ac:dyDescent="0.35">
      <c r="A212" s="3">
        <v>45533</v>
      </c>
      <c r="B212" s="5" t="s">
        <v>416</v>
      </c>
      <c r="C212" s="5" t="s">
        <v>417</v>
      </c>
      <c r="F212" s="3"/>
      <c r="G212" s="5"/>
      <c r="H212" s="5"/>
    </row>
    <row r="213" spans="1:8" x14ac:dyDescent="0.35">
      <c r="A213" s="3">
        <v>45533</v>
      </c>
      <c r="B213" s="5" t="s">
        <v>418</v>
      </c>
      <c r="C213" s="5" t="s">
        <v>419</v>
      </c>
      <c r="F213" s="3"/>
      <c r="G213" s="5"/>
      <c r="H213" s="5"/>
    </row>
    <row r="214" spans="1:8" x14ac:dyDescent="0.35">
      <c r="A214" s="3">
        <v>45533</v>
      </c>
      <c r="B214" s="5" t="s">
        <v>420</v>
      </c>
      <c r="C214" s="5" t="s">
        <v>421</v>
      </c>
      <c r="F214" s="3"/>
      <c r="G214" s="5"/>
      <c r="H214" s="5"/>
    </row>
    <row r="215" spans="1:8" x14ac:dyDescent="0.35">
      <c r="A215" s="3">
        <v>45533</v>
      </c>
      <c r="B215" s="5" t="s">
        <v>422</v>
      </c>
      <c r="C215" s="5" t="s">
        <v>423</v>
      </c>
      <c r="F215" s="3"/>
      <c r="G215" s="5"/>
      <c r="H215" s="5"/>
    </row>
    <row r="216" spans="1:8" x14ac:dyDescent="0.35">
      <c r="A216" s="3">
        <v>45533</v>
      </c>
      <c r="B216" s="5" t="s">
        <v>424</v>
      </c>
      <c r="C216" s="5" t="s">
        <v>425</v>
      </c>
      <c r="F216" s="3"/>
      <c r="G216" s="5"/>
      <c r="H216" s="5"/>
    </row>
    <row r="217" spans="1:8" x14ac:dyDescent="0.35">
      <c r="A217" s="3">
        <v>45533</v>
      </c>
      <c r="B217" s="5" t="s">
        <v>426</v>
      </c>
      <c r="C217" s="5" t="s">
        <v>427</v>
      </c>
      <c r="F217" s="3"/>
      <c r="G217" s="5"/>
      <c r="H217" s="5"/>
    </row>
    <row r="218" spans="1:8" x14ac:dyDescent="0.35">
      <c r="A218" s="3">
        <v>45533</v>
      </c>
      <c r="B218" s="5" t="s">
        <v>428</v>
      </c>
      <c r="C218" s="5" t="s">
        <v>429</v>
      </c>
      <c r="F218" s="3"/>
      <c r="G218" s="5"/>
      <c r="H218" s="5"/>
    </row>
    <row r="219" spans="1:8" x14ac:dyDescent="0.35">
      <c r="A219" s="3">
        <v>45533</v>
      </c>
      <c r="B219" s="5" t="s">
        <v>430</v>
      </c>
      <c r="C219" s="5" t="s">
        <v>431</v>
      </c>
      <c r="F219" s="3"/>
      <c r="G219" s="5"/>
      <c r="H219" s="5"/>
    </row>
    <row r="220" spans="1:8" x14ac:dyDescent="0.35">
      <c r="A220" s="3">
        <v>45533</v>
      </c>
      <c r="B220" s="5" t="s">
        <v>432</v>
      </c>
      <c r="C220" s="5" t="s">
        <v>433</v>
      </c>
      <c r="F220" s="3"/>
      <c r="G220" s="5"/>
      <c r="H220" s="5"/>
    </row>
    <row r="221" spans="1:8" x14ac:dyDescent="0.35">
      <c r="A221" s="3">
        <v>45533</v>
      </c>
      <c r="B221" s="5" t="s">
        <v>434</v>
      </c>
      <c r="C221" s="5" t="s">
        <v>435</v>
      </c>
      <c r="F221" s="3"/>
      <c r="G221" s="5"/>
      <c r="H221" s="5"/>
    </row>
    <row r="222" spans="1:8" x14ac:dyDescent="0.35">
      <c r="A222" s="3">
        <v>45533</v>
      </c>
      <c r="B222" s="5" t="s">
        <v>436</v>
      </c>
      <c r="C222" s="5" t="s">
        <v>437</v>
      </c>
      <c r="F222" s="3"/>
      <c r="G222" s="5"/>
      <c r="H222" s="5"/>
    </row>
    <row r="223" spans="1:8" x14ac:dyDescent="0.35">
      <c r="A223" s="3">
        <v>45533</v>
      </c>
      <c r="B223" s="5" t="s">
        <v>438</v>
      </c>
      <c r="C223" s="5" t="s">
        <v>439</v>
      </c>
      <c r="F223" s="3"/>
      <c r="G223" s="5"/>
      <c r="H223" s="5"/>
    </row>
    <row r="224" spans="1:8" x14ac:dyDescent="0.35">
      <c r="A224" s="3">
        <v>45533</v>
      </c>
      <c r="B224" s="5" t="s">
        <v>440</v>
      </c>
      <c r="C224" s="5" t="s">
        <v>441</v>
      </c>
      <c r="F224" s="3"/>
      <c r="G224" s="5"/>
      <c r="H224" s="5"/>
    </row>
    <row r="225" spans="1:8" x14ac:dyDescent="0.35">
      <c r="A225" s="3">
        <v>45533</v>
      </c>
      <c r="B225" s="5" t="s">
        <v>442</v>
      </c>
      <c r="C225" s="5" t="s">
        <v>443</v>
      </c>
      <c r="F225" s="3"/>
      <c r="G225" s="5"/>
      <c r="H225" s="5"/>
    </row>
    <row r="226" spans="1:8" x14ac:dyDescent="0.35">
      <c r="A226" s="3">
        <v>45533</v>
      </c>
      <c r="B226" s="5" t="s">
        <v>444</v>
      </c>
      <c r="C226" s="5" t="s">
        <v>445</v>
      </c>
      <c r="F226" s="3"/>
      <c r="G226" s="5"/>
      <c r="H226" s="5"/>
    </row>
    <row r="227" spans="1:8" x14ac:dyDescent="0.35">
      <c r="A227" s="3">
        <v>45533</v>
      </c>
      <c r="B227" s="5" t="s">
        <v>446</v>
      </c>
      <c r="C227" s="5" t="s">
        <v>447</v>
      </c>
      <c r="F227" s="3"/>
      <c r="G227" s="5"/>
      <c r="H227" s="5"/>
    </row>
    <row r="228" spans="1:8" x14ac:dyDescent="0.35">
      <c r="A228" s="3">
        <v>45533</v>
      </c>
      <c r="B228" s="5" t="s">
        <v>448</v>
      </c>
      <c r="C228" s="5" t="s">
        <v>449</v>
      </c>
      <c r="F228" s="3"/>
      <c r="G228" s="5"/>
      <c r="H228" s="5"/>
    </row>
    <row r="229" spans="1:8" x14ac:dyDescent="0.35">
      <c r="A229" s="3">
        <v>45533</v>
      </c>
      <c r="B229" s="5" t="s">
        <v>450</v>
      </c>
      <c r="C229" s="5" t="s">
        <v>451</v>
      </c>
      <c r="F229" s="3"/>
      <c r="G229" s="5"/>
      <c r="H229" s="5"/>
    </row>
    <row r="230" spans="1:8" x14ac:dyDescent="0.35">
      <c r="A230" s="3">
        <v>45533</v>
      </c>
      <c r="B230" s="5" t="s">
        <v>0</v>
      </c>
      <c r="C230" s="5" t="s">
        <v>452</v>
      </c>
      <c r="F230" s="3"/>
      <c r="G230" s="5"/>
      <c r="H230" s="5"/>
    </row>
    <row r="231" spans="1:8" x14ac:dyDescent="0.35">
      <c r="A231" s="3">
        <v>45533</v>
      </c>
      <c r="B231" s="5" t="s">
        <v>453</v>
      </c>
      <c r="C231" s="5" t="s">
        <v>454</v>
      </c>
      <c r="F231" s="3"/>
      <c r="G231" s="5"/>
      <c r="H231" s="5"/>
    </row>
    <row r="232" spans="1:8" x14ac:dyDescent="0.35">
      <c r="A232" s="3">
        <v>45533</v>
      </c>
      <c r="B232" s="5" t="s">
        <v>455</v>
      </c>
      <c r="C232" s="5" t="s">
        <v>456</v>
      </c>
      <c r="F232" s="3"/>
      <c r="G232" s="5"/>
      <c r="H232" s="5"/>
    </row>
    <row r="233" spans="1:8" x14ac:dyDescent="0.35">
      <c r="A233" s="3">
        <v>45533</v>
      </c>
      <c r="B233" s="5" t="s">
        <v>457</v>
      </c>
      <c r="C233" s="5" t="s">
        <v>458</v>
      </c>
      <c r="F233" s="3"/>
      <c r="G233" s="5"/>
      <c r="H233" s="5"/>
    </row>
    <row r="234" spans="1:8" x14ac:dyDescent="0.35">
      <c r="A234" s="3">
        <v>45533</v>
      </c>
      <c r="B234" s="5" t="s">
        <v>459</v>
      </c>
      <c r="C234" s="5" t="s">
        <v>460</v>
      </c>
      <c r="F234" s="3"/>
      <c r="G234" s="5"/>
      <c r="H234" s="5"/>
    </row>
    <row r="235" spans="1:8" x14ac:dyDescent="0.35">
      <c r="A235" s="3">
        <v>45533</v>
      </c>
      <c r="B235" s="5" t="s">
        <v>461</v>
      </c>
      <c r="C235" s="5" t="s">
        <v>462</v>
      </c>
      <c r="F235" s="3"/>
      <c r="G235" s="5"/>
      <c r="H235" s="5"/>
    </row>
    <row r="236" spans="1:8" x14ac:dyDescent="0.35">
      <c r="A236" s="3">
        <v>45533</v>
      </c>
      <c r="B236" s="5" t="s">
        <v>463</v>
      </c>
      <c r="C236" s="5" t="s">
        <v>464</v>
      </c>
      <c r="F236" s="3"/>
      <c r="G236" s="5"/>
      <c r="H236" s="5"/>
    </row>
    <row r="237" spans="1:8" x14ac:dyDescent="0.35">
      <c r="A237" s="3">
        <v>45533</v>
      </c>
      <c r="B237" s="5" t="s">
        <v>465</v>
      </c>
      <c r="C237" s="5" t="s">
        <v>466</v>
      </c>
      <c r="F237" s="3"/>
      <c r="G237" s="5"/>
      <c r="H237" s="5"/>
    </row>
    <row r="238" spans="1:8" x14ac:dyDescent="0.35">
      <c r="A238" s="3">
        <v>45533</v>
      </c>
      <c r="B238" s="5" t="s">
        <v>467</v>
      </c>
      <c r="C238" s="5" t="s">
        <v>468</v>
      </c>
      <c r="F238" s="3"/>
      <c r="G238" s="5"/>
      <c r="H238" s="5"/>
    </row>
    <row r="239" spans="1:8" x14ac:dyDescent="0.35">
      <c r="A239" s="3">
        <v>45533</v>
      </c>
      <c r="B239" s="5" t="s">
        <v>469</v>
      </c>
      <c r="C239" s="5" t="s">
        <v>470</v>
      </c>
      <c r="F239" s="3"/>
      <c r="G239" s="5"/>
      <c r="H239" s="5"/>
    </row>
    <row r="240" spans="1:8" x14ac:dyDescent="0.35">
      <c r="A240" s="3">
        <v>45533</v>
      </c>
      <c r="B240" s="5" t="s">
        <v>471</v>
      </c>
      <c r="C240" s="5" t="s">
        <v>472</v>
      </c>
      <c r="F240" s="3"/>
      <c r="G240" s="5"/>
      <c r="H240" s="5"/>
    </row>
    <row r="241" spans="1:8" x14ac:dyDescent="0.35">
      <c r="A241" s="3">
        <v>45533</v>
      </c>
      <c r="B241" s="5" t="s">
        <v>473</v>
      </c>
      <c r="C241" s="5" t="s">
        <v>474</v>
      </c>
      <c r="F241" s="3"/>
      <c r="G241" s="5"/>
      <c r="H241" s="5"/>
    </row>
    <row r="242" spans="1:8" x14ac:dyDescent="0.35">
      <c r="A242" s="3">
        <v>45533</v>
      </c>
      <c r="B242" s="5" t="s">
        <v>475</v>
      </c>
      <c r="C242" s="5" t="s">
        <v>476</v>
      </c>
      <c r="F242" s="3"/>
      <c r="G242" s="5"/>
      <c r="H242" s="5"/>
    </row>
    <row r="243" spans="1:8" x14ac:dyDescent="0.35">
      <c r="A243" s="3">
        <v>45533</v>
      </c>
      <c r="B243" s="5" t="s">
        <v>477</v>
      </c>
      <c r="C243" s="5" t="s">
        <v>478</v>
      </c>
      <c r="F243" s="3"/>
      <c r="G243" s="5"/>
      <c r="H243" s="5"/>
    </row>
    <row r="244" spans="1:8" x14ac:dyDescent="0.35">
      <c r="A244" s="3">
        <v>45533</v>
      </c>
      <c r="B244" s="5" t="s">
        <v>479</v>
      </c>
      <c r="C244" s="5" t="s">
        <v>480</v>
      </c>
      <c r="F244" s="3"/>
      <c r="G244" s="5"/>
      <c r="H244" s="5"/>
    </row>
    <row r="245" spans="1:8" x14ac:dyDescent="0.35">
      <c r="A245" s="3">
        <v>45533</v>
      </c>
      <c r="B245" s="5" t="s">
        <v>481</v>
      </c>
      <c r="C245" s="5" t="s">
        <v>482</v>
      </c>
      <c r="F245" s="3"/>
      <c r="G245" s="5"/>
      <c r="H245" s="5"/>
    </row>
    <row r="246" spans="1:8" x14ac:dyDescent="0.35">
      <c r="A246" s="3">
        <v>45533</v>
      </c>
      <c r="B246" s="5" t="s">
        <v>483</v>
      </c>
      <c r="C246" s="5" t="s">
        <v>484</v>
      </c>
      <c r="F246" s="3"/>
      <c r="G246" s="5"/>
      <c r="H246" s="5"/>
    </row>
    <row r="247" spans="1:8" x14ac:dyDescent="0.35">
      <c r="A247" s="3">
        <v>45533</v>
      </c>
      <c r="B247" s="5" t="s">
        <v>485</v>
      </c>
      <c r="C247" s="5" t="s">
        <v>486</v>
      </c>
      <c r="F247" s="3"/>
      <c r="G247" s="5"/>
      <c r="H247" s="5"/>
    </row>
    <row r="248" spans="1:8" x14ac:dyDescent="0.35">
      <c r="A248" s="3">
        <v>45533</v>
      </c>
      <c r="B248" s="5" t="s">
        <v>487</v>
      </c>
      <c r="C248" s="5" t="s">
        <v>488</v>
      </c>
      <c r="F248" s="3"/>
      <c r="G248" s="5"/>
      <c r="H248" s="5"/>
    </row>
    <row r="249" spans="1:8" x14ac:dyDescent="0.35">
      <c r="A249" s="3">
        <v>45533</v>
      </c>
      <c r="B249" s="5" t="s">
        <v>489</v>
      </c>
      <c r="C249" s="5" t="s">
        <v>490</v>
      </c>
      <c r="F249" s="3"/>
      <c r="G249" s="5"/>
      <c r="H249" s="5"/>
    </row>
    <row r="250" spans="1:8" x14ac:dyDescent="0.35">
      <c r="A250" s="3">
        <v>45533</v>
      </c>
      <c r="B250" s="5" t="s">
        <v>491</v>
      </c>
      <c r="C250" s="5" t="s">
        <v>492</v>
      </c>
      <c r="F250" s="3"/>
      <c r="G250" s="5"/>
      <c r="H250" s="5"/>
    </row>
    <row r="251" spans="1:8" x14ac:dyDescent="0.35">
      <c r="A251" s="3">
        <v>45533</v>
      </c>
      <c r="B251" s="5" t="s">
        <v>493</v>
      </c>
      <c r="C251" s="5" t="s">
        <v>494</v>
      </c>
      <c r="F251" s="3"/>
      <c r="G251" s="5"/>
      <c r="H251" s="5"/>
    </row>
    <row r="252" spans="1:8" x14ac:dyDescent="0.35">
      <c r="A252" s="3">
        <v>45533</v>
      </c>
      <c r="B252" s="5" t="s">
        <v>495</v>
      </c>
      <c r="C252" s="5" t="s">
        <v>496</v>
      </c>
      <c r="F252" s="3"/>
      <c r="G252" s="5"/>
      <c r="H252" s="5"/>
    </row>
    <row r="253" spans="1:8" x14ac:dyDescent="0.35">
      <c r="A253" s="3">
        <v>45533</v>
      </c>
      <c r="B253" s="5" t="s">
        <v>497</v>
      </c>
      <c r="C253" s="5" t="s">
        <v>498</v>
      </c>
      <c r="F253" s="3"/>
      <c r="G253" s="5"/>
      <c r="H253" s="5"/>
    </row>
    <row r="254" spans="1:8" x14ac:dyDescent="0.35">
      <c r="A254" s="3">
        <v>45533</v>
      </c>
      <c r="B254" s="5" t="s">
        <v>499</v>
      </c>
      <c r="C254" s="5" t="s">
        <v>500</v>
      </c>
      <c r="F254" s="3"/>
      <c r="G254" s="5"/>
      <c r="H254" s="5"/>
    </row>
    <row r="255" spans="1:8" x14ac:dyDescent="0.35">
      <c r="A255" s="3">
        <v>45533</v>
      </c>
      <c r="B255" s="5" t="s">
        <v>501</v>
      </c>
      <c r="C255" s="5" t="s">
        <v>502</v>
      </c>
      <c r="F255" s="3"/>
      <c r="G255" s="5"/>
      <c r="H255" s="5"/>
    </row>
    <row r="256" spans="1:8" x14ac:dyDescent="0.35">
      <c r="A256" s="3">
        <v>45533</v>
      </c>
      <c r="B256" s="5" t="s">
        <v>503</v>
      </c>
      <c r="C256" s="5" t="s">
        <v>504</v>
      </c>
      <c r="F256" s="3"/>
      <c r="G256" s="5"/>
      <c r="H256" s="5"/>
    </row>
    <row r="257" spans="1:8" x14ac:dyDescent="0.35">
      <c r="A257" s="3">
        <v>45533</v>
      </c>
      <c r="B257" s="5" t="s">
        <v>505</v>
      </c>
      <c r="C257" s="5" t="s">
        <v>506</v>
      </c>
      <c r="F257" s="3"/>
      <c r="G257" s="5"/>
      <c r="H257" s="5"/>
    </row>
    <row r="258" spans="1:8" x14ac:dyDescent="0.35">
      <c r="A258" s="3">
        <v>45533</v>
      </c>
      <c r="B258" s="5" t="s">
        <v>507</v>
      </c>
      <c r="C258" s="5" t="s">
        <v>508</v>
      </c>
      <c r="F258" s="3"/>
      <c r="G258" s="5"/>
      <c r="H258" s="5"/>
    </row>
    <row r="259" spans="1:8" x14ac:dyDescent="0.35">
      <c r="A259" s="3">
        <v>45533</v>
      </c>
      <c r="B259" s="5" t="s">
        <v>509</v>
      </c>
      <c r="C259" s="5" t="s">
        <v>510</v>
      </c>
      <c r="F259" s="3"/>
      <c r="G259" s="5"/>
      <c r="H259" s="5"/>
    </row>
    <row r="260" spans="1:8" x14ac:dyDescent="0.35">
      <c r="A260" s="3">
        <v>45533</v>
      </c>
      <c r="B260" s="5" t="s">
        <v>511</v>
      </c>
      <c r="C260" s="5" t="s">
        <v>512</v>
      </c>
      <c r="F260" s="3"/>
      <c r="G260" s="5"/>
      <c r="H260" s="5"/>
    </row>
    <row r="261" spans="1:8" x14ac:dyDescent="0.35">
      <c r="A261" s="3">
        <v>45533</v>
      </c>
      <c r="B261" s="5" t="s">
        <v>513</v>
      </c>
      <c r="C261" s="5" t="s">
        <v>514</v>
      </c>
      <c r="F261" s="3"/>
      <c r="G261" s="5"/>
      <c r="H261" s="5"/>
    </row>
    <row r="262" spans="1:8" x14ac:dyDescent="0.35">
      <c r="A262" s="3">
        <v>45533</v>
      </c>
      <c r="B262" s="5" t="s">
        <v>515</v>
      </c>
      <c r="C262" s="5" t="s">
        <v>516</v>
      </c>
      <c r="F262" s="3"/>
      <c r="G262" s="5"/>
      <c r="H262" s="5"/>
    </row>
    <row r="263" spans="1:8" x14ac:dyDescent="0.35">
      <c r="A263" s="3">
        <v>45533</v>
      </c>
      <c r="B263" s="5" t="s">
        <v>517</v>
      </c>
      <c r="C263" s="5" t="s">
        <v>518</v>
      </c>
      <c r="F263" s="3"/>
      <c r="G263" s="5"/>
      <c r="H263" s="5"/>
    </row>
    <row r="264" spans="1:8" x14ac:dyDescent="0.35">
      <c r="A264" s="3">
        <v>45533</v>
      </c>
      <c r="B264" s="5" t="s">
        <v>519</v>
      </c>
      <c r="C264" s="5" t="s">
        <v>520</v>
      </c>
      <c r="F264" s="3"/>
      <c r="G264" s="5"/>
      <c r="H264" s="5"/>
    </row>
    <row r="265" spans="1:8" x14ac:dyDescent="0.35">
      <c r="A265" s="3">
        <v>45533</v>
      </c>
      <c r="B265" s="5" t="s">
        <v>521</v>
      </c>
      <c r="C265" s="5" t="s">
        <v>522</v>
      </c>
      <c r="F265" s="3"/>
      <c r="G265" s="5"/>
      <c r="H265" s="5"/>
    </row>
    <row r="266" spans="1:8" x14ac:dyDescent="0.35">
      <c r="A266" s="3">
        <v>45533</v>
      </c>
      <c r="B266" s="5" t="s">
        <v>523</v>
      </c>
      <c r="C266" s="5" t="s">
        <v>524</v>
      </c>
      <c r="F266" s="3"/>
      <c r="G266" s="5"/>
      <c r="H266" s="5"/>
    </row>
    <row r="267" spans="1:8" x14ac:dyDescent="0.35">
      <c r="A267" s="3">
        <v>45533</v>
      </c>
      <c r="B267" s="5" t="s">
        <v>525</v>
      </c>
      <c r="C267" s="5" t="s">
        <v>526</v>
      </c>
      <c r="F267" s="3"/>
      <c r="G267" s="5"/>
      <c r="H267" s="5"/>
    </row>
    <row r="268" spans="1:8" x14ac:dyDescent="0.35">
      <c r="A268" s="3">
        <v>45533</v>
      </c>
      <c r="B268" s="5" t="s">
        <v>527</v>
      </c>
      <c r="C268" s="5" t="s">
        <v>528</v>
      </c>
      <c r="F268" s="3"/>
      <c r="G268" s="5"/>
      <c r="H268" s="5"/>
    </row>
    <row r="269" spans="1:8" x14ac:dyDescent="0.35">
      <c r="A269" s="3">
        <v>45533</v>
      </c>
      <c r="B269" s="5" t="s">
        <v>529</v>
      </c>
      <c r="C269" s="5" t="s">
        <v>530</v>
      </c>
      <c r="F269" s="3"/>
      <c r="G269" s="5"/>
      <c r="H269" s="5"/>
    </row>
    <row r="270" spans="1:8" x14ac:dyDescent="0.35">
      <c r="A270" s="3">
        <v>45533</v>
      </c>
      <c r="B270" s="5" t="s">
        <v>531</v>
      </c>
      <c r="C270" s="5" t="s">
        <v>532</v>
      </c>
      <c r="F270" s="3"/>
      <c r="G270" s="5"/>
      <c r="H270" s="5"/>
    </row>
    <row r="271" spans="1:8" x14ac:dyDescent="0.35">
      <c r="A271" s="3">
        <v>45533</v>
      </c>
      <c r="B271" s="5" t="s">
        <v>533</v>
      </c>
      <c r="C271" s="5" t="s">
        <v>534</v>
      </c>
      <c r="F271" s="3"/>
      <c r="G271" s="5"/>
      <c r="H271" s="5"/>
    </row>
    <row r="272" spans="1:8" x14ac:dyDescent="0.35">
      <c r="A272" s="3">
        <v>45533</v>
      </c>
      <c r="B272" s="5" t="s">
        <v>535</v>
      </c>
      <c r="C272" s="5" t="s">
        <v>536</v>
      </c>
      <c r="F272" s="3"/>
      <c r="G272" s="5"/>
      <c r="H272" s="5"/>
    </row>
    <row r="273" spans="1:8" x14ac:dyDescent="0.35">
      <c r="A273" s="3">
        <v>45533</v>
      </c>
      <c r="B273" s="5" t="s">
        <v>537</v>
      </c>
      <c r="C273" s="5" t="s">
        <v>538</v>
      </c>
      <c r="F273" s="3"/>
      <c r="G273" s="5"/>
      <c r="H273" s="5"/>
    </row>
    <row r="274" spans="1:8" x14ac:dyDescent="0.35">
      <c r="A274" s="3">
        <v>45533</v>
      </c>
      <c r="B274" s="5" t="s">
        <v>539</v>
      </c>
      <c r="C274" s="5" t="s">
        <v>540</v>
      </c>
      <c r="F274" s="3"/>
      <c r="G274" s="5"/>
      <c r="H274" s="5"/>
    </row>
    <row r="275" spans="1:8" x14ac:dyDescent="0.35">
      <c r="A275" s="3">
        <v>45533</v>
      </c>
      <c r="B275" s="5" t="s">
        <v>541</v>
      </c>
      <c r="C275" s="5" t="s">
        <v>542</v>
      </c>
      <c r="F275" s="3"/>
      <c r="G275" s="5"/>
      <c r="H275" s="5"/>
    </row>
    <row r="276" spans="1:8" x14ac:dyDescent="0.35">
      <c r="A276" s="3">
        <v>45533</v>
      </c>
      <c r="B276" s="5" t="s">
        <v>543</v>
      </c>
      <c r="C276" s="5" t="s">
        <v>544</v>
      </c>
      <c r="F276" s="3"/>
      <c r="G276" s="5"/>
      <c r="H276" s="5"/>
    </row>
    <row r="277" spans="1:8" x14ac:dyDescent="0.35">
      <c r="A277" s="3">
        <v>45533</v>
      </c>
      <c r="B277" s="5" t="s">
        <v>545</v>
      </c>
      <c r="C277" s="5" t="s">
        <v>546</v>
      </c>
      <c r="F277" s="3"/>
      <c r="G277" s="5"/>
      <c r="H277" s="5"/>
    </row>
    <row r="278" spans="1:8" x14ac:dyDescent="0.35">
      <c r="A278" s="3">
        <v>45533</v>
      </c>
      <c r="B278" s="5" t="s">
        <v>547</v>
      </c>
      <c r="C278" s="5" t="s">
        <v>548</v>
      </c>
      <c r="F278" s="3"/>
      <c r="G278" s="5"/>
      <c r="H278" s="5"/>
    </row>
    <row r="279" spans="1:8" x14ac:dyDescent="0.35">
      <c r="A279" s="3">
        <v>45533</v>
      </c>
      <c r="B279" s="5" t="s">
        <v>549</v>
      </c>
      <c r="C279" s="5" t="s">
        <v>550</v>
      </c>
      <c r="F279" s="3"/>
      <c r="G279" s="5"/>
      <c r="H279" s="5"/>
    </row>
    <row r="280" spans="1:8" x14ac:dyDescent="0.35">
      <c r="A280" s="3">
        <v>45533</v>
      </c>
      <c r="B280" s="5" t="s">
        <v>551</v>
      </c>
      <c r="C280" s="5" t="s">
        <v>552</v>
      </c>
      <c r="F280" s="3"/>
      <c r="G280" s="5"/>
      <c r="H280" s="5"/>
    </row>
    <row r="281" spans="1:8" x14ac:dyDescent="0.35">
      <c r="A281" s="3">
        <v>45533</v>
      </c>
      <c r="B281" s="5" t="s">
        <v>553</v>
      </c>
      <c r="C281" s="5" t="s">
        <v>554</v>
      </c>
      <c r="F281" s="3"/>
      <c r="G281" s="5"/>
      <c r="H281" s="5"/>
    </row>
    <row r="282" spans="1:8" x14ac:dyDescent="0.35">
      <c r="A282" s="3">
        <v>45533</v>
      </c>
      <c r="B282" s="5" t="s">
        <v>555</v>
      </c>
      <c r="C282" s="5" t="s">
        <v>556</v>
      </c>
      <c r="F282" s="3"/>
      <c r="G282" s="5"/>
      <c r="H282" s="5"/>
    </row>
    <row r="283" spans="1:8" x14ac:dyDescent="0.35">
      <c r="A283" s="3">
        <v>45533</v>
      </c>
      <c r="B283" s="5" t="s">
        <v>557</v>
      </c>
      <c r="C283" s="5" t="s">
        <v>558</v>
      </c>
      <c r="F283" s="3"/>
      <c r="G283" s="5"/>
      <c r="H283" s="5"/>
    </row>
    <row r="284" spans="1:8" x14ac:dyDescent="0.35">
      <c r="A284" s="3">
        <v>45533</v>
      </c>
      <c r="B284" s="5" t="s">
        <v>559</v>
      </c>
      <c r="C284" s="5" t="s">
        <v>560</v>
      </c>
      <c r="F284" s="3"/>
      <c r="G284" s="5"/>
      <c r="H284" s="5"/>
    </row>
    <row r="285" spans="1:8" x14ac:dyDescent="0.35">
      <c r="A285" s="3">
        <v>45533</v>
      </c>
      <c r="B285" s="5" t="s">
        <v>561</v>
      </c>
      <c r="C285" s="5" t="s">
        <v>562</v>
      </c>
      <c r="F285" s="3"/>
      <c r="G285" s="5"/>
      <c r="H285" s="5"/>
    </row>
    <row r="286" spans="1:8" x14ac:dyDescent="0.35">
      <c r="A286" s="3">
        <v>45533</v>
      </c>
      <c r="B286" s="5" t="s">
        <v>563</v>
      </c>
      <c r="C286" s="5" t="s">
        <v>564</v>
      </c>
      <c r="F286" s="3"/>
      <c r="G286" s="5"/>
      <c r="H286" s="5"/>
    </row>
    <row r="287" spans="1:8" x14ac:dyDescent="0.35">
      <c r="A287" s="3">
        <v>45533</v>
      </c>
      <c r="B287" s="5" t="s">
        <v>565</v>
      </c>
      <c r="C287" s="5" t="s">
        <v>566</v>
      </c>
      <c r="F287" s="3"/>
      <c r="G287" s="5"/>
      <c r="H287" s="5"/>
    </row>
    <row r="288" spans="1:8" x14ac:dyDescent="0.35">
      <c r="A288" s="3">
        <v>45533</v>
      </c>
      <c r="B288" s="5" t="s">
        <v>567</v>
      </c>
      <c r="C288" s="5" t="s">
        <v>568</v>
      </c>
      <c r="F288" s="3"/>
      <c r="G288" s="5"/>
      <c r="H288" s="5"/>
    </row>
    <row r="289" spans="1:8" x14ac:dyDescent="0.35">
      <c r="A289" s="3">
        <v>45533</v>
      </c>
      <c r="B289" s="5" t="s">
        <v>569</v>
      </c>
      <c r="C289" s="5" t="s">
        <v>570</v>
      </c>
      <c r="F289" s="3"/>
      <c r="G289" s="5"/>
      <c r="H289" s="5"/>
    </row>
    <row r="290" spans="1:8" x14ac:dyDescent="0.35">
      <c r="A290" s="3">
        <v>45533</v>
      </c>
      <c r="B290" s="5" t="s">
        <v>571</v>
      </c>
      <c r="C290" s="5" t="s">
        <v>572</v>
      </c>
      <c r="F290" s="3"/>
      <c r="G290" s="5"/>
      <c r="H290" s="5"/>
    </row>
    <row r="291" spans="1:8" x14ac:dyDescent="0.35">
      <c r="A291" s="3">
        <v>45533</v>
      </c>
      <c r="B291" s="5" t="s">
        <v>573</v>
      </c>
      <c r="C291" s="5" t="s">
        <v>574</v>
      </c>
      <c r="F291" s="3"/>
      <c r="G291" s="5"/>
      <c r="H291" s="5"/>
    </row>
    <row r="292" spans="1:8" x14ac:dyDescent="0.35">
      <c r="A292" s="3">
        <v>45533</v>
      </c>
      <c r="B292" s="5" t="s">
        <v>575</v>
      </c>
      <c r="C292" s="5" t="s">
        <v>576</v>
      </c>
      <c r="F292" s="3"/>
      <c r="G292" s="5"/>
      <c r="H292" s="5"/>
    </row>
    <row r="293" spans="1:8" x14ac:dyDescent="0.35">
      <c r="A293" s="3">
        <v>45533</v>
      </c>
      <c r="B293" s="5" t="s">
        <v>577</v>
      </c>
      <c r="C293" s="5" t="s">
        <v>578</v>
      </c>
      <c r="F293" s="3"/>
      <c r="G293" s="5"/>
      <c r="H293" s="5"/>
    </row>
    <row r="294" spans="1:8" x14ac:dyDescent="0.35">
      <c r="A294" s="3">
        <v>45533</v>
      </c>
      <c r="B294" s="5" t="s">
        <v>579</v>
      </c>
      <c r="C294" s="5" t="s">
        <v>580</v>
      </c>
      <c r="F294" s="3"/>
      <c r="G294" s="5"/>
      <c r="H294" s="5"/>
    </row>
    <row r="295" spans="1:8" x14ac:dyDescent="0.35">
      <c r="A295" s="3">
        <v>45533</v>
      </c>
      <c r="B295" s="5" t="s">
        <v>581</v>
      </c>
      <c r="C295" s="5" t="s">
        <v>582</v>
      </c>
      <c r="F295" s="3"/>
      <c r="G295" s="5"/>
      <c r="H295" s="5"/>
    </row>
    <row r="296" spans="1:8" x14ac:dyDescent="0.35">
      <c r="A296" s="3">
        <v>45533</v>
      </c>
      <c r="B296" s="5" t="s">
        <v>583</v>
      </c>
      <c r="C296" s="5" t="s">
        <v>584</v>
      </c>
      <c r="F296" s="3"/>
      <c r="G296" s="5"/>
      <c r="H296" s="5"/>
    </row>
    <row r="297" spans="1:8" x14ac:dyDescent="0.35">
      <c r="A297" s="3">
        <v>45533</v>
      </c>
      <c r="B297" s="5" t="s">
        <v>585</v>
      </c>
      <c r="C297" s="5" t="s">
        <v>586</v>
      </c>
      <c r="F297" s="3"/>
      <c r="G297" s="5"/>
      <c r="H297" s="5"/>
    </row>
    <row r="298" spans="1:8" x14ac:dyDescent="0.35">
      <c r="A298" s="3">
        <v>45533</v>
      </c>
      <c r="B298" s="5" t="s">
        <v>587</v>
      </c>
      <c r="C298" s="5" t="s">
        <v>588</v>
      </c>
      <c r="F298" s="3"/>
      <c r="G298" s="5"/>
      <c r="H298" s="5"/>
    </row>
    <row r="299" spans="1:8" x14ac:dyDescent="0.35">
      <c r="A299" s="3">
        <v>45533</v>
      </c>
      <c r="B299" s="5" t="s">
        <v>589</v>
      </c>
      <c r="C299" s="5" t="s">
        <v>590</v>
      </c>
      <c r="F299" s="3"/>
      <c r="G299" s="5"/>
      <c r="H299" s="5"/>
    </row>
    <row r="300" spans="1:8" x14ac:dyDescent="0.35">
      <c r="A300" s="3">
        <v>45533</v>
      </c>
      <c r="B300" s="5" t="s">
        <v>591</v>
      </c>
      <c r="C300" s="5" t="s">
        <v>592</v>
      </c>
      <c r="F300" s="3"/>
      <c r="G300" s="5"/>
      <c r="H300" s="5"/>
    </row>
    <row r="301" spans="1:8" x14ac:dyDescent="0.35">
      <c r="A301" s="3">
        <v>45533</v>
      </c>
      <c r="B301" s="5" t="s">
        <v>593</v>
      </c>
      <c r="C301" s="5" t="s">
        <v>594</v>
      </c>
      <c r="F301" s="3"/>
      <c r="G301" s="5"/>
      <c r="H301" s="5"/>
    </row>
    <row r="302" spans="1:8" x14ac:dyDescent="0.35">
      <c r="A302" s="3">
        <v>45533</v>
      </c>
      <c r="B302" s="5" t="s">
        <v>595</v>
      </c>
      <c r="C302" s="5" t="s">
        <v>596</v>
      </c>
      <c r="F302" s="3"/>
      <c r="G302" s="5"/>
      <c r="H302" s="5"/>
    </row>
    <row r="303" spans="1:8" x14ac:dyDescent="0.35">
      <c r="A303" s="3">
        <v>45533</v>
      </c>
      <c r="B303" s="5" t="s">
        <v>597</v>
      </c>
      <c r="C303" s="5" t="s">
        <v>598</v>
      </c>
      <c r="F303" s="3"/>
      <c r="G303" s="5"/>
      <c r="H303" s="5"/>
    </row>
    <row r="304" spans="1:8" x14ac:dyDescent="0.35">
      <c r="A304" s="3">
        <v>45533</v>
      </c>
      <c r="B304" s="5" t="s">
        <v>599</v>
      </c>
      <c r="C304" s="5" t="s">
        <v>600</v>
      </c>
      <c r="F304" s="3"/>
      <c r="G304" s="5"/>
      <c r="H304" s="5"/>
    </row>
    <row r="305" spans="1:8" x14ac:dyDescent="0.35">
      <c r="A305" s="3">
        <v>45533</v>
      </c>
      <c r="B305" s="5" t="s">
        <v>601</v>
      </c>
      <c r="C305" s="5" t="s">
        <v>602</v>
      </c>
      <c r="F305" s="3"/>
      <c r="G305" s="5"/>
      <c r="H305" s="5"/>
    </row>
    <row r="306" spans="1:8" x14ac:dyDescent="0.35">
      <c r="A306" s="3">
        <v>45533</v>
      </c>
      <c r="B306" s="5" t="s">
        <v>603</v>
      </c>
      <c r="C306" s="5" t="s">
        <v>604</v>
      </c>
      <c r="F306" s="3"/>
      <c r="G306" s="5"/>
      <c r="H306" s="5"/>
    </row>
    <row r="307" spans="1:8" x14ac:dyDescent="0.35">
      <c r="A307" s="3">
        <v>45533</v>
      </c>
      <c r="B307" s="5" t="s">
        <v>605</v>
      </c>
      <c r="C307" s="5" t="s">
        <v>606</v>
      </c>
      <c r="F307" s="3"/>
      <c r="G307" s="5"/>
      <c r="H307" s="5"/>
    </row>
    <row r="308" spans="1:8" x14ac:dyDescent="0.35">
      <c r="A308" s="3">
        <v>45533</v>
      </c>
      <c r="B308" s="5" t="s">
        <v>607</v>
      </c>
      <c r="C308" s="5" t="s">
        <v>608</v>
      </c>
      <c r="F308" s="3"/>
      <c r="G308" s="5"/>
      <c r="H308" s="5"/>
    </row>
    <row r="309" spans="1:8" x14ac:dyDescent="0.35">
      <c r="A309" s="3">
        <v>45533</v>
      </c>
      <c r="B309" s="5" t="s">
        <v>609</v>
      </c>
      <c r="C309" s="5" t="s">
        <v>610</v>
      </c>
      <c r="F309" s="3"/>
      <c r="G309" s="5"/>
      <c r="H309" s="5"/>
    </row>
    <row r="310" spans="1:8" x14ac:dyDescent="0.35">
      <c r="A310" s="3">
        <v>45533</v>
      </c>
      <c r="B310" s="5" t="s">
        <v>611</v>
      </c>
      <c r="C310" s="5" t="s">
        <v>612</v>
      </c>
      <c r="F310" s="3"/>
      <c r="G310" s="5"/>
      <c r="H310" s="5"/>
    </row>
    <row r="311" spans="1:8" x14ac:dyDescent="0.35">
      <c r="A311" s="3">
        <v>45533</v>
      </c>
      <c r="B311" s="5" t="s">
        <v>613</v>
      </c>
      <c r="C311" s="5" t="s">
        <v>614</v>
      </c>
      <c r="F311" s="3"/>
      <c r="G311" s="5"/>
      <c r="H311" s="5"/>
    </row>
    <row r="312" spans="1:8" x14ac:dyDescent="0.35">
      <c r="A312" s="3">
        <v>45533</v>
      </c>
      <c r="B312" s="5" t="s">
        <v>615</v>
      </c>
      <c r="C312" s="5" t="s">
        <v>616</v>
      </c>
      <c r="F312" s="3"/>
      <c r="G312" s="5"/>
      <c r="H312" s="5"/>
    </row>
    <row r="313" spans="1:8" x14ac:dyDescent="0.35">
      <c r="A313" s="3">
        <v>45533</v>
      </c>
      <c r="B313" s="5" t="s">
        <v>617</v>
      </c>
      <c r="C313" s="5" t="s">
        <v>618</v>
      </c>
      <c r="F313" s="3"/>
      <c r="G313" s="5"/>
      <c r="H313" s="5"/>
    </row>
    <row r="314" spans="1:8" x14ac:dyDescent="0.35">
      <c r="A314" s="3">
        <v>45533</v>
      </c>
      <c r="B314" s="5" t="s">
        <v>619</v>
      </c>
      <c r="C314" s="5" t="s">
        <v>620</v>
      </c>
      <c r="F314" s="3"/>
      <c r="G314" s="5"/>
      <c r="H314" s="5"/>
    </row>
    <row r="315" spans="1:8" x14ac:dyDescent="0.35">
      <c r="A315" s="3">
        <v>45533</v>
      </c>
      <c r="B315" s="5" t="s">
        <v>621</v>
      </c>
      <c r="C315" s="5" t="s">
        <v>622</v>
      </c>
      <c r="F315" s="3"/>
      <c r="G315" s="5"/>
      <c r="H315" s="5"/>
    </row>
    <row r="316" spans="1:8" x14ac:dyDescent="0.35">
      <c r="A316" s="3">
        <v>45533</v>
      </c>
      <c r="B316" s="5" t="s">
        <v>623</v>
      </c>
      <c r="C316" s="5" t="s">
        <v>624</v>
      </c>
      <c r="F316" s="3"/>
      <c r="G316" s="5"/>
      <c r="H316" s="5"/>
    </row>
    <row r="317" spans="1:8" x14ac:dyDescent="0.35">
      <c r="A317" s="3">
        <v>45533</v>
      </c>
      <c r="B317" s="5" t="s">
        <v>625</v>
      </c>
      <c r="C317" s="5" t="s">
        <v>626</v>
      </c>
      <c r="F317" s="3"/>
      <c r="G317" s="5"/>
      <c r="H317" s="5"/>
    </row>
    <row r="318" spans="1:8" x14ac:dyDescent="0.35">
      <c r="A318" s="3">
        <v>45533</v>
      </c>
      <c r="B318" s="5" t="s">
        <v>627</v>
      </c>
      <c r="C318" s="5" t="s">
        <v>628</v>
      </c>
      <c r="F318" s="3"/>
      <c r="G318" s="5"/>
      <c r="H318" s="5"/>
    </row>
    <row r="319" spans="1:8" x14ac:dyDescent="0.35">
      <c r="A319" s="3">
        <v>45533</v>
      </c>
      <c r="B319" s="5" t="s">
        <v>629</v>
      </c>
      <c r="C319" s="5" t="s">
        <v>630</v>
      </c>
      <c r="F319" s="3"/>
      <c r="G319" s="5"/>
      <c r="H319" s="5"/>
    </row>
    <row r="320" spans="1:8" x14ac:dyDescent="0.35">
      <c r="A320" s="3">
        <v>45533</v>
      </c>
      <c r="B320" s="5" t="s">
        <v>631</v>
      </c>
      <c r="C320" s="5" t="s">
        <v>632</v>
      </c>
      <c r="F320" s="3"/>
      <c r="G320" s="5"/>
      <c r="H320" s="5"/>
    </row>
    <row r="321" spans="1:8" x14ac:dyDescent="0.35">
      <c r="A321" s="3">
        <v>45533</v>
      </c>
      <c r="B321" s="5" t="s">
        <v>633</v>
      </c>
      <c r="C321" s="5" t="s">
        <v>634</v>
      </c>
      <c r="F321" s="3"/>
      <c r="G321" s="5"/>
      <c r="H321" s="5"/>
    </row>
    <row r="322" spans="1:8" x14ac:dyDescent="0.35">
      <c r="A322" s="3">
        <v>45533</v>
      </c>
      <c r="B322" s="5" t="s">
        <v>635</v>
      </c>
      <c r="C322" s="5" t="s">
        <v>636</v>
      </c>
      <c r="F322" s="3"/>
      <c r="G322" s="5"/>
      <c r="H322" s="5"/>
    </row>
    <row r="323" spans="1:8" x14ac:dyDescent="0.35">
      <c r="A323" s="3">
        <v>45533</v>
      </c>
      <c r="B323" s="5" t="s">
        <v>637</v>
      </c>
      <c r="C323" s="5" t="s">
        <v>638</v>
      </c>
      <c r="F323" s="3"/>
      <c r="G323" s="5"/>
      <c r="H323" s="5"/>
    </row>
    <row r="324" spans="1:8" x14ac:dyDescent="0.35">
      <c r="A324" s="3">
        <v>45533</v>
      </c>
      <c r="B324" s="5" t="s">
        <v>639</v>
      </c>
      <c r="C324" s="5" t="s">
        <v>640</v>
      </c>
      <c r="F324" s="3"/>
      <c r="G324" s="5"/>
      <c r="H324" s="5"/>
    </row>
    <row r="325" spans="1:8" x14ac:dyDescent="0.35">
      <c r="A325" s="3">
        <v>45533</v>
      </c>
      <c r="B325" s="5" t="s">
        <v>641</v>
      </c>
      <c r="C325" s="5" t="s">
        <v>642</v>
      </c>
      <c r="F325" s="3"/>
      <c r="G325" s="5"/>
      <c r="H325" s="5"/>
    </row>
    <row r="326" spans="1:8" x14ac:dyDescent="0.35">
      <c r="A326" s="3">
        <v>45533</v>
      </c>
      <c r="B326" s="5" t="s">
        <v>643</v>
      </c>
      <c r="C326" s="5" t="s">
        <v>644</v>
      </c>
      <c r="F326" s="3"/>
      <c r="G326" s="5"/>
      <c r="H326" s="5"/>
    </row>
    <row r="327" spans="1:8" x14ac:dyDescent="0.35">
      <c r="A327" s="3">
        <v>45533</v>
      </c>
      <c r="B327" s="5" t="s">
        <v>645</v>
      </c>
      <c r="C327" s="5" t="s">
        <v>646</v>
      </c>
      <c r="F327" s="3"/>
      <c r="G327" s="5"/>
      <c r="H327" s="5"/>
    </row>
    <row r="328" spans="1:8" x14ac:dyDescent="0.35">
      <c r="A328" s="3">
        <v>45533</v>
      </c>
      <c r="B328" s="5" t="s">
        <v>647</v>
      </c>
      <c r="C328" s="5" t="s">
        <v>648</v>
      </c>
      <c r="F328" s="3"/>
      <c r="G328" s="5"/>
      <c r="H328" s="5"/>
    </row>
    <row r="329" spans="1:8" x14ac:dyDescent="0.35">
      <c r="A329" s="3">
        <v>45533</v>
      </c>
      <c r="B329" s="5" t="s">
        <v>649</v>
      </c>
      <c r="C329" s="5" t="s">
        <v>650</v>
      </c>
      <c r="F329" s="3"/>
      <c r="G329" s="5"/>
      <c r="H329" s="5"/>
    </row>
    <row r="330" spans="1:8" x14ac:dyDescent="0.35">
      <c r="A330" s="3">
        <v>45533</v>
      </c>
      <c r="B330" s="5" t="s">
        <v>651</v>
      </c>
      <c r="C330" s="5" t="s">
        <v>652</v>
      </c>
      <c r="F330" s="3"/>
      <c r="G330" s="5"/>
      <c r="H330" s="5"/>
    </row>
    <row r="331" spans="1:8" x14ac:dyDescent="0.35">
      <c r="A331" s="3">
        <v>45533</v>
      </c>
      <c r="B331" s="5" t="s">
        <v>653</v>
      </c>
      <c r="C331" s="5" t="s">
        <v>654</v>
      </c>
      <c r="F331" s="3"/>
      <c r="G331" s="5"/>
      <c r="H331" s="5"/>
    </row>
    <row r="332" spans="1:8" x14ac:dyDescent="0.35">
      <c r="A332" s="3">
        <v>45533</v>
      </c>
      <c r="B332" s="5" t="s">
        <v>655</v>
      </c>
      <c r="C332" s="5" t="s">
        <v>656</v>
      </c>
      <c r="F332" s="3"/>
      <c r="G332" s="5"/>
      <c r="H332" s="5"/>
    </row>
    <row r="333" spans="1:8" x14ac:dyDescent="0.35">
      <c r="A333" s="3">
        <v>45533</v>
      </c>
      <c r="B333" s="5" t="s">
        <v>657</v>
      </c>
      <c r="C333" s="5" t="s">
        <v>658</v>
      </c>
      <c r="F333" s="3"/>
      <c r="G333" s="5"/>
      <c r="H333" s="5"/>
    </row>
    <row r="334" spans="1:8" x14ac:dyDescent="0.35">
      <c r="A334" s="3">
        <v>45533</v>
      </c>
      <c r="B334" s="5" t="s">
        <v>659</v>
      </c>
      <c r="C334" s="5" t="s">
        <v>660</v>
      </c>
      <c r="F334" s="3"/>
      <c r="G334" s="5"/>
      <c r="H334" s="5"/>
    </row>
    <row r="335" spans="1:8" x14ac:dyDescent="0.35">
      <c r="A335" s="3">
        <v>45533</v>
      </c>
      <c r="B335" s="5" t="s">
        <v>661</v>
      </c>
      <c r="C335" s="5" t="s">
        <v>662</v>
      </c>
      <c r="F335" s="3"/>
      <c r="G335" s="5"/>
      <c r="H335" s="5"/>
    </row>
    <row r="336" spans="1:8" x14ac:dyDescent="0.35">
      <c r="A336" s="3">
        <v>45533</v>
      </c>
      <c r="B336" s="5" t="s">
        <v>663</v>
      </c>
      <c r="C336" s="5" t="s">
        <v>664</v>
      </c>
      <c r="F336" s="3"/>
      <c r="G336" s="5"/>
      <c r="H336" s="5"/>
    </row>
    <row r="337" spans="1:8" x14ac:dyDescent="0.35">
      <c r="A337" s="3">
        <v>45533</v>
      </c>
      <c r="B337" s="5" t="s">
        <v>665</v>
      </c>
      <c r="C337" s="5" t="s">
        <v>666</v>
      </c>
      <c r="F337" s="3"/>
      <c r="G337" s="5"/>
      <c r="H337" s="5"/>
    </row>
    <row r="338" spans="1:8" x14ac:dyDescent="0.35">
      <c r="A338" s="3">
        <v>45533</v>
      </c>
      <c r="B338" s="5" t="s">
        <v>667</v>
      </c>
      <c r="C338" s="5" t="s">
        <v>668</v>
      </c>
      <c r="F338" s="3"/>
      <c r="G338" s="5"/>
      <c r="H338" s="5"/>
    </row>
    <row r="339" spans="1:8" x14ac:dyDescent="0.35">
      <c r="A339" s="3">
        <v>45533</v>
      </c>
      <c r="B339" s="5" t="s">
        <v>669</v>
      </c>
      <c r="C339" s="5" t="s">
        <v>670</v>
      </c>
      <c r="F339" s="3"/>
      <c r="G339" s="5"/>
      <c r="H339" s="5"/>
    </row>
    <row r="340" spans="1:8" x14ac:dyDescent="0.35">
      <c r="A340" s="3">
        <v>45533</v>
      </c>
      <c r="B340" s="5" t="s">
        <v>671</v>
      </c>
      <c r="C340" s="5" t="s">
        <v>672</v>
      </c>
      <c r="F340" s="3"/>
      <c r="G340" s="5"/>
      <c r="H340" s="5"/>
    </row>
    <row r="341" spans="1:8" x14ac:dyDescent="0.35">
      <c r="F341" s="3"/>
      <c r="G341" s="5"/>
      <c r="H341" s="5"/>
    </row>
    <row r="342" spans="1:8" x14ac:dyDescent="0.35">
      <c r="F342" s="3"/>
      <c r="G342" s="5"/>
      <c r="H342" s="5"/>
    </row>
    <row r="343" spans="1:8" x14ac:dyDescent="0.35">
      <c r="F343" s="3"/>
      <c r="G343" s="5"/>
      <c r="H343" s="5"/>
    </row>
    <row r="344" spans="1:8" x14ac:dyDescent="0.35">
      <c r="F344" s="3"/>
      <c r="G344" s="5"/>
      <c r="H344" s="5"/>
    </row>
    <row r="345" spans="1:8" x14ac:dyDescent="0.35">
      <c r="F345" s="3"/>
      <c r="G345" s="5"/>
      <c r="H345" s="5"/>
    </row>
    <row r="346" spans="1:8" x14ac:dyDescent="0.35">
      <c r="F346" s="3"/>
      <c r="G346" s="5"/>
      <c r="H346" s="5"/>
    </row>
    <row r="347" spans="1:8" x14ac:dyDescent="0.35">
      <c r="F347" s="3"/>
      <c r="G347" s="5"/>
      <c r="H347" s="5"/>
    </row>
    <row r="348" spans="1:8" x14ac:dyDescent="0.35">
      <c r="F348" s="3"/>
      <c r="G348" s="5"/>
      <c r="H348" s="5"/>
    </row>
    <row r="349" spans="1:8" x14ac:dyDescent="0.35">
      <c r="F349" s="3"/>
      <c r="G349" s="5"/>
      <c r="H349" s="5"/>
    </row>
    <row r="350" spans="1:8" x14ac:dyDescent="0.35">
      <c r="F350" s="3"/>
      <c r="G350" s="5"/>
      <c r="H350" s="5"/>
    </row>
    <row r="351" spans="1:8" x14ac:dyDescent="0.35">
      <c r="F351" s="3"/>
      <c r="G351" s="5"/>
      <c r="H351" s="5"/>
    </row>
    <row r="352" spans="1:8" x14ac:dyDescent="0.35">
      <c r="F352" s="3"/>
      <c r="G352" s="5"/>
      <c r="H352" s="5"/>
    </row>
    <row r="353" spans="6:8" x14ac:dyDescent="0.35">
      <c r="F353" s="3"/>
      <c r="G353" s="5"/>
      <c r="H353" s="5"/>
    </row>
    <row r="354" spans="6:8" x14ac:dyDescent="0.35">
      <c r="F354" s="3"/>
      <c r="G354" s="5"/>
      <c r="H354" s="5"/>
    </row>
    <row r="355" spans="6:8" x14ac:dyDescent="0.35">
      <c r="F355" s="3"/>
      <c r="G355" s="5"/>
      <c r="H355" s="5"/>
    </row>
    <row r="356" spans="6:8" x14ac:dyDescent="0.35">
      <c r="F356" s="3"/>
      <c r="G356" s="5"/>
      <c r="H356" s="5"/>
    </row>
    <row r="357" spans="6:8" x14ac:dyDescent="0.35">
      <c r="F357" s="3"/>
      <c r="G357" s="5"/>
      <c r="H357" s="5"/>
    </row>
    <row r="358" spans="6:8" x14ac:dyDescent="0.35">
      <c r="F358" s="3"/>
      <c r="G358" s="5"/>
      <c r="H358" s="5"/>
    </row>
    <row r="359" spans="6:8" x14ac:dyDescent="0.35">
      <c r="F359" s="3"/>
      <c r="G359" s="5"/>
      <c r="H359" s="5"/>
    </row>
    <row r="360" spans="6:8" x14ac:dyDescent="0.35">
      <c r="F360" s="3"/>
      <c r="G360" s="5"/>
      <c r="H360" s="5"/>
    </row>
    <row r="361" spans="6:8" x14ac:dyDescent="0.35">
      <c r="F361" s="3"/>
      <c r="G361" s="5"/>
      <c r="H361" s="5"/>
    </row>
    <row r="362" spans="6:8" x14ac:dyDescent="0.35">
      <c r="F362" s="3"/>
      <c r="G362" s="5"/>
      <c r="H362" s="5"/>
    </row>
    <row r="363" spans="6:8" x14ac:dyDescent="0.35">
      <c r="F363" s="3"/>
      <c r="G363" s="5"/>
      <c r="H363" s="5"/>
    </row>
    <row r="364" spans="6:8" x14ac:dyDescent="0.35">
      <c r="F364" s="3"/>
      <c r="G364" s="5"/>
      <c r="H364" s="5"/>
    </row>
    <row r="365" spans="6:8" x14ac:dyDescent="0.35">
      <c r="F365" s="3"/>
      <c r="G365" s="5"/>
      <c r="H365" s="5"/>
    </row>
    <row r="366" spans="6:8" x14ac:dyDescent="0.35">
      <c r="F366" s="3"/>
      <c r="G366" s="5"/>
      <c r="H366" s="5"/>
    </row>
    <row r="367" spans="6:8" x14ac:dyDescent="0.35">
      <c r="F367" s="3"/>
      <c r="G367" s="5"/>
      <c r="H367" s="5"/>
    </row>
    <row r="368" spans="6:8" x14ac:dyDescent="0.35">
      <c r="F368" s="3"/>
      <c r="G368" s="5"/>
      <c r="H368" s="5"/>
    </row>
    <row r="369" spans="6:8" x14ac:dyDescent="0.35">
      <c r="F369" s="3"/>
      <c r="G369" s="5"/>
      <c r="H369" s="5"/>
    </row>
    <row r="370" spans="6:8" x14ac:dyDescent="0.35">
      <c r="F370" s="3"/>
      <c r="G370" s="5"/>
      <c r="H370" s="5"/>
    </row>
    <row r="371" spans="6:8" x14ac:dyDescent="0.35">
      <c r="F371" s="3"/>
      <c r="G371" s="5"/>
      <c r="H371" s="5"/>
    </row>
    <row r="372" spans="6:8" x14ac:dyDescent="0.35">
      <c r="F372" s="3"/>
      <c r="G372" s="5"/>
      <c r="H372" s="5"/>
    </row>
    <row r="373" spans="6:8" x14ac:dyDescent="0.35">
      <c r="F373" s="3"/>
      <c r="G373" s="5"/>
      <c r="H373" s="5"/>
    </row>
    <row r="374" spans="6:8" x14ac:dyDescent="0.35">
      <c r="F374" s="3"/>
      <c r="G374" s="5"/>
      <c r="H374" s="5"/>
    </row>
    <row r="375" spans="6:8" x14ac:dyDescent="0.35">
      <c r="F375" s="3"/>
      <c r="G375" s="5"/>
      <c r="H375" s="5"/>
    </row>
    <row r="376" spans="6:8" x14ac:dyDescent="0.35">
      <c r="F376" s="3"/>
      <c r="G376" s="5"/>
      <c r="H376" s="5"/>
    </row>
    <row r="377" spans="6:8" x14ac:dyDescent="0.35">
      <c r="F377" s="3"/>
      <c r="G377" s="5"/>
      <c r="H377" s="5"/>
    </row>
    <row r="378" spans="6:8" x14ac:dyDescent="0.35">
      <c r="F378" s="3"/>
      <c r="G378" s="5"/>
      <c r="H378" s="5"/>
    </row>
    <row r="379" spans="6:8" x14ac:dyDescent="0.35">
      <c r="F379" s="3"/>
      <c r="G379" s="5"/>
      <c r="H379" s="5"/>
    </row>
    <row r="380" spans="6:8" x14ac:dyDescent="0.35">
      <c r="F380" s="3"/>
      <c r="G380" s="5"/>
      <c r="H380" s="5"/>
    </row>
    <row r="381" spans="6:8" x14ac:dyDescent="0.35">
      <c r="F381" s="3"/>
      <c r="G381" s="5"/>
      <c r="H381" s="5"/>
    </row>
    <row r="382" spans="6:8" x14ac:dyDescent="0.35">
      <c r="F382" s="3"/>
      <c r="G382" s="5"/>
      <c r="H382" s="5"/>
    </row>
    <row r="383" spans="6:8" x14ac:dyDescent="0.35">
      <c r="F383" s="3"/>
      <c r="G383" s="5"/>
      <c r="H383" s="5"/>
    </row>
    <row r="384" spans="6:8" x14ac:dyDescent="0.35">
      <c r="F384" s="3"/>
      <c r="G384" s="5"/>
      <c r="H384" s="5"/>
    </row>
    <row r="385" spans="6:8" x14ac:dyDescent="0.35">
      <c r="F385" s="3"/>
      <c r="G385" s="5"/>
      <c r="H385" s="5"/>
    </row>
    <row r="386" spans="6:8" x14ac:dyDescent="0.35">
      <c r="F386" s="3"/>
      <c r="G386" s="5"/>
      <c r="H386" s="5"/>
    </row>
    <row r="387" spans="6:8" x14ac:dyDescent="0.35">
      <c r="F387" s="3"/>
      <c r="G387" s="5"/>
      <c r="H387" s="5"/>
    </row>
    <row r="388" spans="6:8" x14ac:dyDescent="0.35">
      <c r="F388" s="3"/>
      <c r="G388" s="5"/>
      <c r="H388" s="5"/>
    </row>
    <row r="389" spans="6:8" x14ac:dyDescent="0.35">
      <c r="F389" s="3"/>
      <c r="G389" s="5"/>
      <c r="H389" s="5"/>
    </row>
    <row r="390" spans="6:8" x14ac:dyDescent="0.35">
      <c r="F390" s="3"/>
      <c r="G390" s="5"/>
      <c r="H390" s="5"/>
    </row>
    <row r="391" spans="6:8" x14ac:dyDescent="0.35">
      <c r="F391" s="3"/>
      <c r="G391" s="5"/>
      <c r="H391" s="5"/>
    </row>
    <row r="392" spans="6:8" x14ac:dyDescent="0.35">
      <c r="F392" s="3"/>
      <c r="G392" s="5"/>
      <c r="H392" s="5"/>
    </row>
    <row r="393" spans="6:8" x14ac:dyDescent="0.35">
      <c r="F393" s="3"/>
      <c r="G393" s="5"/>
      <c r="H393" s="5"/>
    </row>
    <row r="394" spans="6:8" x14ac:dyDescent="0.35">
      <c r="F394" s="3"/>
      <c r="G394" s="5"/>
      <c r="H394" s="5"/>
    </row>
    <row r="395" spans="6:8" x14ac:dyDescent="0.35">
      <c r="F395" s="3"/>
      <c r="G395" s="5"/>
      <c r="H395" s="5"/>
    </row>
    <row r="396" spans="6:8" x14ac:dyDescent="0.35">
      <c r="F396" s="3"/>
      <c r="G396" s="5"/>
      <c r="H396" s="5"/>
    </row>
    <row r="397" spans="6:8" x14ac:dyDescent="0.35">
      <c r="F397" s="3"/>
      <c r="G397" s="5"/>
      <c r="H397" s="5"/>
    </row>
    <row r="398" spans="6:8" x14ac:dyDescent="0.35">
      <c r="F398" s="3"/>
      <c r="G398" s="5"/>
      <c r="H398" s="5"/>
    </row>
    <row r="399" spans="6:8" x14ac:dyDescent="0.35">
      <c r="F399" s="3"/>
      <c r="G399" s="5"/>
      <c r="H399" s="5"/>
    </row>
    <row r="400" spans="6:8" x14ac:dyDescent="0.35">
      <c r="F400" s="3"/>
      <c r="G400" s="5"/>
      <c r="H400" s="5"/>
    </row>
    <row r="401" spans="6:8" x14ac:dyDescent="0.35">
      <c r="F401" s="3"/>
      <c r="G401" s="5"/>
      <c r="H401" s="5"/>
    </row>
    <row r="402" spans="6:8" x14ac:dyDescent="0.35">
      <c r="F402" s="3"/>
      <c r="G402" s="5"/>
      <c r="H402" s="5"/>
    </row>
    <row r="403" spans="6:8" x14ac:dyDescent="0.35">
      <c r="F403" s="3"/>
      <c r="G403" s="5"/>
      <c r="H403" s="5"/>
    </row>
    <row r="404" spans="6:8" x14ac:dyDescent="0.35">
      <c r="F404" s="3"/>
      <c r="G404" s="5"/>
      <c r="H404" s="5"/>
    </row>
    <row r="405" spans="6:8" x14ac:dyDescent="0.35">
      <c r="F405" s="3"/>
      <c r="G405" s="5"/>
      <c r="H405" s="5"/>
    </row>
    <row r="406" spans="6:8" x14ac:dyDescent="0.35">
      <c r="F406" s="3"/>
      <c r="G406" s="5"/>
      <c r="H406" s="5"/>
    </row>
    <row r="407" spans="6:8" x14ac:dyDescent="0.35">
      <c r="F407" s="3"/>
      <c r="G407" s="5"/>
      <c r="H407" s="5"/>
    </row>
    <row r="408" spans="6:8" x14ac:dyDescent="0.35">
      <c r="F408" s="3"/>
      <c r="G408" s="5"/>
      <c r="H408" s="5"/>
    </row>
    <row r="409" spans="6:8" x14ac:dyDescent="0.35">
      <c r="F409" s="3"/>
      <c r="G409" s="5"/>
      <c r="H409" s="5"/>
    </row>
    <row r="410" spans="6:8" x14ac:dyDescent="0.35">
      <c r="F410" s="3"/>
      <c r="G410" s="5"/>
      <c r="H410" s="5"/>
    </row>
    <row r="411" spans="6:8" x14ac:dyDescent="0.35">
      <c r="F411" s="3"/>
      <c r="G411" s="5"/>
      <c r="H411" s="5"/>
    </row>
    <row r="412" spans="6:8" x14ac:dyDescent="0.35">
      <c r="F412" s="3"/>
      <c r="G412" s="5"/>
      <c r="H412" s="5"/>
    </row>
    <row r="413" spans="6:8" x14ac:dyDescent="0.35">
      <c r="F413" s="3"/>
      <c r="G413" s="5"/>
      <c r="H413" s="5"/>
    </row>
    <row r="414" spans="6:8" x14ac:dyDescent="0.35">
      <c r="F414" s="3"/>
      <c r="G414" s="5"/>
      <c r="H414" s="5"/>
    </row>
    <row r="415" spans="6:8" x14ac:dyDescent="0.35">
      <c r="F415" s="3"/>
      <c r="G415" s="5"/>
      <c r="H415" s="5"/>
    </row>
    <row r="416" spans="6:8" x14ac:dyDescent="0.35">
      <c r="F416" s="3"/>
      <c r="G416" s="5"/>
      <c r="H416" s="5"/>
    </row>
    <row r="417" spans="6:8" x14ac:dyDescent="0.35">
      <c r="F417" s="3"/>
      <c r="G417" s="5"/>
      <c r="H417" s="5"/>
    </row>
    <row r="418" spans="6:8" x14ac:dyDescent="0.35">
      <c r="F418" s="3"/>
      <c r="G418" s="5"/>
      <c r="H418" s="5"/>
    </row>
    <row r="419" spans="6:8" x14ac:dyDescent="0.35">
      <c r="F419" s="3"/>
      <c r="G419" s="5"/>
      <c r="H419" s="5"/>
    </row>
    <row r="420" spans="6:8" x14ac:dyDescent="0.35">
      <c r="F420" s="3"/>
      <c r="G420" s="5"/>
      <c r="H420" s="5"/>
    </row>
    <row r="421" spans="6:8" x14ac:dyDescent="0.35">
      <c r="F421" s="3"/>
      <c r="G421" s="5"/>
      <c r="H421" s="5"/>
    </row>
    <row r="422" spans="6:8" x14ac:dyDescent="0.35">
      <c r="F422" s="3"/>
      <c r="G422" s="5"/>
      <c r="H422" s="5"/>
    </row>
    <row r="423" spans="6:8" x14ac:dyDescent="0.35">
      <c r="F423" s="3"/>
      <c r="G423" s="5"/>
      <c r="H423" s="5"/>
    </row>
    <row r="424" spans="6:8" x14ac:dyDescent="0.35">
      <c r="F424" s="3"/>
      <c r="G424" s="5"/>
      <c r="H424" s="5"/>
    </row>
    <row r="425" spans="6:8" x14ac:dyDescent="0.35">
      <c r="F425" s="3"/>
      <c r="G425" s="5"/>
      <c r="H425" s="5"/>
    </row>
    <row r="426" spans="6:8" x14ac:dyDescent="0.35">
      <c r="F426" s="3"/>
      <c r="G426" s="5"/>
      <c r="H426" s="5"/>
    </row>
    <row r="427" spans="6:8" x14ac:dyDescent="0.35">
      <c r="F427" s="3"/>
      <c r="G427" s="5"/>
      <c r="H427" s="5"/>
    </row>
    <row r="428" spans="6:8" x14ac:dyDescent="0.35">
      <c r="F428" s="3"/>
      <c r="G428" s="5"/>
      <c r="H428" s="5"/>
    </row>
    <row r="429" spans="6:8" x14ac:dyDescent="0.35">
      <c r="F429" s="3"/>
      <c r="G429" s="5"/>
      <c r="H429" s="5"/>
    </row>
    <row r="430" spans="6:8" x14ac:dyDescent="0.35">
      <c r="F430" s="3"/>
      <c r="G430" s="5"/>
      <c r="H430" s="5"/>
    </row>
    <row r="431" spans="6:8" x14ac:dyDescent="0.35">
      <c r="F431" s="3"/>
      <c r="G431" s="5"/>
      <c r="H431" s="5"/>
    </row>
    <row r="432" spans="6:8" x14ac:dyDescent="0.35">
      <c r="F432" s="3"/>
      <c r="G432" s="5"/>
      <c r="H432" s="5"/>
    </row>
    <row r="433" spans="6:8" x14ac:dyDescent="0.35">
      <c r="F433" s="3"/>
      <c r="G433" s="5"/>
      <c r="H433" s="5"/>
    </row>
    <row r="434" spans="6:8" x14ac:dyDescent="0.35">
      <c r="F434" s="3"/>
      <c r="G434" s="5"/>
      <c r="H434" s="5"/>
    </row>
    <row r="435" spans="6:8" x14ac:dyDescent="0.35">
      <c r="F435" s="3"/>
      <c r="G435" s="5"/>
      <c r="H435" s="5"/>
    </row>
    <row r="436" spans="6:8" x14ac:dyDescent="0.35">
      <c r="F436" s="3"/>
      <c r="G436" s="5"/>
      <c r="H436" s="5"/>
    </row>
    <row r="437" spans="6:8" x14ac:dyDescent="0.35">
      <c r="F437" s="3"/>
      <c r="G437" s="5"/>
      <c r="H437" s="5"/>
    </row>
    <row r="438" spans="6:8" x14ac:dyDescent="0.35">
      <c r="F438" s="3"/>
      <c r="G438" s="5"/>
      <c r="H438" s="5"/>
    </row>
    <row r="439" spans="6:8" x14ac:dyDescent="0.35">
      <c r="F439" s="3"/>
      <c r="G439" s="5"/>
      <c r="H439" s="5"/>
    </row>
    <row r="440" spans="6:8" x14ac:dyDescent="0.35">
      <c r="F440" s="3"/>
      <c r="G440" s="5"/>
      <c r="H440" s="5"/>
    </row>
    <row r="441" spans="6:8" x14ac:dyDescent="0.35">
      <c r="F441" s="3"/>
      <c r="G441" s="5"/>
      <c r="H441" s="5"/>
    </row>
    <row r="442" spans="6:8" x14ac:dyDescent="0.35">
      <c r="F442" s="3"/>
      <c r="G442" s="5"/>
      <c r="H442" s="5"/>
    </row>
    <row r="443" spans="6:8" x14ac:dyDescent="0.35">
      <c r="F443" s="3"/>
      <c r="G443" s="5"/>
      <c r="H443" s="5"/>
    </row>
    <row r="444" spans="6:8" x14ac:dyDescent="0.35">
      <c r="F444" s="3"/>
      <c r="G444" s="5"/>
      <c r="H444" s="5"/>
    </row>
    <row r="445" spans="6:8" x14ac:dyDescent="0.35">
      <c r="F445" s="3"/>
      <c r="G445" s="5"/>
      <c r="H445" s="5"/>
    </row>
    <row r="446" spans="6:8" x14ac:dyDescent="0.35">
      <c r="F446" s="3"/>
      <c r="G446" s="5"/>
      <c r="H446" s="5"/>
    </row>
    <row r="447" spans="6:8" x14ac:dyDescent="0.35">
      <c r="F447" s="3"/>
      <c r="G447" s="5"/>
      <c r="H447" s="5"/>
    </row>
    <row r="448" spans="6:8" x14ac:dyDescent="0.35">
      <c r="F448" s="3"/>
      <c r="G448" s="5"/>
      <c r="H448" s="5"/>
    </row>
    <row r="449" spans="6:8" x14ac:dyDescent="0.35">
      <c r="F449" s="3"/>
      <c r="G449" s="5"/>
      <c r="H449" s="5"/>
    </row>
    <row r="450" spans="6:8" x14ac:dyDescent="0.35">
      <c r="F450" s="3"/>
      <c r="G450" s="5"/>
      <c r="H450" s="5"/>
    </row>
    <row r="451" spans="6:8" x14ac:dyDescent="0.35">
      <c r="F451" s="3"/>
      <c r="G451" s="5"/>
      <c r="H451" s="5"/>
    </row>
    <row r="452" spans="6:8" x14ac:dyDescent="0.35">
      <c r="F452" s="3"/>
      <c r="G452" s="5"/>
      <c r="H452" s="5"/>
    </row>
    <row r="453" spans="6:8" x14ac:dyDescent="0.35">
      <c r="F453" s="3"/>
      <c r="G453" s="5"/>
      <c r="H453" s="5"/>
    </row>
    <row r="454" spans="6:8" x14ac:dyDescent="0.35">
      <c r="F454" s="3"/>
      <c r="G454" s="5"/>
      <c r="H454" s="5"/>
    </row>
    <row r="455" spans="6:8" x14ac:dyDescent="0.35">
      <c r="F455" s="3"/>
      <c r="G455" s="5"/>
      <c r="H455" s="5"/>
    </row>
    <row r="456" spans="6:8" x14ac:dyDescent="0.35">
      <c r="F456" s="3"/>
      <c r="G456" s="5"/>
      <c r="H456" s="5"/>
    </row>
    <row r="457" spans="6:8" x14ac:dyDescent="0.35">
      <c r="F457" s="3"/>
      <c r="G457" s="5"/>
      <c r="H457" s="5"/>
    </row>
    <row r="458" spans="6:8" x14ac:dyDescent="0.35">
      <c r="F458" s="3"/>
      <c r="G458" s="5"/>
      <c r="H458" s="5"/>
    </row>
    <row r="459" spans="6:8" x14ac:dyDescent="0.35">
      <c r="F459" s="3"/>
      <c r="G459" s="5"/>
      <c r="H459" s="5"/>
    </row>
    <row r="460" spans="6:8" x14ac:dyDescent="0.35">
      <c r="F460" s="3"/>
      <c r="G460" s="5"/>
      <c r="H460" s="5"/>
    </row>
    <row r="461" spans="6:8" x14ac:dyDescent="0.35">
      <c r="F461" s="3"/>
      <c r="G461" s="5"/>
      <c r="H461" s="5"/>
    </row>
    <row r="462" spans="6:8" x14ac:dyDescent="0.35">
      <c r="F462" s="3"/>
      <c r="G462" s="5"/>
      <c r="H462" s="5"/>
    </row>
    <row r="463" spans="6:8" x14ac:dyDescent="0.35">
      <c r="F463" s="3"/>
      <c r="G463" s="5"/>
      <c r="H463" s="5"/>
    </row>
    <row r="464" spans="6:8" x14ac:dyDescent="0.35">
      <c r="F464" s="3"/>
      <c r="G464" s="5"/>
      <c r="H464" s="5"/>
    </row>
    <row r="465" spans="6:8" x14ac:dyDescent="0.35">
      <c r="F465" s="3"/>
      <c r="G465" s="5"/>
      <c r="H465" s="5"/>
    </row>
    <row r="466" spans="6:8" x14ac:dyDescent="0.35">
      <c r="F466" s="3"/>
      <c r="G466" s="5"/>
      <c r="H466" s="5"/>
    </row>
    <row r="467" spans="6:8" x14ac:dyDescent="0.35">
      <c r="F467" s="3"/>
      <c r="G467" s="5"/>
      <c r="H467" s="5"/>
    </row>
    <row r="468" spans="6:8" x14ac:dyDescent="0.35">
      <c r="F468" s="3"/>
      <c r="G468" s="5"/>
      <c r="H468" s="5"/>
    </row>
    <row r="469" spans="6:8" x14ac:dyDescent="0.35">
      <c r="F469" s="3"/>
      <c r="G469" s="5"/>
      <c r="H469" s="5"/>
    </row>
    <row r="470" spans="6:8" x14ac:dyDescent="0.35">
      <c r="F470" s="3"/>
      <c r="G470" s="5"/>
      <c r="H470" s="5"/>
    </row>
    <row r="471" spans="6:8" x14ac:dyDescent="0.35">
      <c r="F471" s="3"/>
      <c r="G471" s="5"/>
      <c r="H471" s="5"/>
    </row>
    <row r="472" spans="6:8" x14ac:dyDescent="0.35">
      <c r="F472" s="3"/>
      <c r="G472" s="5"/>
      <c r="H472" s="5"/>
    </row>
    <row r="473" spans="6:8" x14ac:dyDescent="0.35">
      <c r="F473" s="3"/>
      <c r="G473" s="5"/>
      <c r="H473" s="5"/>
    </row>
    <row r="474" spans="6:8" x14ac:dyDescent="0.35">
      <c r="F474" s="3"/>
      <c r="G474" s="5"/>
      <c r="H474" s="5"/>
    </row>
    <row r="475" spans="6:8" x14ac:dyDescent="0.35">
      <c r="F475" s="3"/>
      <c r="G475" s="5"/>
      <c r="H475" s="5"/>
    </row>
    <row r="476" spans="6:8" x14ac:dyDescent="0.35">
      <c r="F476" s="3"/>
      <c r="G476" s="5"/>
      <c r="H476" s="5"/>
    </row>
    <row r="477" spans="6:8" x14ac:dyDescent="0.35">
      <c r="F477" s="3"/>
      <c r="G477" s="5"/>
      <c r="H477" s="5"/>
    </row>
    <row r="478" spans="6:8" x14ac:dyDescent="0.35">
      <c r="F478" s="3"/>
      <c r="G478" s="5"/>
      <c r="H478" s="5"/>
    </row>
    <row r="479" spans="6:8" x14ac:dyDescent="0.35">
      <c r="F479" s="3"/>
      <c r="G479" s="5"/>
      <c r="H479" s="5"/>
    </row>
    <row r="480" spans="6:8" x14ac:dyDescent="0.35">
      <c r="F480" s="3"/>
      <c r="G480" s="5"/>
      <c r="H480" s="5"/>
    </row>
    <row r="481" spans="6:8" x14ac:dyDescent="0.35">
      <c r="F481" s="3"/>
      <c r="G481" s="5"/>
      <c r="H481" s="5"/>
    </row>
    <row r="482" spans="6:8" x14ac:dyDescent="0.35">
      <c r="F482" s="3"/>
      <c r="G482" s="5"/>
      <c r="H482" s="5"/>
    </row>
    <row r="483" spans="6:8" x14ac:dyDescent="0.35">
      <c r="F483" s="3"/>
      <c r="G483" s="5"/>
      <c r="H483" s="5"/>
    </row>
    <row r="484" spans="6:8" x14ac:dyDescent="0.35">
      <c r="F484" s="3"/>
      <c r="G484" s="5"/>
      <c r="H484" s="5"/>
    </row>
    <row r="485" spans="6:8" x14ac:dyDescent="0.35">
      <c r="F485" s="3"/>
      <c r="G485" s="5"/>
      <c r="H485" s="5"/>
    </row>
    <row r="486" spans="6:8" x14ac:dyDescent="0.35">
      <c r="F486" s="3"/>
      <c r="G486" s="5"/>
      <c r="H486" s="5"/>
    </row>
    <row r="487" spans="6:8" x14ac:dyDescent="0.35">
      <c r="F487" s="3"/>
      <c r="G487" s="5"/>
      <c r="H487" s="5"/>
    </row>
    <row r="488" spans="6:8" x14ac:dyDescent="0.35">
      <c r="F488" s="3"/>
      <c r="G488" s="5"/>
      <c r="H488" s="5"/>
    </row>
    <row r="489" spans="6:8" x14ac:dyDescent="0.35">
      <c r="F489" s="3"/>
      <c r="G489" s="5"/>
      <c r="H489" s="5"/>
    </row>
    <row r="490" spans="6:8" x14ac:dyDescent="0.35">
      <c r="F490" s="3"/>
      <c r="G490" s="5"/>
      <c r="H490" s="5"/>
    </row>
    <row r="491" spans="6:8" x14ac:dyDescent="0.35">
      <c r="F491" s="3"/>
      <c r="G491" s="5"/>
      <c r="H491" s="5"/>
    </row>
    <row r="492" spans="6:8" x14ac:dyDescent="0.35">
      <c r="F492" s="3"/>
      <c r="G492" s="5"/>
      <c r="H492" s="5"/>
    </row>
    <row r="493" spans="6:8" x14ac:dyDescent="0.35">
      <c r="F493" s="3"/>
      <c r="G493" s="5"/>
      <c r="H493" s="5"/>
    </row>
    <row r="494" spans="6:8" x14ac:dyDescent="0.35">
      <c r="F494" s="3"/>
      <c r="G494" s="5"/>
      <c r="H494" s="5"/>
    </row>
    <row r="495" spans="6:8" x14ac:dyDescent="0.35">
      <c r="F495" s="3"/>
      <c r="G495" s="5"/>
      <c r="H495" s="5"/>
    </row>
    <row r="496" spans="6:8" x14ac:dyDescent="0.35">
      <c r="F496" s="3"/>
      <c r="G496" s="5"/>
      <c r="H496" s="5"/>
    </row>
    <row r="497" spans="6:8" x14ac:dyDescent="0.35">
      <c r="F497" s="3"/>
      <c r="G497" s="5"/>
      <c r="H497" s="5"/>
    </row>
    <row r="498" spans="6:8" x14ac:dyDescent="0.35">
      <c r="F498" s="3"/>
      <c r="G498" s="5"/>
      <c r="H498" s="5"/>
    </row>
    <row r="499" spans="6:8" x14ac:dyDescent="0.35">
      <c r="F499" s="3"/>
      <c r="G499" s="5"/>
      <c r="H499" s="5"/>
    </row>
    <row r="500" spans="6:8" x14ac:dyDescent="0.35">
      <c r="F500" s="3"/>
      <c r="G500" s="5"/>
      <c r="H500" s="5"/>
    </row>
    <row r="501" spans="6:8" x14ac:dyDescent="0.35">
      <c r="F501" s="3"/>
      <c r="G501" s="5"/>
      <c r="H501" s="5"/>
    </row>
    <row r="502" spans="6:8" x14ac:dyDescent="0.35">
      <c r="F502" s="3"/>
      <c r="G502" s="5"/>
      <c r="H502" s="5"/>
    </row>
    <row r="503" spans="6:8" x14ac:dyDescent="0.35">
      <c r="F503" s="3"/>
      <c r="G503" s="5"/>
      <c r="H503" s="5"/>
    </row>
    <row r="504" spans="6:8" x14ac:dyDescent="0.35">
      <c r="F504" s="3"/>
      <c r="G504" s="5"/>
      <c r="H504" s="5"/>
    </row>
    <row r="505" spans="6:8" x14ac:dyDescent="0.35">
      <c r="F505" s="3"/>
      <c r="G505" s="5"/>
      <c r="H505" s="5"/>
    </row>
    <row r="506" spans="6:8" x14ac:dyDescent="0.35">
      <c r="F506" s="3"/>
      <c r="G506" s="5"/>
      <c r="H506" s="5"/>
    </row>
    <row r="507" spans="6:8" x14ac:dyDescent="0.35">
      <c r="F507" s="3"/>
      <c r="G507" s="5"/>
      <c r="H507" s="5"/>
    </row>
    <row r="508" spans="6:8" x14ac:dyDescent="0.35">
      <c r="F508" s="3"/>
      <c r="G508" s="5"/>
      <c r="H508" s="5"/>
    </row>
    <row r="509" spans="6:8" x14ac:dyDescent="0.35">
      <c r="F509" s="3"/>
      <c r="G509" s="5"/>
      <c r="H509" s="5"/>
    </row>
    <row r="5356" spans="1:3" x14ac:dyDescent="0.35">
      <c r="A5356" s="3"/>
      <c r="B5356" s="5"/>
      <c r="C5356" s="5"/>
    </row>
    <row r="5357" spans="1:3" x14ac:dyDescent="0.35">
      <c r="A5357" s="3"/>
      <c r="B5357" s="5"/>
      <c r="C5357" s="5"/>
    </row>
    <row r="5358" spans="1:3" x14ac:dyDescent="0.35">
      <c r="A5358" s="3"/>
      <c r="B5358" s="5"/>
      <c r="C5358" s="5"/>
    </row>
    <row r="5359" spans="1:3" x14ac:dyDescent="0.35">
      <c r="A5359" s="3"/>
      <c r="B5359" s="5"/>
      <c r="C5359" s="5"/>
    </row>
    <row r="5360" spans="1:3" x14ac:dyDescent="0.35">
      <c r="A5360" s="3"/>
      <c r="B5360" s="5"/>
      <c r="C5360" s="5"/>
    </row>
    <row r="5361" spans="1:3" x14ac:dyDescent="0.35">
      <c r="A5361" s="3"/>
      <c r="B5361" s="5"/>
      <c r="C5361" s="5"/>
    </row>
    <row r="5362" spans="1:3" x14ac:dyDescent="0.35">
      <c r="A5362" s="3"/>
      <c r="B5362" s="5"/>
      <c r="C5362" s="5"/>
    </row>
    <row r="5363" spans="1:3" x14ac:dyDescent="0.35">
      <c r="A5363" s="3"/>
      <c r="B5363" s="5"/>
      <c r="C5363" s="5"/>
    </row>
    <row r="5364" spans="1:3" x14ac:dyDescent="0.35">
      <c r="A5364" s="3"/>
      <c r="B5364" s="5"/>
      <c r="C5364" s="5"/>
    </row>
    <row r="5365" spans="1:3" x14ac:dyDescent="0.35">
      <c r="A5365" s="3"/>
      <c r="B5365" s="5"/>
      <c r="C5365" s="5"/>
    </row>
    <row r="5366" spans="1:3" x14ac:dyDescent="0.35">
      <c r="A5366" s="3"/>
      <c r="B5366" s="5"/>
      <c r="C5366" s="5"/>
    </row>
    <row r="5367" spans="1:3" x14ac:dyDescent="0.35">
      <c r="A5367" s="3"/>
      <c r="B5367" s="5"/>
      <c r="C5367" s="5"/>
    </row>
    <row r="5368" spans="1:3" x14ac:dyDescent="0.35">
      <c r="A5368" s="3"/>
      <c r="B5368" s="5"/>
      <c r="C5368" s="5"/>
    </row>
    <row r="5369" spans="1:3" x14ac:dyDescent="0.35">
      <c r="A5369" s="3"/>
      <c r="B5369" s="5"/>
      <c r="C5369" s="5"/>
    </row>
    <row r="5370" spans="1:3" x14ac:dyDescent="0.35">
      <c r="A5370" s="3"/>
      <c r="B5370" s="5"/>
      <c r="C5370" s="5"/>
    </row>
    <row r="5371" spans="1:3" x14ac:dyDescent="0.35">
      <c r="A5371" s="3"/>
      <c r="B5371" s="5"/>
      <c r="C5371" s="5"/>
    </row>
    <row r="5372" spans="1:3" x14ac:dyDescent="0.35">
      <c r="A5372" s="3"/>
      <c r="B5372" s="5"/>
      <c r="C5372" s="5"/>
    </row>
    <row r="5373" spans="1:3" x14ac:dyDescent="0.35">
      <c r="A5373" s="3"/>
      <c r="B5373" s="5"/>
      <c r="C5373" s="5"/>
    </row>
    <row r="5374" spans="1:3" x14ac:dyDescent="0.35">
      <c r="A5374" s="3"/>
      <c r="B5374" s="5"/>
      <c r="C5374" s="5"/>
    </row>
    <row r="5375" spans="1:3" x14ac:dyDescent="0.35">
      <c r="A5375" s="3"/>
      <c r="B5375" s="5"/>
      <c r="C5375" s="5"/>
    </row>
    <row r="5376" spans="1:3" x14ac:dyDescent="0.35">
      <c r="A5376" s="3"/>
      <c r="B5376" s="5"/>
      <c r="C5376" s="5"/>
    </row>
    <row r="5377" spans="1:3" x14ac:dyDescent="0.35">
      <c r="A5377" s="3"/>
      <c r="B5377" s="5"/>
      <c r="C5377" s="5"/>
    </row>
    <row r="5378" spans="1:3" x14ac:dyDescent="0.35">
      <c r="A5378" s="3"/>
      <c r="B5378" s="5"/>
      <c r="C5378" s="5"/>
    </row>
    <row r="5379" spans="1:3" x14ac:dyDescent="0.35">
      <c r="A5379" s="3"/>
      <c r="B5379" s="5"/>
      <c r="C5379" s="5"/>
    </row>
    <row r="5380" spans="1:3" x14ac:dyDescent="0.35">
      <c r="A5380" s="3"/>
      <c r="B5380" s="5"/>
      <c r="C5380" s="5"/>
    </row>
    <row r="5381" spans="1:3" x14ac:dyDescent="0.35">
      <c r="A5381" s="3"/>
      <c r="B5381" s="5"/>
      <c r="C5381" s="5"/>
    </row>
    <row r="5382" spans="1:3" x14ac:dyDescent="0.35">
      <c r="A5382" s="3"/>
      <c r="B5382" s="5"/>
      <c r="C5382" s="5"/>
    </row>
    <row r="5383" spans="1:3" x14ac:dyDescent="0.35">
      <c r="A5383" s="3"/>
      <c r="B5383" s="5"/>
      <c r="C5383" s="5"/>
    </row>
    <row r="5384" spans="1:3" x14ac:dyDescent="0.35">
      <c r="A5384" s="3"/>
      <c r="B5384" s="5"/>
      <c r="C5384" s="5"/>
    </row>
    <row r="5385" spans="1:3" x14ac:dyDescent="0.35">
      <c r="A5385" s="3"/>
      <c r="B5385" s="5"/>
      <c r="C5385" s="5"/>
    </row>
    <row r="5386" spans="1:3" x14ac:dyDescent="0.35">
      <c r="A5386" s="3"/>
      <c r="B5386" s="5"/>
      <c r="C5386" s="5"/>
    </row>
    <row r="5387" spans="1:3" x14ac:dyDescent="0.35">
      <c r="A5387" s="3"/>
      <c r="B5387" s="5"/>
      <c r="C5387" s="5"/>
    </row>
    <row r="5388" spans="1:3" x14ac:dyDescent="0.35">
      <c r="A5388" s="3"/>
      <c r="B5388" s="5"/>
      <c r="C5388" s="5"/>
    </row>
    <row r="5389" spans="1:3" x14ac:dyDescent="0.35">
      <c r="A5389" s="3"/>
      <c r="B5389" s="5"/>
      <c r="C5389" s="5"/>
    </row>
    <row r="5390" spans="1:3" x14ac:dyDescent="0.35">
      <c r="A5390" s="3"/>
      <c r="B5390" s="5"/>
      <c r="C5390" s="5"/>
    </row>
    <row r="5391" spans="1:3" x14ac:dyDescent="0.35">
      <c r="A5391" s="3"/>
      <c r="B5391" s="5"/>
      <c r="C5391" s="5"/>
    </row>
    <row r="5392" spans="1:3" x14ac:dyDescent="0.35">
      <c r="A5392" s="3"/>
      <c r="B5392" s="5"/>
      <c r="C5392" s="5"/>
    </row>
    <row r="5393" spans="1:3" x14ac:dyDescent="0.35">
      <c r="A5393" s="3"/>
      <c r="B5393" s="5"/>
      <c r="C5393" s="5"/>
    </row>
    <row r="5394" spans="1:3" x14ac:dyDescent="0.35">
      <c r="A5394" s="3"/>
      <c r="B5394" s="5"/>
      <c r="C5394" s="5"/>
    </row>
    <row r="5395" spans="1:3" x14ac:dyDescent="0.35">
      <c r="A5395" s="3"/>
      <c r="B5395" s="5"/>
      <c r="C5395" s="5"/>
    </row>
    <row r="5396" spans="1:3" x14ac:dyDescent="0.35">
      <c r="A5396" s="3"/>
      <c r="B5396" s="5"/>
      <c r="C5396" s="5"/>
    </row>
    <row r="5397" spans="1:3" x14ac:dyDescent="0.35">
      <c r="A5397" s="3"/>
      <c r="B5397" s="5"/>
      <c r="C5397" s="5"/>
    </row>
    <row r="5398" spans="1:3" x14ac:dyDescent="0.35">
      <c r="A5398" s="3"/>
      <c r="B5398" s="5"/>
      <c r="C5398" s="5"/>
    </row>
    <row r="5399" spans="1:3" x14ac:dyDescent="0.35">
      <c r="A5399" s="3"/>
      <c r="B5399" s="5"/>
      <c r="C5399" s="5"/>
    </row>
    <row r="5400" spans="1:3" x14ac:dyDescent="0.35">
      <c r="A5400" s="3"/>
      <c r="B5400" s="5"/>
      <c r="C5400" s="5"/>
    </row>
    <row r="5401" spans="1:3" x14ac:dyDescent="0.35">
      <c r="A5401" s="3"/>
      <c r="B5401" s="5"/>
      <c r="C5401" s="5"/>
    </row>
    <row r="5402" spans="1:3" x14ac:dyDescent="0.35">
      <c r="A5402" s="3"/>
      <c r="B5402" s="5"/>
      <c r="C5402" s="5"/>
    </row>
    <row r="5403" spans="1:3" x14ac:dyDescent="0.35">
      <c r="A5403" s="3"/>
      <c r="B5403" s="5"/>
      <c r="C5403" s="5"/>
    </row>
    <row r="5404" spans="1:3" x14ac:dyDescent="0.35">
      <c r="A5404" s="3"/>
      <c r="B5404" s="5"/>
      <c r="C5404" s="5"/>
    </row>
    <row r="5405" spans="1:3" x14ac:dyDescent="0.35">
      <c r="A5405" s="3"/>
      <c r="B5405" s="5"/>
      <c r="C5405" s="5"/>
    </row>
    <row r="5406" spans="1:3" x14ac:dyDescent="0.35">
      <c r="A5406" s="3"/>
      <c r="B5406" s="5"/>
      <c r="C5406" s="5"/>
    </row>
    <row r="5407" spans="1:3" x14ac:dyDescent="0.35">
      <c r="A5407" s="3"/>
      <c r="B5407" s="5"/>
      <c r="C5407" s="5"/>
    </row>
    <row r="5408" spans="1:3" x14ac:dyDescent="0.35">
      <c r="A5408" s="3"/>
      <c r="B5408" s="5"/>
      <c r="C5408" s="5"/>
    </row>
    <row r="5409" spans="1:3" x14ac:dyDescent="0.35">
      <c r="A5409" s="3"/>
      <c r="B5409" s="5"/>
      <c r="C5409" s="5"/>
    </row>
    <row r="5410" spans="1:3" x14ac:dyDescent="0.35">
      <c r="A5410" s="3"/>
      <c r="B5410" s="5"/>
      <c r="C5410" s="5"/>
    </row>
    <row r="5411" spans="1:3" x14ac:dyDescent="0.35">
      <c r="A5411" s="3"/>
      <c r="B5411" s="5"/>
      <c r="C5411" s="5"/>
    </row>
    <row r="5412" spans="1:3" x14ac:dyDescent="0.35">
      <c r="A5412" s="3"/>
      <c r="B5412" s="5"/>
      <c r="C5412" s="5"/>
    </row>
    <row r="5413" spans="1:3" x14ac:dyDescent="0.35">
      <c r="A5413" s="3"/>
      <c r="B5413" s="5"/>
      <c r="C5413" s="5"/>
    </row>
    <row r="5414" spans="1:3" x14ac:dyDescent="0.35">
      <c r="A5414" s="3"/>
      <c r="B5414" s="5"/>
      <c r="C5414" s="5"/>
    </row>
    <row r="5415" spans="1:3" x14ac:dyDescent="0.35">
      <c r="A5415" s="3"/>
      <c r="B5415" s="5"/>
      <c r="C5415" s="5"/>
    </row>
    <row r="5416" spans="1:3" x14ac:dyDescent="0.35">
      <c r="A5416" s="3"/>
      <c r="B5416" s="5"/>
      <c r="C5416" s="5"/>
    </row>
    <row r="5417" spans="1:3" x14ac:dyDescent="0.35">
      <c r="A5417" s="3"/>
      <c r="B5417" s="5"/>
      <c r="C5417" s="5"/>
    </row>
    <row r="5418" spans="1:3" x14ac:dyDescent="0.35">
      <c r="A5418" s="3"/>
      <c r="B5418" s="5"/>
      <c r="C5418" s="5"/>
    </row>
    <row r="5419" spans="1:3" x14ac:dyDescent="0.35">
      <c r="A5419" s="3"/>
      <c r="B5419" s="5"/>
      <c r="C5419" s="5"/>
    </row>
    <row r="5420" spans="1:3" x14ac:dyDescent="0.35">
      <c r="A5420" s="3"/>
      <c r="B5420" s="5"/>
      <c r="C5420" s="5"/>
    </row>
    <row r="5421" spans="1:3" x14ac:dyDescent="0.35">
      <c r="A5421" s="3"/>
      <c r="B5421" s="5"/>
      <c r="C5421" s="5"/>
    </row>
    <row r="5422" spans="1:3" x14ac:dyDescent="0.35">
      <c r="A5422" s="3"/>
      <c r="B5422" s="5"/>
      <c r="C5422" s="5"/>
    </row>
    <row r="5423" spans="1:3" x14ac:dyDescent="0.35">
      <c r="A5423" s="3"/>
      <c r="B5423" s="5"/>
      <c r="C5423" s="5"/>
    </row>
    <row r="5424" spans="1:3" x14ac:dyDescent="0.35">
      <c r="A5424" s="3"/>
      <c r="B5424" s="5"/>
      <c r="C5424" s="5"/>
    </row>
    <row r="5425" spans="1:3" x14ac:dyDescent="0.35">
      <c r="A5425" s="3"/>
      <c r="B5425" s="5"/>
      <c r="C5425" s="5"/>
    </row>
    <row r="5426" spans="1:3" x14ac:dyDescent="0.35">
      <c r="A5426" s="3"/>
      <c r="B5426" s="5"/>
      <c r="C5426" s="5"/>
    </row>
    <row r="5427" spans="1:3" x14ac:dyDescent="0.35">
      <c r="A5427" s="3"/>
      <c r="B5427" s="5"/>
      <c r="C5427" s="5"/>
    </row>
    <row r="5428" spans="1:3" x14ac:dyDescent="0.35">
      <c r="A5428" s="3"/>
      <c r="B5428" s="5"/>
      <c r="C5428" s="5"/>
    </row>
    <row r="5429" spans="1:3" x14ac:dyDescent="0.35">
      <c r="A5429" s="3"/>
      <c r="B5429" s="5"/>
      <c r="C5429" s="5"/>
    </row>
    <row r="5430" spans="1:3" x14ac:dyDescent="0.35">
      <c r="A5430" s="3"/>
      <c r="B5430" s="5"/>
      <c r="C5430" s="5"/>
    </row>
    <row r="5431" spans="1:3" x14ac:dyDescent="0.35">
      <c r="A5431" s="3"/>
      <c r="B5431" s="5"/>
      <c r="C5431" s="5"/>
    </row>
    <row r="5432" spans="1:3" x14ac:dyDescent="0.35">
      <c r="A5432" s="3"/>
      <c r="B5432" s="5"/>
      <c r="C5432" s="5"/>
    </row>
    <row r="5433" spans="1:3" x14ac:dyDescent="0.35">
      <c r="A5433" s="3"/>
      <c r="B5433" s="5"/>
      <c r="C5433" s="5"/>
    </row>
    <row r="5434" spans="1:3" x14ac:dyDescent="0.35">
      <c r="A5434" s="3"/>
      <c r="B5434" s="5"/>
      <c r="C5434" s="5"/>
    </row>
    <row r="5435" spans="1:3" x14ac:dyDescent="0.35">
      <c r="A5435" s="3"/>
      <c r="B5435" s="5"/>
      <c r="C5435" s="5"/>
    </row>
    <row r="5436" spans="1:3" x14ac:dyDescent="0.35">
      <c r="A5436" s="3"/>
      <c r="B5436" s="5"/>
      <c r="C5436" s="5"/>
    </row>
    <row r="5437" spans="1:3" x14ac:dyDescent="0.35">
      <c r="A5437" s="3"/>
      <c r="B5437" s="5"/>
      <c r="C5437" s="5"/>
    </row>
    <row r="5438" spans="1:3" x14ac:dyDescent="0.35">
      <c r="A5438" s="3"/>
      <c r="B5438" s="5"/>
      <c r="C5438" s="5"/>
    </row>
    <row r="5439" spans="1:3" x14ac:dyDescent="0.35">
      <c r="A5439" s="3"/>
      <c r="B5439" s="5"/>
      <c r="C5439" s="5"/>
    </row>
    <row r="5440" spans="1:3" x14ac:dyDescent="0.35">
      <c r="A5440" s="3"/>
      <c r="B5440" s="5"/>
      <c r="C5440" s="5"/>
    </row>
    <row r="5441" spans="1:3" x14ac:dyDescent="0.35">
      <c r="A5441" s="3"/>
      <c r="B5441" s="5"/>
      <c r="C5441" s="5"/>
    </row>
    <row r="5442" spans="1:3" x14ac:dyDescent="0.35">
      <c r="A5442" s="3"/>
      <c r="B5442" s="5"/>
      <c r="C5442" s="5"/>
    </row>
    <row r="5443" spans="1:3" x14ac:dyDescent="0.35">
      <c r="A5443" s="3"/>
      <c r="B5443" s="5"/>
      <c r="C5443" s="5"/>
    </row>
    <row r="5444" spans="1:3" x14ac:dyDescent="0.35">
      <c r="A5444" s="3"/>
      <c r="B5444" s="5"/>
      <c r="C5444" s="5"/>
    </row>
    <row r="5445" spans="1:3" x14ac:dyDescent="0.35">
      <c r="A5445" s="3"/>
      <c r="B5445" s="5"/>
      <c r="C5445" s="5"/>
    </row>
    <row r="5446" spans="1:3" x14ac:dyDescent="0.35">
      <c r="A5446" s="3"/>
      <c r="B5446" s="5"/>
      <c r="C5446" s="5"/>
    </row>
    <row r="5447" spans="1:3" x14ac:dyDescent="0.35">
      <c r="A5447" s="3"/>
      <c r="B5447" s="5"/>
      <c r="C5447" s="5"/>
    </row>
    <row r="5448" spans="1:3" x14ac:dyDescent="0.35">
      <c r="A5448" s="3"/>
      <c r="B5448" s="5"/>
      <c r="C5448" s="5"/>
    </row>
    <row r="5449" spans="1:3" x14ac:dyDescent="0.35">
      <c r="A5449" s="3"/>
      <c r="B5449" s="5"/>
      <c r="C5449" s="5"/>
    </row>
    <row r="5450" spans="1:3" x14ac:dyDescent="0.35">
      <c r="A5450" s="3"/>
      <c r="B5450" s="5"/>
      <c r="C5450" s="5"/>
    </row>
    <row r="5451" spans="1:3" x14ac:dyDescent="0.35">
      <c r="A5451" s="3"/>
      <c r="B5451" s="5"/>
      <c r="C5451" s="5"/>
    </row>
    <row r="5452" spans="1:3" x14ac:dyDescent="0.35">
      <c r="A5452" s="3"/>
      <c r="B5452" s="5"/>
      <c r="C5452" s="5"/>
    </row>
    <row r="5453" spans="1:3" x14ac:dyDescent="0.35">
      <c r="A5453" s="3"/>
      <c r="B5453" s="5"/>
      <c r="C5453" s="5"/>
    </row>
    <row r="5454" spans="1:3" x14ac:dyDescent="0.35">
      <c r="A5454" s="3"/>
      <c r="B5454" s="5"/>
      <c r="C5454" s="5"/>
    </row>
    <row r="5455" spans="1:3" x14ac:dyDescent="0.35">
      <c r="A5455" s="3"/>
      <c r="B5455" s="5"/>
      <c r="C5455" s="5"/>
    </row>
    <row r="5456" spans="1:3" x14ac:dyDescent="0.35">
      <c r="A5456" s="3"/>
      <c r="B5456" s="5"/>
      <c r="C5456" s="5"/>
    </row>
    <row r="5457" spans="1:3" x14ac:dyDescent="0.35">
      <c r="A5457" s="3"/>
      <c r="B5457" s="5"/>
      <c r="C5457" s="5"/>
    </row>
    <row r="5458" spans="1:3" x14ac:dyDescent="0.35">
      <c r="A5458" s="3"/>
      <c r="B5458" s="5"/>
      <c r="C5458" s="5"/>
    </row>
    <row r="5459" spans="1:3" x14ac:dyDescent="0.35">
      <c r="A5459" s="3"/>
      <c r="B5459" s="5"/>
      <c r="C5459" s="5"/>
    </row>
    <row r="5460" spans="1:3" x14ac:dyDescent="0.35">
      <c r="A5460" s="3"/>
      <c r="B5460" s="5"/>
      <c r="C5460" s="5"/>
    </row>
    <row r="5461" spans="1:3" x14ac:dyDescent="0.35">
      <c r="A5461" s="3"/>
      <c r="B5461" s="5"/>
      <c r="C5461" s="5"/>
    </row>
    <row r="5462" spans="1:3" x14ac:dyDescent="0.35">
      <c r="A5462" s="3"/>
      <c r="B5462" s="5"/>
      <c r="C5462" s="5"/>
    </row>
    <row r="5463" spans="1:3" x14ac:dyDescent="0.35">
      <c r="A5463" s="3"/>
      <c r="B5463" s="5"/>
      <c r="C5463" s="5"/>
    </row>
    <row r="5464" spans="1:3" x14ac:dyDescent="0.35">
      <c r="A5464" s="3"/>
      <c r="B5464" s="5"/>
      <c r="C5464" s="5"/>
    </row>
    <row r="5465" spans="1:3" x14ac:dyDescent="0.35">
      <c r="A5465" s="3"/>
      <c r="B5465" s="5"/>
      <c r="C5465" s="5"/>
    </row>
    <row r="5466" spans="1:3" x14ac:dyDescent="0.35">
      <c r="A5466" s="3"/>
      <c r="B5466" s="5"/>
      <c r="C5466" s="5"/>
    </row>
    <row r="5467" spans="1:3" x14ac:dyDescent="0.35">
      <c r="A5467" s="3"/>
      <c r="B5467" s="5"/>
      <c r="C5467" s="5"/>
    </row>
    <row r="5468" spans="1:3" x14ac:dyDescent="0.35">
      <c r="A5468" s="3"/>
      <c r="B5468" s="5"/>
      <c r="C5468" s="5"/>
    </row>
    <row r="5469" spans="1:3" x14ac:dyDescent="0.35">
      <c r="A5469" s="3"/>
      <c r="B5469" s="5"/>
      <c r="C5469" s="5"/>
    </row>
    <row r="5470" spans="1:3" x14ac:dyDescent="0.35">
      <c r="A5470" s="3"/>
      <c r="B5470" s="5"/>
      <c r="C5470" s="5"/>
    </row>
    <row r="5471" spans="1:3" x14ac:dyDescent="0.35">
      <c r="A5471" s="3"/>
      <c r="B5471" s="5"/>
      <c r="C5471" s="5"/>
    </row>
    <row r="5472" spans="1:3" x14ac:dyDescent="0.35">
      <c r="A5472" s="3"/>
      <c r="B5472" s="5"/>
      <c r="C5472" s="5"/>
    </row>
    <row r="5473" spans="1:3" x14ac:dyDescent="0.35">
      <c r="A5473" s="3"/>
      <c r="B5473" s="5"/>
      <c r="C5473" s="5"/>
    </row>
    <row r="5474" spans="1:3" x14ac:dyDescent="0.35">
      <c r="A5474" s="3"/>
      <c r="B5474" s="5"/>
      <c r="C5474" s="5"/>
    </row>
    <row r="5475" spans="1:3" x14ac:dyDescent="0.35">
      <c r="A5475" s="3"/>
      <c r="B5475" s="5"/>
      <c r="C5475" s="5"/>
    </row>
    <row r="5476" spans="1:3" x14ac:dyDescent="0.35">
      <c r="A5476" s="3"/>
      <c r="B5476" s="5"/>
      <c r="C5476" s="5"/>
    </row>
    <row r="5477" spans="1:3" x14ac:dyDescent="0.35">
      <c r="A5477" s="3"/>
      <c r="B5477" s="5"/>
      <c r="C5477" s="5"/>
    </row>
    <row r="5478" spans="1:3" x14ac:dyDescent="0.35">
      <c r="A5478" s="3"/>
      <c r="B5478" s="5"/>
      <c r="C5478" s="5"/>
    </row>
    <row r="5479" spans="1:3" x14ac:dyDescent="0.35">
      <c r="A5479" s="3"/>
      <c r="B5479" s="5"/>
      <c r="C5479" s="5"/>
    </row>
    <row r="5480" spans="1:3" x14ac:dyDescent="0.35">
      <c r="A5480" s="3"/>
      <c r="B5480" s="5"/>
      <c r="C5480" s="5"/>
    </row>
    <row r="5481" spans="1:3" x14ac:dyDescent="0.35">
      <c r="A5481" s="3"/>
      <c r="B5481" s="5"/>
      <c r="C5481" s="5"/>
    </row>
    <row r="5482" spans="1:3" x14ac:dyDescent="0.35">
      <c r="A5482" s="3"/>
      <c r="B5482" s="5"/>
      <c r="C5482" s="5"/>
    </row>
    <row r="5483" spans="1:3" x14ac:dyDescent="0.35">
      <c r="A5483" s="3"/>
      <c r="B5483" s="5"/>
      <c r="C5483" s="5"/>
    </row>
    <row r="5484" spans="1:3" x14ac:dyDescent="0.35">
      <c r="A5484" s="3"/>
      <c r="B5484" s="5"/>
      <c r="C5484" s="5"/>
    </row>
    <row r="5485" spans="1:3" x14ac:dyDescent="0.35">
      <c r="A5485" s="3"/>
      <c r="B5485" s="5"/>
      <c r="C5485" s="5"/>
    </row>
    <row r="5486" spans="1:3" x14ac:dyDescent="0.35">
      <c r="A5486" s="3"/>
      <c r="B5486" s="5"/>
      <c r="C5486" s="5"/>
    </row>
    <row r="5487" spans="1:3" x14ac:dyDescent="0.35">
      <c r="A5487" s="3"/>
      <c r="B5487" s="5"/>
      <c r="C5487" s="5"/>
    </row>
    <row r="5488" spans="1:3" x14ac:dyDescent="0.35">
      <c r="A5488" s="3"/>
      <c r="B5488" s="5"/>
      <c r="C5488" s="5"/>
    </row>
    <row r="5489" spans="1:3" x14ac:dyDescent="0.35">
      <c r="A5489" s="3"/>
      <c r="B5489" s="5"/>
      <c r="C5489" s="5"/>
    </row>
    <row r="5490" spans="1:3" x14ac:dyDescent="0.35">
      <c r="A5490" s="3"/>
      <c r="B5490" s="5"/>
      <c r="C5490" s="5"/>
    </row>
    <row r="5491" spans="1:3" x14ac:dyDescent="0.35">
      <c r="A5491" s="3"/>
      <c r="B5491" s="5"/>
      <c r="C5491" s="5"/>
    </row>
    <row r="5492" spans="1:3" x14ac:dyDescent="0.35">
      <c r="A5492" s="3"/>
      <c r="B5492" s="5"/>
      <c r="C5492" s="5"/>
    </row>
    <row r="5493" spans="1:3" x14ac:dyDescent="0.35">
      <c r="A5493" s="3"/>
      <c r="B5493" s="5"/>
      <c r="C5493" s="5"/>
    </row>
    <row r="5494" spans="1:3" x14ac:dyDescent="0.35">
      <c r="A5494" s="3"/>
      <c r="B5494" s="5"/>
      <c r="C5494" s="5"/>
    </row>
    <row r="5495" spans="1:3" x14ac:dyDescent="0.35">
      <c r="A5495" s="3"/>
      <c r="B5495" s="5"/>
      <c r="C5495" s="5"/>
    </row>
    <row r="5496" spans="1:3" x14ac:dyDescent="0.35">
      <c r="A5496" s="3"/>
      <c r="B5496" s="5"/>
      <c r="C5496" s="5"/>
    </row>
    <row r="5497" spans="1:3" x14ac:dyDescent="0.35">
      <c r="A5497" s="3"/>
      <c r="B5497" s="5"/>
      <c r="C5497" s="5"/>
    </row>
    <row r="5498" spans="1:3" x14ac:dyDescent="0.35">
      <c r="A5498" s="3"/>
      <c r="B5498" s="5"/>
      <c r="C5498" s="5"/>
    </row>
    <row r="5499" spans="1:3" x14ac:dyDescent="0.35">
      <c r="A5499" s="3"/>
      <c r="B5499" s="5"/>
      <c r="C5499" s="5"/>
    </row>
    <row r="5500" spans="1:3" x14ac:dyDescent="0.35">
      <c r="A5500" s="3"/>
      <c r="B5500" s="5"/>
      <c r="C5500" s="5"/>
    </row>
    <row r="5501" spans="1:3" x14ac:dyDescent="0.35">
      <c r="A5501" s="3"/>
      <c r="B5501" s="5"/>
      <c r="C5501" s="5"/>
    </row>
    <row r="5502" spans="1:3" x14ac:dyDescent="0.35">
      <c r="A5502" s="3"/>
      <c r="B5502" s="5"/>
      <c r="C5502" s="5"/>
    </row>
    <row r="5503" spans="1:3" x14ac:dyDescent="0.35">
      <c r="A5503" s="3"/>
      <c r="B5503" s="5"/>
      <c r="C5503" s="5"/>
    </row>
    <row r="5504" spans="1:3" x14ac:dyDescent="0.35">
      <c r="A5504" s="3"/>
      <c r="B5504" s="5"/>
      <c r="C5504" s="5"/>
    </row>
    <row r="5505" spans="1:3" x14ac:dyDescent="0.35">
      <c r="A5505" s="3"/>
      <c r="B5505" s="5"/>
      <c r="C5505" s="5"/>
    </row>
    <row r="5506" spans="1:3" x14ac:dyDescent="0.35">
      <c r="A5506" s="3"/>
      <c r="B5506" s="5"/>
      <c r="C5506" s="5"/>
    </row>
    <row r="5507" spans="1:3" x14ac:dyDescent="0.35">
      <c r="A5507" s="3"/>
      <c r="B5507" s="5"/>
      <c r="C5507" s="5"/>
    </row>
    <row r="5508" spans="1:3" x14ac:dyDescent="0.35">
      <c r="A5508" s="3"/>
      <c r="B5508" s="5"/>
      <c r="C5508" s="5"/>
    </row>
    <row r="5509" spans="1:3" x14ac:dyDescent="0.35">
      <c r="A5509" s="3"/>
      <c r="B5509" s="5"/>
      <c r="C5509" s="5"/>
    </row>
    <row r="5510" spans="1:3" x14ac:dyDescent="0.35">
      <c r="A5510" s="3"/>
      <c r="B5510" s="5"/>
      <c r="C5510" s="5"/>
    </row>
    <row r="5511" spans="1:3" x14ac:dyDescent="0.35">
      <c r="A5511" s="3"/>
      <c r="B5511" s="5"/>
      <c r="C5511" s="5"/>
    </row>
    <row r="5512" spans="1:3" x14ac:dyDescent="0.35">
      <c r="A5512" s="3"/>
      <c r="B5512" s="5"/>
      <c r="C5512" s="5"/>
    </row>
    <row r="5513" spans="1:3" x14ac:dyDescent="0.35">
      <c r="A5513" s="3"/>
      <c r="B5513" s="5"/>
      <c r="C5513" s="5"/>
    </row>
    <row r="5514" spans="1:3" x14ac:dyDescent="0.35">
      <c r="A5514" s="3"/>
      <c r="B5514" s="5"/>
      <c r="C5514" s="5"/>
    </row>
    <row r="5515" spans="1:3" x14ac:dyDescent="0.35">
      <c r="A5515" s="3"/>
      <c r="B5515" s="5"/>
      <c r="C5515" s="5"/>
    </row>
    <row r="5516" spans="1:3" x14ac:dyDescent="0.35">
      <c r="A5516" s="3"/>
      <c r="B5516" s="5"/>
      <c r="C5516" s="5"/>
    </row>
    <row r="5517" spans="1:3" x14ac:dyDescent="0.35">
      <c r="A5517" s="3"/>
      <c r="B5517" s="5"/>
      <c r="C5517" s="5"/>
    </row>
    <row r="5518" spans="1:3" x14ac:dyDescent="0.35">
      <c r="A5518" s="3"/>
      <c r="B5518" s="5"/>
      <c r="C5518" s="5"/>
    </row>
    <row r="5519" spans="1:3" x14ac:dyDescent="0.35">
      <c r="A5519" s="3"/>
      <c r="B5519" s="5"/>
      <c r="C5519" s="5"/>
    </row>
    <row r="5520" spans="1:3" x14ac:dyDescent="0.35">
      <c r="A5520" s="3"/>
      <c r="B5520" s="5"/>
      <c r="C5520" s="5"/>
    </row>
    <row r="5521" spans="1:3" x14ac:dyDescent="0.35">
      <c r="A5521" s="3"/>
      <c r="B5521" s="5"/>
      <c r="C5521" s="5"/>
    </row>
    <row r="5522" spans="1:3" x14ac:dyDescent="0.35">
      <c r="A5522" s="3"/>
      <c r="B5522" s="5"/>
      <c r="C5522" s="5"/>
    </row>
    <row r="5523" spans="1:3" x14ac:dyDescent="0.35">
      <c r="A5523" s="3"/>
      <c r="B5523" s="5"/>
      <c r="C5523" s="5"/>
    </row>
    <row r="5524" spans="1:3" x14ac:dyDescent="0.35">
      <c r="A5524" s="3"/>
      <c r="B5524" s="5"/>
      <c r="C5524" s="5"/>
    </row>
    <row r="5525" spans="1:3" x14ac:dyDescent="0.35">
      <c r="A5525" s="3"/>
      <c r="B5525" s="5"/>
      <c r="C5525" s="5"/>
    </row>
    <row r="5526" spans="1:3" x14ac:dyDescent="0.35">
      <c r="A5526" s="3"/>
      <c r="B5526" s="5"/>
      <c r="C5526" s="5"/>
    </row>
    <row r="5527" spans="1:3" x14ac:dyDescent="0.35">
      <c r="A5527" s="3"/>
      <c r="B5527" s="5"/>
      <c r="C5527" s="5"/>
    </row>
    <row r="5528" spans="1:3" x14ac:dyDescent="0.35">
      <c r="A5528" s="3"/>
      <c r="B5528" s="5"/>
      <c r="C5528" s="5"/>
    </row>
    <row r="5529" spans="1:3" x14ac:dyDescent="0.35">
      <c r="A5529" s="3"/>
      <c r="B5529" s="5"/>
      <c r="C5529" s="5"/>
    </row>
    <row r="5530" spans="1:3" x14ac:dyDescent="0.35">
      <c r="A5530" s="3"/>
      <c r="B5530" s="5"/>
      <c r="C5530" s="5"/>
    </row>
    <row r="5531" spans="1:3" x14ac:dyDescent="0.35">
      <c r="A5531" s="3"/>
      <c r="B5531" s="5"/>
      <c r="C5531" s="5"/>
    </row>
    <row r="5532" spans="1:3" x14ac:dyDescent="0.35">
      <c r="A5532" s="3"/>
      <c r="B5532" s="5"/>
      <c r="C5532" s="5"/>
    </row>
    <row r="5533" spans="1:3" x14ac:dyDescent="0.35">
      <c r="A5533" s="3"/>
      <c r="B5533" s="5"/>
      <c r="C5533" s="5"/>
    </row>
    <row r="5534" spans="1:3" x14ac:dyDescent="0.35">
      <c r="A5534" s="3"/>
      <c r="B5534" s="5"/>
      <c r="C5534" s="5"/>
    </row>
    <row r="5535" spans="1:3" x14ac:dyDescent="0.35">
      <c r="A5535" s="3"/>
      <c r="B5535" s="5"/>
      <c r="C5535" s="5"/>
    </row>
    <row r="5536" spans="1:3" x14ac:dyDescent="0.35">
      <c r="A5536" s="3"/>
      <c r="B5536" s="5"/>
      <c r="C5536" s="5"/>
    </row>
    <row r="5537" spans="1:3" x14ac:dyDescent="0.35">
      <c r="A5537" s="3"/>
      <c r="B5537" s="5"/>
      <c r="C5537" s="5"/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>
      <selection activeCell="A3" sqref="A3"/>
    </sheetView>
  </sheetViews>
  <sheetFormatPr defaultRowHeight="20.25" x14ac:dyDescent="0.35"/>
  <cols>
    <col min="1" max="1" width="11.81640625" bestFit="1" customWidth="1"/>
  </cols>
  <sheetData>
    <row r="1" spans="1:1" x14ac:dyDescent="0.35">
      <c r="A1" t="s">
        <v>684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P5600"/>
  <sheetViews>
    <sheetView workbookViewId="0">
      <selection activeCell="D5" sqref="D5"/>
    </sheetView>
  </sheetViews>
  <sheetFormatPr defaultRowHeight="20.25" x14ac:dyDescent="0.35"/>
  <cols>
    <col min="8" max="8" width="18.81640625" customWidth="1"/>
    <col min="9" max="9" width="22.26953125" bestFit="1" customWidth="1"/>
    <col min="10" max="10" width="24.36328125" customWidth="1"/>
    <col min="11" max="11" width="24" customWidth="1"/>
  </cols>
  <sheetData>
    <row r="1" spans="1:16" x14ac:dyDescent="0.35">
      <c r="G1" s="2" t="s">
        <v>673</v>
      </c>
      <c r="H1" s="2" t="s">
        <v>675</v>
      </c>
      <c r="I1" s="2" t="s">
        <v>677</v>
      </c>
      <c r="J1" s="2" t="s">
        <v>678</v>
      </c>
    </row>
    <row r="2" spans="1:16" x14ac:dyDescent="0.35">
      <c r="A2" s="23"/>
      <c r="B2" s="23"/>
      <c r="C2" s="23"/>
      <c r="D2" s="23"/>
      <c r="E2" s="23"/>
      <c r="F2" s="23"/>
      <c r="G2" s="2" t="s">
        <v>674</v>
      </c>
      <c r="H2" s="2" t="s">
        <v>676</v>
      </c>
      <c r="I2" s="2" t="s">
        <v>679</v>
      </c>
      <c r="J2" s="2" t="s">
        <v>680</v>
      </c>
    </row>
    <row r="3" spans="1:16" x14ac:dyDescent="0.35">
      <c r="A3" s="23">
        <f ca="1">IF(K3="",0,RANK(K3,K:K,1))</f>
        <v>0</v>
      </c>
      <c r="B3" s="23">
        <f t="shared" ref="B3:F18" si="0">IF(L3="",0,RANK(L3,L:L,1))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" t="str">
        <f>IF('证券列表 '!B6="","",'证券列表 '!B6)</f>
        <v>AACG.O</v>
      </c>
      <c r="H3" s="2" t="str">
        <f ca="1">[1]!WSS($G$3:$G$510,$I$2:$J$2,"rptDate="&amp;TEXT(业绩披露日期!D4,"YYYYMMDD"),"unit=1","tradeDate="&amp;TEXT(业绩披露日期!I1,"YYYYMMDD"), "UnitMask=2","cols=2;rows=335")</f>
        <v>ATA CREATIVITY GLOBAL</v>
      </c>
      <c r="I3" s="3">
        <v>45511</v>
      </c>
      <c r="J3" s="6">
        <v>19105184.638500001</v>
      </c>
      <c r="K3" t="str">
        <f ca="1">IF($I3=业绩披露日期!D$7,ROW(),"")</f>
        <v/>
      </c>
      <c r="L3" t="str">
        <f>IF($I3=业绩披露日期!E$7,ROW(),"")</f>
        <v/>
      </c>
      <c r="M3" t="str">
        <f>IF($I3=业绩披露日期!F$7,ROW(),"")</f>
        <v/>
      </c>
      <c r="N3" t="str">
        <f>IF($I3=业绩披露日期!G$7,ROW(),"")</f>
        <v/>
      </c>
      <c r="O3" t="str">
        <f>IF($I3=业绩披露日期!H$7,ROW(),"")</f>
        <v/>
      </c>
      <c r="P3" t="str">
        <f>IF($I3=业绩披露日期!I$7,ROW(),"")</f>
        <v/>
      </c>
    </row>
    <row r="4" spans="1:16" x14ac:dyDescent="0.35">
      <c r="A4" s="23">
        <f t="shared" ref="A4:A67" ca="1" si="1">IF(K4="",0,RANK(K4,K:K,1))</f>
        <v>0</v>
      </c>
      <c r="B4" s="23">
        <f t="shared" ref="B4:B67" si="2">IF(L4="",0,RANK(L4,L:L,1))</f>
        <v>0</v>
      </c>
      <c r="C4" s="23">
        <f t="shared" ref="C4:C67" si="3">IF(M4="",0,RANK(M4,M:M,1))</f>
        <v>0</v>
      </c>
      <c r="D4" s="23">
        <f t="shared" ref="D4:D67" si="4">IF(N4="",0,RANK(N4,N:N,1))</f>
        <v>0</v>
      </c>
      <c r="E4" s="23">
        <f t="shared" ref="E4:F67" si="5">IF(O4="",0,RANK(O4,O:O,1))</f>
        <v>0</v>
      </c>
      <c r="F4" s="23">
        <f t="shared" si="0"/>
        <v>0</v>
      </c>
      <c r="G4" s="2" t="str">
        <f>IF('证券列表 '!B7="","",'证券列表 '!B7)</f>
        <v>ABLV.O</v>
      </c>
      <c r="H4" s="2" t="s">
        <v>11</v>
      </c>
      <c r="I4" s="3"/>
      <c r="J4" s="6">
        <v>70759610.879999995</v>
      </c>
      <c r="K4" t="str">
        <f ca="1">IF($I4=业绩披露日期!D$7,ROW(),"")</f>
        <v/>
      </c>
      <c r="L4" t="str">
        <f>IF($I4=业绩披露日期!E$7,ROW(),"")</f>
        <v/>
      </c>
      <c r="M4" t="str">
        <f>IF($I4=业绩披露日期!F$7,ROW(),"")</f>
        <v/>
      </c>
      <c r="N4" t="str">
        <f>IF($I4=业绩披露日期!G$7,ROW(),"")</f>
        <v/>
      </c>
      <c r="O4" t="str">
        <f>IF($I4=业绩披露日期!H$7,ROW(),"")</f>
        <v/>
      </c>
      <c r="P4" t="str">
        <f>IF($I4=业绩披露日期!I$7,ROW(),"")</f>
        <v/>
      </c>
    </row>
    <row r="5" spans="1:16" x14ac:dyDescent="0.35">
      <c r="A5" s="23">
        <f t="shared" ca="1" si="1"/>
        <v>0</v>
      </c>
      <c r="B5" s="23">
        <f t="shared" si="2"/>
        <v>0</v>
      </c>
      <c r="C5" s="23">
        <f t="shared" si="3"/>
        <v>0</v>
      </c>
      <c r="D5" s="23">
        <f t="shared" si="4"/>
        <v>0</v>
      </c>
      <c r="E5" s="23">
        <f t="shared" si="5"/>
        <v>0</v>
      </c>
      <c r="F5" s="23">
        <f t="shared" si="0"/>
        <v>0</v>
      </c>
      <c r="G5" s="2" t="str">
        <f>IF('证券列表 '!B8="","",'证券列表 '!B8)</f>
        <v>ABTS.O</v>
      </c>
      <c r="H5" s="2" t="s">
        <v>13</v>
      </c>
      <c r="I5" s="3"/>
      <c r="J5" s="6">
        <v>17119576.975499999</v>
      </c>
      <c r="K5" t="str">
        <f ca="1">IF($I5=业绩披露日期!D$7,ROW(),"")</f>
        <v/>
      </c>
      <c r="L5" t="str">
        <f>IF($I5=业绩披露日期!E$7,ROW(),"")</f>
        <v/>
      </c>
      <c r="M5" t="str">
        <f>IF($I5=业绩披露日期!F$7,ROW(),"")</f>
        <v/>
      </c>
      <c r="N5" t="str">
        <f>IF($I5=业绩披露日期!G$7,ROW(),"")</f>
        <v/>
      </c>
      <c r="O5" t="str">
        <f>IF($I5=业绩披露日期!H$7,ROW(),"")</f>
        <v/>
      </c>
      <c r="P5" t="str">
        <f>IF($I5=业绩披露日期!I$7,ROW(),"")</f>
        <v/>
      </c>
    </row>
    <row r="6" spans="1:16" x14ac:dyDescent="0.35">
      <c r="A6" s="23">
        <f t="shared" ca="1" si="1"/>
        <v>0</v>
      </c>
      <c r="B6" s="23">
        <f t="shared" si="2"/>
        <v>0</v>
      </c>
      <c r="C6" s="23">
        <f t="shared" si="3"/>
        <v>0</v>
      </c>
      <c r="D6" s="23">
        <f t="shared" si="4"/>
        <v>0</v>
      </c>
      <c r="E6" s="23">
        <f t="shared" si="5"/>
        <v>0</v>
      </c>
      <c r="F6" s="23">
        <f t="shared" si="0"/>
        <v>0</v>
      </c>
      <c r="G6" s="2" t="str">
        <f>IF('证券列表 '!B9="","",'证券列表 '!B9)</f>
        <v>ACMR.O</v>
      </c>
      <c r="H6" s="2" t="s">
        <v>15</v>
      </c>
      <c r="I6" s="3">
        <v>45511</v>
      </c>
      <c r="J6" s="6">
        <v>1110731250.72</v>
      </c>
      <c r="K6" t="str">
        <f ca="1">IF($I6=业绩披露日期!D$7,ROW(),"")</f>
        <v/>
      </c>
      <c r="L6" t="str">
        <f>IF($I6=业绩披露日期!E$7,ROW(),"")</f>
        <v/>
      </c>
      <c r="M6" t="str">
        <f>IF($I6=业绩披露日期!F$7,ROW(),"")</f>
        <v/>
      </c>
      <c r="N6" t="str">
        <f>IF($I6=业绩披露日期!G$7,ROW(),"")</f>
        <v/>
      </c>
      <c r="O6" t="str">
        <f>IF($I6=业绩披露日期!H$7,ROW(),"")</f>
        <v/>
      </c>
      <c r="P6" t="str">
        <f>IF($I6=业绩披露日期!I$7,ROW(),"")</f>
        <v/>
      </c>
    </row>
    <row r="7" spans="1:16" x14ac:dyDescent="0.35">
      <c r="A7" s="23">
        <f t="shared" ca="1" si="1"/>
        <v>0</v>
      </c>
      <c r="B7" s="23">
        <f t="shared" si="2"/>
        <v>0</v>
      </c>
      <c r="C7" s="23">
        <f t="shared" si="3"/>
        <v>0</v>
      </c>
      <c r="D7" s="23">
        <f t="shared" si="4"/>
        <v>0</v>
      </c>
      <c r="E7" s="23">
        <f t="shared" si="5"/>
        <v>0</v>
      </c>
      <c r="F7" s="23">
        <f t="shared" si="0"/>
        <v>0</v>
      </c>
      <c r="G7" s="2" t="str">
        <f>IF('证券列表 '!B10="","",'证券列表 '!B10)</f>
        <v>ADAG.O</v>
      </c>
      <c r="H7" s="2" t="s">
        <v>17</v>
      </c>
      <c r="I7" s="3"/>
      <c r="J7" s="6">
        <v>128385273.59999999</v>
      </c>
      <c r="K7" t="str">
        <f ca="1">IF($I7=业绩披露日期!D$7,ROW(),"")</f>
        <v/>
      </c>
      <c r="L7" t="str">
        <f>IF($I7=业绩披露日期!E$7,ROW(),"")</f>
        <v/>
      </c>
      <c r="M7" t="str">
        <f>IF($I7=业绩披露日期!F$7,ROW(),"")</f>
        <v/>
      </c>
      <c r="N7" t="str">
        <f>IF($I7=业绩披露日期!G$7,ROW(),"")</f>
        <v/>
      </c>
      <c r="O7" t="str">
        <f>IF($I7=业绩披露日期!H$7,ROW(),"")</f>
        <v/>
      </c>
      <c r="P7" t="str">
        <f>IF($I7=业绩披露日期!I$7,ROW(),"")</f>
        <v/>
      </c>
    </row>
    <row r="8" spans="1:16" x14ac:dyDescent="0.35">
      <c r="A8" s="23">
        <f t="shared" ca="1" si="1"/>
        <v>0</v>
      </c>
      <c r="B8" s="23">
        <f t="shared" si="2"/>
        <v>0</v>
      </c>
      <c r="C8" s="23">
        <f t="shared" si="3"/>
        <v>0</v>
      </c>
      <c r="D8" s="23">
        <f t="shared" si="4"/>
        <v>0</v>
      </c>
      <c r="E8" s="23">
        <f t="shared" si="5"/>
        <v>0</v>
      </c>
      <c r="F8" s="23">
        <f t="shared" si="0"/>
        <v>0</v>
      </c>
      <c r="G8" s="2" t="str">
        <f>IF('证券列表 '!B11="","",'证券列表 '!B11)</f>
        <v>ADD.O</v>
      </c>
      <c r="H8" s="2" t="s">
        <v>19</v>
      </c>
      <c r="I8" s="3"/>
      <c r="J8" s="6">
        <v>32012003.601199999</v>
      </c>
      <c r="K8" t="str">
        <f ca="1">IF($I8=业绩披露日期!D$7,ROW(),"")</f>
        <v/>
      </c>
      <c r="L8" t="str">
        <f>IF($I8=业绩披露日期!E$7,ROW(),"")</f>
        <v/>
      </c>
      <c r="M8" t="str">
        <f>IF($I8=业绩披露日期!F$7,ROW(),"")</f>
        <v/>
      </c>
      <c r="N8" t="str">
        <f>IF($I8=业绩披露日期!G$7,ROW(),"")</f>
        <v/>
      </c>
      <c r="O8" t="str">
        <f>IF($I8=业绩披露日期!H$7,ROW(),"")</f>
        <v/>
      </c>
      <c r="P8" t="str">
        <f>IF($I8=业绩披露日期!I$7,ROW(),"")</f>
        <v/>
      </c>
    </row>
    <row r="9" spans="1:16" x14ac:dyDescent="0.35">
      <c r="A9" s="23">
        <f t="shared" ca="1" si="1"/>
        <v>0</v>
      </c>
      <c r="B9" s="23">
        <f t="shared" si="2"/>
        <v>0</v>
      </c>
      <c r="C9" s="23">
        <f t="shared" si="3"/>
        <v>0</v>
      </c>
      <c r="D9" s="23">
        <f t="shared" si="4"/>
        <v>0</v>
      </c>
      <c r="E9" s="23">
        <f t="shared" si="5"/>
        <v>0</v>
      </c>
      <c r="F9" s="23">
        <f t="shared" si="0"/>
        <v>0</v>
      </c>
      <c r="G9" s="2" t="str">
        <f>IF('证券列表 '!B12="","",'证券列表 '!B12)</f>
        <v>AEHL.O</v>
      </c>
      <c r="H9" s="2" t="s">
        <v>21</v>
      </c>
      <c r="I9" s="3"/>
      <c r="J9" s="6">
        <v>25210246.409999996</v>
      </c>
      <c r="K9" t="str">
        <f ca="1">IF($I9=业绩披露日期!D$7,ROW(),"")</f>
        <v/>
      </c>
      <c r="L9" t="str">
        <f>IF($I9=业绩披露日期!E$7,ROW(),"")</f>
        <v/>
      </c>
      <c r="M9" t="str">
        <f>IF($I9=业绩披露日期!F$7,ROW(),"")</f>
        <v/>
      </c>
      <c r="N9" t="str">
        <f>IF($I9=业绩披露日期!G$7,ROW(),"")</f>
        <v/>
      </c>
      <c r="O9" t="str">
        <f>IF($I9=业绩披露日期!H$7,ROW(),"")</f>
        <v/>
      </c>
      <c r="P9" t="str">
        <f>IF($I9=业绩披露日期!I$7,ROW(),"")</f>
        <v/>
      </c>
    </row>
    <row r="10" spans="1:16" x14ac:dyDescent="0.35">
      <c r="A10" s="23">
        <f t="shared" ca="1" si="1"/>
        <v>0</v>
      </c>
      <c r="B10" s="23">
        <f t="shared" si="2"/>
        <v>0</v>
      </c>
      <c r="C10" s="23">
        <f t="shared" si="3"/>
        <v>0</v>
      </c>
      <c r="D10" s="23">
        <f t="shared" si="4"/>
        <v>0</v>
      </c>
      <c r="E10" s="23">
        <f t="shared" si="5"/>
        <v>0</v>
      </c>
      <c r="F10" s="23">
        <f t="shared" si="0"/>
        <v>0</v>
      </c>
      <c r="G10" s="2" t="str">
        <f>IF('证券列表 '!B13="","",'证券列表 '!B13)</f>
        <v>AGBA.O</v>
      </c>
      <c r="H10" s="2" t="s">
        <v>23</v>
      </c>
      <c r="I10" s="3">
        <v>45520</v>
      </c>
      <c r="J10" s="6">
        <v>208616593.94999999</v>
      </c>
      <c r="K10" t="str">
        <f ca="1">IF($I10=业绩披露日期!D$7,ROW(),"")</f>
        <v/>
      </c>
      <c r="L10" t="str">
        <f>IF($I10=业绩披露日期!E$7,ROW(),"")</f>
        <v/>
      </c>
      <c r="M10" t="str">
        <f>IF($I10=业绩披露日期!F$7,ROW(),"")</f>
        <v/>
      </c>
      <c r="N10" t="str">
        <f>IF($I10=业绩披露日期!G$7,ROW(),"")</f>
        <v/>
      </c>
      <c r="O10" t="str">
        <f>IF($I10=业绩披露日期!H$7,ROW(),"")</f>
        <v/>
      </c>
      <c r="P10" t="str">
        <f>IF($I10=业绩披露日期!I$7,ROW(),"")</f>
        <v/>
      </c>
    </row>
    <row r="11" spans="1:16" x14ac:dyDescent="0.35">
      <c r="A11" s="23">
        <f t="shared" ca="1" si="1"/>
        <v>0</v>
      </c>
      <c r="B11" s="23">
        <f t="shared" si="2"/>
        <v>0</v>
      </c>
      <c r="C11" s="23">
        <f t="shared" si="3"/>
        <v>0</v>
      </c>
      <c r="D11" s="23">
        <f t="shared" si="4"/>
        <v>0</v>
      </c>
      <c r="E11" s="23">
        <f t="shared" si="5"/>
        <v>0</v>
      </c>
      <c r="F11" s="23">
        <f t="shared" si="0"/>
        <v>0</v>
      </c>
      <c r="G11" s="2" t="str">
        <f>IF('证券列表 '!B14="","",'证券列表 '!B14)</f>
        <v>AGMH.O</v>
      </c>
      <c r="H11" s="2" t="s">
        <v>25</v>
      </c>
      <c r="I11" s="3"/>
      <c r="J11" s="6">
        <v>28990326.200000003</v>
      </c>
      <c r="K11" t="str">
        <f ca="1">IF($I11=业绩披露日期!D$7,ROW(),"")</f>
        <v/>
      </c>
      <c r="L11" t="str">
        <f>IF($I11=业绩披露日期!E$7,ROW(),"")</f>
        <v/>
      </c>
      <c r="M11" t="str">
        <f>IF($I11=业绩披露日期!F$7,ROW(),"")</f>
        <v/>
      </c>
      <c r="N11" t="str">
        <f>IF($I11=业绩披露日期!G$7,ROW(),"")</f>
        <v/>
      </c>
      <c r="O11" t="str">
        <f>IF($I11=业绩披露日期!H$7,ROW(),"")</f>
        <v/>
      </c>
      <c r="P11" t="str">
        <f>IF($I11=业绩披露日期!I$7,ROW(),"")</f>
        <v/>
      </c>
    </row>
    <row r="12" spans="1:16" x14ac:dyDescent="0.35">
      <c r="A12" s="23">
        <f t="shared" ca="1" si="1"/>
        <v>0</v>
      </c>
      <c r="B12" s="23">
        <f t="shared" si="2"/>
        <v>0</v>
      </c>
      <c r="C12" s="23">
        <f t="shared" si="3"/>
        <v>0</v>
      </c>
      <c r="D12" s="23">
        <f t="shared" si="4"/>
        <v>0</v>
      </c>
      <c r="E12" s="23">
        <f t="shared" si="5"/>
        <v>0</v>
      </c>
      <c r="F12" s="23">
        <f t="shared" si="0"/>
        <v>0</v>
      </c>
      <c r="G12" s="2" t="str">
        <f>IF('证券列表 '!B15="","",'证券列表 '!B15)</f>
        <v>AHG.O</v>
      </c>
      <c r="H12" s="2" t="s">
        <v>27</v>
      </c>
      <c r="I12" s="3"/>
      <c r="J12" s="6">
        <v>147180889.86666667</v>
      </c>
      <c r="K12" t="str">
        <f ca="1">IF($I12=业绩披露日期!D$7,ROW(),"")</f>
        <v/>
      </c>
      <c r="L12" t="str">
        <f>IF($I12=业绩披露日期!E$7,ROW(),"")</f>
        <v/>
      </c>
      <c r="M12" t="str">
        <f>IF($I12=业绩披露日期!F$7,ROW(),"")</f>
        <v/>
      </c>
      <c r="N12" t="str">
        <f>IF($I12=业绩披露日期!G$7,ROW(),"")</f>
        <v/>
      </c>
      <c r="O12" t="str">
        <f>IF($I12=业绩披露日期!H$7,ROW(),"")</f>
        <v/>
      </c>
      <c r="P12" t="str">
        <f>IF($I12=业绩披露日期!I$7,ROW(),"")</f>
        <v/>
      </c>
    </row>
    <row r="13" spans="1:16" x14ac:dyDescent="0.35">
      <c r="A13" s="23">
        <f t="shared" ca="1" si="1"/>
        <v>0</v>
      </c>
      <c r="B13" s="23">
        <f t="shared" si="2"/>
        <v>0</v>
      </c>
      <c r="C13" s="23">
        <f t="shared" si="3"/>
        <v>0</v>
      </c>
      <c r="D13" s="23">
        <f t="shared" si="4"/>
        <v>0</v>
      </c>
      <c r="E13" s="23">
        <f t="shared" si="5"/>
        <v>0</v>
      </c>
      <c r="F13" s="23">
        <f t="shared" si="0"/>
        <v>0</v>
      </c>
      <c r="G13" s="2" t="str">
        <f>IF('证券列表 '!B16="","",'证券列表 '!B16)</f>
        <v>AIHS.O</v>
      </c>
      <c r="H13" s="2" t="s">
        <v>29</v>
      </c>
      <c r="I13" s="3"/>
      <c r="J13" s="6">
        <v>12726828.4</v>
      </c>
      <c r="K13" t="str">
        <f ca="1">IF($I13=业绩披露日期!D$7,ROW(),"")</f>
        <v/>
      </c>
      <c r="L13" t="str">
        <f>IF($I13=业绩披露日期!E$7,ROW(),"")</f>
        <v/>
      </c>
      <c r="M13" t="str">
        <f>IF($I13=业绩披露日期!F$7,ROW(),"")</f>
        <v/>
      </c>
      <c r="N13" t="str">
        <f>IF($I13=业绩披露日期!G$7,ROW(),"")</f>
        <v/>
      </c>
      <c r="O13" t="str">
        <f>IF($I13=业绩披露日期!H$7,ROW(),"")</f>
        <v/>
      </c>
      <c r="P13" t="str">
        <f>IF($I13=业绩披露日期!I$7,ROW(),"")</f>
        <v/>
      </c>
    </row>
    <row r="14" spans="1:16" x14ac:dyDescent="0.35">
      <c r="A14" s="23">
        <f t="shared" ca="1" si="1"/>
        <v>0</v>
      </c>
      <c r="B14" s="23">
        <f t="shared" si="2"/>
        <v>0</v>
      </c>
      <c r="C14" s="23">
        <f t="shared" si="3"/>
        <v>0</v>
      </c>
      <c r="D14" s="23">
        <f t="shared" si="4"/>
        <v>0</v>
      </c>
      <c r="E14" s="23">
        <f t="shared" si="5"/>
        <v>0</v>
      </c>
      <c r="F14" s="23">
        <f t="shared" si="0"/>
        <v>0</v>
      </c>
      <c r="G14" s="2" t="str">
        <f>IF('证券列表 '!B17="","",'证券列表 '!B17)</f>
        <v>AIXI.O</v>
      </c>
      <c r="H14" s="2" t="s">
        <v>31</v>
      </c>
      <c r="I14" s="3"/>
      <c r="J14" s="6">
        <v>41707078.106666662</v>
      </c>
      <c r="K14" t="str">
        <f ca="1">IF($I14=业绩披露日期!D$7,ROW(),"")</f>
        <v/>
      </c>
      <c r="L14" t="str">
        <f>IF($I14=业绩披露日期!E$7,ROW(),"")</f>
        <v/>
      </c>
      <c r="M14" t="str">
        <f>IF($I14=业绩披露日期!F$7,ROW(),"")</f>
        <v/>
      </c>
      <c r="N14" t="str">
        <f>IF($I14=业绩披露日期!G$7,ROW(),"")</f>
        <v/>
      </c>
      <c r="O14" t="str">
        <f>IF($I14=业绩披露日期!H$7,ROW(),"")</f>
        <v/>
      </c>
      <c r="P14" t="str">
        <f>IF($I14=业绩披露日期!I$7,ROW(),"")</f>
        <v/>
      </c>
    </row>
    <row r="15" spans="1:16" x14ac:dyDescent="0.35">
      <c r="A15" s="23">
        <f t="shared" ca="1" si="1"/>
        <v>0</v>
      </c>
      <c r="B15" s="23">
        <f t="shared" si="2"/>
        <v>0</v>
      </c>
      <c r="C15" s="23">
        <f t="shared" si="3"/>
        <v>0</v>
      </c>
      <c r="D15" s="23">
        <f t="shared" si="4"/>
        <v>0</v>
      </c>
      <c r="E15" s="23">
        <f t="shared" si="5"/>
        <v>0</v>
      </c>
      <c r="F15" s="23">
        <f t="shared" si="0"/>
        <v>0</v>
      </c>
      <c r="G15" s="2" t="str">
        <f>IF('证券列表 '!B18="","",'证券列表 '!B18)</f>
        <v>AMBO.A</v>
      </c>
      <c r="H15" s="2" t="s">
        <v>33</v>
      </c>
      <c r="I15" s="3"/>
      <c r="J15" s="6">
        <v>3545470.25</v>
      </c>
      <c r="K15" t="str">
        <f ca="1">IF($I15=业绩披露日期!D$7,ROW(),"")</f>
        <v/>
      </c>
      <c r="L15" t="str">
        <f>IF($I15=业绩披露日期!E$7,ROW(),"")</f>
        <v/>
      </c>
      <c r="M15" t="str">
        <f>IF($I15=业绩披露日期!F$7,ROW(),"")</f>
        <v/>
      </c>
      <c r="N15" t="str">
        <f>IF($I15=业绩披露日期!G$7,ROW(),"")</f>
        <v/>
      </c>
      <c r="O15" t="str">
        <f>IF($I15=业绩披露日期!H$7,ROW(),"")</f>
        <v/>
      </c>
      <c r="P15" t="str">
        <f>IF($I15=业绩披露日期!I$7,ROW(),"")</f>
        <v/>
      </c>
    </row>
    <row r="16" spans="1:16" x14ac:dyDescent="0.35">
      <c r="A16" s="23">
        <f t="shared" ca="1" si="1"/>
        <v>0</v>
      </c>
      <c r="B16" s="23">
        <f t="shared" si="2"/>
        <v>0</v>
      </c>
      <c r="C16" s="23">
        <f t="shared" si="3"/>
        <v>0</v>
      </c>
      <c r="D16" s="23">
        <f t="shared" si="4"/>
        <v>0</v>
      </c>
      <c r="E16" s="23">
        <f t="shared" si="5"/>
        <v>0</v>
      </c>
      <c r="F16" s="23">
        <f t="shared" si="0"/>
        <v>0</v>
      </c>
      <c r="G16" s="2" t="str">
        <f>IF('证券列表 '!B19="","",'证券列表 '!B19)</f>
        <v>AMTD.N</v>
      </c>
      <c r="H16" s="2" t="s">
        <v>35</v>
      </c>
      <c r="I16" s="3"/>
      <c r="J16" s="6">
        <v>107959682.06666668</v>
      </c>
      <c r="K16" t="str">
        <f ca="1">IF($I16=业绩披露日期!D$7,ROW(),"")</f>
        <v/>
      </c>
      <c r="L16" t="str">
        <f>IF($I16=业绩披露日期!E$7,ROW(),"")</f>
        <v/>
      </c>
      <c r="M16" t="str">
        <f>IF($I16=业绩披露日期!F$7,ROW(),"")</f>
        <v/>
      </c>
      <c r="N16" t="str">
        <f>IF($I16=业绩披露日期!G$7,ROW(),"")</f>
        <v/>
      </c>
      <c r="O16" t="str">
        <f>IF($I16=业绩披露日期!H$7,ROW(),"")</f>
        <v/>
      </c>
      <c r="P16" t="str">
        <f>IF($I16=业绩披露日期!I$7,ROW(),"")</f>
        <v/>
      </c>
    </row>
    <row r="17" spans="1:16" x14ac:dyDescent="0.35">
      <c r="A17" s="23">
        <f t="shared" ca="1" si="1"/>
        <v>0</v>
      </c>
      <c r="B17" s="23">
        <f t="shared" si="2"/>
        <v>0</v>
      </c>
      <c r="C17" s="23">
        <f t="shared" si="3"/>
        <v>0</v>
      </c>
      <c r="D17" s="23">
        <f t="shared" si="4"/>
        <v>0</v>
      </c>
      <c r="E17" s="23">
        <f t="shared" si="5"/>
        <v>0</v>
      </c>
      <c r="F17" s="23">
        <f t="shared" si="0"/>
        <v>0</v>
      </c>
      <c r="G17" s="2" t="str">
        <f>IF('证券列表 '!B20="","",'证券列表 '!B20)</f>
        <v>ANL.O</v>
      </c>
      <c r="H17" s="2" t="s">
        <v>37</v>
      </c>
      <c r="I17" s="3"/>
      <c r="J17" s="6">
        <v>101475737.91666666</v>
      </c>
      <c r="K17" t="str">
        <f ca="1">IF($I17=业绩披露日期!D$7,ROW(),"")</f>
        <v/>
      </c>
      <c r="L17" t="str">
        <f>IF($I17=业绩披露日期!E$7,ROW(),"")</f>
        <v/>
      </c>
      <c r="M17" t="str">
        <f>IF($I17=业绩披露日期!F$7,ROW(),"")</f>
        <v/>
      </c>
      <c r="N17" t="str">
        <f>IF($I17=业绩披露日期!G$7,ROW(),"")</f>
        <v/>
      </c>
      <c r="O17" t="str">
        <f>IF($I17=业绩披露日期!H$7,ROW(),"")</f>
        <v/>
      </c>
      <c r="P17" t="str">
        <f>IF($I17=业绩披露日期!I$7,ROW(),"")</f>
        <v/>
      </c>
    </row>
    <row r="18" spans="1:16" x14ac:dyDescent="0.35">
      <c r="A18" s="23">
        <f t="shared" ca="1" si="1"/>
        <v>0</v>
      </c>
      <c r="B18" s="23">
        <f t="shared" si="2"/>
        <v>0</v>
      </c>
      <c r="C18" s="23">
        <f t="shared" si="3"/>
        <v>0</v>
      </c>
      <c r="D18" s="23">
        <f t="shared" si="4"/>
        <v>0</v>
      </c>
      <c r="E18" s="23">
        <f t="shared" si="5"/>
        <v>0</v>
      </c>
      <c r="F18" s="23">
        <f t="shared" si="0"/>
        <v>0</v>
      </c>
      <c r="G18" s="2" t="str">
        <f>IF('证券列表 '!B21="","",'证券列表 '!B21)</f>
        <v>ANTE.O</v>
      </c>
      <c r="H18" s="2" t="s">
        <v>39</v>
      </c>
      <c r="I18" s="3"/>
      <c r="J18" s="6">
        <v>3501101.3930000002</v>
      </c>
      <c r="K18" t="str">
        <f ca="1">IF($I18=业绩披露日期!D$7,ROW(),"")</f>
        <v/>
      </c>
      <c r="L18" t="str">
        <f>IF($I18=业绩披露日期!E$7,ROW(),"")</f>
        <v/>
      </c>
      <c r="M18" t="str">
        <f>IF($I18=业绩披露日期!F$7,ROW(),"")</f>
        <v/>
      </c>
      <c r="N18" t="str">
        <f>IF($I18=业绩披露日期!G$7,ROW(),"")</f>
        <v/>
      </c>
      <c r="O18" t="str">
        <f>IF($I18=业绩披露日期!H$7,ROW(),"")</f>
        <v/>
      </c>
      <c r="P18" t="str">
        <f>IF($I18=业绩披露日期!I$7,ROW(),"")</f>
        <v/>
      </c>
    </row>
    <row r="19" spans="1:16" x14ac:dyDescent="0.35">
      <c r="A19" s="23">
        <f t="shared" ca="1" si="1"/>
        <v>0</v>
      </c>
      <c r="B19" s="23">
        <f t="shared" si="2"/>
        <v>0</v>
      </c>
      <c r="C19" s="23">
        <f t="shared" si="3"/>
        <v>0</v>
      </c>
      <c r="D19" s="23">
        <f t="shared" si="4"/>
        <v>0</v>
      </c>
      <c r="E19" s="23">
        <f t="shared" si="5"/>
        <v>0</v>
      </c>
      <c r="F19" s="23">
        <f t="shared" si="5"/>
        <v>0</v>
      </c>
      <c r="G19" s="2" t="str">
        <f>IF('证券列表 '!B22="","",'证券列表 '!B22)</f>
        <v>API.O</v>
      </c>
      <c r="H19" s="2" t="s">
        <v>41</v>
      </c>
      <c r="I19" s="3">
        <v>45523</v>
      </c>
      <c r="J19" s="6">
        <v>179825714.345</v>
      </c>
      <c r="K19" t="str">
        <f ca="1">IF($I19=业绩披露日期!D$7,ROW(),"")</f>
        <v/>
      </c>
      <c r="L19" t="str">
        <f>IF($I19=业绩披露日期!E$7,ROW(),"")</f>
        <v/>
      </c>
      <c r="M19" t="str">
        <f>IF($I19=业绩披露日期!F$7,ROW(),"")</f>
        <v/>
      </c>
      <c r="N19" t="str">
        <f>IF($I19=业绩披露日期!G$7,ROW(),"")</f>
        <v/>
      </c>
      <c r="O19" t="str">
        <f>IF($I19=业绩披露日期!H$7,ROW(),"")</f>
        <v/>
      </c>
      <c r="P19" t="str">
        <f>IF($I19=业绩披露日期!I$7,ROW(),"")</f>
        <v/>
      </c>
    </row>
    <row r="20" spans="1:16" x14ac:dyDescent="0.35">
      <c r="A20" s="23">
        <f t="shared" ca="1" si="1"/>
        <v>0</v>
      </c>
      <c r="B20" s="23">
        <f t="shared" si="2"/>
        <v>0</v>
      </c>
      <c r="C20" s="23">
        <f t="shared" si="3"/>
        <v>0</v>
      </c>
      <c r="D20" s="23">
        <f t="shared" si="4"/>
        <v>0</v>
      </c>
      <c r="E20" s="23">
        <f t="shared" si="5"/>
        <v>0</v>
      </c>
      <c r="F20" s="23">
        <f t="shared" si="5"/>
        <v>0</v>
      </c>
      <c r="G20" s="2" t="str">
        <f>IF('证券列表 '!B23="","",'证券列表 '!B23)</f>
        <v>APLM.O</v>
      </c>
      <c r="H20" s="2" t="s">
        <v>43</v>
      </c>
      <c r="I20" s="3"/>
      <c r="J20" s="6">
        <v>14043213.4396</v>
      </c>
      <c r="K20" t="str">
        <f ca="1">IF($I20=业绩披露日期!D$7,ROW(),"")</f>
        <v/>
      </c>
      <c r="L20" t="str">
        <f>IF($I20=业绩披露日期!E$7,ROW(),"")</f>
        <v/>
      </c>
      <c r="M20" t="str">
        <f>IF($I20=业绩披露日期!F$7,ROW(),"")</f>
        <v/>
      </c>
      <c r="N20" t="str">
        <f>IF($I20=业绩披露日期!G$7,ROW(),"")</f>
        <v/>
      </c>
      <c r="O20" t="str">
        <f>IF($I20=业绩披露日期!H$7,ROW(),"")</f>
        <v/>
      </c>
      <c r="P20" t="str">
        <f>IF($I20=业绩披露日期!I$7,ROW(),"")</f>
        <v/>
      </c>
    </row>
    <row r="21" spans="1:16" x14ac:dyDescent="0.35">
      <c r="A21" s="23">
        <f t="shared" ca="1" si="1"/>
        <v>0</v>
      </c>
      <c r="B21" s="23">
        <f t="shared" si="2"/>
        <v>0</v>
      </c>
      <c r="C21" s="23">
        <f t="shared" si="3"/>
        <v>0</v>
      </c>
      <c r="D21" s="23">
        <f t="shared" si="4"/>
        <v>0</v>
      </c>
      <c r="E21" s="23">
        <f t="shared" si="5"/>
        <v>0</v>
      </c>
      <c r="F21" s="23">
        <f t="shared" si="5"/>
        <v>0</v>
      </c>
      <c r="G21" s="2" t="str">
        <f>IF('证券列表 '!B24="","",'证券列表 '!B24)</f>
        <v>APM.O</v>
      </c>
      <c r="H21" s="2" t="s">
        <v>45</v>
      </c>
      <c r="I21" s="3"/>
      <c r="J21" s="6">
        <v>14923287.359999999</v>
      </c>
      <c r="K21" t="str">
        <f ca="1">IF($I21=业绩披露日期!D$7,ROW(),"")</f>
        <v/>
      </c>
      <c r="L21" t="str">
        <f>IF($I21=业绩披露日期!E$7,ROW(),"")</f>
        <v/>
      </c>
      <c r="M21" t="str">
        <f>IF($I21=业绩披露日期!F$7,ROW(),"")</f>
        <v/>
      </c>
      <c r="N21" t="str">
        <f>IF($I21=业绩披露日期!G$7,ROW(),"")</f>
        <v/>
      </c>
      <c r="O21" t="str">
        <f>IF($I21=业绩披露日期!H$7,ROW(),"")</f>
        <v/>
      </c>
      <c r="P21" t="str">
        <f>IF($I21=业绩披露日期!I$7,ROW(),"")</f>
        <v/>
      </c>
    </row>
    <row r="22" spans="1:16" x14ac:dyDescent="0.35">
      <c r="A22" s="23">
        <f t="shared" ca="1" si="1"/>
        <v>0</v>
      </c>
      <c r="B22" s="23">
        <f t="shared" si="2"/>
        <v>0</v>
      </c>
      <c r="C22" s="23">
        <f t="shared" si="3"/>
        <v>0</v>
      </c>
      <c r="D22" s="23">
        <f t="shared" si="4"/>
        <v>0</v>
      </c>
      <c r="E22" s="23">
        <f t="shared" si="5"/>
        <v>0</v>
      </c>
      <c r="F22" s="23">
        <f t="shared" si="5"/>
        <v>0</v>
      </c>
      <c r="G22" s="2" t="str">
        <f>IF('证券列表 '!B25="","",'证券列表 '!B25)</f>
        <v>AS.N</v>
      </c>
      <c r="H22" s="2" t="s">
        <v>47</v>
      </c>
      <c r="I22" s="3">
        <v>45524</v>
      </c>
      <c r="J22" s="6">
        <v>6779569556.9499998</v>
      </c>
      <c r="K22" t="str">
        <f ca="1">IF($I22=业绩披露日期!D$7,ROW(),"")</f>
        <v/>
      </c>
      <c r="L22" t="str">
        <f>IF($I22=业绩披露日期!E$7,ROW(),"")</f>
        <v/>
      </c>
      <c r="M22" t="str">
        <f>IF($I22=业绩披露日期!F$7,ROW(),"")</f>
        <v/>
      </c>
      <c r="N22" t="str">
        <f>IF($I22=业绩披露日期!G$7,ROW(),"")</f>
        <v/>
      </c>
      <c r="O22" t="str">
        <f>IF($I22=业绩披露日期!H$7,ROW(),"")</f>
        <v/>
      </c>
      <c r="P22" t="str">
        <f>IF($I22=业绩披露日期!I$7,ROW(),"")</f>
        <v/>
      </c>
    </row>
    <row r="23" spans="1:16" x14ac:dyDescent="0.35">
      <c r="A23" s="23">
        <f t="shared" ca="1" si="1"/>
        <v>0</v>
      </c>
      <c r="B23" s="23">
        <f t="shared" si="2"/>
        <v>0</v>
      </c>
      <c r="C23" s="23">
        <f t="shared" si="3"/>
        <v>0</v>
      </c>
      <c r="D23" s="23">
        <f t="shared" si="4"/>
        <v>0</v>
      </c>
      <c r="E23" s="23">
        <f t="shared" si="5"/>
        <v>0</v>
      </c>
      <c r="F23" s="23">
        <f t="shared" si="5"/>
        <v>0</v>
      </c>
      <c r="G23" s="2" t="str">
        <f>IF('证券列表 '!B26="","",'证券列表 '!B26)</f>
        <v>ATAT.O</v>
      </c>
      <c r="H23" s="2" t="s">
        <v>49</v>
      </c>
      <c r="I23" s="3">
        <v>45533</v>
      </c>
      <c r="J23" s="6">
        <v>2575782824.1599998</v>
      </c>
      <c r="K23" t="str">
        <f ca="1">IF($I23=业绩披露日期!D$7,ROW(),"")</f>
        <v/>
      </c>
      <c r="L23" t="str">
        <f>IF($I23=业绩披露日期!E$7,ROW(),"")</f>
        <v/>
      </c>
      <c r="M23" t="str">
        <f>IF($I23=业绩披露日期!F$7,ROW(),"")</f>
        <v/>
      </c>
      <c r="N23" t="str">
        <f>IF($I23=业绩披露日期!G$7,ROW(),"")</f>
        <v/>
      </c>
      <c r="O23" t="str">
        <f>IF($I23=业绩披露日期!H$7,ROW(),"")</f>
        <v/>
      </c>
      <c r="P23" t="str">
        <f>IF($I23=业绩披露日期!I$7,ROW(),"")</f>
        <v/>
      </c>
    </row>
    <row r="24" spans="1:16" x14ac:dyDescent="0.35">
      <c r="A24" s="23">
        <f t="shared" ca="1" si="1"/>
        <v>0</v>
      </c>
      <c r="B24" s="23">
        <f t="shared" si="2"/>
        <v>0</v>
      </c>
      <c r="C24" s="23">
        <f t="shared" si="3"/>
        <v>0</v>
      </c>
      <c r="D24" s="23">
        <f t="shared" si="4"/>
        <v>0</v>
      </c>
      <c r="E24" s="23">
        <f t="shared" si="5"/>
        <v>0</v>
      </c>
      <c r="F24" s="23">
        <f t="shared" si="5"/>
        <v>0</v>
      </c>
      <c r="G24" s="2" t="str">
        <f>IF('证券列表 '!B27="","",'证券列表 '!B27)</f>
        <v>ATCO.N</v>
      </c>
      <c r="H24" s="2" t="s">
        <v>683</v>
      </c>
      <c r="I24" s="3"/>
      <c r="J24" s="6"/>
      <c r="K24" t="str">
        <f ca="1">IF($I24=业绩披露日期!D$7,ROW(),"")</f>
        <v/>
      </c>
      <c r="L24" t="str">
        <f>IF($I24=业绩披露日期!E$7,ROW(),"")</f>
        <v/>
      </c>
      <c r="M24" t="str">
        <f>IF($I24=业绩披露日期!F$7,ROW(),"")</f>
        <v/>
      </c>
      <c r="N24" t="str">
        <f>IF($I24=业绩披露日期!G$7,ROW(),"")</f>
        <v/>
      </c>
      <c r="O24" t="str">
        <f>IF($I24=业绩披露日期!H$7,ROW(),"")</f>
        <v/>
      </c>
      <c r="P24" t="str">
        <f>IF($I24=业绩披露日期!I$7,ROW(),"")</f>
        <v/>
      </c>
    </row>
    <row r="25" spans="1:16" x14ac:dyDescent="0.35">
      <c r="A25" s="23">
        <f t="shared" ca="1" si="1"/>
        <v>0</v>
      </c>
      <c r="B25" s="23">
        <f t="shared" si="2"/>
        <v>0</v>
      </c>
      <c r="C25" s="23">
        <f t="shared" si="3"/>
        <v>0</v>
      </c>
      <c r="D25" s="23">
        <f t="shared" si="4"/>
        <v>0</v>
      </c>
      <c r="E25" s="23">
        <f t="shared" si="5"/>
        <v>0</v>
      </c>
      <c r="F25" s="23">
        <f t="shared" si="5"/>
        <v>0</v>
      </c>
      <c r="G25" s="2" t="str">
        <f>IF('证券列表 '!B28="","",'证券列表 '!B28)</f>
        <v>ATGL.O</v>
      </c>
      <c r="H25" s="2" t="s">
        <v>51</v>
      </c>
      <c r="I25" s="3"/>
      <c r="J25" s="6">
        <v>32190138.750000004</v>
      </c>
      <c r="K25" t="str">
        <f ca="1">IF($I25=业绩披露日期!D$7,ROW(),"")</f>
        <v/>
      </c>
      <c r="L25" t="str">
        <f>IF($I25=业绩披露日期!E$7,ROW(),"")</f>
        <v/>
      </c>
      <c r="M25" t="str">
        <f>IF($I25=业绩披露日期!F$7,ROW(),"")</f>
        <v/>
      </c>
      <c r="N25" t="str">
        <f>IF($I25=业绩披露日期!G$7,ROW(),"")</f>
        <v/>
      </c>
      <c r="O25" t="str">
        <f>IF($I25=业绩披露日期!H$7,ROW(),"")</f>
        <v/>
      </c>
      <c r="P25" t="str">
        <f>IF($I25=业绩披露日期!I$7,ROW(),"")</f>
        <v/>
      </c>
    </row>
    <row r="26" spans="1:16" x14ac:dyDescent="0.35">
      <c r="A26" s="23">
        <f t="shared" ca="1" si="1"/>
        <v>0</v>
      </c>
      <c r="B26" s="23">
        <f t="shared" si="2"/>
        <v>0</v>
      </c>
      <c r="C26" s="23">
        <f t="shared" si="3"/>
        <v>0</v>
      </c>
      <c r="D26" s="23">
        <f t="shared" si="4"/>
        <v>0</v>
      </c>
      <c r="E26" s="23">
        <f t="shared" si="5"/>
        <v>0</v>
      </c>
      <c r="F26" s="23">
        <f t="shared" si="5"/>
        <v>0</v>
      </c>
      <c r="G26" s="2" t="str">
        <f>IF('证券列表 '!B29="","",'证券列表 '!B29)</f>
        <v>ATHM.N</v>
      </c>
      <c r="H26" s="2" t="s">
        <v>53</v>
      </c>
      <c r="I26" s="3">
        <v>45504</v>
      </c>
      <c r="J26" s="6">
        <v>3115579068.2393303</v>
      </c>
      <c r="K26" t="str">
        <f ca="1">IF($I26=业绩披露日期!D$7,ROW(),"")</f>
        <v/>
      </c>
      <c r="L26" t="str">
        <f>IF($I26=业绩披露日期!E$7,ROW(),"")</f>
        <v/>
      </c>
      <c r="M26" t="str">
        <f>IF($I26=业绩披露日期!F$7,ROW(),"")</f>
        <v/>
      </c>
      <c r="N26" t="str">
        <f>IF($I26=业绩披露日期!G$7,ROW(),"")</f>
        <v/>
      </c>
      <c r="O26" t="str">
        <f>IF($I26=业绩披露日期!H$7,ROW(),"")</f>
        <v/>
      </c>
      <c r="P26" t="str">
        <f>IF($I26=业绩披露日期!I$7,ROW(),"")</f>
        <v/>
      </c>
    </row>
    <row r="27" spans="1:16" x14ac:dyDescent="0.35">
      <c r="A27" s="23">
        <f t="shared" ca="1" si="1"/>
        <v>0</v>
      </c>
      <c r="B27" s="23">
        <f t="shared" si="2"/>
        <v>0</v>
      </c>
      <c r="C27" s="23">
        <f t="shared" si="3"/>
        <v>0</v>
      </c>
      <c r="D27" s="23">
        <f t="shared" si="4"/>
        <v>0</v>
      </c>
      <c r="E27" s="23">
        <f t="shared" si="5"/>
        <v>0</v>
      </c>
      <c r="F27" s="23">
        <f t="shared" si="5"/>
        <v>0</v>
      </c>
      <c r="G27" s="2" t="str">
        <f>IF('证券列表 '!B30="","",'证券列表 '!B30)</f>
        <v>ATIF.O</v>
      </c>
      <c r="H27" s="2" t="s">
        <v>55</v>
      </c>
      <c r="I27" s="3">
        <v>45366</v>
      </c>
      <c r="J27" s="6">
        <v>8354133.851999999</v>
      </c>
      <c r="K27" t="str">
        <f ca="1">IF($I27=业绩披露日期!D$7,ROW(),"")</f>
        <v/>
      </c>
      <c r="L27" t="str">
        <f>IF($I27=业绩披露日期!E$7,ROW(),"")</f>
        <v/>
      </c>
      <c r="M27" t="str">
        <f>IF($I27=业绩披露日期!F$7,ROW(),"")</f>
        <v/>
      </c>
      <c r="N27" t="str">
        <f>IF($I27=业绩披露日期!G$7,ROW(),"")</f>
        <v/>
      </c>
      <c r="O27" t="str">
        <f>IF($I27=业绩披露日期!H$7,ROW(),"")</f>
        <v/>
      </c>
      <c r="P27" t="str">
        <f>IF($I27=业绩披露日期!I$7,ROW(),"")</f>
        <v/>
      </c>
    </row>
    <row r="28" spans="1:16" x14ac:dyDescent="0.35">
      <c r="A28" s="23">
        <f t="shared" ca="1" si="1"/>
        <v>0</v>
      </c>
      <c r="B28" s="23">
        <f t="shared" si="2"/>
        <v>0</v>
      </c>
      <c r="C28" s="23">
        <f t="shared" si="3"/>
        <v>0</v>
      </c>
      <c r="D28" s="23">
        <f t="shared" si="4"/>
        <v>0</v>
      </c>
      <c r="E28" s="23">
        <f t="shared" si="5"/>
        <v>0</v>
      </c>
      <c r="F28" s="23">
        <f t="shared" si="5"/>
        <v>0</v>
      </c>
      <c r="G28" s="2" t="str">
        <f>IF('证券列表 '!B31="","",'证券列表 '!B31)</f>
        <v>ATXG.O</v>
      </c>
      <c r="H28" s="2" t="s">
        <v>57</v>
      </c>
      <c r="I28" s="3"/>
      <c r="J28" s="6">
        <v>3444948.3299999996</v>
      </c>
      <c r="K28" t="str">
        <f ca="1">IF($I28=业绩披露日期!D$7,ROW(),"")</f>
        <v/>
      </c>
      <c r="L28" t="str">
        <f>IF($I28=业绩披露日期!E$7,ROW(),"")</f>
        <v/>
      </c>
      <c r="M28" t="str">
        <f>IF($I28=业绩披露日期!F$7,ROW(),"")</f>
        <v/>
      </c>
      <c r="N28" t="str">
        <f>IF($I28=业绩披露日期!G$7,ROW(),"")</f>
        <v/>
      </c>
      <c r="O28" t="str">
        <f>IF($I28=业绩披露日期!H$7,ROW(),"")</f>
        <v/>
      </c>
      <c r="P28" t="str">
        <f>IF($I28=业绩披露日期!I$7,ROW(),"")</f>
        <v/>
      </c>
    </row>
    <row r="29" spans="1:16" x14ac:dyDescent="0.35">
      <c r="A29" s="23">
        <f t="shared" ca="1" si="1"/>
        <v>0</v>
      </c>
      <c r="B29" s="23">
        <f t="shared" si="2"/>
        <v>0</v>
      </c>
      <c r="C29" s="23">
        <f t="shared" si="3"/>
        <v>0</v>
      </c>
      <c r="D29" s="23">
        <f t="shared" si="4"/>
        <v>0</v>
      </c>
      <c r="E29" s="23">
        <f t="shared" si="5"/>
        <v>0</v>
      </c>
      <c r="F29" s="23">
        <f t="shared" si="5"/>
        <v>0</v>
      </c>
      <c r="G29" s="2" t="str">
        <f>IF('证券列表 '!B32="","",'证券列表 '!B32)</f>
        <v>AZI.O</v>
      </c>
      <c r="H29" s="2" t="s">
        <v>686</v>
      </c>
      <c r="I29" s="3"/>
      <c r="J29" s="6">
        <v>304445480</v>
      </c>
      <c r="K29" t="str">
        <f ca="1">IF($I29=业绩披露日期!D$7,ROW(),"")</f>
        <v/>
      </c>
      <c r="L29" t="str">
        <f>IF($I29=业绩披露日期!E$7,ROW(),"")</f>
        <v/>
      </c>
      <c r="M29" t="str">
        <f>IF($I29=业绩披露日期!F$7,ROW(),"")</f>
        <v/>
      </c>
      <c r="N29" t="str">
        <f>IF($I29=业绩披露日期!G$7,ROW(),"")</f>
        <v/>
      </c>
      <c r="O29" t="str">
        <f>IF($I29=业绩披露日期!H$7,ROW(),"")</f>
        <v/>
      </c>
      <c r="P29" t="str">
        <f>IF($I29=业绩披露日期!I$7,ROW(),"")</f>
        <v/>
      </c>
    </row>
    <row r="30" spans="1:16" x14ac:dyDescent="0.35">
      <c r="A30" s="23">
        <f t="shared" ca="1" si="1"/>
        <v>0</v>
      </c>
      <c r="B30" s="23">
        <f t="shared" si="2"/>
        <v>0</v>
      </c>
      <c r="C30" s="23">
        <f t="shared" si="3"/>
        <v>0</v>
      </c>
      <c r="D30" s="23">
        <f t="shared" si="4"/>
        <v>0</v>
      </c>
      <c r="E30" s="23">
        <f t="shared" si="5"/>
        <v>0</v>
      </c>
      <c r="F30" s="23">
        <f t="shared" si="5"/>
        <v>0</v>
      </c>
      <c r="G30" s="2" t="str">
        <f>IF('证券列表 '!B33="","",'证券列表 '!B33)</f>
        <v>BABA.N</v>
      </c>
      <c r="H30" s="2" t="s">
        <v>59</v>
      </c>
      <c r="I30" s="3">
        <v>45245</v>
      </c>
      <c r="J30" s="6">
        <v>196089136892.36884</v>
      </c>
      <c r="K30" t="str">
        <f ca="1">IF($I30=业绩披露日期!D$7,ROW(),"")</f>
        <v/>
      </c>
      <c r="L30" t="str">
        <f>IF($I30=业绩披露日期!E$7,ROW(),"")</f>
        <v/>
      </c>
      <c r="M30" t="str">
        <f>IF($I30=业绩披露日期!F$7,ROW(),"")</f>
        <v/>
      </c>
      <c r="N30" t="str">
        <f>IF($I30=业绩披露日期!G$7,ROW(),"")</f>
        <v/>
      </c>
      <c r="O30" t="str">
        <f>IF($I30=业绩披露日期!H$7,ROW(),"")</f>
        <v/>
      </c>
      <c r="P30" t="str">
        <f>IF($I30=业绩披露日期!I$7,ROW(),"")</f>
        <v/>
      </c>
    </row>
    <row r="31" spans="1:16" x14ac:dyDescent="0.35">
      <c r="A31" s="23">
        <f t="shared" ca="1" si="1"/>
        <v>0</v>
      </c>
      <c r="B31" s="23">
        <f t="shared" si="2"/>
        <v>0</v>
      </c>
      <c r="C31" s="23">
        <f t="shared" si="3"/>
        <v>0</v>
      </c>
      <c r="D31" s="23">
        <f t="shared" si="4"/>
        <v>0</v>
      </c>
      <c r="E31" s="23">
        <f t="shared" si="5"/>
        <v>0</v>
      </c>
      <c r="F31" s="23">
        <f t="shared" si="5"/>
        <v>0</v>
      </c>
      <c r="G31" s="2" t="str">
        <f>IF('证券列表 '!B34="","",'证券列表 '!B34)</f>
        <v>BAOS.O</v>
      </c>
      <c r="H31" s="2" t="s">
        <v>61</v>
      </c>
      <c r="I31" s="3"/>
      <c r="J31" s="6">
        <v>3728803.41</v>
      </c>
      <c r="K31" t="str">
        <f ca="1">IF($I31=业绩披露日期!D$7,ROW(),"")</f>
        <v/>
      </c>
      <c r="L31" t="str">
        <f>IF($I31=业绩披露日期!E$7,ROW(),"")</f>
        <v/>
      </c>
      <c r="M31" t="str">
        <f>IF($I31=业绩披露日期!F$7,ROW(),"")</f>
        <v/>
      </c>
      <c r="N31" t="str">
        <f>IF($I31=业绩披露日期!G$7,ROW(),"")</f>
        <v/>
      </c>
      <c r="O31" t="str">
        <f>IF($I31=业绩披露日期!H$7,ROW(),"")</f>
        <v/>
      </c>
      <c r="P31" t="str">
        <f>IF($I31=业绩披露日期!I$7,ROW(),"")</f>
        <v/>
      </c>
    </row>
    <row r="32" spans="1:16" x14ac:dyDescent="0.35">
      <c r="A32" s="23">
        <f t="shared" ca="1" si="1"/>
        <v>0</v>
      </c>
      <c r="B32" s="23">
        <f t="shared" si="2"/>
        <v>0</v>
      </c>
      <c r="C32" s="23">
        <f t="shared" si="3"/>
        <v>0</v>
      </c>
      <c r="D32" s="23">
        <f t="shared" si="4"/>
        <v>0</v>
      </c>
      <c r="E32" s="23">
        <f t="shared" si="5"/>
        <v>0</v>
      </c>
      <c r="F32" s="23">
        <f t="shared" si="5"/>
        <v>0</v>
      </c>
      <c r="G32" s="2" t="str">
        <f>IF('证券列表 '!B35="","",'证券列表 '!B35)</f>
        <v>BEDU.N</v>
      </c>
      <c r="H32" s="2" t="s">
        <v>63</v>
      </c>
      <c r="I32" s="3"/>
      <c r="J32" s="6">
        <v>54993477.862500004</v>
      </c>
      <c r="K32" t="str">
        <f ca="1">IF($I32=业绩披露日期!D$7,ROW(),"")</f>
        <v/>
      </c>
      <c r="L32" t="str">
        <f>IF($I32=业绩披露日期!E$7,ROW(),"")</f>
        <v/>
      </c>
      <c r="M32" t="str">
        <f>IF($I32=业绩披露日期!F$7,ROW(),"")</f>
        <v/>
      </c>
      <c r="N32" t="str">
        <f>IF($I32=业绩披露日期!G$7,ROW(),"")</f>
        <v/>
      </c>
      <c r="O32" t="str">
        <f>IF($I32=业绩披露日期!H$7,ROW(),"")</f>
        <v/>
      </c>
      <c r="P32" t="str">
        <f>IF($I32=业绩披露日期!I$7,ROW(),"")</f>
        <v/>
      </c>
    </row>
    <row r="33" spans="1:16" x14ac:dyDescent="0.35">
      <c r="A33" s="23">
        <f t="shared" ca="1" si="1"/>
        <v>0</v>
      </c>
      <c r="B33" s="23">
        <f t="shared" si="2"/>
        <v>0</v>
      </c>
      <c r="C33" s="23">
        <f t="shared" si="3"/>
        <v>0</v>
      </c>
      <c r="D33" s="23">
        <f t="shared" si="4"/>
        <v>0</v>
      </c>
      <c r="E33" s="23">
        <f t="shared" si="5"/>
        <v>0</v>
      </c>
      <c r="F33" s="23">
        <f t="shared" si="5"/>
        <v>0</v>
      </c>
      <c r="G33" s="2" t="str">
        <f>IF('证券列表 '!B36="","",'证券列表 '!B36)</f>
        <v>BEKE.N</v>
      </c>
      <c r="H33" s="2" t="s">
        <v>65</v>
      </c>
      <c r="I33" s="3">
        <v>45516</v>
      </c>
      <c r="J33" s="6">
        <v>17212908349.84771</v>
      </c>
      <c r="K33" t="str">
        <f ca="1">IF($I33=业绩披露日期!D$7,ROW(),"")</f>
        <v/>
      </c>
      <c r="L33" t="str">
        <f>IF($I33=业绩披露日期!E$7,ROW(),"")</f>
        <v/>
      </c>
      <c r="M33" t="str">
        <f>IF($I33=业绩披露日期!F$7,ROW(),"")</f>
        <v/>
      </c>
      <c r="N33" t="str">
        <f>IF($I33=业绩披露日期!G$7,ROW(),"")</f>
        <v/>
      </c>
      <c r="O33" t="str">
        <f>IF($I33=业绩披露日期!H$7,ROW(),"")</f>
        <v/>
      </c>
      <c r="P33" t="str">
        <f>IF($I33=业绩披露日期!I$7,ROW(),"")</f>
        <v/>
      </c>
    </row>
    <row r="34" spans="1:16" x14ac:dyDescent="0.35">
      <c r="A34" s="23">
        <f t="shared" ca="1" si="1"/>
        <v>0</v>
      </c>
      <c r="B34" s="23">
        <f t="shared" si="2"/>
        <v>0</v>
      </c>
      <c r="C34" s="23">
        <f t="shared" si="3"/>
        <v>0</v>
      </c>
      <c r="D34" s="23">
        <f t="shared" si="4"/>
        <v>0</v>
      </c>
      <c r="E34" s="23">
        <f t="shared" si="5"/>
        <v>0</v>
      </c>
      <c r="F34" s="23">
        <f t="shared" si="5"/>
        <v>0</v>
      </c>
      <c r="G34" s="2" t="str">
        <f>IF('证券列表 '!B37="","",'证券列表 '!B37)</f>
        <v>BEST.N</v>
      </c>
      <c r="H34" s="2" t="s">
        <v>67</v>
      </c>
      <c r="I34" s="3">
        <v>45532</v>
      </c>
      <c r="J34" s="6">
        <v>55060300.000000007</v>
      </c>
      <c r="K34" t="str">
        <f ca="1">IF($I34=业绩披露日期!D$7,ROW(),"")</f>
        <v/>
      </c>
      <c r="L34" t="str">
        <f>IF($I34=业绩披露日期!E$7,ROW(),"")</f>
        <v/>
      </c>
      <c r="M34" t="str">
        <f>IF($I34=业绩披露日期!F$7,ROW(),"")</f>
        <v/>
      </c>
      <c r="N34" t="str">
        <f>IF($I34=业绩披露日期!G$7,ROW(),"")</f>
        <v/>
      </c>
      <c r="O34" t="str">
        <f>IF($I34=业绩披露日期!H$7,ROW(),"")</f>
        <v/>
      </c>
      <c r="P34" t="str">
        <f>IF($I34=业绩披露日期!I$7,ROW(),"")</f>
        <v/>
      </c>
    </row>
    <row r="35" spans="1:16" x14ac:dyDescent="0.35">
      <c r="A35" s="23">
        <f t="shared" ca="1" si="1"/>
        <v>0</v>
      </c>
      <c r="B35" s="23">
        <f t="shared" si="2"/>
        <v>0</v>
      </c>
      <c r="C35" s="23">
        <f t="shared" si="3"/>
        <v>0</v>
      </c>
      <c r="D35" s="23">
        <f t="shared" si="4"/>
        <v>0</v>
      </c>
      <c r="E35" s="23">
        <f t="shared" si="5"/>
        <v>0</v>
      </c>
      <c r="F35" s="23">
        <f t="shared" si="5"/>
        <v>0</v>
      </c>
      <c r="G35" s="2" t="str">
        <f>IF('证券列表 '!B38="","",'证券列表 '!B38)</f>
        <v>BGM.O</v>
      </c>
      <c r="H35" s="2" t="s">
        <v>69</v>
      </c>
      <c r="I35" s="3"/>
      <c r="J35" s="6">
        <v>47547500</v>
      </c>
      <c r="K35" t="str">
        <f ca="1">IF($I35=业绩披露日期!D$7,ROW(),"")</f>
        <v/>
      </c>
      <c r="L35" t="str">
        <f>IF($I35=业绩披露日期!E$7,ROW(),"")</f>
        <v/>
      </c>
      <c r="M35" t="str">
        <f>IF($I35=业绩披露日期!F$7,ROW(),"")</f>
        <v/>
      </c>
      <c r="N35" t="str">
        <f>IF($I35=业绩披露日期!G$7,ROW(),"")</f>
        <v/>
      </c>
      <c r="O35" t="str">
        <f>IF($I35=业绩披露日期!H$7,ROW(),"")</f>
        <v/>
      </c>
      <c r="P35" t="str">
        <f>IF($I35=业绩披露日期!I$7,ROW(),"")</f>
        <v/>
      </c>
    </row>
    <row r="36" spans="1:16" x14ac:dyDescent="0.35">
      <c r="A36" s="23">
        <f t="shared" ca="1" si="1"/>
        <v>0</v>
      </c>
      <c r="B36" s="23">
        <f t="shared" si="2"/>
        <v>0</v>
      </c>
      <c r="C36" s="23">
        <f t="shared" si="3"/>
        <v>0</v>
      </c>
      <c r="D36" s="23">
        <f t="shared" si="4"/>
        <v>0</v>
      </c>
      <c r="E36" s="23">
        <f t="shared" si="5"/>
        <v>0</v>
      </c>
      <c r="F36" s="23">
        <f t="shared" si="5"/>
        <v>0</v>
      </c>
      <c r="G36" s="2" t="str">
        <f>IF('证券列表 '!B39="","",'证券列表 '!B39)</f>
        <v>BGNE.O</v>
      </c>
      <c r="H36" s="2" t="s">
        <v>71</v>
      </c>
      <c r="I36" s="3">
        <v>45530</v>
      </c>
      <c r="J36" s="6">
        <v>21613697155.534878</v>
      </c>
      <c r="K36" t="str">
        <f ca="1">IF($I36=业绩披露日期!D$7,ROW(),"")</f>
        <v/>
      </c>
      <c r="L36" t="str">
        <f>IF($I36=业绩披露日期!E$7,ROW(),"")</f>
        <v/>
      </c>
      <c r="M36" t="str">
        <f>IF($I36=业绩披露日期!F$7,ROW(),"")</f>
        <v/>
      </c>
      <c r="N36" t="str">
        <f>IF($I36=业绩披露日期!G$7,ROW(),"")</f>
        <v/>
      </c>
      <c r="O36" t="str">
        <f>IF($I36=业绩披露日期!H$7,ROW(),"")</f>
        <v/>
      </c>
      <c r="P36" t="str">
        <f>IF($I36=业绩披露日期!I$7,ROW(),"")</f>
        <v/>
      </c>
    </row>
    <row r="37" spans="1:16" x14ac:dyDescent="0.35">
      <c r="A37" s="23">
        <f t="shared" ca="1" si="1"/>
        <v>0</v>
      </c>
      <c r="B37" s="23">
        <f t="shared" si="2"/>
        <v>0</v>
      </c>
      <c r="C37" s="23">
        <f t="shared" si="3"/>
        <v>0</v>
      </c>
      <c r="D37" s="23">
        <f t="shared" si="4"/>
        <v>0</v>
      </c>
      <c r="E37" s="23">
        <f t="shared" si="5"/>
        <v>0</v>
      </c>
      <c r="F37" s="23">
        <f t="shared" si="5"/>
        <v>0</v>
      </c>
      <c r="G37" s="2" t="str">
        <f>IF('证券列表 '!B40="","",'证券列表 '!B40)</f>
        <v>BHAT.O</v>
      </c>
      <c r="H37" s="2" t="s">
        <v>73</v>
      </c>
      <c r="I37" s="3"/>
      <c r="J37" s="6">
        <v>29327616.718199998</v>
      </c>
      <c r="K37" t="str">
        <f ca="1">IF($I37=业绩披露日期!D$7,ROW(),"")</f>
        <v/>
      </c>
      <c r="L37" t="str">
        <f>IF($I37=业绩披露日期!E$7,ROW(),"")</f>
        <v/>
      </c>
      <c r="M37" t="str">
        <f>IF($I37=业绩披露日期!F$7,ROW(),"")</f>
        <v/>
      </c>
      <c r="N37" t="str">
        <f>IF($I37=业绩披露日期!G$7,ROW(),"")</f>
        <v/>
      </c>
      <c r="O37" t="str">
        <f>IF($I37=业绩披露日期!H$7,ROW(),"")</f>
        <v/>
      </c>
      <c r="P37" t="str">
        <f>IF($I37=业绩披露日期!I$7,ROW(),"")</f>
        <v/>
      </c>
    </row>
    <row r="38" spans="1:16" x14ac:dyDescent="0.35">
      <c r="A38" s="23">
        <f t="shared" ca="1" si="1"/>
        <v>0</v>
      </c>
      <c r="B38" s="23">
        <f t="shared" si="2"/>
        <v>0</v>
      </c>
      <c r="C38" s="23">
        <f t="shared" si="3"/>
        <v>0</v>
      </c>
      <c r="D38" s="23">
        <f t="shared" si="4"/>
        <v>0</v>
      </c>
      <c r="E38" s="23">
        <f t="shared" si="5"/>
        <v>0</v>
      </c>
      <c r="F38" s="23">
        <f t="shared" si="5"/>
        <v>0</v>
      </c>
      <c r="G38" s="2" t="str">
        <f>IF('证券列表 '!B41="","",'证券列表 '!B41)</f>
        <v>BIDU.O</v>
      </c>
      <c r="H38" s="2" t="s">
        <v>75</v>
      </c>
      <c r="I38" s="3">
        <v>45525</v>
      </c>
      <c r="J38" s="6">
        <v>29297462459.191528</v>
      </c>
      <c r="K38" t="str">
        <f ca="1">IF($I38=业绩披露日期!D$7,ROW(),"")</f>
        <v/>
      </c>
      <c r="L38" t="str">
        <f>IF($I38=业绩披露日期!E$7,ROW(),"")</f>
        <v/>
      </c>
      <c r="M38" t="str">
        <f>IF($I38=业绩披露日期!F$7,ROW(),"")</f>
        <v/>
      </c>
      <c r="N38" t="str">
        <f>IF($I38=业绩披露日期!G$7,ROW(),"")</f>
        <v/>
      </c>
      <c r="O38" t="str">
        <f>IF($I38=业绩披露日期!H$7,ROW(),"")</f>
        <v/>
      </c>
      <c r="P38" t="str">
        <f>IF($I38=业绩披露日期!I$7,ROW(),"")</f>
        <v/>
      </c>
    </row>
    <row r="39" spans="1:16" x14ac:dyDescent="0.35">
      <c r="A39" s="23">
        <f t="shared" ca="1" si="1"/>
        <v>0</v>
      </c>
      <c r="B39" s="23">
        <f t="shared" si="2"/>
        <v>0</v>
      </c>
      <c r="C39" s="23">
        <f t="shared" si="3"/>
        <v>0</v>
      </c>
      <c r="D39" s="23">
        <f t="shared" si="4"/>
        <v>0</v>
      </c>
      <c r="E39" s="23">
        <f t="shared" si="5"/>
        <v>0</v>
      </c>
      <c r="F39" s="23">
        <f t="shared" si="5"/>
        <v>0</v>
      </c>
      <c r="G39" s="2" t="str">
        <f>IF('证券列表 '!B42="","",'证券列表 '!B42)</f>
        <v>BILI.O</v>
      </c>
      <c r="H39" s="2" t="s">
        <v>77</v>
      </c>
      <c r="I39" s="3">
        <v>45526</v>
      </c>
      <c r="J39" s="6">
        <v>6039006783.3356905</v>
      </c>
      <c r="K39" t="str">
        <f ca="1">IF($I39=业绩披露日期!D$7,ROW(),"")</f>
        <v/>
      </c>
      <c r="L39" t="str">
        <f>IF($I39=业绩披露日期!E$7,ROW(),"")</f>
        <v/>
      </c>
      <c r="M39" t="str">
        <f>IF($I39=业绩披露日期!F$7,ROW(),"")</f>
        <v/>
      </c>
      <c r="N39" t="str">
        <f>IF($I39=业绩披露日期!G$7,ROW(),"")</f>
        <v/>
      </c>
      <c r="O39" t="str">
        <f>IF($I39=业绩披露日期!H$7,ROW(),"")</f>
        <v/>
      </c>
      <c r="P39" t="str">
        <f>IF($I39=业绩披露日期!I$7,ROW(),"")</f>
        <v/>
      </c>
    </row>
    <row r="40" spans="1:16" x14ac:dyDescent="0.35">
      <c r="A40" s="23">
        <f t="shared" ca="1" si="1"/>
        <v>0</v>
      </c>
      <c r="B40" s="23">
        <f t="shared" si="2"/>
        <v>0</v>
      </c>
      <c r="C40" s="23">
        <f t="shared" si="3"/>
        <v>0</v>
      </c>
      <c r="D40" s="23">
        <f t="shared" si="4"/>
        <v>0</v>
      </c>
      <c r="E40" s="23">
        <f t="shared" si="5"/>
        <v>0</v>
      </c>
      <c r="F40" s="23">
        <f t="shared" si="5"/>
        <v>0</v>
      </c>
      <c r="G40" s="2" t="str">
        <f>IF('证券列表 '!B43="","",'证券列表 '!B43)</f>
        <v>BNR.O</v>
      </c>
      <c r="H40" s="2" t="s">
        <v>79</v>
      </c>
      <c r="I40" s="3">
        <v>45533</v>
      </c>
      <c r="J40" s="6">
        <v>57086732.5722</v>
      </c>
      <c r="K40" t="str">
        <f ca="1">IF($I40=业绩披露日期!D$7,ROW(),"")</f>
        <v/>
      </c>
      <c r="L40" t="str">
        <f>IF($I40=业绩披露日期!E$7,ROW(),"")</f>
        <v/>
      </c>
      <c r="M40" t="str">
        <f>IF($I40=业绩披露日期!F$7,ROW(),"")</f>
        <v/>
      </c>
      <c r="N40" t="str">
        <f>IF($I40=业绩披露日期!G$7,ROW(),"")</f>
        <v/>
      </c>
      <c r="O40" t="str">
        <f>IF($I40=业绩披露日期!H$7,ROW(),"")</f>
        <v/>
      </c>
      <c r="P40" t="str">
        <f>IF($I40=业绩披露日期!I$7,ROW(),"")</f>
        <v/>
      </c>
    </row>
    <row r="41" spans="1:16" x14ac:dyDescent="0.35">
      <c r="A41" s="23">
        <f t="shared" ca="1" si="1"/>
        <v>0</v>
      </c>
      <c r="B41" s="23">
        <f t="shared" si="2"/>
        <v>0</v>
      </c>
      <c r="C41" s="23">
        <f t="shared" si="3"/>
        <v>0</v>
      </c>
      <c r="D41" s="23">
        <f t="shared" si="4"/>
        <v>0</v>
      </c>
      <c r="E41" s="23">
        <f t="shared" si="5"/>
        <v>0</v>
      </c>
      <c r="F41" s="23">
        <f t="shared" si="5"/>
        <v>0</v>
      </c>
      <c r="G41" s="2" t="str">
        <f>IF('证券列表 '!B44="","",'证券列表 '!B44)</f>
        <v>BON.O</v>
      </c>
      <c r="H41" s="2" t="s">
        <v>81</v>
      </c>
      <c r="I41" s="3"/>
      <c r="J41" s="6">
        <v>7146607.3442000002</v>
      </c>
      <c r="K41" t="str">
        <f ca="1">IF($I41=业绩披露日期!D$7,ROW(),"")</f>
        <v/>
      </c>
      <c r="L41" t="str">
        <f>IF($I41=业绩披露日期!E$7,ROW(),"")</f>
        <v/>
      </c>
      <c r="M41" t="str">
        <f>IF($I41=业绩披露日期!F$7,ROW(),"")</f>
        <v/>
      </c>
      <c r="N41" t="str">
        <f>IF($I41=业绩披露日期!G$7,ROW(),"")</f>
        <v/>
      </c>
      <c r="O41" t="str">
        <f>IF($I41=业绩披露日期!H$7,ROW(),"")</f>
        <v/>
      </c>
      <c r="P41" t="str">
        <f>IF($I41=业绩披露日期!I$7,ROW(),"")</f>
        <v/>
      </c>
    </row>
    <row r="42" spans="1:16" x14ac:dyDescent="0.35">
      <c r="A42" s="23">
        <f t="shared" ca="1" si="1"/>
        <v>0</v>
      </c>
      <c r="B42" s="23">
        <f t="shared" si="2"/>
        <v>0</v>
      </c>
      <c r="C42" s="23">
        <f t="shared" si="3"/>
        <v>0</v>
      </c>
      <c r="D42" s="23">
        <f t="shared" si="4"/>
        <v>0</v>
      </c>
      <c r="E42" s="23">
        <f t="shared" si="5"/>
        <v>0</v>
      </c>
      <c r="F42" s="23">
        <f t="shared" si="5"/>
        <v>0</v>
      </c>
      <c r="G42" s="2" t="str">
        <f>IF('证券列表 '!B45="","",'证券列表 '!B45)</f>
        <v>BQ.A</v>
      </c>
      <c r="H42" s="2" t="s">
        <v>83</v>
      </c>
      <c r="I42" s="3">
        <v>45295</v>
      </c>
      <c r="J42" s="6">
        <v>1422800.7094399999</v>
      </c>
      <c r="K42" t="str">
        <f ca="1">IF($I42=业绩披露日期!D$7,ROW(),"")</f>
        <v/>
      </c>
      <c r="L42" t="str">
        <f>IF($I42=业绩披露日期!E$7,ROW(),"")</f>
        <v/>
      </c>
      <c r="M42" t="str">
        <f>IF($I42=业绩披露日期!F$7,ROW(),"")</f>
        <v/>
      </c>
      <c r="N42" t="str">
        <f>IF($I42=业绩披露日期!G$7,ROW(),"")</f>
        <v/>
      </c>
      <c r="O42" t="str">
        <f>IF($I42=业绩披露日期!H$7,ROW(),"")</f>
        <v/>
      </c>
      <c r="P42" t="str">
        <f>IF($I42=业绩披露日期!I$7,ROW(),"")</f>
        <v/>
      </c>
    </row>
    <row r="43" spans="1:16" x14ac:dyDescent="0.35">
      <c r="A43" s="23">
        <f t="shared" ca="1" si="1"/>
        <v>0</v>
      </c>
      <c r="B43" s="23">
        <f t="shared" si="2"/>
        <v>0</v>
      </c>
      <c r="C43" s="23">
        <f t="shared" si="3"/>
        <v>0</v>
      </c>
      <c r="D43" s="23">
        <f t="shared" si="4"/>
        <v>0</v>
      </c>
      <c r="E43" s="23">
        <f t="shared" si="5"/>
        <v>0</v>
      </c>
      <c r="F43" s="23">
        <f t="shared" si="5"/>
        <v>0</v>
      </c>
      <c r="G43" s="2" t="str">
        <f>IF('证券列表 '!B46="","",'证券列表 '!B46)</f>
        <v>BTBT.O</v>
      </c>
      <c r="H43" s="2" t="s">
        <v>85</v>
      </c>
      <c r="I43" s="3">
        <v>45523</v>
      </c>
      <c r="J43" s="6">
        <v>443676201.19</v>
      </c>
      <c r="K43" t="str">
        <f ca="1">IF($I43=业绩披露日期!D$7,ROW(),"")</f>
        <v/>
      </c>
      <c r="L43" t="str">
        <f>IF($I43=业绩披露日期!E$7,ROW(),"")</f>
        <v/>
      </c>
      <c r="M43" t="str">
        <f>IF($I43=业绩披露日期!F$7,ROW(),"")</f>
        <v/>
      </c>
      <c r="N43" t="str">
        <f>IF($I43=业绩披露日期!G$7,ROW(),"")</f>
        <v/>
      </c>
      <c r="O43" t="str">
        <f>IF($I43=业绩披露日期!H$7,ROW(),"")</f>
        <v/>
      </c>
      <c r="P43" t="str">
        <f>IF($I43=业绩披露日期!I$7,ROW(),"")</f>
        <v/>
      </c>
    </row>
    <row r="44" spans="1:16" x14ac:dyDescent="0.35">
      <c r="A44" s="23">
        <f t="shared" ca="1" si="1"/>
        <v>1</v>
      </c>
      <c r="B44" s="23">
        <f t="shared" si="2"/>
        <v>0</v>
      </c>
      <c r="C44" s="23">
        <f t="shared" si="3"/>
        <v>0</v>
      </c>
      <c r="D44" s="23">
        <f t="shared" si="4"/>
        <v>0</v>
      </c>
      <c r="E44" s="23">
        <f t="shared" si="5"/>
        <v>0</v>
      </c>
      <c r="F44" s="23">
        <f t="shared" si="5"/>
        <v>0</v>
      </c>
      <c r="G44" s="2" t="str">
        <f>IF('证券列表 '!B47="","",'证券列表 '!B47)</f>
        <v>BTCM.N</v>
      </c>
      <c r="H44" s="2" t="s">
        <v>87</v>
      </c>
      <c r="I44" s="3">
        <v>45534</v>
      </c>
      <c r="J44" s="6">
        <v>27516382.648300003</v>
      </c>
      <c r="K44">
        <f ca="1">IF($I44=业绩披露日期!D$7,ROW(),"")</f>
        <v>44</v>
      </c>
      <c r="L44" t="str">
        <f>IF($I44=业绩披露日期!E$7,ROW(),"")</f>
        <v/>
      </c>
      <c r="M44" t="str">
        <f>IF($I44=业绩披露日期!F$7,ROW(),"")</f>
        <v/>
      </c>
      <c r="N44" t="str">
        <f>IF($I44=业绩披露日期!G$7,ROW(),"")</f>
        <v/>
      </c>
      <c r="O44" t="str">
        <f>IF($I44=业绩披露日期!H$7,ROW(),"")</f>
        <v/>
      </c>
      <c r="P44" t="str">
        <f>IF($I44=业绩披露日期!I$7,ROW(),"")</f>
        <v/>
      </c>
    </row>
    <row r="45" spans="1:16" x14ac:dyDescent="0.35">
      <c r="A45" s="23">
        <f t="shared" ca="1" si="1"/>
        <v>0</v>
      </c>
      <c r="B45" s="23">
        <f t="shared" si="2"/>
        <v>0</v>
      </c>
      <c r="C45" s="23">
        <f t="shared" si="3"/>
        <v>0</v>
      </c>
      <c r="D45" s="23">
        <f t="shared" si="4"/>
        <v>0</v>
      </c>
      <c r="E45" s="23">
        <f t="shared" si="5"/>
        <v>0</v>
      </c>
      <c r="F45" s="23">
        <f t="shared" si="5"/>
        <v>0</v>
      </c>
      <c r="G45" s="2" t="str">
        <f>IF('证券列表 '!B48="","",'证券列表 '!B48)</f>
        <v>BTCT.O</v>
      </c>
      <c r="H45" s="2" t="s">
        <v>89</v>
      </c>
      <c r="I45" s="3">
        <v>45525</v>
      </c>
      <c r="J45" s="6">
        <v>4125040.3000000003</v>
      </c>
      <c r="K45" t="str">
        <f ca="1">IF($I45=业绩披露日期!D$7,ROW(),"")</f>
        <v/>
      </c>
      <c r="L45" t="str">
        <f>IF($I45=业绩披露日期!E$7,ROW(),"")</f>
        <v/>
      </c>
      <c r="M45" t="str">
        <f>IF($I45=业绩披露日期!F$7,ROW(),"")</f>
        <v/>
      </c>
      <c r="N45" t="str">
        <f>IF($I45=业绩披露日期!G$7,ROW(),"")</f>
        <v/>
      </c>
      <c r="O45" t="str">
        <f>IF($I45=业绩披露日期!H$7,ROW(),"")</f>
        <v/>
      </c>
      <c r="P45" t="str">
        <f>IF($I45=业绩披露日期!I$7,ROW(),"")</f>
        <v/>
      </c>
    </row>
    <row r="46" spans="1:16" x14ac:dyDescent="0.35">
      <c r="A46" s="23">
        <f t="shared" ca="1" si="1"/>
        <v>0</v>
      </c>
      <c r="B46" s="23">
        <f t="shared" si="2"/>
        <v>0</v>
      </c>
      <c r="C46" s="23">
        <f t="shared" si="3"/>
        <v>0</v>
      </c>
      <c r="D46" s="23">
        <f t="shared" si="4"/>
        <v>0</v>
      </c>
      <c r="E46" s="23">
        <f t="shared" si="5"/>
        <v>0</v>
      </c>
      <c r="F46" s="23">
        <f t="shared" si="5"/>
        <v>0</v>
      </c>
      <c r="G46" s="2" t="str">
        <f>IF('证券列表 '!B49="","",'证券列表 '!B49)</f>
        <v>BTDR.O</v>
      </c>
      <c r="H46" s="2" t="s">
        <v>91</v>
      </c>
      <c r="I46" s="3">
        <v>45513</v>
      </c>
      <c r="J46" s="6">
        <v>940620754.46000004</v>
      </c>
      <c r="K46" t="str">
        <f ca="1">IF($I46=业绩披露日期!D$7,ROW(),"")</f>
        <v/>
      </c>
      <c r="L46" t="str">
        <f>IF($I46=业绩披露日期!E$7,ROW(),"")</f>
        <v/>
      </c>
      <c r="M46" t="str">
        <f>IF($I46=业绩披露日期!F$7,ROW(),"")</f>
        <v/>
      </c>
      <c r="N46" t="str">
        <f>IF($I46=业绩披露日期!G$7,ROW(),"")</f>
        <v/>
      </c>
      <c r="O46" t="str">
        <f>IF($I46=业绩披露日期!H$7,ROW(),"")</f>
        <v/>
      </c>
      <c r="P46" t="str">
        <f>IF($I46=业绩披露日期!I$7,ROW(),"")</f>
        <v/>
      </c>
    </row>
    <row r="47" spans="1:16" x14ac:dyDescent="0.35">
      <c r="A47" s="23">
        <f t="shared" ca="1" si="1"/>
        <v>0</v>
      </c>
      <c r="B47" s="23">
        <f t="shared" si="2"/>
        <v>0</v>
      </c>
      <c r="C47" s="23">
        <f t="shared" si="3"/>
        <v>0</v>
      </c>
      <c r="D47" s="23">
        <f t="shared" si="4"/>
        <v>0</v>
      </c>
      <c r="E47" s="23">
        <f t="shared" si="5"/>
        <v>0</v>
      </c>
      <c r="F47" s="23">
        <f t="shared" si="5"/>
        <v>0</v>
      </c>
      <c r="G47" s="2" t="str">
        <f>IF('证券列表 '!B50="","",'证券列表 '!B50)</f>
        <v>BTOG.O</v>
      </c>
      <c r="H47" s="2" t="s">
        <v>93</v>
      </c>
      <c r="I47" s="3"/>
      <c r="J47" s="6">
        <v>10225791.120000001</v>
      </c>
      <c r="K47" t="str">
        <f ca="1">IF($I47=业绩披露日期!D$7,ROW(),"")</f>
        <v/>
      </c>
      <c r="L47" t="str">
        <f>IF($I47=业绩披露日期!E$7,ROW(),"")</f>
        <v/>
      </c>
      <c r="M47" t="str">
        <f>IF($I47=业绩披露日期!F$7,ROW(),"")</f>
        <v/>
      </c>
      <c r="N47" t="str">
        <f>IF($I47=业绩披露日期!G$7,ROW(),"")</f>
        <v/>
      </c>
      <c r="O47" t="str">
        <f>IF($I47=业绩披露日期!H$7,ROW(),"")</f>
        <v/>
      </c>
      <c r="P47" t="str">
        <f>IF($I47=业绩披露日期!I$7,ROW(),"")</f>
        <v/>
      </c>
    </row>
    <row r="48" spans="1:16" x14ac:dyDescent="0.35">
      <c r="A48" s="23">
        <f t="shared" ca="1" si="1"/>
        <v>0</v>
      </c>
      <c r="B48" s="23">
        <f t="shared" si="2"/>
        <v>0</v>
      </c>
      <c r="C48" s="23">
        <f t="shared" si="3"/>
        <v>0</v>
      </c>
      <c r="D48" s="23">
        <f t="shared" si="4"/>
        <v>0</v>
      </c>
      <c r="E48" s="23">
        <f t="shared" si="5"/>
        <v>0</v>
      </c>
      <c r="F48" s="23">
        <f t="shared" si="5"/>
        <v>0</v>
      </c>
      <c r="G48" s="2" t="str">
        <f>IF('证券列表 '!B51="","",'证券列表 '!B51)</f>
        <v>BYSI.O</v>
      </c>
      <c r="H48" s="2" t="s">
        <v>95</v>
      </c>
      <c r="I48" s="3"/>
      <c r="J48" s="6">
        <v>78585682.5</v>
      </c>
      <c r="K48" t="str">
        <f ca="1">IF($I48=业绩披露日期!D$7,ROW(),"")</f>
        <v/>
      </c>
      <c r="L48" t="str">
        <f>IF($I48=业绩披露日期!E$7,ROW(),"")</f>
        <v/>
      </c>
      <c r="M48" t="str">
        <f>IF($I48=业绩披露日期!F$7,ROW(),"")</f>
        <v/>
      </c>
      <c r="N48" t="str">
        <f>IF($I48=业绩披露日期!G$7,ROW(),"")</f>
        <v/>
      </c>
      <c r="O48" t="str">
        <f>IF($I48=业绩披露日期!H$7,ROW(),"")</f>
        <v/>
      </c>
      <c r="P48" t="str">
        <f>IF($I48=业绩披露日期!I$7,ROW(),"")</f>
        <v/>
      </c>
    </row>
    <row r="49" spans="1:16" x14ac:dyDescent="0.35">
      <c r="A49" s="23">
        <f t="shared" ca="1" si="1"/>
        <v>0</v>
      </c>
      <c r="B49" s="23">
        <f t="shared" si="2"/>
        <v>0</v>
      </c>
      <c r="C49" s="23">
        <f t="shared" si="3"/>
        <v>0</v>
      </c>
      <c r="D49" s="23">
        <f t="shared" si="4"/>
        <v>0</v>
      </c>
      <c r="E49" s="23">
        <f t="shared" si="5"/>
        <v>0</v>
      </c>
      <c r="F49" s="23">
        <f t="shared" si="5"/>
        <v>0</v>
      </c>
      <c r="G49" s="2" t="str">
        <f>IF('证券列表 '!B52="","",'证券列表 '!B52)</f>
        <v>BYU.O</v>
      </c>
      <c r="H49" s="2" t="s">
        <v>97</v>
      </c>
      <c r="I49" s="3">
        <v>45513</v>
      </c>
      <c r="J49" s="6">
        <v>269704269</v>
      </c>
      <c r="K49" t="str">
        <f ca="1">IF($I49=业绩披露日期!D$7,ROW(),"")</f>
        <v/>
      </c>
      <c r="L49" t="str">
        <f>IF($I49=业绩披露日期!E$7,ROW(),"")</f>
        <v/>
      </c>
      <c r="M49" t="str">
        <f>IF($I49=业绩披露日期!F$7,ROW(),"")</f>
        <v/>
      </c>
      <c r="N49" t="str">
        <f>IF($I49=业绩披露日期!G$7,ROW(),"")</f>
        <v/>
      </c>
      <c r="O49" t="str">
        <f>IF($I49=业绩披露日期!H$7,ROW(),"")</f>
        <v/>
      </c>
      <c r="P49" t="str">
        <f>IF($I49=业绩披露日期!I$7,ROW(),"")</f>
        <v/>
      </c>
    </row>
    <row r="50" spans="1:16" x14ac:dyDescent="0.35">
      <c r="A50" s="23">
        <f t="shared" ca="1" si="1"/>
        <v>0</v>
      </c>
      <c r="B50" s="23">
        <f t="shared" si="2"/>
        <v>0</v>
      </c>
      <c r="C50" s="23">
        <f t="shared" si="3"/>
        <v>0</v>
      </c>
      <c r="D50" s="23">
        <f t="shared" si="4"/>
        <v>0</v>
      </c>
      <c r="E50" s="23">
        <f t="shared" si="5"/>
        <v>0</v>
      </c>
      <c r="F50" s="23">
        <f t="shared" si="5"/>
        <v>0</v>
      </c>
      <c r="G50" s="2" t="str">
        <f>IF('证券列表 '!B53="","",'证券列表 '!B53)</f>
        <v>BZ.O</v>
      </c>
      <c r="H50" s="2" t="s">
        <v>99</v>
      </c>
      <c r="I50" s="3">
        <v>45532</v>
      </c>
      <c r="J50" s="6">
        <v>5771100141.3899212</v>
      </c>
      <c r="K50" t="str">
        <f ca="1">IF($I50=业绩披露日期!D$7,ROW(),"")</f>
        <v/>
      </c>
      <c r="L50" t="str">
        <f>IF($I50=业绩披露日期!E$7,ROW(),"")</f>
        <v/>
      </c>
      <c r="M50" t="str">
        <f>IF($I50=业绩披露日期!F$7,ROW(),"")</f>
        <v/>
      </c>
      <c r="N50" t="str">
        <f>IF($I50=业绩披露日期!G$7,ROW(),"")</f>
        <v/>
      </c>
      <c r="O50" t="str">
        <f>IF($I50=业绩披露日期!H$7,ROW(),"")</f>
        <v/>
      </c>
      <c r="P50" t="str">
        <f>IF($I50=业绩披露日期!I$7,ROW(),"")</f>
        <v/>
      </c>
    </row>
    <row r="51" spans="1:16" x14ac:dyDescent="0.35">
      <c r="A51" s="23">
        <f t="shared" ca="1" si="1"/>
        <v>0</v>
      </c>
      <c r="B51" s="23">
        <f t="shared" si="2"/>
        <v>0</v>
      </c>
      <c r="C51" s="23">
        <f t="shared" si="3"/>
        <v>0</v>
      </c>
      <c r="D51" s="23">
        <f t="shared" si="4"/>
        <v>0</v>
      </c>
      <c r="E51" s="23">
        <f t="shared" si="5"/>
        <v>0</v>
      </c>
      <c r="F51" s="23">
        <f t="shared" si="5"/>
        <v>0</v>
      </c>
      <c r="G51" s="2" t="str">
        <f>IF('证券列表 '!B54="","",'证券列表 '!B54)</f>
        <v>BZUN.O</v>
      </c>
      <c r="H51" s="2" t="s">
        <v>101</v>
      </c>
      <c r="I51" s="3">
        <v>45532</v>
      </c>
      <c r="J51" s="6">
        <v>134690388.61406991</v>
      </c>
      <c r="K51" t="str">
        <f ca="1">IF($I51=业绩披露日期!D$7,ROW(),"")</f>
        <v/>
      </c>
      <c r="L51" t="str">
        <f>IF($I51=业绩披露日期!E$7,ROW(),"")</f>
        <v/>
      </c>
      <c r="M51" t="str">
        <f>IF($I51=业绩披露日期!F$7,ROW(),"")</f>
        <v/>
      </c>
      <c r="N51" t="str">
        <f>IF($I51=业绩披露日期!G$7,ROW(),"")</f>
        <v/>
      </c>
      <c r="O51" t="str">
        <f>IF($I51=业绩披露日期!H$7,ROW(),"")</f>
        <v/>
      </c>
      <c r="P51" t="str">
        <f>IF($I51=业绩披露日期!I$7,ROW(),"")</f>
        <v/>
      </c>
    </row>
    <row r="52" spans="1:16" x14ac:dyDescent="0.35">
      <c r="A52" s="23">
        <f t="shared" ca="1" si="1"/>
        <v>0</v>
      </c>
      <c r="B52" s="23">
        <f t="shared" si="2"/>
        <v>0</v>
      </c>
      <c r="C52" s="23">
        <f t="shared" si="3"/>
        <v>0</v>
      </c>
      <c r="D52" s="23">
        <f t="shared" si="4"/>
        <v>0</v>
      </c>
      <c r="E52" s="23">
        <f t="shared" si="5"/>
        <v>0</v>
      </c>
      <c r="F52" s="23">
        <f t="shared" si="5"/>
        <v>0</v>
      </c>
      <c r="G52" s="2" t="str">
        <f>IF('证券列表 '!B55="","",'证券列表 '!B55)</f>
        <v>CAAS.O</v>
      </c>
      <c r="H52" s="2" t="s">
        <v>103</v>
      </c>
      <c r="I52" s="3">
        <v>45517</v>
      </c>
      <c r="J52" s="6">
        <v>110479669.32000001</v>
      </c>
      <c r="K52" t="str">
        <f ca="1">IF($I52=业绩披露日期!D$7,ROW(),"")</f>
        <v/>
      </c>
      <c r="L52" t="str">
        <f>IF($I52=业绩披露日期!E$7,ROW(),"")</f>
        <v/>
      </c>
      <c r="M52" t="str">
        <f>IF($I52=业绩披露日期!F$7,ROW(),"")</f>
        <v/>
      </c>
      <c r="N52" t="str">
        <f>IF($I52=业绩披露日期!G$7,ROW(),"")</f>
        <v/>
      </c>
      <c r="O52" t="str">
        <f>IF($I52=业绩披露日期!H$7,ROW(),"")</f>
        <v/>
      </c>
      <c r="P52" t="str">
        <f>IF($I52=业绩披露日期!I$7,ROW(),"")</f>
        <v/>
      </c>
    </row>
    <row r="53" spans="1:16" x14ac:dyDescent="0.35">
      <c r="A53" s="23">
        <f t="shared" ca="1" si="1"/>
        <v>0</v>
      </c>
      <c r="B53" s="23">
        <f t="shared" si="2"/>
        <v>0</v>
      </c>
      <c r="C53" s="23">
        <f t="shared" si="3"/>
        <v>0</v>
      </c>
      <c r="D53" s="23">
        <f t="shared" si="4"/>
        <v>0</v>
      </c>
      <c r="E53" s="23">
        <f t="shared" si="5"/>
        <v>0</v>
      </c>
      <c r="F53" s="23">
        <f t="shared" si="5"/>
        <v>0</v>
      </c>
      <c r="G53" s="2" t="str">
        <f>IF('证券列表 '!B56="","",'证券列表 '!B56)</f>
        <v>CAN.O</v>
      </c>
      <c r="H53" s="2" t="s">
        <v>105</v>
      </c>
      <c r="I53" s="3">
        <v>45519</v>
      </c>
      <c r="J53" s="6">
        <v>305378361.26466662</v>
      </c>
      <c r="K53" t="str">
        <f ca="1">IF($I53=业绩披露日期!D$7,ROW(),"")</f>
        <v/>
      </c>
      <c r="L53" t="str">
        <f>IF($I53=业绩披露日期!E$7,ROW(),"")</f>
        <v/>
      </c>
      <c r="M53" t="str">
        <f>IF($I53=业绩披露日期!F$7,ROW(),"")</f>
        <v/>
      </c>
      <c r="N53" t="str">
        <f>IF($I53=业绩披露日期!G$7,ROW(),"")</f>
        <v/>
      </c>
      <c r="O53" t="str">
        <f>IF($I53=业绩披露日期!H$7,ROW(),"")</f>
        <v/>
      </c>
      <c r="P53" t="str">
        <f>IF($I53=业绩披露日期!I$7,ROW(),"")</f>
        <v/>
      </c>
    </row>
    <row r="54" spans="1:16" x14ac:dyDescent="0.35">
      <c r="A54" s="23">
        <f t="shared" ca="1" si="1"/>
        <v>0</v>
      </c>
      <c r="B54" s="23">
        <f t="shared" si="2"/>
        <v>0</v>
      </c>
      <c r="C54" s="23">
        <f t="shared" si="3"/>
        <v>0</v>
      </c>
      <c r="D54" s="23">
        <f t="shared" si="4"/>
        <v>0</v>
      </c>
      <c r="E54" s="23">
        <f t="shared" si="5"/>
        <v>0</v>
      </c>
      <c r="F54" s="23">
        <f t="shared" si="5"/>
        <v>0</v>
      </c>
      <c r="G54" s="2" t="str">
        <f>IF('证券列表 '!B57="","",'证券列表 '!B57)</f>
        <v>CANG.N</v>
      </c>
      <c r="H54" s="2" t="s">
        <v>107</v>
      </c>
      <c r="I54" s="3">
        <v>45533</v>
      </c>
      <c r="J54" s="6">
        <v>192784690.08000001</v>
      </c>
      <c r="K54" t="str">
        <f ca="1">IF($I54=业绩披露日期!D$7,ROW(),"")</f>
        <v/>
      </c>
      <c r="L54" t="str">
        <f>IF($I54=业绩披露日期!E$7,ROW(),"")</f>
        <v/>
      </c>
      <c r="M54" t="str">
        <f>IF($I54=业绩披露日期!F$7,ROW(),"")</f>
        <v/>
      </c>
      <c r="N54" t="str">
        <f>IF($I54=业绩披露日期!G$7,ROW(),"")</f>
        <v/>
      </c>
      <c r="O54" t="str">
        <f>IF($I54=业绩披露日期!H$7,ROW(),"")</f>
        <v/>
      </c>
      <c r="P54" t="str">
        <f>IF($I54=业绩披露日期!I$7,ROW(),"")</f>
        <v/>
      </c>
    </row>
    <row r="55" spans="1:16" x14ac:dyDescent="0.35">
      <c r="A55" s="23">
        <f t="shared" ca="1" si="1"/>
        <v>0</v>
      </c>
      <c r="B55" s="23">
        <f t="shared" si="2"/>
        <v>0</v>
      </c>
      <c r="C55" s="23">
        <f t="shared" si="3"/>
        <v>0</v>
      </c>
      <c r="D55" s="23">
        <f t="shared" si="4"/>
        <v>0</v>
      </c>
      <c r="E55" s="23">
        <f t="shared" si="5"/>
        <v>0</v>
      </c>
      <c r="F55" s="23">
        <f t="shared" si="5"/>
        <v>0</v>
      </c>
      <c r="G55" s="2" t="str">
        <f>IF('证券列表 '!B58="","",'证券列表 '!B58)</f>
        <v>CASI.O</v>
      </c>
      <c r="H55" s="2" t="s">
        <v>109</v>
      </c>
      <c r="I55" s="3">
        <v>45520</v>
      </c>
      <c r="J55" s="6">
        <v>87122655.780000001</v>
      </c>
      <c r="K55" t="str">
        <f ca="1">IF($I55=业绩披露日期!D$7,ROW(),"")</f>
        <v/>
      </c>
      <c r="L55" t="str">
        <f>IF($I55=业绩披露日期!E$7,ROW(),"")</f>
        <v/>
      </c>
      <c r="M55" t="str">
        <f>IF($I55=业绩披露日期!F$7,ROW(),"")</f>
        <v/>
      </c>
      <c r="N55" t="str">
        <f>IF($I55=业绩披露日期!G$7,ROW(),"")</f>
        <v/>
      </c>
      <c r="O55" t="str">
        <f>IF($I55=业绩披露日期!H$7,ROW(),"")</f>
        <v/>
      </c>
      <c r="P55" t="str">
        <f>IF($I55=业绩披露日期!I$7,ROW(),"")</f>
        <v/>
      </c>
    </row>
    <row r="56" spans="1:16" x14ac:dyDescent="0.35">
      <c r="A56" s="23">
        <f t="shared" ca="1" si="1"/>
        <v>0</v>
      </c>
      <c r="B56" s="23">
        <f t="shared" si="2"/>
        <v>0</v>
      </c>
      <c r="C56" s="23">
        <f t="shared" si="3"/>
        <v>0</v>
      </c>
      <c r="D56" s="23">
        <f t="shared" si="4"/>
        <v>0</v>
      </c>
      <c r="E56" s="23">
        <f t="shared" si="5"/>
        <v>0</v>
      </c>
      <c r="F56" s="23">
        <f t="shared" si="5"/>
        <v>0</v>
      </c>
      <c r="G56" s="2" t="str">
        <f>IF('证券列表 '!B59="","",'证券列表 '!B59)</f>
        <v>CBAT.O</v>
      </c>
      <c r="H56" s="2" t="s">
        <v>111</v>
      </c>
      <c r="I56" s="3">
        <v>45513</v>
      </c>
      <c r="J56" s="6">
        <v>91728979.880999997</v>
      </c>
      <c r="K56" t="str">
        <f ca="1">IF($I56=业绩披露日期!D$7,ROW(),"")</f>
        <v/>
      </c>
      <c r="L56" t="str">
        <f>IF($I56=业绩披露日期!E$7,ROW(),"")</f>
        <v/>
      </c>
      <c r="M56" t="str">
        <f>IF($I56=业绩披露日期!F$7,ROW(),"")</f>
        <v/>
      </c>
      <c r="N56" t="str">
        <f>IF($I56=业绩披露日期!G$7,ROW(),"")</f>
        <v/>
      </c>
      <c r="O56" t="str">
        <f>IF($I56=业绩披露日期!H$7,ROW(),"")</f>
        <v/>
      </c>
      <c r="P56" t="str">
        <f>IF($I56=业绩披露日期!I$7,ROW(),"")</f>
        <v/>
      </c>
    </row>
    <row r="57" spans="1:16" x14ac:dyDescent="0.35">
      <c r="A57" s="23">
        <f t="shared" ca="1" si="1"/>
        <v>0</v>
      </c>
      <c r="B57" s="23">
        <f t="shared" si="2"/>
        <v>0</v>
      </c>
      <c r="C57" s="23">
        <f t="shared" si="3"/>
        <v>0</v>
      </c>
      <c r="D57" s="23">
        <f t="shared" si="4"/>
        <v>0</v>
      </c>
      <c r="E57" s="23">
        <f t="shared" si="5"/>
        <v>0</v>
      </c>
      <c r="F57" s="23">
        <f t="shared" si="5"/>
        <v>0</v>
      </c>
      <c r="G57" s="2" t="str">
        <f>IF('证券列表 '!B60="","",'证券列表 '!B60)</f>
        <v>CCG.O</v>
      </c>
      <c r="H57" s="2" t="s">
        <v>113</v>
      </c>
      <c r="I57" s="3">
        <v>45533</v>
      </c>
      <c r="J57" s="6">
        <v>62032869.170999996</v>
      </c>
      <c r="K57" t="str">
        <f ca="1">IF($I57=业绩披露日期!D$7,ROW(),"")</f>
        <v/>
      </c>
      <c r="L57" t="str">
        <f>IF($I57=业绩披露日期!E$7,ROW(),"")</f>
        <v/>
      </c>
      <c r="M57" t="str">
        <f>IF($I57=业绩披露日期!F$7,ROW(),"")</f>
        <v/>
      </c>
      <c r="N57" t="str">
        <f>IF($I57=业绩披露日期!G$7,ROW(),"")</f>
        <v/>
      </c>
      <c r="O57" t="str">
        <f>IF($I57=业绩披露日期!H$7,ROW(),"")</f>
        <v/>
      </c>
      <c r="P57" t="str">
        <f>IF($I57=业绩披露日期!I$7,ROW(),"")</f>
        <v/>
      </c>
    </row>
    <row r="58" spans="1:16" x14ac:dyDescent="0.35">
      <c r="A58" s="23">
        <f t="shared" ca="1" si="1"/>
        <v>0</v>
      </c>
      <c r="B58" s="23">
        <f t="shared" si="2"/>
        <v>0</v>
      </c>
      <c r="C58" s="23">
        <f t="shared" si="3"/>
        <v>0</v>
      </c>
      <c r="D58" s="23">
        <f t="shared" si="4"/>
        <v>0</v>
      </c>
      <c r="E58" s="23">
        <f t="shared" si="5"/>
        <v>0</v>
      </c>
      <c r="F58" s="23">
        <f t="shared" si="5"/>
        <v>0</v>
      </c>
      <c r="G58" s="2" t="str">
        <f>IF('证券列表 '!B61="","",'证券列表 '!B61)</f>
        <v>CCM.N</v>
      </c>
      <c r="H58" s="2" t="s">
        <v>115</v>
      </c>
      <c r="I58" s="3"/>
      <c r="J58" s="6">
        <v>28394867.329999998</v>
      </c>
      <c r="K58" t="str">
        <f ca="1">IF($I58=业绩披露日期!D$7,ROW(),"")</f>
        <v/>
      </c>
      <c r="L58" t="str">
        <f>IF($I58=业绩披露日期!E$7,ROW(),"")</f>
        <v/>
      </c>
      <c r="M58" t="str">
        <f>IF($I58=业绩披露日期!F$7,ROW(),"")</f>
        <v/>
      </c>
      <c r="N58" t="str">
        <f>IF($I58=业绩披露日期!G$7,ROW(),"")</f>
        <v/>
      </c>
      <c r="O58" t="str">
        <f>IF($I58=业绩披露日期!H$7,ROW(),"")</f>
        <v/>
      </c>
      <c r="P58" t="str">
        <f>IF($I58=业绩披露日期!I$7,ROW(),"")</f>
        <v/>
      </c>
    </row>
    <row r="59" spans="1:16" x14ac:dyDescent="0.35">
      <c r="A59" s="23">
        <f t="shared" ca="1" si="1"/>
        <v>0</v>
      </c>
      <c r="B59" s="23">
        <f t="shared" si="2"/>
        <v>0</v>
      </c>
      <c r="C59" s="23">
        <f t="shared" si="3"/>
        <v>0</v>
      </c>
      <c r="D59" s="23">
        <f t="shared" si="4"/>
        <v>0</v>
      </c>
      <c r="E59" s="23">
        <f t="shared" si="5"/>
        <v>0</v>
      </c>
      <c r="F59" s="23">
        <f t="shared" si="5"/>
        <v>0</v>
      </c>
      <c r="G59" s="2" t="str">
        <f>IF('证券列表 '!B62="","",'证券列表 '!B62)</f>
        <v>CCTG.O</v>
      </c>
      <c r="H59" s="2" t="s">
        <v>117</v>
      </c>
      <c r="I59" s="3"/>
      <c r="J59" s="6">
        <v>15866312.500000002</v>
      </c>
      <c r="K59" t="str">
        <f ca="1">IF($I59=业绩披露日期!D$7,ROW(),"")</f>
        <v/>
      </c>
      <c r="L59" t="str">
        <f>IF($I59=业绩披露日期!E$7,ROW(),"")</f>
        <v/>
      </c>
      <c r="M59" t="str">
        <f>IF($I59=业绩披露日期!F$7,ROW(),"")</f>
        <v/>
      </c>
      <c r="N59" t="str">
        <f>IF($I59=业绩披露日期!G$7,ROW(),"")</f>
        <v/>
      </c>
      <c r="O59" t="str">
        <f>IF($I59=业绩披露日期!H$7,ROW(),"")</f>
        <v/>
      </c>
      <c r="P59" t="str">
        <f>IF($I59=业绩披露日期!I$7,ROW(),"")</f>
        <v/>
      </c>
    </row>
    <row r="60" spans="1:16" x14ac:dyDescent="0.35">
      <c r="A60" s="23">
        <f t="shared" ca="1" si="1"/>
        <v>0</v>
      </c>
      <c r="B60" s="23">
        <f t="shared" si="2"/>
        <v>0</v>
      </c>
      <c r="C60" s="23">
        <f t="shared" si="3"/>
        <v>0</v>
      </c>
      <c r="D60" s="23">
        <f t="shared" si="4"/>
        <v>0</v>
      </c>
      <c r="E60" s="23">
        <f t="shared" si="5"/>
        <v>0</v>
      </c>
      <c r="F60" s="23">
        <f t="shared" si="5"/>
        <v>0</v>
      </c>
      <c r="G60" s="2" t="str">
        <f>IF('证券列表 '!B63="","",'证券列表 '!B63)</f>
        <v>CDTG.O</v>
      </c>
      <c r="H60" s="2" t="s">
        <v>119</v>
      </c>
      <c r="I60" s="3"/>
      <c r="J60" s="6">
        <v>35845000</v>
      </c>
      <c r="K60" t="str">
        <f ca="1">IF($I60=业绩披露日期!D$7,ROW(),"")</f>
        <v/>
      </c>
      <c r="L60" t="str">
        <f>IF($I60=业绩披露日期!E$7,ROW(),"")</f>
        <v/>
      </c>
      <c r="M60" t="str">
        <f>IF($I60=业绩披露日期!F$7,ROW(),"")</f>
        <v/>
      </c>
      <c r="N60" t="str">
        <f>IF($I60=业绩披露日期!G$7,ROW(),"")</f>
        <v/>
      </c>
      <c r="O60" t="str">
        <f>IF($I60=业绩披露日期!H$7,ROW(),"")</f>
        <v/>
      </c>
      <c r="P60" t="str">
        <f>IF($I60=业绩披露日期!I$7,ROW(),"")</f>
        <v/>
      </c>
    </row>
    <row r="61" spans="1:16" x14ac:dyDescent="0.35">
      <c r="A61" s="23">
        <f t="shared" ca="1" si="1"/>
        <v>0</v>
      </c>
      <c r="B61" s="23">
        <f t="shared" si="2"/>
        <v>0</v>
      </c>
      <c r="C61" s="23">
        <f t="shared" si="3"/>
        <v>0</v>
      </c>
      <c r="D61" s="23">
        <f t="shared" si="4"/>
        <v>0</v>
      </c>
      <c r="E61" s="23">
        <f t="shared" si="5"/>
        <v>0</v>
      </c>
      <c r="F61" s="23">
        <f t="shared" si="5"/>
        <v>0</v>
      </c>
      <c r="G61" s="2" t="str">
        <f>IF('证券列表 '!B64="","",'证券列表 '!B64)</f>
        <v>CENN.O</v>
      </c>
      <c r="H61" s="2" t="s">
        <v>121</v>
      </c>
      <c r="I61" s="3">
        <v>45525</v>
      </c>
      <c r="J61" s="6">
        <v>40694009.399999999</v>
      </c>
      <c r="K61" t="str">
        <f ca="1">IF($I61=业绩披露日期!D$7,ROW(),"")</f>
        <v/>
      </c>
      <c r="L61" t="str">
        <f>IF($I61=业绩披露日期!E$7,ROW(),"")</f>
        <v/>
      </c>
      <c r="M61" t="str">
        <f>IF($I61=业绩披露日期!F$7,ROW(),"")</f>
        <v/>
      </c>
      <c r="N61" t="str">
        <f>IF($I61=业绩披露日期!G$7,ROW(),"")</f>
        <v/>
      </c>
      <c r="O61" t="str">
        <f>IF($I61=业绩披露日期!H$7,ROW(),"")</f>
        <v/>
      </c>
      <c r="P61" t="str">
        <f>IF($I61=业绩披露日期!I$7,ROW(),"")</f>
        <v/>
      </c>
    </row>
    <row r="62" spans="1:16" x14ac:dyDescent="0.35">
      <c r="A62" s="23">
        <f t="shared" ca="1" si="1"/>
        <v>0</v>
      </c>
      <c r="B62" s="23">
        <f t="shared" si="2"/>
        <v>0</v>
      </c>
      <c r="C62" s="23">
        <f t="shared" si="3"/>
        <v>0</v>
      </c>
      <c r="D62" s="23">
        <f t="shared" si="4"/>
        <v>0</v>
      </c>
      <c r="E62" s="23">
        <f t="shared" si="5"/>
        <v>0</v>
      </c>
      <c r="F62" s="23">
        <f t="shared" si="5"/>
        <v>0</v>
      </c>
      <c r="G62" s="2" t="str">
        <f>IF('证券列表 '!B65="","",'证券列表 '!B65)</f>
        <v>CGA.N</v>
      </c>
      <c r="H62" s="2" t="s">
        <v>123</v>
      </c>
      <c r="I62" s="3">
        <v>45342</v>
      </c>
      <c r="J62" s="6">
        <v>24853143.84</v>
      </c>
      <c r="K62" t="str">
        <f ca="1">IF($I62=业绩披露日期!D$7,ROW(),"")</f>
        <v/>
      </c>
      <c r="L62" t="str">
        <f>IF($I62=业绩披露日期!E$7,ROW(),"")</f>
        <v/>
      </c>
      <c r="M62" t="str">
        <f>IF($I62=业绩披露日期!F$7,ROW(),"")</f>
        <v/>
      </c>
      <c r="N62" t="str">
        <f>IF($I62=业绩披露日期!G$7,ROW(),"")</f>
        <v/>
      </c>
      <c r="O62" t="str">
        <f>IF($I62=业绩披露日期!H$7,ROW(),"")</f>
        <v/>
      </c>
      <c r="P62" t="str">
        <f>IF($I62=业绩披露日期!I$7,ROW(),"")</f>
        <v/>
      </c>
    </row>
    <row r="63" spans="1:16" x14ac:dyDescent="0.35">
      <c r="A63" s="23">
        <f t="shared" ca="1" si="1"/>
        <v>0</v>
      </c>
      <c r="B63" s="23">
        <f t="shared" si="2"/>
        <v>0</v>
      </c>
      <c r="C63" s="23">
        <f t="shared" si="3"/>
        <v>0</v>
      </c>
      <c r="D63" s="23">
        <f t="shared" si="4"/>
        <v>0</v>
      </c>
      <c r="E63" s="23">
        <f t="shared" si="5"/>
        <v>0</v>
      </c>
      <c r="F63" s="23">
        <f t="shared" si="5"/>
        <v>0</v>
      </c>
      <c r="G63" s="2" t="str">
        <f>IF('证券列表 '!B66="","",'证券列表 '!B66)</f>
        <v>CHEB.N</v>
      </c>
      <c r="H63" s="2" t="s">
        <v>125</v>
      </c>
      <c r="I63" s="3"/>
      <c r="J63" s="6">
        <v>114827500</v>
      </c>
      <c r="K63" t="str">
        <f ca="1">IF($I63=业绩披露日期!D$7,ROW(),"")</f>
        <v/>
      </c>
      <c r="L63" t="str">
        <f>IF($I63=业绩披露日期!E$7,ROW(),"")</f>
        <v/>
      </c>
      <c r="M63" t="str">
        <f>IF($I63=业绩披露日期!F$7,ROW(),"")</f>
        <v/>
      </c>
      <c r="N63" t="str">
        <f>IF($I63=业绩披露日期!G$7,ROW(),"")</f>
        <v/>
      </c>
      <c r="O63" t="str">
        <f>IF($I63=业绩披露日期!H$7,ROW(),"")</f>
        <v/>
      </c>
      <c r="P63" t="str">
        <f>IF($I63=业绩披露日期!I$7,ROW(),"")</f>
        <v/>
      </c>
    </row>
    <row r="64" spans="1:16" x14ac:dyDescent="0.35">
      <c r="A64" s="23">
        <f t="shared" ca="1" si="1"/>
        <v>0</v>
      </c>
      <c r="B64" s="23">
        <f t="shared" si="2"/>
        <v>0</v>
      </c>
      <c r="C64" s="23">
        <f t="shared" si="3"/>
        <v>0</v>
      </c>
      <c r="D64" s="23">
        <f t="shared" si="4"/>
        <v>0</v>
      </c>
      <c r="E64" s="23">
        <f t="shared" si="5"/>
        <v>0</v>
      </c>
      <c r="F64" s="23">
        <f t="shared" si="5"/>
        <v>0</v>
      </c>
      <c r="G64" s="2" t="str">
        <f>IF('证券列表 '!B67="","",'证券列表 '!B67)</f>
        <v>CHNR.O</v>
      </c>
      <c r="H64" s="2" t="s">
        <v>127</v>
      </c>
      <c r="I64" s="3"/>
      <c r="J64" s="6">
        <v>5728064.3202</v>
      </c>
      <c r="K64" t="str">
        <f ca="1">IF($I64=业绩披露日期!D$7,ROW(),"")</f>
        <v/>
      </c>
      <c r="L64" t="str">
        <f>IF($I64=业绩披露日期!E$7,ROW(),"")</f>
        <v/>
      </c>
      <c r="M64" t="str">
        <f>IF($I64=业绩披露日期!F$7,ROW(),"")</f>
        <v/>
      </c>
      <c r="N64" t="str">
        <f>IF($I64=业绩披露日期!G$7,ROW(),"")</f>
        <v/>
      </c>
      <c r="O64" t="str">
        <f>IF($I64=业绩披露日期!H$7,ROW(),"")</f>
        <v/>
      </c>
      <c r="P64" t="str">
        <f>IF($I64=业绩披露日期!I$7,ROW(),"")</f>
        <v/>
      </c>
    </row>
    <row r="65" spans="1:16" x14ac:dyDescent="0.35">
      <c r="A65" s="23">
        <f t="shared" ca="1" si="1"/>
        <v>0</v>
      </c>
      <c r="B65" s="23">
        <f t="shared" si="2"/>
        <v>0</v>
      </c>
      <c r="C65" s="23">
        <f t="shared" si="3"/>
        <v>0</v>
      </c>
      <c r="D65" s="23">
        <f t="shared" si="4"/>
        <v>0</v>
      </c>
      <c r="E65" s="23">
        <f t="shared" si="5"/>
        <v>0</v>
      </c>
      <c r="F65" s="23">
        <f t="shared" si="5"/>
        <v>0</v>
      </c>
      <c r="G65" s="2" t="str">
        <f>IF('证券列表 '!B68="","",'证券列表 '!B68)</f>
        <v>CHR.O</v>
      </c>
      <c r="H65" s="2" t="s">
        <v>129</v>
      </c>
      <c r="I65" s="3"/>
      <c r="J65" s="6">
        <v>24788218.880000003</v>
      </c>
      <c r="K65" t="str">
        <f ca="1">IF($I65=业绩披露日期!D$7,ROW(),"")</f>
        <v/>
      </c>
      <c r="L65" t="str">
        <f>IF($I65=业绩披露日期!E$7,ROW(),"")</f>
        <v/>
      </c>
      <c r="M65" t="str">
        <f>IF($I65=业绩披露日期!F$7,ROW(),"")</f>
        <v/>
      </c>
      <c r="N65" t="str">
        <f>IF($I65=业绩披露日期!G$7,ROW(),"")</f>
        <v/>
      </c>
      <c r="O65" t="str">
        <f>IF($I65=业绩披露日期!H$7,ROW(),"")</f>
        <v/>
      </c>
      <c r="P65" t="str">
        <f>IF($I65=业绩披露日期!I$7,ROW(),"")</f>
        <v/>
      </c>
    </row>
    <row r="66" spans="1:16" x14ac:dyDescent="0.35">
      <c r="A66" s="23">
        <f t="shared" ca="1" si="1"/>
        <v>0</v>
      </c>
      <c r="B66" s="23">
        <f t="shared" si="2"/>
        <v>0</v>
      </c>
      <c r="C66" s="23">
        <f t="shared" si="3"/>
        <v>0</v>
      </c>
      <c r="D66" s="23">
        <f t="shared" si="4"/>
        <v>0</v>
      </c>
      <c r="E66" s="23">
        <f t="shared" si="5"/>
        <v>0</v>
      </c>
      <c r="F66" s="23">
        <f t="shared" si="5"/>
        <v>0</v>
      </c>
      <c r="G66" s="2" t="str">
        <f>IF('证券列表 '!B69="","",'证券列表 '!B69)</f>
        <v>CHSN.O</v>
      </c>
      <c r="H66" s="2" t="s">
        <v>131</v>
      </c>
      <c r="I66" s="3"/>
      <c r="J66" s="6">
        <v>20066890.184999999</v>
      </c>
      <c r="K66" t="str">
        <f ca="1">IF($I66=业绩披露日期!D$7,ROW(),"")</f>
        <v/>
      </c>
      <c r="L66" t="str">
        <f>IF($I66=业绩披露日期!E$7,ROW(),"")</f>
        <v/>
      </c>
      <c r="M66" t="str">
        <f>IF($I66=业绩披露日期!F$7,ROW(),"")</f>
        <v/>
      </c>
      <c r="N66" t="str">
        <f>IF($I66=业绩披露日期!G$7,ROW(),"")</f>
        <v/>
      </c>
      <c r="O66" t="str">
        <f>IF($I66=业绩披露日期!H$7,ROW(),"")</f>
        <v/>
      </c>
      <c r="P66" t="str">
        <f>IF($I66=业绩披露日期!I$7,ROW(),"")</f>
        <v/>
      </c>
    </row>
    <row r="67" spans="1:16" x14ac:dyDescent="0.35">
      <c r="A67" s="23">
        <f t="shared" ca="1" si="1"/>
        <v>0</v>
      </c>
      <c r="B67" s="23">
        <f t="shared" si="2"/>
        <v>0</v>
      </c>
      <c r="C67" s="23">
        <f t="shared" si="3"/>
        <v>0</v>
      </c>
      <c r="D67" s="23">
        <f t="shared" si="4"/>
        <v>0</v>
      </c>
      <c r="E67" s="23">
        <f t="shared" si="5"/>
        <v>0</v>
      </c>
      <c r="F67" s="23">
        <f t="shared" si="5"/>
        <v>0</v>
      </c>
      <c r="G67" s="2" t="str">
        <f>IF('证券列表 '!B70="","",'证券列表 '!B70)</f>
        <v>CJET.O</v>
      </c>
      <c r="H67" s="2" t="s">
        <v>133</v>
      </c>
      <c r="I67" s="3"/>
      <c r="J67" s="6">
        <v>19927690.32</v>
      </c>
      <c r="K67" t="str">
        <f ca="1">IF($I67=业绩披露日期!D$7,ROW(),"")</f>
        <v/>
      </c>
      <c r="L67" t="str">
        <f>IF($I67=业绩披露日期!E$7,ROW(),"")</f>
        <v/>
      </c>
      <c r="M67" t="str">
        <f>IF($I67=业绩披露日期!F$7,ROW(),"")</f>
        <v/>
      </c>
      <c r="N67" t="str">
        <f>IF($I67=业绩披露日期!G$7,ROW(),"")</f>
        <v/>
      </c>
      <c r="O67" t="str">
        <f>IF($I67=业绩披露日期!H$7,ROW(),"")</f>
        <v/>
      </c>
      <c r="P67" t="str">
        <f>IF($I67=业绩披露日期!I$7,ROW(),"")</f>
        <v/>
      </c>
    </row>
    <row r="68" spans="1:16" x14ac:dyDescent="0.35">
      <c r="A68" s="23">
        <f t="shared" ref="A68:A131" ca="1" si="6">IF(K68="",0,RANK(K68,K:K,1))</f>
        <v>0</v>
      </c>
      <c r="B68" s="23">
        <f t="shared" ref="B68:B131" si="7">IF(L68="",0,RANK(L68,L:L,1))</f>
        <v>0</v>
      </c>
      <c r="C68" s="23">
        <f t="shared" ref="C68:C131" si="8">IF(M68="",0,RANK(M68,M:M,1))</f>
        <v>0</v>
      </c>
      <c r="D68" s="23">
        <f t="shared" ref="D68:D131" si="9">IF(N68="",0,RANK(N68,N:N,1))</f>
        <v>0</v>
      </c>
      <c r="E68" s="23">
        <f t="shared" ref="E68:F131" si="10">IF(O68="",0,RANK(O68,O:O,1))</f>
        <v>0</v>
      </c>
      <c r="F68" s="23">
        <f t="shared" si="10"/>
        <v>0</v>
      </c>
      <c r="G68" s="2" t="str">
        <f>IF('证券列表 '!B71="","",'证券列表 '!B71)</f>
        <v>CJJD.O</v>
      </c>
      <c r="H68" s="2" t="s">
        <v>135</v>
      </c>
      <c r="I68" s="3"/>
      <c r="J68" s="6">
        <v>10047656.27</v>
      </c>
      <c r="K68" t="str">
        <f ca="1">IF($I68=业绩披露日期!D$7,ROW(),"")</f>
        <v/>
      </c>
      <c r="L68" t="str">
        <f>IF($I68=业绩披露日期!E$7,ROW(),"")</f>
        <v/>
      </c>
      <c r="M68" t="str">
        <f>IF($I68=业绩披露日期!F$7,ROW(),"")</f>
        <v/>
      </c>
      <c r="N68" t="str">
        <f>IF($I68=业绩披露日期!G$7,ROW(),"")</f>
        <v/>
      </c>
      <c r="O68" t="str">
        <f>IF($I68=业绩披露日期!H$7,ROW(),"")</f>
        <v/>
      </c>
      <c r="P68" t="str">
        <f>IF($I68=业绩披露日期!I$7,ROW(),"")</f>
        <v/>
      </c>
    </row>
    <row r="69" spans="1:16" x14ac:dyDescent="0.35">
      <c r="A69" s="23">
        <f t="shared" ca="1" si="6"/>
        <v>0</v>
      </c>
      <c r="B69" s="23">
        <f t="shared" si="7"/>
        <v>0</v>
      </c>
      <c r="C69" s="23">
        <f t="shared" si="8"/>
        <v>0</v>
      </c>
      <c r="D69" s="23">
        <f t="shared" si="9"/>
        <v>0</v>
      </c>
      <c r="E69" s="23">
        <f t="shared" si="10"/>
        <v>0</v>
      </c>
      <c r="F69" s="23">
        <f t="shared" si="10"/>
        <v>0</v>
      </c>
      <c r="G69" s="2" t="str">
        <f>IF('证券列表 '!B72="","",'证券列表 '!B72)</f>
        <v>CLEU.O</v>
      </c>
      <c r="H69" s="2" t="s">
        <v>137</v>
      </c>
      <c r="I69" s="3"/>
      <c r="J69" s="6">
        <v>916590.39600000007</v>
      </c>
      <c r="K69" t="str">
        <f ca="1">IF($I69=业绩披露日期!D$7,ROW(),"")</f>
        <v/>
      </c>
      <c r="L69" t="str">
        <f>IF($I69=业绩披露日期!E$7,ROW(),"")</f>
        <v/>
      </c>
      <c r="M69" t="str">
        <f>IF($I69=业绩披露日期!F$7,ROW(),"")</f>
        <v/>
      </c>
      <c r="N69" t="str">
        <f>IF($I69=业绩披露日期!G$7,ROW(),"")</f>
        <v/>
      </c>
      <c r="O69" t="str">
        <f>IF($I69=业绩披露日期!H$7,ROW(),"")</f>
        <v/>
      </c>
      <c r="P69" t="str">
        <f>IF($I69=业绩披露日期!I$7,ROW(),"")</f>
        <v/>
      </c>
    </row>
    <row r="70" spans="1:16" x14ac:dyDescent="0.35">
      <c r="A70" s="23">
        <f t="shared" ca="1" si="6"/>
        <v>0</v>
      </c>
      <c r="B70" s="23">
        <f t="shared" si="7"/>
        <v>0</v>
      </c>
      <c r="C70" s="23">
        <f t="shared" si="8"/>
        <v>0</v>
      </c>
      <c r="D70" s="23">
        <f t="shared" si="9"/>
        <v>0</v>
      </c>
      <c r="E70" s="23">
        <f t="shared" si="10"/>
        <v>0</v>
      </c>
      <c r="F70" s="23">
        <f t="shared" si="10"/>
        <v>0</v>
      </c>
      <c r="G70" s="2" t="str">
        <f>IF('证券列表 '!B73="","",'证券列表 '!B73)</f>
        <v>CLPS.O</v>
      </c>
      <c r="H70" s="2" t="s">
        <v>139</v>
      </c>
      <c r="I70" s="3">
        <v>45356</v>
      </c>
      <c r="J70" s="6">
        <v>34521669.439999998</v>
      </c>
      <c r="K70" t="str">
        <f ca="1">IF($I70=业绩披露日期!D$7,ROW(),"")</f>
        <v/>
      </c>
      <c r="L70" t="str">
        <f>IF($I70=业绩披露日期!E$7,ROW(),"")</f>
        <v/>
      </c>
      <c r="M70" t="str">
        <f>IF($I70=业绩披露日期!F$7,ROW(),"")</f>
        <v/>
      </c>
      <c r="N70" t="str">
        <f>IF($I70=业绩披露日期!G$7,ROW(),"")</f>
        <v/>
      </c>
      <c r="O70" t="str">
        <f>IF($I70=业绩披露日期!H$7,ROW(),"")</f>
        <v/>
      </c>
      <c r="P70" t="str">
        <f>IF($I70=业绩披露日期!I$7,ROW(),"")</f>
        <v/>
      </c>
    </row>
    <row r="71" spans="1:16" x14ac:dyDescent="0.35">
      <c r="A71" s="23">
        <f t="shared" ca="1" si="6"/>
        <v>0</v>
      </c>
      <c r="B71" s="23">
        <f t="shared" si="7"/>
        <v>0</v>
      </c>
      <c r="C71" s="23">
        <f t="shared" si="8"/>
        <v>0</v>
      </c>
      <c r="D71" s="23">
        <f t="shared" si="9"/>
        <v>0</v>
      </c>
      <c r="E71" s="23">
        <f t="shared" si="10"/>
        <v>0</v>
      </c>
      <c r="F71" s="23">
        <f t="shared" si="10"/>
        <v>0</v>
      </c>
      <c r="G71" s="2" t="str">
        <f>IF('证券列表 '!B74="","",'证券列表 '!B74)</f>
        <v>CLWT.O</v>
      </c>
      <c r="H71" s="2" t="s">
        <v>141</v>
      </c>
      <c r="I71" s="3"/>
      <c r="J71" s="6">
        <v>11728774.48</v>
      </c>
      <c r="K71" t="str">
        <f ca="1">IF($I71=业绩披露日期!D$7,ROW(),"")</f>
        <v/>
      </c>
      <c r="L71" t="str">
        <f>IF($I71=业绩披露日期!E$7,ROW(),"")</f>
        <v/>
      </c>
      <c r="M71" t="str">
        <f>IF($I71=业绩披露日期!F$7,ROW(),"")</f>
        <v/>
      </c>
      <c r="N71" t="str">
        <f>IF($I71=业绩披露日期!G$7,ROW(),"")</f>
        <v/>
      </c>
      <c r="O71" t="str">
        <f>IF($I71=业绩披露日期!H$7,ROW(),"")</f>
        <v/>
      </c>
      <c r="P71" t="str">
        <f>IF($I71=业绩披露日期!I$7,ROW(),"")</f>
        <v/>
      </c>
    </row>
    <row r="72" spans="1:16" x14ac:dyDescent="0.35">
      <c r="A72" s="23">
        <f t="shared" ca="1" si="6"/>
        <v>0</v>
      </c>
      <c r="B72" s="23">
        <f t="shared" si="7"/>
        <v>0</v>
      </c>
      <c r="C72" s="23">
        <f t="shared" si="8"/>
        <v>0</v>
      </c>
      <c r="D72" s="23">
        <f t="shared" si="9"/>
        <v>0</v>
      </c>
      <c r="E72" s="23">
        <f t="shared" si="10"/>
        <v>0</v>
      </c>
      <c r="F72" s="23">
        <f t="shared" si="10"/>
        <v>0</v>
      </c>
      <c r="G72" s="2" t="str">
        <f>IF('证券列表 '!B75="","",'证券列表 '!B75)</f>
        <v>CMCM.N</v>
      </c>
      <c r="H72" s="2" t="s">
        <v>143</v>
      </c>
      <c r="I72" s="3"/>
      <c r="J72" s="6">
        <v>106204374.37800001</v>
      </c>
      <c r="K72" t="str">
        <f ca="1">IF($I72=业绩披露日期!D$7,ROW(),"")</f>
        <v/>
      </c>
      <c r="L72" t="str">
        <f>IF($I72=业绩披露日期!E$7,ROW(),"")</f>
        <v/>
      </c>
      <c r="M72" t="str">
        <f>IF($I72=业绩披露日期!F$7,ROW(),"")</f>
        <v/>
      </c>
      <c r="N72" t="str">
        <f>IF($I72=业绩披露日期!G$7,ROW(),"")</f>
        <v/>
      </c>
      <c r="O72" t="str">
        <f>IF($I72=业绩披露日期!H$7,ROW(),"")</f>
        <v/>
      </c>
      <c r="P72" t="str">
        <f>IF($I72=业绩披露日期!I$7,ROW(),"")</f>
        <v/>
      </c>
    </row>
    <row r="73" spans="1:16" x14ac:dyDescent="0.35">
      <c r="A73" s="23">
        <f t="shared" ca="1" si="6"/>
        <v>0</v>
      </c>
      <c r="B73" s="23">
        <f t="shared" si="7"/>
        <v>0</v>
      </c>
      <c r="C73" s="23">
        <f t="shared" si="8"/>
        <v>0</v>
      </c>
      <c r="D73" s="23">
        <f t="shared" si="9"/>
        <v>0</v>
      </c>
      <c r="E73" s="23">
        <f t="shared" si="10"/>
        <v>0</v>
      </c>
      <c r="F73" s="23">
        <f t="shared" si="10"/>
        <v>0</v>
      </c>
      <c r="G73" s="2" t="str">
        <f>IF('证券列表 '!B76="","",'证券列表 '!B76)</f>
        <v>CNET.O</v>
      </c>
      <c r="H73" s="2" t="s">
        <v>145</v>
      </c>
      <c r="I73" s="3">
        <v>45523</v>
      </c>
      <c r="J73" s="6">
        <v>4360887.4817999993</v>
      </c>
      <c r="K73" t="str">
        <f ca="1">IF($I73=业绩披露日期!D$7,ROW(),"")</f>
        <v/>
      </c>
      <c r="L73" t="str">
        <f>IF($I73=业绩披露日期!E$7,ROW(),"")</f>
        <v/>
      </c>
      <c r="M73" t="str">
        <f>IF($I73=业绩披露日期!F$7,ROW(),"")</f>
        <v/>
      </c>
      <c r="N73" t="str">
        <f>IF($I73=业绩披露日期!G$7,ROW(),"")</f>
        <v/>
      </c>
      <c r="O73" t="str">
        <f>IF($I73=业绩披露日期!H$7,ROW(),"")</f>
        <v/>
      </c>
      <c r="P73" t="str">
        <f>IF($I73=业绩披露日期!I$7,ROW(),"")</f>
        <v/>
      </c>
    </row>
    <row r="74" spans="1:16" x14ac:dyDescent="0.35">
      <c r="A74" s="23">
        <f t="shared" ca="1" si="6"/>
        <v>0</v>
      </c>
      <c r="B74" s="23">
        <f t="shared" si="7"/>
        <v>0</v>
      </c>
      <c r="C74" s="23">
        <f t="shared" si="8"/>
        <v>0</v>
      </c>
      <c r="D74" s="23">
        <f t="shared" si="9"/>
        <v>0</v>
      </c>
      <c r="E74" s="23">
        <f t="shared" si="10"/>
        <v>0</v>
      </c>
      <c r="F74" s="23">
        <f t="shared" si="10"/>
        <v>0</v>
      </c>
      <c r="G74" s="2" t="str">
        <f>IF('证券列表 '!B77="","",'证券列表 '!B77)</f>
        <v>CNEY.O</v>
      </c>
      <c r="H74" s="2" t="s">
        <v>147</v>
      </c>
      <c r="I74" s="3"/>
      <c r="J74" s="6">
        <v>793132.17710000009</v>
      </c>
      <c r="K74" t="str">
        <f ca="1">IF($I74=业绩披露日期!D$7,ROW(),"")</f>
        <v/>
      </c>
      <c r="L74" t="str">
        <f>IF($I74=业绩披露日期!E$7,ROW(),"")</f>
        <v/>
      </c>
      <c r="M74" t="str">
        <f>IF($I74=业绩披露日期!F$7,ROW(),"")</f>
        <v/>
      </c>
      <c r="N74" t="str">
        <f>IF($I74=业绩披露日期!G$7,ROW(),"")</f>
        <v/>
      </c>
      <c r="O74" t="str">
        <f>IF($I74=业绩披露日期!H$7,ROW(),"")</f>
        <v/>
      </c>
      <c r="P74" t="str">
        <f>IF($I74=业绩披露日期!I$7,ROW(),"")</f>
        <v/>
      </c>
    </row>
    <row r="75" spans="1:16" x14ac:dyDescent="0.35">
      <c r="A75" s="23">
        <f t="shared" ca="1" si="6"/>
        <v>0</v>
      </c>
      <c r="B75" s="23">
        <f t="shared" si="7"/>
        <v>0</v>
      </c>
      <c r="C75" s="23">
        <f t="shared" si="8"/>
        <v>0</v>
      </c>
      <c r="D75" s="23">
        <f t="shared" si="9"/>
        <v>0</v>
      </c>
      <c r="E75" s="23">
        <f t="shared" si="10"/>
        <v>0</v>
      </c>
      <c r="F75" s="23">
        <f t="shared" si="10"/>
        <v>0</v>
      </c>
      <c r="G75" s="2" t="str">
        <f>IF('证券列表 '!B78="","",'证券列表 '!B78)</f>
        <v>CNF.N</v>
      </c>
      <c r="H75" s="2" t="s">
        <v>149</v>
      </c>
      <c r="I75" s="3">
        <v>45531</v>
      </c>
      <c r="J75" s="6">
        <v>88470988.980000004</v>
      </c>
      <c r="K75" t="str">
        <f ca="1">IF($I75=业绩披露日期!D$7,ROW(),"")</f>
        <v/>
      </c>
      <c r="L75" t="str">
        <f>IF($I75=业绩披露日期!E$7,ROW(),"")</f>
        <v/>
      </c>
      <c r="M75" t="str">
        <f>IF($I75=业绩披露日期!F$7,ROW(),"")</f>
        <v/>
      </c>
      <c r="N75" t="str">
        <f>IF($I75=业绩披露日期!G$7,ROW(),"")</f>
        <v/>
      </c>
      <c r="O75" t="str">
        <f>IF($I75=业绩披露日期!H$7,ROW(),"")</f>
        <v/>
      </c>
      <c r="P75" t="str">
        <f>IF($I75=业绩披露日期!I$7,ROW(),"")</f>
        <v/>
      </c>
    </row>
    <row r="76" spans="1:16" x14ac:dyDescent="0.35">
      <c r="A76" s="23">
        <f t="shared" ca="1" si="6"/>
        <v>0</v>
      </c>
      <c r="B76" s="23">
        <f t="shared" si="7"/>
        <v>0</v>
      </c>
      <c r="C76" s="23">
        <f t="shared" si="8"/>
        <v>0</v>
      </c>
      <c r="D76" s="23">
        <f t="shared" si="9"/>
        <v>0</v>
      </c>
      <c r="E76" s="23">
        <f t="shared" si="10"/>
        <v>0</v>
      </c>
      <c r="F76" s="23">
        <f t="shared" si="10"/>
        <v>0</v>
      </c>
      <c r="G76" s="2" t="str">
        <f>IF('证券列表 '!B79="","",'证券列表 '!B79)</f>
        <v>CNTB.O</v>
      </c>
      <c r="H76" s="2" t="s">
        <v>151</v>
      </c>
      <c r="I76" s="3"/>
      <c r="J76" s="6">
        <v>70531781.120000005</v>
      </c>
      <c r="K76" t="str">
        <f ca="1">IF($I76=业绩披露日期!D$7,ROW(),"")</f>
        <v/>
      </c>
      <c r="L76" t="str">
        <f>IF($I76=业绩披露日期!E$7,ROW(),"")</f>
        <v/>
      </c>
      <c r="M76" t="str">
        <f>IF($I76=业绩披露日期!F$7,ROW(),"")</f>
        <v/>
      </c>
      <c r="N76" t="str">
        <f>IF($I76=业绩披露日期!G$7,ROW(),"")</f>
        <v/>
      </c>
      <c r="O76" t="str">
        <f>IF($I76=业绩披露日期!H$7,ROW(),"")</f>
        <v/>
      </c>
      <c r="P76" t="str">
        <f>IF($I76=业绩披露日期!I$7,ROW(),"")</f>
        <v/>
      </c>
    </row>
    <row r="77" spans="1:16" x14ac:dyDescent="0.35">
      <c r="A77" s="23">
        <f t="shared" ca="1" si="6"/>
        <v>0</v>
      </c>
      <c r="B77" s="23">
        <f t="shared" si="7"/>
        <v>0</v>
      </c>
      <c r="C77" s="23">
        <f t="shared" si="8"/>
        <v>0</v>
      </c>
      <c r="D77" s="23">
        <f t="shared" si="9"/>
        <v>0</v>
      </c>
      <c r="E77" s="23">
        <f t="shared" si="10"/>
        <v>0</v>
      </c>
      <c r="F77" s="23">
        <f t="shared" si="10"/>
        <v>0</v>
      </c>
      <c r="G77" s="2" t="str">
        <f>IF('证券列表 '!B80="","",'证券列表 '!B80)</f>
        <v>COE.A</v>
      </c>
      <c r="H77" s="2" t="s">
        <v>153</v>
      </c>
      <c r="I77" s="3">
        <v>45527</v>
      </c>
      <c r="J77" s="6">
        <v>78830443.215495005</v>
      </c>
      <c r="K77" t="str">
        <f ca="1">IF($I77=业绩披露日期!D$7,ROW(),"")</f>
        <v/>
      </c>
      <c r="L77" t="str">
        <f>IF($I77=业绩披露日期!E$7,ROW(),"")</f>
        <v/>
      </c>
      <c r="M77" t="str">
        <f>IF($I77=业绩披露日期!F$7,ROW(),"")</f>
        <v/>
      </c>
      <c r="N77" t="str">
        <f>IF($I77=业绩披露日期!G$7,ROW(),"")</f>
        <v/>
      </c>
      <c r="O77" t="str">
        <f>IF($I77=业绩披露日期!H$7,ROW(),"")</f>
        <v/>
      </c>
      <c r="P77" t="str">
        <f>IF($I77=业绩披露日期!I$7,ROW(),"")</f>
        <v/>
      </c>
    </row>
    <row r="78" spans="1:16" x14ac:dyDescent="0.35">
      <c r="A78" s="23">
        <f t="shared" ca="1" si="6"/>
        <v>0</v>
      </c>
      <c r="B78" s="23">
        <f t="shared" si="7"/>
        <v>0</v>
      </c>
      <c r="C78" s="23">
        <f t="shared" si="8"/>
        <v>0</v>
      </c>
      <c r="D78" s="23">
        <f t="shared" si="9"/>
        <v>0</v>
      </c>
      <c r="E78" s="23">
        <f t="shared" si="10"/>
        <v>0</v>
      </c>
      <c r="F78" s="23">
        <f t="shared" si="10"/>
        <v>0</v>
      </c>
      <c r="G78" s="2" t="str">
        <f>IF('证券列表 '!B81="","",'证券列表 '!B81)</f>
        <v>CPHI.A</v>
      </c>
      <c r="H78" s="2" t="s">
        <v>155</v>
      </c>
      <c r="I78" s="3">
        <v>45523</v>
      </c>
      <c r="J78" s="6">
        <v>3587019.139</v>
      </c>
      <c r="K78" t="str">
        <f ca="1">IF($I78=业绩披露日期!D$7,ROW(),"")</f>
        <v/>
      </c>
      <c r="L78" t="str">
        <f>IF($I78=业绩披露日期!E$7,ROW(),"")</f>
        <v/>
      </c>
      <c r="M78" t="str">
        <f>IF($I78=业绩披露日期!F$7,ROW(),"")</f>
        <v/>
      </c>
      <c r="N78" t="str">
        <f>IF($I78=业绩披露日期!G$7,ROW(),"")</f>
        <v/>
      </c>
      <c r="O78" t="str">
        <f>IF($I78=业绩披露日期!H$7,ROW(),"")</f>
        <v/>
      </c>
      <c r="P78" t="str">
        <f>IF($I78=业绩披露日期!I$7,ROW(),"")</f>
        <v/>
      </c>
    </row>
    <row r="79" spans="1:16" x14ac:dyDescent="0.35">
      <c r="A79" s="23">
        <f t="shared" ca="1" si="6"/>
        <v>0</v>
      </c>
      <c r="B79" s="23">
        <f t="shared" si="7"/>
        <v>0</v>
      </c>
      <c r="C79" s="23">
        <f t="shared" si="8"/>
        <v>0</v>
      </c>
      <c r="D79" s="23">
        <f t="shared" si="9"/>
        <v>0</v>
      </c>
      <c r="E79" s="23">
        <f t="shared" si="10"/>
        <v>0</v>
      </c>
      <c r="F79" s="23">
        <f t="shared" si="10"/>
        <v>0</v>
      </c>
      <c r="G79" s="2" t="str">
        <f>IF('证券列表 '!B82="","",'证券列表 '!B82)</f>
        <v>CPOP.O</v>
      </c>
      <c r="H79" s="2" t="s">
        <v>157</v>
      </c>
      <c r="I79" s="3"/>
      <c r="J79" s="6">
        <v>4332945.1000000006</v>
      </c>
      <c r="K79" t="str">
        <f ca="1">IF($I79=业绩披露日期!D$7,ROW(),"")</f>
        <v/>
      </c>
      <c r="L79" t="str">
        <f>IF($I79=业绩披露日期!E$7,ROW(),"")</f>
        <v/>
      </c>
      <c r="M79" t="str">
        <f>IF($I79=业绩披露日期!F$7,ROW(),"")</f>
        <v/>
      </c>
      <c r="N79" t="str">
        <f>IF($I79=业绩披露日期!G$7,ROW(),"")</f>
        <v/>
      </c>
      <c r="O79" t="str">
        <f>IF($I79=业绩披露日期!H$7,ROW(),"")</f>
        <v/>
      </c>
      <c r="P79" t="str">
        <f>IF($I79=业绩披露日期!I$7,ROW(),"")</f>
        <v/>
      </c>
    </row>
    <row r="80" spans="1:16" x14ac:dyDescent="0.35">
      <c r="A80" s="23">
        <f t="shared" ca="1" si="6"/>
        <v>0</v>
      </c>
      <c r="B80" s="23">
        <f t="shared" si="7"/>
        <v>0</v>
      </c>
      <c r="C80" s="23">
        <f t="shared" si="8"/>
        <v>0</v>
      </c>
      <c r="D80" s="23">
        <f t="shared" si="9"/>
        <v>0</v>
      </c>
      <c r="E80" s="23">
        <f t="shared" si="10"/>
        <v>0</v>
      </c>
      <c r="F80" s="23">
        <f t="shared" si="10"/>
        <v>0</v>
      </c>
      <c r="G80" s="2" t="str">
        <f>IF('证券列表 '!B83="","",'证券列表 '!B83)</f>
        <v>CREG.O</v>
      </c>
      <c r="H80" s="2" t="s">
        <v>159</v>
      </c>
      <c r="I80" s="3">
        <v>45520</v>
      </c>
      <c r="J80" s="6">
        <v>7538637.0199999996</v>
      </c>
      <c r="K80" t="str">
        <f ca="1">IF($I80=业绩披露日期!D$7,ROW(),"")</f>
        <v/>
      </c>
      <c r="L80" t="str">
        <f>IF($I80=业绩披露日期!E$7,ROW(),"")</f>
        <v/>
      </c>
      <c r="M80" t="str">
        <f>IF($I80=业绩披露日期!F$7,ROW(),"")</f>
        <v/>
      </c>
      <c r="N80" t="str">
        <f>IF($I80=业绩披露日期!G$7,ROW(),"")</f>
        <v/>
      </c>
      <c r="O80" t="str">
        <f>IF($I80=业绩披露日期!H$7,ROW(),"")</f>
        <v/>
      </c>
      <c r="P80" t="str">
        <f>IF($I80=业绩披露日期!I$7,ROW(),"")</f>
        <v/>
      </c>
    </row>
    <row r="81" spans="1:16" x14ac:dyDescent="0.35">
      <c r="A81" s="23">
        <f t="shared" ca="1" si="6"/>
        <v>0</v>
      </c>
      <c r="B81" s="23">
        <f t="shared" si="7"/>
        <v>0</v>
      </c>
      <c r="C81" s="23">
        <f t="shared" si="8"/>
        <v>0</v>
      </c>
      <c r="D81" s="23">
        <f t="shared" si="9"/>
        <v>0</v>
      </c>
      <c r="E81" s="23">
        <f t="shared" si="10"/>
        <v>0</v>
      </c>
      <c r="F81" s="23">
        <f t="shared" si="10"/>
        <v>0</v>
      </c>
      <c r="G81" s="2" t="str">
        <f>IF('证券列表 '!B84="","",'证券列表 '!B84)</f>
        <v>CSIQ.O</v>
      </c>
      <c r="H81" s="2" t="s">
        <v>161</v>
      </c>
      <c r="I81" s="3">
        <v>45526</v>
      </c>
      <c r="J81" s="6">
        <v>827848274.22000003</v>
      </c>
      <c r="K81" t="str">
        <f ca="1">IF($I81=业绩披露日期!D$7,ROW(),"")</f>
        <v/>
      </c>
      <c r="L81" t="str">
        <f>IF($I81=业绩披露日期!E$7,ROW(),"")</f>
        <v/>
      </c>
      <c r="M81" t="str">
        <f>IF($I81=业绩披露日期!F$7,ROW(),"")</f>
        <v/>
      </c>
      <c r="N81" t="str">
        <f>IF($I81=业绩披露日期!G$7,ROW(),"")</f>
        <v/>
      </c>
      <c r="O81" t="str">
        <f>IF($I81=业绩披露日期!H$7,ROW(),"")</f>
        <v/>
      </c>
      <c r="P81" t="str">
        <f>IF($I81=业绩披露日期!I$7,ROW(),"")</f>
        <v/>
      </c>
    </row>
    <row r="82" spans="1:16" x14ac:dyDescent="0.35">
      <c r="A82" s="23">
        <f t="shared" ca="1" si="6"/>
        <v>0</v>
      </c>
      <c r="B82" s="23">
        <f t="shared" si="7"/>
        <v>0</v>
      </c>
      <c r="C82" s="23">
        <f t="shared" si="8"/>
        <v>0</v>
      </c>
      <c r="D82" s="23">
        <f t="shared" si="9"/>
        <v>0</v>
      </c>
      <c r="E82" s="23">
        <f t="shared" si="10"/>
        <v>0</v>
      </c>
      <c r="F82" s="23">
        <f t="shared" si="10"/>
        <v>0</v>
      </c>
      <c r="G82" s="2" t="str">
        <f>IF('证券列表 '!B85="","",'证券列表 '!B85)</f>
        <v>CYD.N</v>
      </c>
      <c r="H82" s="2" t="s">
        <v>163</v>
      </c>
      <c r="I82" s="3">
        <v>45516</v>
      </c>
      <c r="J82" s="6">
        <v>451892687.40000004</v>
      </c>
      <c r="K82" t="str">
        <f ca="1">IF($I82=业绩披露日期!D$7,ROW(),"")</f>
        <v/>
      </c>
      <c r="L82" t="str">
        <f>IF($I82=业绩披露日期!E$7,ROW(),"")</f>
        <v/>
      </c>
      <c r="M82" t="str">
        <f>IF($I82=业绩披露日期!F$7,ROW(),"")</f>
        <v/>
      </c>
      <c r="N82" t="str">
        <f>IF($I82=业绩披露日期!G$7,ROW(),"")</f>
        <v/>
      </c>
      <c r="O82" t="str">
        <f>IF($I82=业绩披露日期!H$7,ROW(),"")</f>
        <v/>
      </c>
      <c r="P82" t="str">
        <f>IF($I82=业绩披露日期!I$7,ROW(),"")</f>
        <v/>
      </c>
    </row>
    <row r="83" spans="1:16" x14ac:dyDescent="0.35">
      <c r="A83" s="23">
        <f t="shared" ca="1" si="6"/>
        <v>0</v>
      </c>
      <c r="B83" s="23">
        <f t="shared" si="7"/>
        <v>0</v>
      </c>
      <c r="C83" s="23">
        <f t="shared" si="8"/>
        <v>0</v>
      </c>
      <c r="D83" s="23">
        <f t="shared" si="9"/>
        <v>0</v>
      </c>
      <c r="E83" s="23">
        <f t="shared" si="10"/>
        <v>0</v>
      </c>
      <c r="F83" s="23">
        <f t="shared" si="10"/>
        <v>0</v>
      </c>
      <c r="G83" s="2" t="str">
        <f>IF('证券列表 '!B86="","",'证券列表 '!B86)</f>
        <v>DADA.O</v>
      </c>
      <c r="H83" s="2" t="s">
        <v>165</v>
      </c>
      <c r="I83" s="3">
        <v>45524</v>
      </c>
      <c r="J83" s="6">
        <v>293635245.82500005</v>
      </c>
      <c r="K83" t="str">
        <f ca="1">IF($I83=业绩披露日期!D$7,ROW(),"")</f>
        <v/>
      </c>
      <c r="L83" t="str">
        <f>IF($I83=业绩披露日期!E$7,ROW(),"")</f>
        <v/>
      </c>
      <c r="M83" t="str">
        <f>IF($I83=业绩披露日期!F$7,ROW(),"")</f>
        <v/>
      </c>
      <c r="N83" t="str">
        <f>IF($I83=业绩披露日期!G$7,ROW(),"")</f>
        <v/>
      </c>
      <c r="O83" t="str">
        <f>IF($I83=业绩披露日期!H$7,ROW(),"")</f>
        <v/>
      </c>
      <c r="P83" t="str">
        <f>IF($I83=业绩披露日期!I$7,ROW(),"")</f>
        <v/>
      </c>
    </row>
    <row r="84" spans="1:16" x14ac:dyDescent="0.35">
      <c r="A84" s="23">
        <f t="shared" ca="1" si="6"/>
        <v>0</v>
      </c>
      <c r="B84" s="23">
        <f t="shared" si="7"/>
        <v>0</v>
      </c>
      <c r="C84" s="23">
        <f t="shared" si="8"/>
        <v>0</v>
      </c>
      <c r="D84" s="23">
        <f t="shared" si="9"/>
        <v>0</v>
      </c>
      <c r="E84" s="23">
        <f t="shared" si="10"/>
        <v>0</v>
      </c>
      <c r="F84" s="23">
        <f t="shared" si="10"/>
        <v>0</v>
      </c>
      <c r="G84" s="2" t="str">
        <f>IF('证券列表 '!B87="","",'证券列表 '!B87)</f>
        <v>DAO.N</v>
      </c>
      <c r="H84" s="2" t="s">
        <v>167</v>
      </c>
      <c r="I84" s="3">
        <v>45526</v>
      </c>
      <c r="J84" s="6">
        <v>383655810.24000001</v>
      </c>
      <c r="K84" t="str">
        <f ca="1">IF($I84=业绩披露日期!D$7,ROW(),"")</f>
        <v/>
      </c>
      <c r="L84" t="str">
        <f>IF($I84=业绩披露日期!E$7,ROW(),"")</f>
        <v/>
      </c>
      <c r="M84" t="str">
        <f>IF($I84=业绩披露日期!F$7,ROW(),"")</f>
        <v/>
      </c>
      <c r="N84" t="str">
        <f>IF($I84=业绩披露日期!G$7,ROW(),"")</f>
        <v/>
      </c>
      <c r="O84" t="str">
        <f>IF($I84=业绩披露日期!H$7,ROW(),"")</f>
        <v/>
      </c>
      <c r="P84" t="str">
        <f>IF($I84=业绩披露日期!I$7,ROW(),"")</f>
        <v/>
      </c>
    </row>
    <row r="85" spans="1:16" x14ac:dyDescent="0.35">
      <c r="A85" s="23">
        <f t="shared" ca="1" si="6"/>
        <v>0</v>
      </c>
      <c r="B85" s="23">
        <f t="shared" si="7"/>
        <v>0</v>
      </c>
      <c r="C85" s="23">
        <f t="shared" si="8"/>
        <v>0</v>
      </c>
      <c r="D85" s="23">
        <f t="shared" si="9"/>
        <v>0</v>
      </c>
      <c r="E85" s="23">
        <f t="shared" si="10"/>
        <v>0</v>
      </c>
      <c r="F85" s="23">
        <f t="shared" si="10"/>
        <v>0</v>
      </c>
      <c r="G85" s="2" t="str">
        <f>IF('证券列表 '!B88="","",'证券列表 '!B88)</f>
        <v>DDC.A</v>
      </c>
      <c r="H85" s="2" t="s">
        <v>169</v>
      </c>
      <c r="I85" s="3"/>
      <c r="J85" s="6">
        <v>9261332.6524</v>
      </c>
      <c r="K85" t="str">
        <f ca="1">IF($I85=业绩披露日期!D$7,ROW(),"")</f>
        <v/>
      </c>
      <c r="L85" t="str">
        <f>IF($I85=业绩披露日期!E$7,ROW(),"")</f>
        <v/>
      </c>
      <c r="M85" t="str">
        <f>IF($I85=业绩披露日期!F$7,ROW(),"")</f>
        <v/>
      </c>
      <c r="N85" t="str">
        <f>IF($I85=业绩披露日期!G$7,ROW(),"")</f>
        <v/>
      </c>
      <c r="O85" t="str">
        <f>IF($I85=业绩披露日期!H$7,ROW(),"")</f>
        <v/>
      </c>
      <c r="P85" t="str">
        <f>IF($I85=业绩披露日期!I$7,ROW(),"")</f>
        <v/>
      </c>
    </row>
    <row r="86" spans="1:16" x14ac:dyDescent="0.35">
      <c r="A86" s="23">
        <f t="shared" ca="1" si="6"/>
        <v>0</v>
      </c>
      <c r="B86" s="23">
        <f t="shared" si="7"/>
        <v>0</v>
      </c>
      <c r="C86" s="23">
        <f t="shared" si="8"/>
        <v>0</v>
      </c>
      <c r="D86" s="23">
        <f t="shared" si="9"/>
        <v>0</v>
      </c>
      <c r="E86" s="23">
        <f t="shared" si="10"/>
        <v>0</v>
      </c>
      <c r="F86" s="23">
        <f t="shared" si="10"/>
        <v>0</v>
      </c>
      <c r="G86" s="2" t="str">
        <f>IF('证券列表 '!B89="","",'证券列表 '!B89)</f>
        <v>DDL.N</v>
      </c>
      <c r="H86" s="2" t="s">
        <v>171</v>
      </c>
      <c r="I86" s="3">
        <v>45511</v>
      </c>
      <c r="J86" s="6">
        <v>510251800.32000005</v>
      </c>
      <c r="K86" t="str">
        <f ca="1">IF($I86=业绩披露日期!D$7,ROW(),"")</f>
        <v/>
      </c>
      <c r="L86" t="str">
        <f>IF($I86=业绩披露日期!E$7,ROW(),"")</f>
        <v/>
      </c>
      <c r="M86" t="str">
        <f>IF($I86=业绩披露日期!F$7,ROW(),"")</f>
        <v/>
      </c>
      <c r="N86" t="str">
        <f>IF($I86=业绩披露日期!G$7,ROW(),"")</f>
        <v/>
      </c>
      <c r="O86" t="str">
        <f>IF($I86=业绩披露日期!H$7,ROW(),"")</f>
        <v/>
      </c>
      <c r="P86" t="str">
        <f>IF($I86=业绩披露日期!I$7,ROW(),"")</f>
        <v/>
      </c>
    </row>
    <row r="87" spans="1:16" x14ac:dyDescent="0.35">
      <c r="A87" s="23">
        <f t="shared" ca="1" si="6"/>
        <v>0</v>
      </c>
      <c r="B87" s="23">
        <f t="shared" si="7"/>
        <v>0</v>
      </c>
      <c r="C87" s="23">
        <f t="shared" si="8"/>
        <v>0</v>
      </c>
      <c r="D87" s="23">
        <f t="shared" si="9"/>
        <v>0</v>
      </c>
      <c r="E87" s="23">
        <f t="shared" si="10"/>
        <v>0</v>
      </c>
      <c r="F87" s="23">
        <f t="shared" si="10"/>
        <v>0</v>
      </c>
      <c r="G87" s="2" t="str">
        <f>IF('证券列表 '!B90="","",'证券列表 '!B90)</f>
        <v>DOGZ.O</v>
      </c>
      <c r="H87" s="2" t="s">
        <v>173</v>
      </c>
      <c r="I87" s="3"/>
      <c r="J87" s="6">
        <v>272252620.92000002</v>
      </c>
      <c r="K87" t="str">
        <f ca="1">IF($I87=业绩披露日期!D$7,ROW(),"")</f>
        <v/>
      </c>
      <c r="L87" t="str">
        <f>IF($I87=业绩披露日期!E$7,ROW(),"")</f>
        <v/>
      </c>
      <c r="M87" t="str">
        <f>IF($I87=业绩披露日期!F$7,ROW(),"")</f>
        <v/>
      </c>
      <c r="N87" t="str">
        <f>IF($I87=业绩披露日期!G$7,ROW(),"")</f>
        <v/>
      </c>
      <c r="O87" t="str">
        <f>IF($I87=业绩披露日期!H$7,ROW(),"")</f>
        <v/>
      </c>
      <c r="P87" t="str">
        <f>IF($I87=业绩披露日期!I$7,ROW(),"")</f>
        <v/>
      </c>
    </row>
    <row r="88" spans="1:16" x14ac:dyDescent="0.35">
      <c r="A88" s="23">
        <f t="shared" ca="1" si="6"/>
        <v>0</v>
      </c>
      <c r="B88" s="23">
        <f t="shared" si="7"/>
        <v>0</v>
      </c>
      <c r="C88" s="23">
        <f t="shared" si="8"/>
        <v>0</v>
      </c>
      <c r="D88" s="23">
        <f t="shared" si="9"/>
        <v>1</v>
      </c>
      <c r="E88" s="23">
        <f t="shared" si="10"/>
        <v>0</v>
      </c>
      <c r="F88" s="23">
        <f t="shared" si="10"/>
        <v>0</v>
      </c>
      <c r="G88" s="2" t="str">
        <f>IF('证券列表 '!B91="","",'证券列表 '!B91)</f>
        <v>DOYU.O</v>
      </c>
      <c r="H88" s="2" t="s">
        <v>175</v>
      </c>
      <c r="I88" s="3">
        <v>45537</v>
      </c>
      <c r="J88" s="6">
        <v>588105320.65999997</v>
      </c>
      <c r="K88" t="str">
        <f ca="1">IF($I88=业绩披露日期!D$7,ROW(),"")</f>
        <v/>
      </c>
      <c r="L88" t="str">
        <f>IF($I88=业绩披露日期!E$7,ROW(),"")</f>
        <v/>
      </c>
      <c r="M88" t="str">
        <f>IF($I88=业绩披露日期!F$7,ROW(),"")</f>
        <v/>
      </c>
      <c r="N88">
        <f>IF($I88=业绩披露日期!G$7,ROW(),"")</f>
        <v>88</v>
      </c>
      <c r="O88" t="str">
        <f>IF($I88=业绩披露日期!H$7,ROW(),"")</f>
        <v/>
      </c>
      <c r="P88" t="str">
        <f>IF($I88=业绩披露日期!I$7,ROW(),"")</f>
        <v/>
      </c>
    </row>
    <row r="89" spans="1:16" x14ac:dyDescent="0.35">
      <c r="A89" s="23">
        <f t="shared" ca="1" si="6"/>
        <v>0</v>
      </c>
      <c r="B89" s="23">
        <f t="shared" si="7"/>
        <v>0</v>
      </c>
      <c r="C89" s="23">
        <f t="shared" si="8"/>
        <v>0</v>
      </c>
      <c r="D89" s="23">
        <f t="shared" si="9"/>
        <v>0</v>
      </c>
      <c r="E89" s="23">
        <f t="shared" si="10"/>
        <v>0</v>
      </c>
      <c r="F89" s="23">
        <f t="shared" si="10"/>
        <v>0</v>
      </c>
      <c r="G89" s="2" t="str">
        <f>IF('证券列表 '!B92="","",'证券列表 '!B92)</f>
        <v>DQ.N</v>
      </c>
      <c r="H89" s="2" t="s">
        <v>177</v>
      </c>
      <c r="I89" s="3">
        <v>45530</v>
      </c>
      <c r="J89" s="6">
        <v>961068492.38399994</v>
      </c>
      <c r="K89" t="str">
        <f ca="1">IF($I89=业绩披露日期!D$7,ROW(),"")</f>
        <v/>
      </c>
      <c r="L89" t="str">
        <f>IF($I89=业绩披露日期!E$7,ROW(),"")</f>
        <v/>
      </c>
      <c r="M89" t="str">
        <f>IF($I89=业绩披露日期!F$7,ROW(),"")</f>
        <v/>
      </c>
      <c r="N89" t="str">
        <f>IF($I89=业绩披露日期!G$7,ROW(),"")</f>
        <v/>
      </c>
      <c r="O89" t="str">
        <f>IF($I89=业绩披露日期!H$7,ROW(),"")</f>
        <v/>
      </c>
      <c r="P89" t="str">
        <f>IF($I89=业绩披露日期!I$7,ROW(),"")</f>
        <v/>
      </c>
    </row>
    <row r="90" spans="1:16" x14ac:dyDescent="0.35">
      <c r="A90" s="23">
        <f t="shared" ca="1" si="6"/>
        <v>0</v>
      </c>
      <c r="B90" s="23">
        <f t="shared" si="7"/>
        <v>0</v>
      </c>
      <c r="C90" s="23">
        <f t="shared" si="8"/>
        <v>0</v>
      </c>
      <c r="D90" s="23">
        <f t="shared" si="9"/>
        <v>0</v>
      </c>
      <c r="E90" s="23">
        <f t="shared" si="10"/>
        <v>0</v>
      </c>
      <c r="F90" s="23">
        <f t="shared" si="10"/>
        <v>0</v>
      </c>
      <c r="G90" s="2" t="str">
        <f>IF('证券列表 '!B93="","",'证券列表 '!B93)</f>
        <v>DSWL.O</v>
      </c>
      <c r="H90" s="2" t="s">
        <v>179</v>
      </c>
      <c r="I90" s="3"/>
      <c r="J90" s="6">
        <v>38403925.990000002</v>
      </c>
      <c r="K90" t="str">
        <f ca="1">IF($I90=业绩披露日期!D$7,ROW(),"")</f>
        <v/>
      </c>
      <c r="L90" t="str">
        <f>IF($I90=业绩披露日期!E$7,ROW(),"")</f>
        <v/>
      </c>
      <c r="M90" t="str">
        <f>IF($I90=业绩披露日期!F$7,ROW(),"")</f>
        <v/>
      </c>
      <c r="N90" t="str">
        <f>IF($I90=业绩披露日期!G$7,ROW(),"")</f>
        <v/>
      </c>
      <c r="O90" t="str">
        <f>IF($I90=业绩披露日期!H$7,ROW(),"")</f>
        <v/>
      </c>
      <c r="P90" t="str">
        <f>IF($I90=业绩披露日期!I$7,ROW(),"")</f>
        <v/>
      </c>
    </row>
    <row r="91" spans="1:16" x14ac:dyDescent="0.35">
      <c r="A91" s="23">
        <f t="shared" ca="1" si="6"/>
        <v>0</v>
      </c>
      <c r="B91" s="23">
        <f t="shared" si="7"/>
        <v>0</v>
      </c>
      <c r="C91" s="23">
        <f t="shared" si="8"/>
        <v>0</v>
      </c>
      <c r="D91" s="23">
        <f t="shared" si="9"/>
        <v>0</v>
      </c>
      <c r="E91" s="23">
        <f t="shared" si="10"/>
        <v>0</v>
      </c>
      <c r="F91" s="23">
        <f t="shared" si="10"/>
        <v>0</v>
      </c>
      <c r="G91" s="2" t="str">
        <f>IF('证券列表 '!B94="","",'证券列表 '!B94)</f>
        <v>DSY.O</v>
      </c>
      <c r="H91" s="2" t="s">
        <v>181</v>
      </c>
      <c r="I91" s="3"/>
      <c r="J91" s="6">
        <v>281407091.77999997</v>
      </c>
      <c r="K91" t="str">
        <f ca="1">IF($I91=业绩披露日期!D$7,ROW(),"")</f>
        <v/>
      </c>
      <c r="L91" t="str">
        <f>IF($I91=业绩披露日期!E$7,ROW(),"")</f>
        <v/>
      </c>
      <c r="M91" t="str">
        <f>IF($I91=业绩披露日期!F$7,ROW(),"")</f>
        <v/>
      </c>
      <c r="N91" t="str">
        <f>IF($I91=业绩披露日期!G$7,ROW(),"")</f>
        <v/>
      </c>
      <c r="O91" t="str">
        <f>IF($I91=业绩披露日期!H$7,ROW(),"")</f>
        <v/>
      </c>
      <c r="P91" t="str">
        <f>IF($I91=业绩披露日期!I$7,ROW(),"")</f>
        <v/>
      </c>
    </row>
    <row r="92" spans="1:16" x14ac:dyDescent="0.35">
      <c r="A92" s="23">
        <f t="shared" ca="1" si="6"/>
        <v>0</v>
      </c>
      <c r="B92" s="23">
        <f t="shared" si="7"/>
        <v>0</v>
      </c>
      <c r="C92" s="23">
        <f t="shared" si="8"/>
        <v>0</v>
      </c>
      <c r="D92" s="23">
        <f t="shared" si="9"/>
        <v>0</v>
      </c>
      <c r="E92" s="23">
        <f t="shared" si="10"/>
        <v>0</v>
      </c>
      <c r="F92" s="23">
        <f t="shared" si="10"/>
        <v>0</v>
      </c>
      <c r="G92" s="2" t="str">
        <f>IF('证券列表 '!B95="","",'证券列表 '!B95)</f>
        <v>DTSS.O</v>
      </c>
      <c r="H92" s="2" t="s">
        <v>183</v>
      </c>
      <c r="I92" s="3"/>
      <c r="J92" s="6">
        <v>6268785.1999999993</v>
      </c>
      <c r="K92" t="str">
        <f ca="1">IF($I92=业绩披露日期!D$7,ROW(),"")</f>
        <v/>
      </c>
      <c r="L92" t="str">
        <f>IF($I92=业绩披露日期!E$7,ROW(),"")</f>
        <v/>
      </c>
      <c r="M92" t="str">
        <f>IF($I92=业绩披露日期!F$7,ROW(),"")</f>
        <v/>
      </c>
      <c r="N92" t="str">
        <f>IF($I92=业绩披露日期!G$7,ROW(),"")</f>
        <v/>
      </c>
      <c r="O92" t="str">
        <f>IF($I92=业绩披露日期!H$7,ROW(),"")</f>
        <v/>
      </c>
      <c r="P92" t="str">
        <f>IF($I92=业绩披露日期!I$7,ROW(),"")</f>
        <v/>
      </c>
    </row>
    <row r="93" spans="1:16" x14ac:dyDescent="0.35">
      <c r="A93" s="23">
        <f t="shared" ca="1" si="6"/>
        <v>0</v>
      </c>
      <c r="B93" s="23">
        <f t="shared" si="7"/>
        <v>0</v>
      </c>
      <c r="C93" s="23">
        <f t="shared" si="8"/>
        <v>0</v>
      </c>
      <c r="D93" s="23">
        <f t="shared" si="9"/>
        <v>0</v>
      </c>
      <c r="E93" s="23">
        <f t="shared" si="10"/>
        <v>0</v>
      </c>
      <c r="F93" s="23">
        <f t="shared" si="10"/>
        <v>0</v>
      </c>
      <c r="G93" s="2" t="str">
        <f>IF('证券列表 '!B96="","",'证券列表 '!B96)</f>
        <v>DUO.O</v>
      </c>
      <c r="H93" s="2" t="s">
        <v>185</v>
      </c>
      <c r="I93" s="3"/>
      <c r="J93" s="6">
        <v>2798469.3389809779</v>
      </c>
      <c r="K93" t="str">
        <f ca="1">IF($I93=业绩披露日期!D$7,ROW(),"")</f>
        <v/>
      </c>
      <c r="L93" t="str">
        <f>IF($I93=业绩披露日期!E$7,ROW(),"")</f>
        <v/>
      </c>
      <c r="M93" t="str">
        <f>IF($I93=业绩披露日期!F$7,ROW(),"")</f>
        <v/>
      </c>
      <c r="N93" t="str">
        <f>IF($I93=业绩披露日期!G$7,ROW(),"")</f>
        <v/>
      </c>
      <c r="O93" t="str">
        <f>IF($I93=业绩披露日期!H$7,ROW(),"")</f>
        <v/>
      </c>
      <c r="P93" t="str">
        <f>IF($I93=业绩披露日期!I$7,ROW(),"")</f>
        <v/>
      </c>
    </row>
    <row r="94" spans="1:16" x14ac:dyDescent="0.35">
      <c r="A94" s="23">
        <f t="shared" ca="1" si="6"/>
        <v>0</v>
      </c>
      <c r="B94" s="23">
        <f t="shared" si="7"/>
        <v>0</v>
      </c>
      <c r="C94" s="23">
        <f t="shared" si="8"/>
        <v>0</v>
      </c>
      <c r="D94" s="23">
        <f t="shared" si="9"/>
        <v>0</v>
      </c>
      <c r="E94" s="23">
        <f t="shared" si="10"/>
        <v>0</v>
      </c>
      <c r="F94" s="23">
        <f t="shared" si="10"/>
        <v>0</v>
      </c>
      <c r="G94" s="2" t="str">
        <f>IF('证券列表 '!B97="","",'证券列表 '!B97)</f>
        <v>DXF.A</v>
      </c>
      <c r="H94" s="2" t="s">
        <v>187</v>
      </c>
      <c r="I94" s="3"/>
      <c r="J94" s="6">
        <v>3609592.6211583335</v>
      </c>
      <c r="K94" t="str">
        <f ca="1">IF($I94=业绩披露日期!D$7,ROW(),"")</f>
        <v/>
      </c>
      <c r="L94" t="str">
        <f>IF($I94=业绩披露日期!E$7,ROW(),"")</f>
        <v/>
      </c>
      <c r="M94" t="str">
        <f>IF($I94=业绩披露日期!F$7,ROW(),"")</f>
        <v/>
      </c>
      <c r="N94" t="str">
        <f>IF($I94=业绩披露日期!G$7,ROW(),"")</f>
        <v/>
      </c>
      <c r="O94" t="str">
        <f>IF($I94=业绩披露日期!H$7,ROW(),"")</f>
        <v/>
      </c>
      <c r="P94" t="str">
        <f>IF($I94=业绩披露日期!I$7,ROW(),"")</f>
        <v/>
      </c>
    </row>
    <row r="95" spans="1:16" x14ac:dyDescent="0.35">
      <c r="A95" s="23">
        <f t="shared" ca="1" si="6"/>
        <v>0</v>
      </c>
      <c r="B95" s="23">
        <f t="shared" si="7"/>
        <v>0</v>
      </c>
      <c r="C95" s="23">
        <f t="shared" si="8"/>
        <v>0</v>
      </c>
      <c r="D95" s="23">
        <f t="shared" si="9"/>
        <v>0</v>
      </c>
      <c r="E95" s="23">
        <f t="shared" si="10"/>
        <v>0</v>
      </c>
      <c r="F95" s="23">
        <f t="shared" si="10"/>
        <v>0</v>
      </c>
      <c r="G95" s="2" t="str">
        <f>IF('证券列表 '!B98="","",'证券列表 '!B98)</f>
        <v>EBON.O</v>
      </c>
      <c r="H95" s="2" t="s">
        <v>189</v>
      </c>
      <c r="I95" s="3"/>
      <c r="J95" s="6">
        <v>35476587.039999999</v>
      </c>
      <c r="K95" t="str">
        <f ca="1">IF($I95=业绩披露日期!D$7,ROW(),"")</f>
        <v/>
      </c>
      <c r="L95" t="str">
        <f>IF($I95=业绩披露日期!E$7,ROW(),"")</f>
        <v/>
      </c>
      <c r="M95" t="str">
        <f>IF($I95=业绩披露日期!F$7,ROW(),"")</f>
        <v/>
      </c>
      <c r="N95" t="str">
        <f>IF($I95=业绩披露日期!G$7,ROW(),"")</f>
        <v/>
      </c>
      <c r="O95" t="str">
        <f>IF($I95=业绩披露日期!H$7,ROW(),"")</f>
        <v/>
      </c>
      <c r="P95" t="str">
        <f>IF($I95=业绩披露日期!I$7,ROW(),"")</f>
        <v/>
      </c>
    </row>
    <row r="96" spans="1:16" x14ac:dyDescent="0.35">
      <c r="A96" s="23">
        <f t="shared" ca="1" si="6"/>
        <v>0</v>
      </c>
      <c r="B96" s="23">
        <f t="shared" si="7"/>
        <v>0</v>
      </c>
      <c r="C96" s="23">
        <f t="shared" si="8"/>
        <v>0</v>
      </c>
      <c r="D96" s="23">
        <f t="shared" si="9"/>
        <v>0</v>
      </c>
      <c r="E96" s="23">
        <f t="shared" si="10"/>
        <v>0</v>
      </c>
      <c r="F96" s="23">
        <f t="shared" si="10"/>
        <v>0</v>
      </c>
      <c r="G96" s="2" t="str">
        <f>IF('证券列表 '!B99="","",'证券列表 '!B99)</f>
        <v>ECX.O</v>
      </c>
      <c r="H96" s="2" t="s">
        <v>191</v>
      </c>
      <c r="I96" s="3">
        <v>45512</v>
      </c>
      <c r="J96" s="6">
        <v>601759642.70000005</v>
      </c>
      <c r="K96" t="str">
        <f ca="1">IF($I96=业绩披露日期!D$7,ROW(),"")</f>
        <v/>
      </c>
      <c r="L96" t="str">
        <f>IF($I96=业绩披露日期!E$7,ROW(),"")</f>
        <v/>
      </c>
      <c r="M96" t="str">
        <f>IF($I96=业绩披露日期!F$7,ROW(),"")</f>
        <v/>
      </c>
      <c r="N96" t="str">
        <f>IF($I96=业绩披露日期!G$7,ROW(),"")</f>
        <v/>
      </c>
      <c r="O96" t="str">
        <f>IF($I96=业绩披露日期!H$7,ROW(),"")</f>
        <v/>
      </c>
      <c r="P96" t="str">
        <f>IF($I96=业绩披露日期!I$7,ROW(),"")</f>
        <v/>
      </c>
    </row>
    <row r="97" spans="1:16" x14ac:dyDescent="0.35">
      <c r="A97" s="23">
        <f t="shared" ca="1" si="6"/>
        <v>0</v>
      </c>
      <c r="B97" s="23">
        <f t="shared" si="7"/>
        <v>0</v>
      </c>
      <c r="C97" s="23">
        <f t="shared" si="8"/>
        <v>0</v>
      </c>
      <c r="D97" s="23">
        <f t="shared" si="9"/>
        <v>0</v>
      </c>
      <c r="E97" s="23">
        <f t="shared" si="10"/>
        <v>0</v>
      </c>
      <c r="F97" s="23">
        <f t="shared" si="10"/>
        <v>0</v>
      </c>
      <c r="G97" s="2" t="str">
        <f>IF('证券列表 '!B100="","",'证券列表 '!B100)</f>
        <v>EDTK.O</v>
      </c>
      <c r="H97" s="2" t="s">
        <v>193</v>
      </c>
      <c r="I97" s="3"/>
      <c r="J97" s="6">
        <v>17522396.100000001</v>
      </c>
      <c r="K97" t="str">
        <f ca="1">IF($I97=业绩披露日期!D$7,ROW(),"")</f>
        <v/>
      </c>
      <c r="L97" t="str">
        <f>IF($I97=业绩披露日期!E$7,ROW(),"")</f>
        <v/>
      </c>
      <c r="M97" t="str">
        <f>IF($I97=业绩披露日期!F$7,ROW(),"")</f>
        <v/>
      </c>
      <c r="N97" t="str">
        <f>IF($I97=业绩披露日期!G$7,ROW(),"")</f>
        <v/>
      </c>
      <c r="O97" t="str">
        <f>IF($I97=业绩披露日期!H$7,ROW(),"")</f>
        <v/>
      </c>
      <c r="P97" t="str">
        <f>IF($I97=业绩披露日期!I$7,ROW(),"")</f>
        <v/>
      </c>
    </row>
    <row r="98" spans="1:16" x14ac:dyDescent="0.35">
      <c r="A98" s="23">
        <f t="shared" ca="1" si="6"/>
        <v>0</v>
      </c>
      <c r="B98" s="23">
        <f t="shared" si="7"/>
        <v>0</v>
      </c>
      <c r="C98" s="23">
        <f t="shared" si="8"/>
        <v>0</v>
      </c>
      <c r="D98" s="23">
        <f t="shared" si="9"/>
        <v>0</v>
      </c>
      <c r="E98" s="23">
        <f t="shared" si="10"/>
        <v>0</v>
      </c>
      <c r="F98" s="23">
        <f t="shared" si="10"/>
        <v>0</v>
      </c>
      <c r="G98" s="2" t="str">
        <f>IF('证券列表 '!B101="","",'证券列表 '!B101)</f>
        <v>EDU.N</v>
      </c>
      <c r="H98" s="2" t="s">
        <v>195</v>
      </c>
      <c r="I98" s="3">
        <v>45314</v>
      </c>
      <c r="J98" s="6">
        <v>10144497496.207918</v>
      </c>
      <c r="K98" t="str">
        <f ca="1">IF($I98=业绩披露日期!D$7,ROW(),"")</f>
        <v/>
      </c>
      <c r="L98" t="str">
        <f>IF($I98=业绩披露日期!E$7,ROW(),"")</f>
        <v/>
      </c>
      <c r="M98" t="str">
        <f>IF($I98=业绩披露日期!F$7,ROW(),"")</f>
        <v/>
      </c>
      <c r="N98" t="str">
        <f>IF($I98=业绩披露日期!G$7,ROW(),"")</f>
        <v/>
      </c>
      <c r="O98" t="str">
        <f>IF($I98=业绩披露日期!H$7,ROW(),"")</f>
        <v/>
      </c>
      <c r="P98" t="str">
        <f>IF($I98=业绩披露日期!I$7,ROW(),"")</f>
        <v/>
      </c>
    </row>
    <row r="99" spans="1:16" x14ac:dyDescent="0.35">
      <c r="A99" s="23">
        <f t="shared" ca="1" si="6"/>
        <v>0</v>
      </c>
      <c r="B99" s="23">
        <f t="shared" si="7"/>
        <v>0</v>
      </c>
      <c r="C99" s="23">
        <f t="shared" si="8"/>
        <v>0</v>
      </c>
      <c r="D99" s="23">
        <f t="shared" si="9"/>
        <v>0</v>
      </c>
      <c r="E99" s="23">
        <f t="shared" si="10"/>
        <v>0</v>
      </c>
      <c r="F99" s="23">
        <f t="shared" si="10"/>
        <v>0</v>
      </c>
      <c r="G99" s="2" t="str">
        <f>IF('证券列表 '!B102="","",'证券列表 '!B102)</f>
        <v>EH.O</v>
      </c>
      <c r="H99" s="2" t="s">
        <v>197</v>
      </c>
      <c r="I99" s="3">
        <v>45526</v>
      </c>
      <c r="J99" s="6">
        <v>935540500.16000009</v>
      </c>
      <c r="K99" t="str">
        <f ca="1">IF($I99=业绩披露日期!D$7,ROW(),"")</f>
        <v/>
      </c>
      <c r="L99" t="str">
        <f>IF($I99=业绩披露日期!E$7,ROW(),"")</f>
        <v/>
      </c>
      <c r="M99" t="str">
        <f>IF($I99=业绩披露日期!F$7,ROW(),"")</f>
        <v/>
      </c>
      <c r="N99" t="str">
        <f>IF($I99=业绩披露日期!G$7,ROW(),"")</f>
        <v/>
      </c>
      <c r="O99" t="str">
        <f>IF($I99=业绩披露日期!H$7,ROW(),"")</f>
        <v/>
      </c>
      <c r="P99" t="str">
        <f>IF($I99=业绩披露日期!I$7,ROW(),"")</f>
        <v/>
      </c>
    </row>
    <row r="100" spans="1:16" x14ac:dyDescent="0.35">
      <c r="A100" s="23">
        <f t="shared" ca="1" si="6"/>
        <v>0</v>
      </c>
      <c r="B100" s="23">
        <f t="shared" si="7"/>
        <v>0</v>
      </c>
      <c r="C100" s="23">
        <f t="shared" si="8"/>
        <v>0</v>
      </c>
      <c r="D100" s="23">
        <f t="shared" si="9"/>
        <v>0</v>
      </c>
      <c r="E100" s="23">
        <f t="shared" si="10"/>
        <v>0</v>
      </c>
      <c r="F100" s="23">
        <f t="shared" si="10"/>
        <v>0</v>
      </c>
      <c r="G100" s="2" t="str">
        <f>IF('证券列表 '!B103="","",'证券列表 '!B103)</f>
        <v>EHGO.O</v>
      </c>
      <c r="H100" s="2" t="s">
        <v>199</v>
      </c>
      <c r="I100" s="3"/>
      <c r="J100" s="6">
        <v>46947600</v>
      </c>
      <c r="K100" t="str">
        <f ca="1">IF($I100=业绩披露日期!D$7,ROW(),"")</f>
        <v/>
      </c>
      <c r="L100" t="str">
        <f>IF($I100=业绩披露日期!E$7,ROW(),"")</f>
        <v/>
      </c>
      <c r="M100" t="str">
        <f>IF($I100=业绩披露日期!F$7,ROW(),"")</f>
        <v/>
      </c>
      <c r="N100" t="str">
        <f>IF($I100=业绩披露日期!G$7,ROW(),"")</f>
        <v/>
      </c>
      <c r="O100" t="str">
        <f>IF($I100=业绩披露日期!H$7,ROW(),"")</f>
        <v/>
      </c>
      <c r="P100" t="str">
        <f>IF($I100=业绩披露日期!I$7,ROW(),"")</f>
        <v/>
      </c>
    </row>
    <row r="101" spans="1:16" x14ac:dyDescent="0.35">
      <c r="A101" s="23">
        <f t="shared" ca="1" si="6"/>
        <v>0</v>
      </c>
      <c r="B101" s="23">
        <f t="shared" si="7"/>
        <v>0</v>
      </c>
      <c r="C101" s="23">
        <f t="shared" si="8"/>
        <v>0</v>
      </c>
      <c r="D101" s="23">
        <f t="shared" si="9"/>
        <v>0</v>
      </c>
      <c r="E101" s="23">
        <f t="shared" si="10"/>
        <v>0</v>
      </c>
      <c r="F101" s="23">
        <f t="shared" si="10"/>
        <v>0</v>
      </c>
      <c r="G101" s="2" t="str">
        <f>IF('证券列表 '!B104="","",'证券列表 '!B104)</f>
        <v>EJH.O</v>
      </c>
      <c r="H101" s="2" t="s">
        <v>201</v>
      </c>
      <c r="I101" s="3"/>
      <c r="J101" s="6">
        <v>7997524.1424000002</v>
      </c>
      <c r="K101" t="str">
        <f ca="1">IF($I101=业绩披露日期!D$7,ROW(),"")</f>
        <v/>
      </c>
      <c r="L101" t="str">
        <f>IF($I101=业绩披露日期!E$7,ROW(),"")</f>
        <v/>
      </c>
      <c r="M101" t="str">
        <f>IF($I101=业绩披露日期!F$7,ROW(),"")</f>
        <v/>
      </c>
      <c r="N101" t="str">
        <f>IF($I101=业绩披露日期!G$7,ROW(),"")</f>
        <v/>
      </c>
      <c r="O101" t="str">
        <f>IF($I101=业绩披露日期!H$7,ROW(),"")</f>
        <v/>
      </c>
      <c r="P101" t="str">
        <f>IF($I101=业绩披露日期!I$7,ROW(),"")</f>
        <v/>
      </c>
    </row>
    <row r="102" spans="1:16" x14ac:dyDescent="0.35">
      <c r="A102" s="23">
        <f t="shared" ca="1" si="6"/>
        <v>0</v>
      </c>
      <c r="B102" s="23">
        <f t="shared" si="7"/>
        <v>0</v>
      </c>
      <c r="C102" s="23">
        <f t="shared" si="8"/>
        <v>0</v>
      </c>
      <c r="D102" s="23">
        <f t="shared" si="9"/>
        <v>0</v>
      </c>
      <c r="E102" s="23">
        <f t="shared" si="10"/>
        <v>0</v>
      </c>
      <c r="F102" s="23">
        <f t="shared" si="10"/>
        <v>0</v>
      </c>
      <c r="G102" s="2" t="str">
        <f>IF('证券列表 '!B105="","",'证券列表 '!B105)</f>
        <v>EM.O</v>
      </c>
      <c r="H102" s="2" t="s">
        <v>203</v>
      </c>
      <c r="I102" s="3">
        <v>45526</v>
      </c>
      <c r="J102" s="6">
        <v>160464883.32325003</v>
      </c>
      <c r="K102" t="str">
        <f ca="1">IF($I102=业绩披露日期!D$7,ROW(),"")</f>
        <v/>
      </c>
      <c r="L102" t="str">
        <f>IF($I102=业绩披露日期!E$7,ROW(),"")</f>
        <v/>
      </c>
      <c r="M102" t="str">
        <f>IF($I102=业绩披露日期!F$7,ROW(),"")</f>
        <v/>
      </c>
      <c r="N102" t="str">
        <f>IF($I102=业绩披露日期!G$7,ROW(),"")</f>
        <v/>
      </c>
      <c r="O102" t="str">
        <f>IF($I102=业绩披露日期!H$7,ROW(),"")</f>
        <v/>
      </c>
      <c r="P102" t="str">
        <f>IF($I102=业绩披露日期!I$7,ROW(),"")</f>
        <v/>
      </c>
    </row>
    <row r="103" spans="1:16" x14ac:dyDescent="0.35">
      <c r="A103" s="23">
        <f t="shared" ca="1" si="6"/>
        <v>0</v>
      </c>
      <c r="B103" s="23">
        <f t="shared" si="7"/>
        <v>0</v>
      </c>
      <c r="C103" s="23">
        <f t="shared" si="8"/>
        <v>0</v>
      </c>
      <c r="D103" s="23">
        <f t="shared" si="9"/>
        <v>0</v>
      </c>
      <c r="E103" s="23">
        <f t="shared" si="10"/>
        <v>0</v>
      </c>
      <c r="F103" s="23">
        <f t="shared" si="10"/>
        <v>0</v>
      </c>
      <c r="G103" s="2" t="str">
        <f>IF('证券列表 '!B106="","",'证券列表 '!B106)</f>
        <v>EPOW.O</v>
      </c>
      <c r="H103" s="2" t="s">
        <v>205</v>
      </c>
      <c r="I103" s="3"/>
      <c r="J103" s="6">
        <v>27187004</v>
      </c>
      <c r="K103" t="str">
        <f ca="1">IF($I103=业绩披露日期!D$7,ROW(),"")</f>
        <v/>
      </c>
      <c r="L103" t="str">
        <f>IF($I103=业绩披露日期!E$7,ROW(),"")</f>
        <v/>
      </c>
      <c r="M103" t="str">
        <f>IF($I103=业绩披露日期!F$7,ROW(),"")</f>
        <v/>
      </c>
      <c r="N103" t="str">
        <f>IF($I103=业绩披露日期!G$7,ROW(),"")</f>
        <v/>
      </c>
      <c r="O103" t="str">
        <f>IF($I103=业绩披露日期!H$7,ROW(),"")</f>
        <v/>
      </c>
      <c r="P103" t="str">
        <f>IF($I103=业绩披露日期!I$7,ROW(),"")</f>
        <v/>
      </c>
    </row>
    <row r="104" spans="1:16" x14ac:dyDescent="0.35">
      <c r="A104" s="23">
        <f t="shared" ca="1" si="6"/>
        <v>0</v>
      </c>
      <c r="B104" s="23">
        <f t="shared" si="7"/>
        <v>0</v>
      </c>
      <c r="C104" s="23">
        <f t="shared" si="8"/>
        <v>0</v>
      </c>
      <c r="D104" s="23">
        <f t="shared" si="9"/>
        <v>0</v>
      </c>
      <c r="E104" s="23">
        <f t="shared" si="10"/>
        <v>0</v>
      </c>
      <c r="F104" s="23">
        <f t="shared" si="10"/>
        <v>0</v>
      </c>
      <c r="G104" s="2" t="str">
        <f>IF('证券列表 '!B107="","",'证券列表 '!B107)</f>
        <v>EZGO.O</v>
      </c>
      <c r="H104" s="2" t="s">
        <v>207</v>
      </c>
      <c r="I104" s="3"/>
      <c r="J104" s="6">
        <v>3237297.92</v>
      </c>
      <c r="K104" t="str">
        <f ca="1">IF($I104=业绩披露日期!D$7,ROW(),"")</f>
        <v/>
      </c>
      <c r="L104" t="str">
        <f>IF($I104=业绩披露日期!E$7,ROW(),"")</f>
        <v/>
      </c>
      <c r="M104" t="str">
        <f>IF($I104=业绩披露日期!F$7,ROW(),"")</f>
        <v/>
      </c>
      <c r="N104" t="str">
        <f>IF($I104=业绩披露日期!G$7,ROW(),"")</f>
        <v/>
      </c>
      <c r="O104" t="str">
        <f>IF($I104=业绩披露日期!H$7,ROW(),"")</f>
        <v/>
      </c>
      <c r="P104" t="str">
        <f>IF($I104=业绩披露日期!I$7,ROW(),"")</f>
        <v/>
      </c>
    </row>
    <row r="105" spans="1:16" x14ac:dyDescent="0.35">
      <c r="A105" s="23">
        <f t="shared" ca="1" si="6"/>
        <v>0</v>
      </c>
      <c r="B105" s="23">
        <f t="shared" si="7"/>
        <v>0</v>
      </c>
      <c r="C105" s="23">
        <f t="shared" si="8"/>
        <v>0</v>
      </c>
      <c r="D105" s="23">
        <f t="shared" si="9"/>
        <v>0</v>
      </c>
      <c r="E105" s="23">
        <f t="shared" si="10"/>
        <v>0</v>
      </c>
      <c r="F105" s="23">
        <f t="shared" si="10"/>
        <v>0</v>
      </c>
      <c r="G105" s="2" t="str">
        <f>IF('证券列表 '!B108="","",'证券列表 '!B108)</f>
        <v>FAMI.O</v>
      </c>
      <c r="H105" s="2" t="s">
        <v>209</v>
      </c>
      <c r="I105" s="3"/>
      <c r="J105" s="6">
        <v>2391017.5767000001</v>
      </c>
      <c r="K105" t="str">
        <f ca="1">IF($I105=业绩披露日期!D$7,ROW(),"")</f>
        <v/>
      </c>
      <c r="L105" t="str">
        <f>IF($I105=业绩披露日期!E$7,ROW(),"")</f>
        <v/>
      </c>
      <c r="M105" t="str">
        <f>IF($I105=业绩披露日期!F$7,ROW(),"")</f>
        <v/>
      </c>
      <c r="N105" t="str">
        <f>IF($I105=业绩披露日期!G$7,ROW(),"")</f>
        <v/>
      </c>
      <c r="O105" t="str">
        <f>IF($I105=业绩披露日期!H$7,ROW(),"")</f>
        <v/>
      </c>
      <c r="P105" t="str">
        <f>IF($I105=业绩披露日期!I$7,ROW(),"")</f>
        <v/>
      </c>
    </row>
    <row r="106" spans="1:16" x14ac:dyDescent="0.35">
      <c r="A106" s="23">
        <f t="shared" ca="1" si="6"/>
        <v>0</v>
      </c>
      <c r="B106" s="23">
        <f t="shared" si="7"/>
        <v>0</v>
      </c>
      <c r="C106" s="23">
        <f t="shared" si="8"/>
        <v>0</v>
      </c>
      <c r="D106" s="23">
        <f t="shared" si="9"/>
        <v>0</v>
      </c>
      <c r="E106" s="23">
        <f t="shared" si="10"/>
        <v>0</v>
      </c>
      <c r="F106" s="23">
        <f t="shared" si="10"/>
        <v>0</v>
      </c>
      <c r="G106" s="2" t="str">
        <f>IF('证券列表 '!B109="","",'证券列表 '!B109)</f>
        <v>FANH.O</v>
      </c>
      <c r="H106" s="2" t="s">
        <v>211</v>
      </c>
      <c r="I106" s="3">
        <v>45553</v>
      </c>
      <c r="J106" s="6">
        <v>74851159.284000009</v>
      </c>
      <c r="K106" t="str">
        <f ca="1">IF($I106=业绩披露日期!D$7,ROW(),"")</f>
        <v/>
      </c>
      <c r="L106" t="str">
        <f>IF($I106=业绩披露日期!E$7,ROW(),"")</f>
        <v/>
      </c>
      <c r="M106" t="str">
        <f>IF($I106=业绩披露日期!F$7,ROW(),"")</f>
        <v/>
      </c>
      <c r="N106" t="str">
        <f>IF($I106=业绩披露日期!G$7,ROW(),"")</f>
        <v/>
      </c>
      <c r="O106" t="str">
        <f>IF($I106=业绩披露日期!H$7,ROW(),"")</f>
        <v/>
      </c>
      <c r="P106" t="str">
        <f>IF($I106=业绩披露日期!I$7,ROW(),"")</f>
        <v/>
      </c>
    </row>
    <row r="107" spans="1:16" x14ac:dyDescent="0.35">
      <c r="A107" s="23">
        <f t="shared" ca="1" si="6"/>
        <v>0</v>
      </c>
      <c r="B107" s="23">
        <f t="shared" si="7"/>
        <v>0</v>
      </c>
      <c r="C107" s="23">
        <f t="shared" si="8"/>
        <v>0</v>
      </c>
      <c r="D107" s="23">
        <f t="shared" si="9"/>
        <v>0</v>
      </c>
      <c r="E107" s="23">
        <f t="shared" si="10"/>
        <v>0</v>
      </c>
      <c r="F107" s="23">
        <f t="shared" si="10"/>
        <v>0</v>
      </c>
      <c r="G107" s="2" t="str">
        <f>IF('证券列表 '!B110="","",'证券列表 '!B110)</f>
        <v>FEBO.O</v>
      </c>
      <c r="H107" s="2" t="s">
        <v>213</v>
      </c>
      <c r="I107" s="3"/>
      <c r="J107" s="6">
        <v>68476875</v>
      </c>
      <c r="K107" t="str">
        <f ca="1">IF($I107=业绩披露日期!D$7,ROW(),"")</f>
        <v/>
      </c>
      <c r="L107" t="str">
        <f>IF($I107=业绩披露日期!E$7,ROW(),"")</f>
        <v/>
      </c>
      <c r="M107" t="str">
        <f>IF($I107=业绩披露日期!F$7,ROW(),"")</f>
        <v/>
      </c>
      <c r="N107" t="str">
        <f>IF($I107=业绩披露日期!G$7,ROW(),"")</f>
        <v/>
      </c>
      <c r="O107" t="str">
        <f>IF($I107=业绩披露日期!H$7,ROW(),"")</f>
        <v/>
      </c>
      <c r="P107" t="str">
        <f>IF($I107=业绩披露日期!I$7,ROW(),"")</f>
        <v/>
      </c>
    </row>
    <row r="108" spans="1:16" x14ac:dyDescent="0.35">
      <c r="A108" s="23">
        <f t="shared" ca="1" si="6"/>
        <v>0</v>
      </c>
      <c r="B108" s="23">
        <f t="shared" si="7"/>
        <v>0</v>
      </c>
      <c r="C108" s="23">
        <f t="shared" si="8"/>
        <v>0</v>
      </c>
      <c r="D108" s="23">
        <f t="shared" si="9"/>
        <v>0</v>
      </c>
      <c r="E108" s="23">
        <f t="shared" si="10"/>
        <v>0</v>
      </c>
      <c r="F108" s="23">
        <f t="shared" si="10"/>
        <v>0</v>
      </c>
      <c r="G108" s="2" t="str">
        <f>IF('证券列表 '!B111="","",'证券列表 '!B111)</f>
        <v>FEDU.N</v>
      </c>
      <c r="H108" s="2" t="s">
        <v>215</v>
      </c>
      <c r="I108" s="3"/>
      <c r="J108" s="6">
        <v>46527770.076000005</v>
      </c>
      <c r="K108" t="str">
        <f ca="1">IF($I108=业绩披露日期!D$7,ROW(),"")</f>
        <v/>
      </c>
      <c r="L108" t="str">
        <f>IF($I108=业绩披露日期!E$7,ROW(),"")</f>
        <v/>
      </c>
      <c r="M108" t="str">
        <f>IF($I108=业绩披露日期!F$7,ROW(),"")</f>
        <v/>
      </c>
      <c r="N108" t="str">
        <f>IF($I108=业绩披露日期!G$7,ROW(),"")</f>
        <v/>
      </c>
      <c r="O108" t="str">
        <f>IF($I108=业绩披露日期!H$7,ROW(),"")</f>
        <v/>
      </c>
      <c r="P108" t="str">
        <f>IF($I108=业绩披露日期!I$7,ROW(),"")</f>
        <v/>
      </c>
    </row>
    <row r="109" spans="1:16" x14ac:dyDescent="0.35">
      <c r="A109" s="23">
        <f t="shared" ca="1" si="6"/>
        <v>0</v>
      </c>
      <c r="B109" s="23">
        <f t="shared" si="7"/>
        <v>0</v>
      </c>
      <c r="C109" s="23">
        <f t="shared" si="8"/>
        <v>0</v>
      </c>
      <c r="D109" s="23">
        <f t="shared" si="9"/>
        <v>0</v>
      </c>
      <c r="E109" s="23">
        <f t="shared" si="10"/>
        <v>0</v>
      </c>
      <c r="F109" s="23">
        <f t="shared" si="10"/>
        <v>0</v>
      </c>
      <c r="G109" s="2" t="str">
        <f>IF('证券列表 '!B112="","",'证券列表 '!B112)</f>
        <v>FENG.N</v>
      </c>
      <c r="H109" s="2" t="s">
        <v>217</v>
      </c>
      <c r="I109" s="3">
        <v>45524</v>
      </c>
      <c r="J109" s="6">
        <v>32429094.581250001</v>
      </c>
      <c r="K109" t="str">
        <f ca="1">IF($I109=业绩披露日期!D$7,ROW(),"")</f>
        <v/>
      </c>
      <c r="L109" t="str">
        <f>IF($I109=业绩披露日期!E$7,ROW(),"")</f>
        <v/>
      </c>
      <c r="M109" t="str">
        <f>IF($I109=业绩披露日期!F$7,ROW(),"")</f>
        <v/>
      </c>
      <c r="N109" t="str">
        <f>IF($I109=业绩披露日期!G$7,ROW(),"")</f>
        <v/>
      </c>
      <c r="O109" t="str">
        <f>IF($I109=业绩披露日期!H$7,ROW(),"")</f>
        <v/>
      </c>
      <c r="P109" t="str">
        <f>IF($I109=业绩披露日期!I$7,ROW(),"")</f>
        <v/>
      </c>
    </row>
    <row r="110" spans="1:16" x14ac:dyDescent="0.35">
      <c r="A110" s="23">
        <f t="shared" ca="1" si="6"/>
        <v>0</v>
      </c>
      <c r="B110" s="23">
        <f t="shared" si="7"/>
        <v>0</v>
      </c>
      <c r="C110" s="23">
        <f t="shared" si="8"/>
        <v>0</v>
      </c>
      <c r="D110" s="23">
        <f t="shared" si="9"/>
        <v>0</v>
      </c>
      <c r="E110" s="23">
        <f t="shared" si="10"/>
        <v>0</v>
      </c>
      <c r="F110" s="23">
        <f t="shared" si="10"/>
        <v>0</v>
      </c>
      <c r="G110" s="2" t="str">
        <f>IF('证券列表 '!B113="","",'证券列表 '!B113)</f>
        <v>FINV.N</v>
      </c>
      <c r="H110" s="2" t="s">
        <v>219</v>
      </c>
      <c r="I110" s="3">
        <v>45524</v>
      </c>
      <c r="J110" s="6">
        <v>1374580281.7020001</v>
      </c>
      <c r="K110" t="str">
        <f ca="1">IF($I110=业绩披露日期!D$7,ROW(),"")</f>
        <v/>
      </c>
      <c r="L110" t="str">
        <f>IF($I110=业绩披露日期!E$7,ROW(),"")</f>
        <v/>
      </c>
      <c r="M110" t="str">
        <f>IF($I110=业绩披露日期!F$7,ROW(),"")</f>
        <v/>
      </c>
      <c r="N110" t="str">
        <f>IF($I110=业绩披露日期!G$7,ROW(),"")</f>
        <v/>
      </c>
      <c r="O110" t="str">
        <f>IF($I110=业绩披露日期!H$7,ROW(),"")</f>
        <v/>
      </c>
      <c r="P110" t="str">
        <f>IF($I110=业绩披露日期!I$7,ROW(),"")</f>
        <v/>
      </c>
    </row>
    <row r="111" spans="1:16" x14ac:dyDescent="0.35">
      <c r="A111" s="23">
        <f t="shared" ca="1" si="6"/>
        <v>0</v>
      </c>
      <c r="B111" s="23">
        <f t="shared" si="7"/>
        <v>0</v>
      </c>
      <c r="C111" s="23">
        <f t="shared" si="8"/>
        <v>0</v>
      </c>
      <c r="D111" s="23">
        <f t="shared" si="9"/>
        <v>0</v>
      </c>
      <c r="E111" s="23">
        <f t="shared" si="10"/>
        <v>0</v>
      </c>
      <c r="F111" s="23">
        <f t="shared" si="10"/>
        <v>0</v>
      </c>
      <c r="G111" s="2" t="str">
        <f>IF('证券列表 '!B114="","",'证券列表 '!B114)</f>
        <v>FNGR.O</v>
      </c>
      <c r="H111" s="2" t="s">
        <v>221</v>
      </c>
      <c r="I111" s="3">
        <v>45215</v>
      </c>
      <c r="J111" s="6">
        <v>117549655.5</v>
      </c>
      <c r="K111" t="str">
        <f ca="1">IF($I111=业绩披露日期!D$7,ROW(),"")</f>
        <v/>
      </c>
      <c r="L111" t="str">
        <f>IF($I111=业绩披露日期!E$7,ROW(),"")</f>
        <v/>
      </c>
      <c r="M111" t="str">
        <f>IF($I111=业绩披露日期!F$7,ROW(),"")</f>
        <v/>
      </c>
      <c r="N111" t="str">
        <f>IF($I111=业绩披露日期!G$7,ROW(),"")</f>
        <v/>
      </c>
      <c r="O111" t="str">
        <f>IF($I111=业绩披露日期!H$7,ROW(),"")</f>
        <v/>
      </c>
      <c r="P111" t="str">
        <f>IF($I111=业绩披露日期!I$7,ROW(),"")</f>
        <v/>
      </c>
    </row>
    <row r="112" spans="1:16" x14ac:dyDescent="0.35">
      <c r="A112" s="23">
        <f t="shared" ca="1" si="6"/>
        <v>0</v>
      </c>
      <c r="B112" s="23">
        <f t="shared" si="7"/>
        <v>0</v>
      </c>
      <c r="C112" s="23">
        <f t="shared" si="8"/>
        <v>0</v>
      </c>
      <c r="D112" s="23">
        <f t="shared" si="9"/>
        <v>0</v>
      </c>
      <c r="E112" s="23">
        <f t="shared" si="10"/>
        <v>0</v>
      </c>
      <c r="F112" s="23">
        <f t="shared" si="10"/>
        <v>0</v>
      </c>
      <c r="G112" s="2" t="str">
        <f>IF('证券列表 '!B115="","",'证券列表 '!B115)</f>
        <v>FRES.O</v>
      </c>
      <c r="H112" s="2" t="s">
        <v>223</v>
      </c>
      <c r="I112" s="3"/>
      <c r="J112" s="6">
        <v>1706613.8674999999</v>
      </c>
      <c r="K112" t="str">
        <f ca="1">IF($I112=业绩披露日期!D$7,ROW(),"")</f>
        <v/>
      </c>
      <c r="L112" t="str">
        <f>IF($I112=业绩披露日期!E$7,ROW(),"")</f>
        <v/>
      </c>
      <c r="M112" t="str">
        <f>IF($I112=业绩披露日期!F$7,ROW(),"")</f>
        <v/>
      </c>
      <c r="N112" t="str">
        <f>IF($I112=业绩披露日期!G$7,ROW(),"")</f>
        <v/>
      </c>
      <c r="O112" t="str">
        <f>IF($I112=业绩披露日期!H$7,ROW(),"")</f>
        <v/>
      </c>
      <c r="P112" t="str">
        <f>IF($I112=业绩披露日期!I$7,ROW(),"")</f>
        <v/>
      </c>
    </row>
    <row r="113" spans="1:16" x14ac:dyDescent="0.35">
      <c r="A113" s="23">
        <f t="shared" ca="1" si="6"/>
        <v>0</v>
      </c>
      <c r="B113" s="23">
        <f t="shared" si="7"/>
        <v>0</v>
      </c>
      <c r="C113" s="23">
        <f t="shared" si="8"/>
        <v>0</v>
      </c>
      <c r="D113" s="23">
        <f t="shared" si="9"/>
        <v>0</v>
      </c>
      <c r="E113" s="23">
        <f t="shared" si="10"/>
        <v>0</v>
      </c>
      <c r="F113" s="23">
        <f t="shared" si="10"/>
        <v>0</v>
      </c>
      <c r="G113" s="2" t="str">
        <f>IF('证券列表 '!B116="","",'证券列表 '!B116)</f>
        <v>FRGT.O</v>
      </c>
      <c r="H113" s="2" t="s">
        <v>225</v>
      </c>
      <c r="I113" s="3"/>
      <c r="J113" s="6">
        <v>410766.5576</v>
      </c>
      <c r="K113" t="str">
        <f ca="1">IF($I113=业绩披露日期!D$7,ROW(),"")</f>
        <v/>
      </c>
      <c r="L113" t="str">
        <f>IF($I113=业绩披露日期!E$7,ROW(),"")</f>
        <v/>
      </c>
      <c r="M113" t="str">
        <f>IF($I113=业绩披露日期!F$7,ROW(),"")</f>
        <v/>
      </c>
      <c r="N113" t="str">
        <f>IF($I113=业绩披露日期!G$7,ROW(),"")</f>
        <v/>
      </c>
      <c r="O113" t="str">
        <f>IF($I113=业绩披露日期!H$7,ROW(),"")</f>
        <v/>
      </c>
      <c r="P113" t="str">
        <f>IF($I113=业绩披露日期!I$7,ROW(),"")</f>
        <v/>
      </c>
    </row>
    <row r="114" spans="1:16" x14ac:dyDescent="0.35">
      <c r="A114" s="23">
        <f t="shared" ca="1" si="6"/>
        <v>0</v>
      </c>
      <c r="B114" s="23">
        <f t="shared" si="7"/>
        <v>0</v>
      </c>
      <c r="C114" s="23">
        <f t="shared" si="8"/>
        <v>0</v>
      </c>
      <c r="D114" s="23">
        <f t="shared" si="9"/>
        <v>0</v>
      </c>
      <c r="E114" s="23">
        <f t="shared" si="10"/>
        <v>0</v>
      </c>
      <c r="F114" s="23">
        <f t="shared" si="10"/>
        <v>0</v>
      </c>
      <c r="G114" s="2" t="str">
        <f>IF('证券列表 '!B117="","",'证券列表 '!B117)</f>
        <v>FTFT.O</v>
      </c>
      <c r="H114" s="2" t="s">
        <v>227</v>
      </c>
      <c r="I114" s="3">
        <v>45523</v>
      </c>
      <c r="J114" s="6">
        <v>7090244.4228000008</v>
      </c>
      <c r="K114" t="str">
        <f ca="1">IF($I114=业绩披露日期!D$7,ROW(),"")</f>
        <v/>
      </c>
      <c r="L114" t="str">
        <f>IF($I114=业绩披露日期!E$7,ROW(),"")</f>
        <v/>
      </c>
      <c r="M114" t="str">
        <f>IF($I114=业绩披露日期!F$7,ROW(),"")</f>
        <v/>
      </c>
      <c r="N114" t="str">
        <f>IF($I114=业绩披露日期!G$7,ROW(),"")</f>
        <v/>
      </c>
      <c r="O114" t="str">
        <f>IF($I114=业绩披露日期!H$7,ROW(),"")</f>
        <v/>
      </c>
      <c r="P114" t="str">
        <f>IF($I114=业绩披露日期!I$7,ROW(),"")</f>
        <v/>
      </c>
    </row>
    <row r="115" spans="1:16" x14ac:dyDescent="0.35">
      <c r="A115" s="23">
        <f t="shared" ca="1" si="6"/>
        <v>0</v>
      </c>
      <c r="B115" s="23">
        <f t="shared" si="7"/>
        <v>0</v>
      </c>
      <c r="C115" s="23">
        <f t="shared" si="8"/>
        <v>0</v>
      </c>
      <c r="D115" s="23">
        <f t="shared" si="9"/>
        <v>0</v>
      </c>
      <c r="E115" s="23">
        <f t="shared" si="10"/>
        <v>0</v>
      </c>
      <c r="F115" s="23">
        <f t="shared" si="10"/>
        <v>0</v>
      </c>
      <c r="G115" s="2" t="str">
        <f>IF('证券列表 '!B118="","",'证券列表 '!B118)</f>
        <v>FUFU.O</v>
      </c>
      <c r="H115" s="2" t="s">
        <v>229</v>
      </c>
      <c r="I115" s="3">
        <v>45524</v>
      </c>
      <c r="J115" s="6">
        <v>790560724.94000006</v>
      </c>
      <c r="K115" t="str">
        <f ca="1">IF($I115=业绩披露日期!D$7,ROW(),"")</f>
        <v/>
      </c>
      <c r="L115" t="str">
        <f>IF($I115=业绩披露日期!E$7,ROW(),"")</f>
        <v/>
      </c>
      <c r="M115" t="str">
        <f>IF($I115=业绩披露日期!F$7,ROW(),"")</f>
        <v/>
      </c>
      <c r="N115" t="str">
        <f>IF($I115=业绩披露日期!G$7,ROW(),"")</f>
        <v/>
      </c>
      <c r="O115" t="str">
        <f>IF($I115=业绩披露日期!H$7,ROW(),"")</f>
        <v/>
      </c>
      <c r="P115" t="str">
        <f>IF($I115=业绩披露日期!I$7,ROW(),"")</f>
        <v/>
      </c>
    </row>
    <row r="116" spans="1:16" x14ac:dyDescent="0.35">
      <c r="A116" s="23">
        <f t="shared" ca="1" si="6"/>
        <v>0</v>
      </c>
      <c r="B116" s="23">
        <f t="shared" si="7"/>
        <v>0</v>
      </c>
      <c r="C116" s="23">
        <f t="shared" si="8"/>
        <v>0</v>
      </c>
      <c r="D116" s="23">
        <f t="shared" si="9"/>
        <v>0</v>
      </c>
      <c r="E116" s="23">
        <f t="shared" si="10"/>
        <v>0</v>
      </c>
      <c r="F116" s="23">
        <f t="shared" si="10"/>
        <v>0</v>
      </c>
      <c r="G116" s="2" t="str">
        <f>IF('证券列表 '!B119="","",'证券列表 '!B119)</f>
        <v>FUTU.O</v>
      </c>
      <c r="H116" s="2" t="s">
        <v>231</v>
      </c>
      <c r="I116" s="3">
        <v>45524</v>
      </c>
      <c r="J116" s="6">
        <v>8876849937.2437496</v>
      </c>
      <c r="K116" t="str">
        <f ca="1">IF($I116=业绩披露日期!D$7,ROW(),"")</f>
        <v/>
      </c>
      <c r="L116" t="str">
        <f>IF($I116=业绩披露日期!E$7,ROW(),"")</f>
        <v/>
      </c>
      <c r="M116" t="str">
        <f>IF($I116=业绩披露日期!F$7,ROW(),"")</f>
        <v/>
      </c>
      <c r="N116" t="str">
        <f>IF($I116=业绩披露日期!G$7,ROW(),"")</f>
        <v/>
      </c>
      <c r="O116" t="str">
        <f>IF($I116=业绩披露日期!H$7,ROW(),"")</f>
        <v/>
      </c>
      <c r="P116" t="str">
        <f>IF($I116=业绩披露日期!I$7,ROW(),"")</f>
        <v/>
      </c>
    </row>
    <row r="117" spans="1:16" x14ac:dyDescent="0.35">
      <c r="A117" s="23">
        <f t="shared" ca="1" si="6"/>
        <v>0</v>
      </c>
      <c r="B117" s="23">
        <f t="shared" si="7"/>
        <v>0</v>
      </c>
      <c r="C117" s="23">
        <f t="shared" si="8"/>
        <v>0</v>
      </c>
      <c r="D117" s="23">
        <f t="shared" si="9"/>
        <v>0</v>
      </c>
      <c r="E117" s="23">
        <f t="shared" si="10"/>
        <v>0</v>
      </c>
      <c r="F117" s="23">
        <f t="shared" si="10"/>
        <v>0</v>
      </c>
      <c r="G117" s="2" t="str">
        <f>IF('证券列表 '!B120="","",'证券列表 '!B120)</f>
        <v>GCT.O</v>
      </c>
      <c r="H117" s="2" t="s">
        <v>233</v>
      </c>
      <c r="I117" s="3">
        <v>45510</v>
      </c>
      <c r="J117" s="6">
        <v>831394169.4000001</v>
      </c>
      <c r="K117" t="str">
        <f ca="1">IF($I117=业绩披露日期!D$7,ROW(),"")</f>
        <v/>
      </c>
      <c r="L117" t="str">
        <f>IF($I117=业绩披露日期!E$7,ROW(),"")</f>
        <v/>
      </c>
      <c r="M117" t="str">
        <f>IF($I117=业绩披露日期!F$7,ROW(),"")</f>
        <v/>
      </c>
      <c r="N117" t="str">
        <f>IF($I117=业绩披露日期!G$7,ROW(),"")</f>
        <v/>
      </c>
      <c r="O117" t="str">
        <f>IF($I117=业绩披露日期!H$7,ROW(),"")</f>
        <v/>
      </c>
      <c r="P117" t="str">
        <f>IF($I117=业绩披露日期!I$7,ROW(),"")</f>
        <v/>
      </c>
    </row>
    <row r="118" spans="1:16" x14ac:dyDescent="0.35">
      <c r="A118" s="23">
        <f t="shared" ca="1" si="6"/>
        <v>0</v>
      </c>
      <c r="B118" s="23">
        <f t="shared" si="7"/>
        <v>0</v>
      </c>
      <c r="C118" s="23">
        <f t="shared" si="8"/>
        <v>0</v>
      </c>
      <c r="D118" s="23">
        <f t="shared" si="9"/>
        <v>0</v>
      </c>
      <c r="E118" s="23">
        <f t="shared" si="10"/>
        <v>0</v>
      </c>
      <c r="F118" s="23">
        <f t="shared" si="10"/>
        <v>0</v>
      </c>
      <c r="G118" s="2" t="str">
        <f>IF('证券列表 '!B121="","",'证券列表 '!B121)</f>
        <v>GDC.O</v>
      </c>
      <c r="H118" s="2" t="s">
        <v>235</v>
      </c>
      <c r="I118" s="3">
        <v>45523</v>
      </c>
      <c r="J118" s="6">
        <v>56682726.029999994</v>
      </c>
      <c r="K118" t="str">
        <f ca="1">IF($I118=业绩披露日期!D$7,ROW(),"")</f>
        <v/>
      </c>
      <c r="L118" t="str">
        <f>IF($I118=业绩披露日期!E$7,ROW(),"")</f>
        <v/>
      </c>
      <c r="M118" t="str">
        <f>IF($I118=业绩披露日期!F$7,ROW(),"")</f>
        <v/>
      </c>
      <c r="N118" t="str">
        <f>IF($I118=业绩披露日期!G$7,ROW(),"")</f>
        <v/>
      </c>
      <c r="O118" t="str">
        <f>IF($I118=业绩披露日期!H$7,ROW(),"")</f>
        <v/>
      </c>
      <c r="P118" t="str">
        <f>IF($I118=业绩披露日期!I$7,ROW(),"")</f>
        <v/>
      </c>
    </row>
    <row r="119" spans="1:16" x14ac:dyDescent="0.35">
      <c r="A119" s="23">
        <f t="shared" ca="1" si="6"/>
        <v>0</v>
      </c>
      <c r="B119" s="23">
        <f t="shared" si="7"/>
        <v>0</v>
      </c>
      <c r="C119" s="23">
        <f t="shared" si="8"/>
        <v>0</v>
      </c>
      <c r="D119" s="23">
        <f t="shared" si="9"/>
        <v>0</v>
      </c>
      <c r="E119" s="23">
        <f t="shared" si="10"/>
        <v>0</v>
      </c>
      <c r="F119" s="23">
        <f t="shared" si="10"/>
        <v>0</v>
      </c>
      <c r="G119" s="2" t="str">
        <f>IF('证券列表 '!B122="","",'证券列表 '!B122)</f>
        <v>GDHG.O</v>
      </c>
      <c r="H119" s="2" t="s">
        <v>237</v>
      </c>
      <c r="I119" s="3"/>
      <c r="J119" s="6">
        <v>21620500</v>
      </c>
      <c r="K119" t="str">
        <f ca="1">IF($I119=业绩披露日期!D$7,ROW(),"")</f>
        <v/>
      </c>
      <c r="L119" t="str">
        <f>IF($I119=业绩披露日期!E$7,ROW(),"")</f>
        <v/>
      </c>
      <c r="M119" t="str">
        <f>IF($I119=业绩披露日期!F$7,ROW(),"")</f>
        <v/>
      </c>
      <c r="N119" t="str">
        <f>IF($I119=业绩披露日期!G$7,ROW(),"")</f>
        <v/>
      </c>
      <c r="O119" t="str">
        <f>IF($I119=业绩披露日期!H$7,ROW(),"")</f>
        <v/>
      </c>
      <c r="P119" t="str">
        <f>IF($I119=业绩披露日期!I$7,ROW(),"")</f>
        <v/>
      </c>
    </row>
    <row r="120" spans="1:16" x14ac:dyDescent="0.35">
      <c r="A120" s="23">
        <f t="shared" ca="1" si="6"/>
        <v>0</v>
      </c>
      <c r="B120" s="23">
        <f t="shared" si="7"/>
        <v>0</v>
      </c>
      <c r="C120" s="23">
        <f t="shared" si="8"/>
        <v>0</v>
      </c>
      <c r="D120" s="23">
        <f t="shared" si="9"/>
        <v>0</v>
      </c>
      <c r="E120" s="23">
        <f t="shared" si="10"/>
        <v>0</v>
      </c>
      <c r="F120" s="23">
        <f t="shared" si="10"/>
        <v>0</v>
      </c>
      <c r="G120" s="2" t="str">
        <f>IF('证券列表 '!B123="","",'证券列表 '!B123)</f>
        <v>GDS.O</v>
      </c>
      <c r="H120" s="2" t="s">
        <v>239</v>
      </c>
      <c r="I120" s="3">
        <v>45524</v>
      </c>
      <c r="J120" s="6">
        <v>3139250047.8537703</v>
      </c>
      <c r="K120" t="str">
        <f ca="1">IF($I120=业绩披露日期!D$7,ROW(),"")</f>
        <v/>
      </c>
      <c r="L120" t="str">
        <f>IF($I120=业绩披露日期!E$7,ROW(),"")</f>
        <v/>
      </c>
      <c r="M120" t="str">
        <f>IF($I120=业绩披露日期!F$7,ROW(),"")</f>
        <v/>
      </c>
      <c r="N120" t="str">
        <f>IF($I120=业绩披露日期!G$7,ROW(),"")</f>
        <v/>
      </c>
      <c r="O120" t="str">
        <f>IF($I120=业绩披露日期!H$7,ROW(),"")</f>
        <v/>
      </c>
      <c r="P120" t="str">
        <f>IF($I120=业绩披露日期!I$7,ROW(),"")</f>
        <v/>
      </c>
    </row>
    <row r="121" spans="1:16" x14ac:dyDescent="0.35">
      <c r="A121" s="23">
        <f t="shared" ca="1" si="6"/>
        <v>0</v>
      </c>
      <c r="B121" s="23">
        <f t="shared" si="7"/>
        <v>0</v>
      </c>
      <c r="C121" s="23">
        <f t="shared" si="8"/>
        <v>0</v>
      </c>
      <c r="D121" s="23">
        <f t="shared" si="9"/>
        <v>0</v>
      </c>
      <c r="E121" s="23">
        <f t="shared" si="10"/>
        <v>0</v>
      </c>
      <c r="F121" s="23">
        <f t="shared" si="10"/>
        <v>0</v>
      </c>
      <c r="G121" s="2" t="str">
        <f>IF('证券列表 '!B124="","",'证券列表 '!B124)</f>
        <v>GHG.N</v>
      </c>
      <c r="H121" s="2" t="s">
        <v>241</v>
      </c>
      <c r="I121" s="3">
        <v>45519</v>
      </c>
      <c r="J121" s="6">
        <v>280260117.95999998</v>
      </c>
      <c r="K121" t="str">
        <f ca="1">IF($I121=业绩披露日期!D$7,ROW(),"")</f>
        <v/>
      </c>
      <c r="L121" t="str">
        <f>IF($I121=业绩披露日期!E$7,ROW(),"")</f>
        <v/>
      </c>
      <c r="M121" t="str">
        <f>IF($I121=业绩披露日期!F$7,ROW(),"")</f>
        <v/>
      </c>
      <c r="N121" t="str">
        <f>IF($I121=业绩披露日期!G$7,ROW(),"")</f>
        <v/>
      </c>
      <c r="O121" t="str">
        <f>IF($I121=业绩披露日期!H$7,ROW(),"")</f>
        <v/>
      </c>
      <c r="P121" t="str">
        <f>IF($I121=业绩披露日期!I$7,ROW(),"")</f>
        <v/>
      </c>
    </row>
    <row r="122" spans="1:16" x14ac:dyDescent="0.35">
      <c r="A122" s="23">
        <f t="shared" ca="1" si="6"/>
        <v>0</v>
      </c>
      <c r="B122" s="23">
        <f t="shared" si="7"/>
        <v>0</v>
      </c>
      <c r="C122" s="23">
        <f t="shared" si="8"/>
        <v>0</v>
      </c>
      <c r="D122" s="23">
        <f t="shared" si="9"/>
        <v>0</v>
      </c>
      <c r="E122" s="23">
        <f t="shared" si="10"/>
        <v>0</v>
      </c>
      <c r="F122" s="23">
        <f t="shared" si="10"/>
        <v>0</v>
      </c>
      <c r="G122" s="2" t="str">
        <f>IF('证券列表 '!B125="","",'证券列表 '!B125)</f>
        <v>GMM.O</v>
      </c>
      <c r="H122" s="2" t="s">
        <v>243</v>
      </c>
      <c r="I122" s="3"/>
      <c r="J122" s="6">
        <v>25536775.672799997</v>
      </c>
      <c r="K122" t="str">
        <f ca="1">IF($I122=业绩披露日期!D$7,ROW(),"")</f>
        <v/>
      </c>
      <c r="L122" t="str">
        <f>IF($I122=业绩披露日期!E$7,ROW(),"")</f>
        <v/>
      </c>
      <c r="M122" t="str">
        <f>IF($I122=业绩披露日期!F$7,ROW(),"")</f>
        <v/>
      </c>
      <c r="N122" t="str">
        <f>IF($I122=业绩披露日期!G$7,ROW(),"")</f>
        <v/>
      </c>
      <c r="O122" t="str">
        <f>IF($I122=业绩披露日期!H$7,ROW(),"")</f>
        <v/>
      </c>
      <c r="P122" t="str">
        <f>IF($I122=业绩披露日期!I$7,ROW(),"")</f>
        <v/>
      </c>
    </row>
    <row r="123" spans="1:16" x14ac:dyDescent="0.35">
      <c r="A123" s="23">
        <f t="shared" ca="1" si="6"/>
        <v>0</v>
      </c>
      <c r="B123" s="23">
        <f t="shared" si="7"/>
        <v>0</v>
      </c>
      <c r="C123" s="23">
        <f t="shared" si="8"/>
        <v>0</v>
      </c>
      <c r="D123" s="23">
        <f t="shared" si="9"/>
        <v>0</v>
      </c>
      <c r="E123" s="23">
        <f t="shared" si="10"/>
        <v>0</v>
      </c>
      <c r="F123" s="23">
        <f t="shared" si="10"/>
        <v>0</v>
      </c>
      <c r="G123" s="2" t="str">
        <f>IF('证券列表 '!B126="","",'证券列表 '!B126)</f>
        <v>GOTU.N</v>
      </c>
      <c r="H123" s="2" t="s">
        <v>245</v>
      </c>
      <c r="I123" s="3">
        <v>45531</v>
      </c>
      <c r="J123" s="6">
        <v>822742282.79586029</v>
      </c>
      <c r="K123" t="str">
        <f ca="1">IF($I123=业绩披露日期!D$7,ROW(),"")</f>
        <v/>
      </c>
      <c r="L123" t="str">
        <f>IF($I123=业绩披露日期!E$7,ROW(),"")</f>
        <v/>
      </c>
      <c r="M123" t="str">
        <f>IF($I123=业绩披露日期!F$7,ROW(),"")</f>
        <v/>
      </c>
      <c r="N123" t="str">
        <f>IF($I123=业绩披露日期!G$7,ROW(),"")</f>
        <v/>
      </c>
      <c r="O123" t="str">
        <f>IF($I123=业绩披露日期!H$7,ROW(),"")</f>
        <v/>
      </c>
      <c r="P123" t="str">
        <f>IF($I123=业绩披露日期!I$7,ROW(),"")</f>
        <v/>
      </c>
    </row>
    <row r="124" spans="1:16" x14ac:dyDescent="0.35">
      <c r="A124" s="23">
        <f t="shared" ca="1" si="6"/>
        <v>0</v>
      </c>
      <c r="B124" s="23">
        <f t="shared" si="7"/>
        <v>0</v>
      </c>
      <c r="C124" s="23">
        <f t="shared" si="8"/>
        <v>0</v>
      </c>
      <c r="D124" s="23">
        <f t="shared" si="9"/>
        <v>0</v>
      </c>
      <c r="E124" s="23">
        <f t="shared" si="10"/>
        <v>0</v>
      </c>
      <c r="F124" s="23">
        <f t="shared" si="10"/>
        <v>0</v>
      </c>
      <c r="G124" s="2" t="str">
        <f>IF('证券列表 '!B127="","",'证券列表 '!B127)</f>
        <v>GPCR.O</v>
      </c>
      <c r="H124" s="2" t="s">
        <v>247</v>
      </c>
      <c r="I124" s="3">
        <v>45512</v>
      </c>
      <c r="J124" s="6">
        <v>2191770659.1733332</v>
      </c>
      <c r="K124" t="str">
        <f ca="1">IF($I124=业绩披露日期!D$7,ROW(),"")</f>
        <v/>
      </c>
      <c r="L124" t="str">
        <f>IF($I124=业绩披露日期!E$7,ROW(),"")</f>
        <v/>
      </c>
      <c r="M124" t="str">
        <f>IF($I124=业绩披露日期!F$7,ROW(),"")</f>
        <v/>
      </c>
      <c r="N124" t="str">
        <f>IF($I124=业绩披露日期!G$7,ROW(),"")</f>
        <v/>
      </c>
      <c r="O124" t="str">
        <f>IF($I124=业绩披露日期!H$7,ROW(),"")</f>
        <v/>
      </c>
      <c r="P124" t="str">
        <f>IF($I124=业绩披露日期!I$7,ROW(),"")</f>
        <v/>
      </c>
    </row>
    <row r="125" spans="1:16" x14ac:dyDescent="0.35">
      <c r="A125" s="23">
        <f t="shared" ca="1" si="6"/>
        <v>0</v>
      </c>
      <c r="B125" s="23">
        <f t="shared" si="7"/>
        <v>0</v>
      </c>
      <c r="C125" s="23">
        <f t="shared" si="8"/>
        <v>0</v>
      </c>
      <c r="D125" s="23">
        <f t="shared" si="9"/>
        <v>0</v>
      </c>
      <c r="E125" s="23">
        <f t="shared" si="10"/>
        <v>0</v>
      </c>
      <c r="F125" s="23">
        <f t="shared" si="10"/>
        <v>0</v>
      </c>
      <c r="G125" s="2" t="str">
        <f>IF('证券列表 '!B128="","",'证券列表 '!B128)</f>
        <v>GRFX.A</v>
      </c>
      <c r="H125" s="2" t="s">
        <v>249</v>
      </c>
      <c r="I125" s="3">
        <v>45533</v>
      </c>
      <c r="J125" s="6">
        <v>8861984.3467128854</v>
      </c>
      <c r="K125" t="str">
        <f ca="1">IF($I125=业绩披露日期!D$7,ROW(),"")</f>
        <v/>
      </c>
      <c r="L125" t="str">
        <f>IF($I125=业绩披露日期!E$7,ROW(),"")</f>
        <v/>
      </c>
      <c r="M125" t="str">
        <f>IF($I125=业绩披露日期!F$7,ROW(),"")</f>
        <v/>
      </c>
      <c r="N125" t="str">
        <f>IF($I125=业绩披露日期!G$7,ROW(),"")</f>
        <v/>
      </c>
      <c r="O125" t="str">
        <f>IF($I125=业绩披露日期!H$7,ROW(),"")</f>
        <v/>
      </c>
      <c r="P125" t="str">
        <f>IF($I125=业绩披露日期!I$7,ROW(),"")</f>
        <v/>
      </c>
    </row>
    <row r="126" spans="1:16" x14ac:dyDescent="0.35">
      <c r="A126" s="23">
        <f t="shared" ca="1" si="6"/>
        <v>0</v>
      </c>
      <c r="B126" s="23">
        <f t="shared" si="7"/>
        <v>0</v>
      </c>
      <c r="C126" s="23">
        <f t="shared" si="8"/>
        <v>0</v>
      </c>
      <c r="D126" s="23">
        <f t="shared" si="9"/>
        <v>0</v>
      </c>
      <c r="E126" s="23">
        <f t="shared" si="10"/>
        <v>0</v>
      </c>
      <c r="F126" s="23">
        <f t="shared" si="10"/>
        <v>0</v>
      </c>
      <c r="G126" s="2" t="str">
        <f>IF('证券列表 '!B129="","",'证券列表 '!B129)</f>
        <v>GRRR.O</v>
      </c>
      <c r="H126" s="2" t="s">
        <v>251</v>
      </c>
      <c r="I126" s="3"/>
      <c r="J126" s="6">
        <v>36000890.640000001</v>
      </c>
      <c r="K126" t="str">
        <f ca="1">IF($I126=业绩披露日期!D$7,ROW(),"")</f>
        <v/>
      </c>
      <c r="L126" t="str">
        <f>IF($I126=业绩披露日期!E$7,ROW(),"")</f>
        <v/>
      </c>
      <c r="M126" t="str">
        <f>IF($I126=业绩披露日期!F$7,ROW(),"")</f>
        <v/>
      </c>
      <c r="N126" t="str">
        <f>IF($I126=业绩披露日期!G$7,ROW(),"")</f>
        <v/>
      </c>
      <c r="O126" t="str">
        <f>IF($I126=业绩披露日期!H$7,ROW(),"")</f>
        <v/>
      </c>
      <c r="P126" t="str">
        <f>IF($I126=业绩披露日期!I$7,ROW(),"")</f>
        <v/>
      </c>
    </row>
    <row r="127" spans="1:16" x14ac:dyDescent="0.35">
      <c r="A127" s="23">
        <f t="shared" ca="1" si="6"/>
        <v>0</v>
      </c>
      <c r="B127" s="23">
        <f t="shared" si="7"/>
        <v>0</v>
      </c>
      <c r="C127" s="23">
        <f t="shared" si="8"/>
        <v>0</v>
      </c>
      <c r="D127" s="23">
        <f t="shared" si="9"/>
        <v>0</v>
      </c>
      <c r="E127" s="23">
        <f t="shared" si="10"/>
        <v>0</v>
      </c>
      <c r="F127" s="23">
        <f t="shared" si="10"/>
        <v>0</v>
      </c>
      <c r="G127" s="2" t="str">
        <f>IF('证券列表 '!B130="","",'证券列表 '!B130)</f>
        <v>GSIW.O</v>
      </c>
      <c r="H127" s="2" t="s">
        <v>253</v>
      </c>
      <c r="I127" s="3"/>
      <c r="J127" s="6">
        <v>118437500</v>
      </c>
      <c r="K127" t="str">
        <f ca="1">IF($I127=业绩披露日期!D$7,ROW(),"")</f>
        <v/>
      </c>
      <c r="L127" t="str">
        <f>IF($I127=业绩披露日期!E$7,ROW(),"")</f>
        <v/>
      </c>
      <c r="M127" t="str">
        <f>IF($I127=业绩披露日期!F$7,ROW(),"")</f>
        <v/>
      </c>
      <c r="N127" t="str">
        <f>IF($I127=业绩披露日期!G$7,ROW(),"")</f>
        <v/>
      </c>
      <c r="O127" t="str">
        <f>IF($I127=业绩披露日期!H$7,ROW(),"")</f>
        <v/>
      </c>
      <c r="P127" t="str">
        <f>IF($I127=业绩披露日期!I$7,ROW(),"")</f>
        <v/>
      </c>
    </row>
    <row r="128" spans="1:16" x14ac:dyDescent="0.35">
      <c r="A128" s="23">
        <f t="shared" ca="1" si="6"/>
        <v>0</v>
      </c>
      <c r="B128" s="23">
        <f t="shared" si="7"/>
        <v>0</v>
      </c>
      <c r="C128" s="23">
        <f t="shared" si="8"/>
        <v>0</v>
      </c>
      <c r="D128" s="23">
        <f t="shared" si="9"/>
        <v>0</v>
      </c>
      <c r="E128" s="23">
        <f t="shared" si="10"/>
        <v>0</v>
      </c>
      <c r="F128" s="23">
        <f t="shared" si="10"/>
        <v>0</v>
      </c>
      <c r="G128" s="2" t="str">
        <f>IF('证券列表 '!B131="","",'证券列表 '!B131)</f>
        <v>GSUN.O</v>
      </c>
      <c r="H128" s="2" t="s">
        <v>255</v>
      </c>
      <c r="I128" s="3"/>
      <c r="J128" s="6">
        <v>13252515.360000001</v>
      </c>
      <c r="K128" t="str">
        <f ca="1">IF($I128=业绩披露日期!D$7,ROW(),"")</f>
        <v/>
      </c>
      <c r="L128" t="str">
        <f>IF($I128=业绩披露日期!E$7,ROW(),"")</f>
        <v/>
      </c>
      <c r="M128" t="str">
        <f>IF($I128=业绩披露日期!F$7,ROW(),"")</f>
        <v/>
      </c>
      <c r="N128" t="str">
        <f>IF($I128=业绩披露日期!G$7,ROW(),"")</f>
        <v/>
      </c>
      <c r="O128" t="str">
        <f>IF($I128=业绩披露日期!H$7,ROW(),"")</f>
        <v/>
      </c>
      <c r="P128" t="str">
        <f>IF($I128=业绩披露日期!I$7,ROW(),"")</f>
        <v/>
      </c>
    </row>
    <row r="129" spans="1:16" x14ac:dyDescent="0.35">
      <c r="A129" s="23">
        <f t="shared" ca="1" si="6"/>
        <v>0</v>
      </c>
      <c r="B129" s="23">
        <f t="shared" si="7"/>
        <v>0</v>
      </c>
      <c r="C129" s="23">
        <f t="shared" si="8"/>
        <v>0</v>
      </c>
      <c r="D129" s="23">
        <f t="shared" si="9"/>
        <v>0</v>
      </c>
      <c r="E129" s="23">
        <f t="shared" si="10"/>
        <v>0</v>
      </c>
      <c r="F129" s="23">
        <f t="shared" si="10"/>
        <v>0</v>
      </c>
      <c r="G129" s="2" t="str">
        <f>IF('证券列表 '!B132="","",'证券列表 '!B132)</f>
        <v>GTEC.O</v>
      </c>
      <c r="H129" s="2" t="s">
        <v>257</v>
      </c>
      <c r="I129" s="3">
        <v>45523</v>
      </c>
      <c r="J129" s="6">
        <v>27596895.899999999</v>
      </c>
      <c r="K129" t="str">
        <f ca="1">IF($I129=业绩披露日期!D$7,ROW(),"")</f>
        <v/>
      </c>
      <c r="L129" t="str">
        <f>IF($I129=业绩披露日期!E$7,ROW(),"")</f>
        <v/>
      </c>
      <c r="M129" t="str">
        <f>IF($I129=业绩披露日期!F$7,ROW(),"")</f>
        <v/>
      </c>
      <c r="N129" t="str">
        <f>IF($I129=业绩披露日期!G$7,ROW(),"")</f>
        <v/>
      </c>
      <c r="O129" t="str">
        <f>IF($I129=业绩披露日期!H$7,ROW(),"")</f>
        <v/>
      </c>
      <c r="P129" t="str">
        <f>IF($I129=业绩披露日期!I$7,ROW(),"")</f>
        <v/>
      </c>
    </row>
    <row r="130" spans="1:16" x14ac:dyDescent="0.35">
      <c r="A130" s="23">
        <f t="shared" ca="1" si="6"/>
        <v>0</v>
      </c>
      <c r="B130" s="23">
        <f t="shared" si="7"/>
        <v>0</v>
      </c>
      <c r="C130" s="23">
        <f t="shared" si="8"/>
        <v>0</v>
      </c>
      <c r="D130" s="23">
        <f t="shared" si="9"/>
        <v>2</v>
      </c>
      <c r="E130" s="23">
        <f t="shared" si="10"/>
        <v>0</v>
      </c>
      <c r="F130" s="23">
        <f t="shared" si="10"/>
        <v>0</v>
      </c>
      <c r="G130" s="2" t="str">
        <f>IF('证券列表 '!B133="","",'证券列表 '!B133)</f>
        <v>GURE.O</v>
      </c>
      <c r="H130" s="2" t="s">
        <v>259</v>
      </c>
      <c r="I130" s="3">
        <v>45537</v>
      </c>
      <c r="J130" s="6">
        <v>10744881.720000001</v>
      </c>
      <c r="K130" t="str">
        <f ca="1">IF($I130=业绩披露日期!D$7,ROW(),"")</f>
        <v/>
      </c>
      <c r="L130" t="str">
        <f>IF($I130=业绩披露日期!E$7,ROW(),"")</f>
        <v/>
      </c>
      <c r="M130" t="str">
        <f>IF($I130=业绩披露日期!F$7,ROW(),"")</f>
        <v/>
      </c>
      <c r="N130">
        <f>IF($I130=业绩披露日期!G$7,ROW(),"")</f>
        <v>130</v>
      </c>
      <c r="O130" t="str">
        <f>IF($I130=业绩披露日期!H$7,ROW(),"")</f>
        <v/>
      </c>
      <c r="P130" t="str">
        <f>IF($I130=业绩披露日期!I$7,ROW(),"")</f>
        <v/>
      </c>
    </row>
    <row r="131" spans="1:16" x14ac:dyDescent="0.35">
      <c r="A131" s="23">
        <f t="shared" ca="1" si="6"/>
        <v>0</v>
      </c>
      <c r="B131" s="23">
        <f t="shared" si="7"/>
        <v>0</v>
      </c>
      <c r="C131" s="23">
        <f t="shared" si="8"/>
        <v>0</v>
      </c>
      <c r="D131" s="23">
        <f t="shared" si="9"/>
        <v>0</v>
      </c>
      <c r="E131" s="23">
        <f t="shared" si="10"/>
        <v>0</v>
      </c>
      <c r="F131" s="23">
        <f t="shared" si="10"/>
        <v>0</v>
      </c>
      <c r="G131" s="2" t="str">
        <f>IF('证券列表 '!B134="","",'证券列表 '!B134)</f>
        <v>GVH.O</v>
      </c>
      <c r="H131" s="2" t="s">
        <v>261</v>
      </c>
      <c r="I131" s="3"/>
      <c r="J131" s="6">
        <v>10639687.5</v>
      </c>
      <c r="K131" t="str">
        <f ca="1">IF($I131=业绩披露日期!D$7,ROW(),"")</f>
        <v/>
      </c>
      <c r="L131" t="str">
        <f>IF($I131=业绩披露日期!E$7,ROW(),"")</f>
        <v/>
      </c>
      <c r="M131" t="str">
        <f>IF($I131=业绩披露日期!F$7,ROW(),"")</f>
        <v/>
      </c>
      <c r="N131" t="str">
        <f>IF($I131=业绩披露日期!G$7,ROW(),"")</f>
        <v/>
      </c>
      <c r="O131" t="str">
        <f>IF($I131=业绩披露日期!H$7,ROW(),"")</f>
        <v/>
      </c>
      <c r="P131" t="str">
        <f>IF($I131=业绩披露日期!I$7,ROW(),"")</f>
        <v/>
      </c>
    </row>
    <row r="132" spans="1:16" x14ac:dyDescent="0.35">
      <c r="A132" s="23">
        <f t="shared" ref="A132:A195" ca="1" si="11">IF(K132="",0,RANK(K132,K:K,1))</f>
        <v>0</v>
      </c>
      <c r="B132" s="23">
        <f t="shared" ref="B132:B195" si="12">IF(L132="",0,RANK(L132,L:L,1))</f>
        <v>0</v>
      </c>
      <c r="C132" s="23">
        <f t="shared" ref="C132:C195" si="13">IF(M132="",0,RANK(M132,M:M,1))</f>
        <v>0</v>
      </c>
      <c r="D132" s="23">
        <f t="shared" ref="D132:D195" si="14">IF(N132="",0,RANK(N132,N:N,1))</f>
        <v>0</v>
      </c>
      <c r="E132" s="23">
        <f t="shared" ref="E132:F195" si="15">IF(O132="",0,RANK(O132,O:O,1))</f>
        <v>0</v>
      </c>
      <c r="F132" s="23">
        <f t="shared" si="15"/>
        <v>0</v>
      </c>
      <c r="G132" s="2" t="str">
        <f>IF('证券列表 '!B135="","",'证券列表 '!B135)</f>
        <v>HAO.O</v>
      </c>
      <c r="H132" s="2" t="s">
        <v>263</v>
      </c>
      <c r="I132" s="3"/>
      <c r="J132" s="6">
        <v>109986000</v>
      </c>
      <c r="K132" t="str">
        <f ca="1">IF($I132=业绩披露日期!D$7,ROW(),"")</f>
        <v/>
      </c>
      <c r="L132" t="str">
        <f>IF($I132=业绩披露日期!E$7,ROW(),"")</f>
        <v/>
      </c>
      <c r="M132" t="str">
        <f>IF($I132=业绩披露日期!F$7,ROW(),"")</f>
        <v/>
      </c>
      <c r="N132" t="str">
        <f>IF($I132=业绩披露日期!G$7,ROW(),"")</f>
        <v/>
      </c>
      <c r="O132" t="str">
        <f>IF($I132=业绩披露日期!H$7,ROW(),"")</f>
        <v/>
      </c>
      <c r="P132" t="str">
        <f>IF($I132=业绩披露日期!I$7,ROW(),"")</f>
        <v/>
      </c>
    </row>
    <row r="133" spans="1:16" x14ac:dyDescent="0.35">
      <c r="A133" s="23">
        <f t="shared" ca="1" si="11"/>
        <v>0</v>
      </c>
      <c r="B133" s="23">
        <f t="shared" si="12"/>
        <v>0</v>
      </c>
      <c r="C133" s="23">
        <f t="shared" si="13"/>
        <v>0</v>
      </c>
      <c r="D133" s="23">
        <f t="shared" si="14"/>
        <v>0</v>
      </c>
      <c r="E133" s="23">
        <f t="shared" si="15"/>
        <v>0</v>
      </c>
      <c r="F133" s="23">
        <f t="shared" si="15"/>
        <v>0</v>
      </c>
      <c r="G133" s="2" t="str">
        <f>IF('证券列表 '!B136="","",'证券列表 '!B136)</f>
        <v>HCM.O</v>
      </c>
      <c r="H133" s="2" t="s">
        <v>265</v>
      </c>
      <c r="I133" s="3">
        <v>45504</v>
      </c>
      <c r="J133" s="6">
        <v>3117264925.3362937</v>
      </c>
      <c r="K133" t="str">
        <f ca="1">IF($I133=业绩披露日期!D$7,ROW(),"")</f>
        <v/>
      </c>
      <c r="L133" t="str">
        <f>IF($I133=业绩披露日期!E$7,ROW(),"")</f>
        <v/>
      </c>
      <c r="M133" t="str">
        <f>IF($I133=业绩披露日期!F$7,ROW(),"")</f>
        <v/>
      </c>
      <c r="N133" t="str">
        <f>IF($I133=业绩披露日期!G$7,ROW(),"")</f>
        <v/>
      </c>
      <c r="O133" t="str">
        <f>IF($I133=业绩披露日期!H$7,ROW(),"")</f>
        <v/>
      </c>
      <c r="P133" t="str">
        <f>IF($I133=业绩披露日期!I$7,ROW(),"")</f>
        <v/>
      </c>
    </row>
    <row r="134" spans="1:16" x14ac:dyDescent="0.35">
      <c r="A134" s="23">
        <f t="shared" ca="1" si="11"/>
        <v>0</v>
      </c>
      <c r="B134" s="23">
        <f t="shared" si="12"/>
        <v>0</v>
      </c>
      <c r="C134" s="23">
        <f t="shared" si="13"/>
        <v>0</v>
      </c>
      <c r="D134" s="23">
        <f t="shared" si="14"/>
        <v>0</v>
      </c>
      <c r="E134" s="23">
        <f t="shared" si="15"/>
        <v>0</v>
      </c>
      <c r="F134" s="23">
        <f t="shared" si="15"/>
        <v>0</v>
      </c>
      <c r="G134" s="2" t="str">
        <f>IF('证券列表 '!B137="","",'证券列表 '!B137)</f>
        <v>HDL.O</v>
      </c>
      <c r="H134" s="2" t="s">
        <v>267</v>
      </c>
      <c r="I134" s="3">
        <v>45531</v>
      </c>
      <c r="J134" s="6">
        <v>1065653386.9984993</v>
      </c>
      <c r="K134" t="str">
        <f ca="1">IF($I134=业绩披露日期!D$7,ROW(),"")</f>
        <v/>
      </c>
      <c r="L134" t="str">
        <f>IF($I134=业绩披露日期!E$7,ROW(),"")</f>
        <v/>
      </c>
      <c r="M134" t="str">
        <f>IF($I134=业绩披露日期!F$7,ROW(),"")</f>
        <v/>
      </c>
      <c r="N134" t="str">
        <f>IF($I134=业绩披露日期!G$7,ROW(),"")</f>
        <v/>
      </c>
      <c r="O134" t="str">
        <f>IF($I134=业绩披露日期!H$7,ROW(),"")</f>
        <v/>
      </c>
      <c r="P134" t="str">
        <f>IF($I134=业绩披露日期!I$7,ROW(),"")</f>
        <v/>
      </c>
    </row>
    <row r="135" spans="1:16" x14ac:dyDescent="0.35">
      <c r="A135" s="23">
        <f t="shared" ca="1" si="11"/>
        <v>0</v>
      </c>
      <c r="B135" s="23">
        <f t="shared" si="12"/>
        <v>0</v>
      </c>
      <c r="C135" s="23">
        <f t="shared" si="13"/>
        <v>0</v>
      </c>
      <c r="D135" s="23">
        <f t="shared" si="14"/>
        <v>0</v>
      </c>
      <c r="E135" s="23">
        <f t="shared" si="15"/>
        <v>0</v>
      </c>
      <c r="F135" s="23">
        <f t="shared" si="15"/>
        <v>0</v>
      </c>
      <c r="G135" s="2" t="str">
        <f>IF('证券列表 '!B138="","",'证券列表 '!B138)</f>
        <v>HIHO.O</v>
      </c>
      <c r="H135" s="2" t="s">
        <v>269</v>
      </c>
      <c r="I135" s="3">
        <v>45222</v>
      </c>
      <c r="J135" s="6">
        <v>8055339.75</v>
      </c>
      <c r="K135" t="str">
        <f ca="1">IF($I135=业绩披露日期!D$7,ROW(),"")</f>
        <v/>
      </c>
      <c r="L135" t="str">
        <f>IF($I135=业绩披露日期!E$7,ROW(),"")</f>
        <v/>
      </c>
      <c r="M135" t="str">
        <f>IF($I135=业绩披露日期!F$7,ROW(),"")</f>
        <v/>
      </c>
      <c r="N135" t="str">
        <f>IF($I135=业绩披露日期!G$7,ROW(),"")</f>
        <v/>
      </c>
      <c r="O135" t="str">
        <f>IF($I135=业绩披露日期!H$7,ROW(),"")</f>
        <v/>
      </c>
      <c r="P135" t="str">
        <f>IF($I135=业绩披露日期!I$7,ROW(),"")</f>
        <v/>
      </c>
    </row>
    <row r="136" spans="1:16" x14ac:dyDescent="0.35">
      <c r="A136" s="23">
        <f t="shared" ca="1" si="11"/>
        <v>0</v>
      </c>
      <c r="B136" s="23">
        <f t="shared" si="12"/>
        <v>0</v>
      </c>
      <c r="C136" s="23">
        <f t="shared" si="13"/>
        <v>0</v>
      </c>
      <c r="D136" s="23">
        <f t="shared" si="14"/>
        <v>0</v>
      </c>
      <c r="E136" s="23">
        <f t="shared" si="15"/>
        <v>0</v>
      </c>
      <c r="F136" s="23">
        <f t="shared" si="15"/>
        <v>0</v>
      </c>
      <c r="G136" s="2" t="str">
        <f>IF('证券列表 '!B139="","",'证券列表 '!B139)</f>
        <v>HKD.N</v>
      </c>
      <c r="H136" s="2" t="s">
        <v>271</v>
      </c>
      <c r="I136" s="3"/>
      <c r="J136" s="6">
        <v>556023045.57499993</v>
      </c>
      <c r="K136" t="str">
        <f ca="1">IF($I136=业绩披露日期!D$7,ROW(),"")</f>
        <v/>
      </c>
      <c r="L136" t="str">
        <f>IF($I136=业绩披露日期!E$7,ROW(),"")</f>
        <v/>
      </c>
      <c r="M136" t="str">
        <f>IF($I136=业绩披露日期!F$7,ROW(),"")</f>
        <v/>
      </c>
      <c r="N136" t="str">
        <f>IF($I136=业绩披露日期!G$7,ROW(),"")</f>
        <v/>
      </c>
      <c r="O136" t="str">
        <f>IF($I136=业绩披露日期!H$7,ROW(),"")</f>
        <v/>
      </c>
      <c r="P136" t="str">
        <f>IF($I136=业绩披露日期!I$7,ROW(),"")</f>
        <v/>
      </c>
    </row>
    <row r="137" spans="1:16" x14ac:dyDescent="0.35">
      <c r="A137" s="23">
        <f t="shared" ca="1" si="11"/>
        <v>0</v>
      </c>
      <c r="B137" s="23">
        <f t="shared" si="12"/>
        <v>0</v>
      </c>
      <c r="C137" s="23">
        <f t="shared" si="13"/>
        <v>0</v>
      </c>
      <c r="D137" s="23">
        <f t="shared" si="14"/>
        <v>0</v>
      </c>
      <c r="E137" s="23">
        <f t="shared" si="15"/>
        <v>0</v>
      </c>
      <c r="F137" s="23">
        <f t="shared" si="15"/>
        <v>0</v>
      </c>
      <c r="G137" s="2" t="str">
        <f>IF('证券列表 '!B140="","",'证券列表 '!B140)</f>
        <v>HKIT.O</v>
      </c>
      <c r="H137" s="2" t="s">
        <v>273</v>
      </c>
      <c r="I137" s="3"/>
      <c r="J137" s="6">
        <v>23315629.68</v>
      </c>
      <c r="K137" t="str">
        <f ca="1">IF($I137=业绩披露日期!D$7,ROW(),"")</f>
        <v/>
      </c>
      <c r="L137" t="str">
        <f>IF($I137=业绩披露日期!E$7,ROW(),"")</f>
        <v/>
      </c>
      <c r="M137" t="str">
        <f>IF($I137=业绩披露日期!F$7,ROW(),"")</f>
        <v/>
      </c>
      <c r="N137" t="str">
        <f>IF($I137=业绩披露日期!G$7,ROW(),"")</f>
        <v/>
      </c>
      <c r="O137" t="str">
        <f>IF($I137=业绩披露日期!H$7,ROW(),"")</f>
        <v/>
      </c>
      <c r="P137" t="str">
        <f>IF($I137=业绩披露日期!I$7,ROW(),"")</f>
        <v/>
      </c>
    </row>
    <row r="138" spans="1:16" x14ac:dyDescent="0.35">
      <c r="A138" s="23">
        <f t="shared" ca="1" si="11"/>
        <v>0</v>
      </c>
      <c r="B138" s="23">
        <f t="shared" si="12"/>
        <v>0</v>
      </c>
      <c r="C138" s="23">
        <f t="shared" si="13"/>
        <v>0</v>
      </c>
      <c r="D138" s="23">
        <f t="shared" si="14"/>
        <v>0</v>
      </c>
      <c r="E138" s="23">
        <f t="shared" si="15"/>
        <v>0</v>
      </c>
      <c r="F138" s="23">
        <f t="shared" si="15"/>
        <v>0</v>
      </c>
      <c r="G138" s="2" t="str">
        <f>IF('证券列表 '!B141="","",'证券列表 '!B141)</f>
        <v>HLP.O</v>
      </c>
      <c r="H138" s="2" t="s">
        <v>275</v>
      </c>
      <c r="I138" s="3"/>
      <c r="J138" s="6">
        <v>24477500</v>
      </c>
      <c r="K138" t="str">
        <f ca="1">IF($I138=业绩披露日期!D$7,ROW(),"")</f>
        <v/>
      </c>
      <c r="L138" t="str">
        <f>IF($I138=业绩披露日期!E$7,ROW(),"")</f>
        <v/>
      </c>
      <c r="M138" t="str">
        <f>IF($I138=业绩披露日期!F$7,ROW(),"")</f>
        <v/>
      </c>
      <c r="N138" t="str">
        <f>IF($I138=业绩披露日期!G$7,ROW(),"")</f>
        <v/>
      </c>
      <c r="O138" t="str">
        <f>IF($I138=业绩披露日期!H$7,ROW(),"")</f>
        <v/>
      </c>
      <c r="P138" t="str">
        <f>IF($I138=业绩披露日期!I$7,ROW(),"")</f>
        <v/>
      </c>
    </row>
    <row r="139" spans="1:16" x14ac:dyDescent="0.35">
      <c r="A139" s="23">
        <f t="shared" ca="1" si="11"/>
        <v>0</v>
      </c>
      <c r="B139" s="23">
        <f t="shared" si="12"/>
        <v>0</v>
      </c>
      <c r="C139" s="23">
        <f t="shared" si="13"/>
        <v>0</v>
      </c>
      <c r="D139" s="23">
        <f t="shared" si="14"/>
        <v>0</v>
      </c>
      <c r="E139" s="23">
        <f t="shared" si="15"/>
        <v>0</v>
      </c>
      <c r="F139" s="23">
        <f t="shared" si="15"/>
        <v>0</v>
      </c>
      <c r="G139" s="2" t="str">
        <f>IF('证券列表 '!B142="","",'证券列表 '!B142)</f>
        <v>HPH.O</v>
      </c>
      <c r="H139" s="2" t="s">
        <v>277</v>
      </c>
      <c r="I139" s="3"/>
      <c r="J139" s="6">
        <v>109772710.32000001</v>
      </c>
      <c r="K139" t="str">
        <f ca="1">IF($I139=业绩披露日期!D$7,ROW(),"")</f>
        <v/>
      </c>
      <c r="L139" t="str">
        <f>IF($I139=业绩披露日期!E$7,ROW(),"")</f>
        <v/>
      </c>
      <c r="M139" t="str">
        <f>IF($I139=业绩披露日期!F$7,ROW(),"")</f>
        <v/>
      </c>
      <c r="N139" t="str">
        <f>IF($I139=业绩披露日期!G$7,ROW(),"")</f>
        <v/>
      </c>
      <c r="O139" t="str">
        <f>IF($I139=业绩披露日期!H$7,ROW(),"")</f>
        <v/>
      </c>
      <c r="P139" t="str">
        <f>IF($I139=业绩披露日期!I$7,ROW(),"")</f>
        <v/>
      </c>
    </row>
    <row r="140" spans="1:16" x14ac:dyDescent="0.35">
      <c r="A140" s="23">
        <f t="shared" ca="1" si="11"/>
        <v>0</v>
      </c>
      <c r="B140" s="23">
        <f t="shared" si="12"/>
        <v>0</v>
      </c>
      <c r="C140" s="23">
        <f t="shared" si="13"/>
        <v>0</v>
      </c>
      <c r="D140" s="23">
        <f t="shared" si="14"/>
        <v>0</v>
      </c>
      <c r="E140" s="23">
        <f t="shared" si="15"/>
        <v>0</v>
      </c>
      <c r="F140" s="23">
        <f t="shared" si="15"/>
        <v>0</v>
      </c>
      <c r="G140" s="2" t="str">
        <f>IF('证券列表 '!B143="","",'证券列表 '!B143)</f>
        <v>HSAI.O</v>
      </c>
      <c r="H140" s="2" t="s">
        <v>279</v>
      </c>
      <c r="I140" s="3">
        <v>45523</v>
      </c>
      <c r="J140" s="6">
        <v>504814190.75999999</v>
      </c>
      <c r="K140" t="str">
        <f ca="1">IF($I140=业绩披露日期!D$7,ROW(),"")</f>
        <v/>
      </c>
      <c r="L140" t="str">
        <f>IF($I140=业绩披露日期!E$7,ROW(),"")</f>
        <v/>
      </c>
      <c r="M140" t="str">
        <f>IF($I140=业绩披露日期!F$7,ROW(),"")</f>
        <v/>
      </c>
      <c r="N140" t="str">
        <f>IF($I140=业绩披露日期!G$7,ROW(),"")</f>
        <v/>
      </c>
      <c r="O140" t="str">
        <f>IF($I140=业绩披露日期!H$7,ROW(),"")</f>
        <v/>
      </c>
      <c r="P140" t="str">
        <f>IF($I140=业绩披露日期!I$7,ROW(),"")</f>
        <v/>
      </c>
    </row>
    <row r="141" spans="1:16" x14ac:dyDescent="0.35">
      <c r="A141" s="23">
        <f t="shared" ca="1" si="11"/>
        <v>0</v>
      </c>
      <c r="B141" s="23">
        <f t="shared" si="12"/>
        <v>0</v>
      </c>
      <c r="C141" s="23">
        <f t="shared" si="13"/>
        <v>0</v>
      </c>
      <c r="D141" s="23">
        <f t="shared" si="14"/>
        <v>0</v>
      </c>
      <c r="E141" s="23">
        <f t="shared" si="15"/>
        <v>0</v>
      </c>
      <c r="F141" s="23">
        <f t="shared" si="15"/>
        <v>0</v>
      </c>
      <c r="G141" s="2" t="str">
        <f>IF('证券列表 '!B144="","",'证券列表 '!B144)</f>
        <v>HTHT.O</v>
      </c>
      <c r="H141" s="2" t="s">
        <v>281</v>
      </c>
      <c r="I141" s="3">
        <v>45524</v>
      </c>
      <c r="J141" s="6">
        <v>9365081621.2665291</v>
      </c>
      <c r="K141" t="str">
        <f ca="1">IF($I141=业绩披露日期!D$7,ROW(),"")</f>
        <v/>
      </c>
      <c r="L141" t="str">
        <f>IF($I141=业绩披露日期!E$7,ROW(),"")</f>
        <v/>
      </c>
      <c r="M141" t="str">
        <f>IF($I141=业绩披露日期!F$7,ROW(),"")</f>
        <v/>
      </c>
      <c r="N141" t="str">
        <f>IF($I141=业绩披露日期!G$7,ROW(),"")</f>
        <v/>
      </c>
      <c r="O141" t="str">
        <f>IF($I141=业绩披露日期!H$7,ROW(),"")</f>
        <v/>
      </c>
      <c r="P141" t="str">
        <f>IF($I141=业绩披露日期!I$7,ROW(),"")</f>
        <v/>
      </c>
    </row>
    <row r="142" spans="1:16" x14ac:dyDescent="0.35">
      <c r="A142" s="23">
        <f t="shared" ca="1" si="11"/>
        <v>0</v>
      </c>
      <c r="B142" s="23">
        <f t="shared" si="12"/>
        <v>0</v>
      </c>
      <c r="C142" s="23">
        <f t="shared" si="13"/>
        <v>0</v>
      </c>
      <c r="D142" s="23">
        <f t="shared" si="14"/>
        <v>0</v>
      </c>
      <c r="E142" s="23">
        <f t="shared" si="15"/>
        <v>0</v>
      </c>
      <c r="F142" s="23">
        <f t="shared" si="15"/>
        <v>0</v>
      </c>
      <c r="G142" s="2" t="str">
        <f>IF('证券列表 '!B145="","",'证券列表 '!B145)</f>
        <v>HUDI.O</v>
      </c>
      <c r="H142" s="2" t="s">
        <v>283</v>
      </c>
      <c r="I142" s="3"/>
      <c r="J142" s="6">
        <v>30657241.299999997</v>
      </c>
      <c r="K142" t="str">
        <f ca="1">IF($I142=业绩披露日期!D$7,ROW(),"")</f>
        <v/>
      </c>
      <c r="L142" t="str">
        <f>IF($I142=业绩披露日期!E$7,ROW(),"")</f>
        <v/>
      </c>
      <c r="M142" t="str">
        <f>IF($I142=业绩披露日期!F$7,ROW(),"")</f>
        <v/>
      </c>
      <c r="N142" t="str">
        <f>IF($I142=业绩披露日期!G$7,ROW(),"")</f>
        <v/>
      </c>
      <c r="O142" t="str">
        <f>IF($I142=业绩披露日期!H$7,ROW(),"")</f>
        <v/>
      </c>
      <c r="P142" t="str">
        <f>IF($I142=业绩披露日期!I$7,ROW(),"")</f>
        <v/>
      </c>
    </row>
    <row r="143" spans="1:16" x14ac:dyDescent="0.35">
      <c r="A143" s="23">
        <f t="shared" ca="1" si="11"/>
        <v>0</v>
      </c>
      <c r="B143" s="23">
        <f t="shared" si="12"/>
        <v>0</v>
      </c>
      <c r="C143" s="23">
        <f t="shared" si="13"/>
        <v>0</v>
      </c>
      <c r="D143" s="23">
        <f t="shared" si="14"/>
        <v>0</v>
      </c>
      <c r="E143" s="23">
        <f t="shared" si="15"/>
        <v>1</v>
      </c>
      <c r="F143" s="23">
        <f t="shared" si="15"/>
        <v>0</v>
      </c>
      <c r="G143" s="2" t="str">
        <f>IF('证券列表 '!B146="","",'证券列表 '!B146)</f>
        <v>HUIZ.O</v>
      </c>
      <c r="H143" s="2" t="s">
        <v>285</v>
      </c>
      <c r="I143" s="3">
        <v>45538</v>
      </c>
      <c r="J143" s="6">
        <v>37746962.013914995</v>
      </c>
      <c r="K143" t="str">
        <f ca="1">IF($I143=业绩披露日期!D$7,ROW(),"")</f>
        <v/>
      </c>
      <c r="L143" t="str">
        <f>IF($I143=业绩披露日期!E$7,ROW(),"")</f>
        <v/>
      </c>
      <c r="M143" t="str">
        <f>IF($I143=业绩披露日期!F$7,ROW(),"")</f>
        <v/>
      </c>
      <c r="N143" t="str">
        <f>IF($I143=业绩披露日期!G$7,ROW(),"")</f>
        <v/>
      </c>
      <c r="O143">
        <f>IF($I143=业绩披露日期!H$7,ROW(),"")</f>
        <v>143</v>
      </c>
      <c r="P143" t="str">
        <f>IF($I143=业绩披露日期!I$7,ROW(),"")</f>
        <v/>
      </c>
    </row>
    <row r="144" spans="1:16" x14ac:dyDescent="0.35">
      <c r="A144" s="23">
        <f t="shared" ca="1" si="11"/>
        <v>0</v>
      </c>
      <c r="B144" s="23">
        <f t="shared" si="12"/>
        <v>0</v>
      </c>
      <c r="C144" s="23">
        <f t="shared" si="13"/>
        <v>0</v>
      </c>
      <c r="D144" s="23">
        <f t="shared" si="14"/>
        <v>0</v>
      </c>
      <c r="E144" s="23">
        <f t="shared" si="15"/>
        <v>0</v>
      </c>
      <c r="F144" s="23">
        <f t="shared" si="15"/>
        <v>0</v>
      </c>
      <c r="G144" s="2" t="str">
        <f>IF('证券列表 '!B147="","",'证券列表 '!B147)</f>
        <v>HUYA.N</v>
      </c>
      <c r="H144" s="2" t="s">
        <v>287</v>
      </c>
      <c r="I144" s="3">
        <v>45517</v>
      </c>
      <c r="J144" s="6">
        <v>930387703.44000006</v>
      </c>
      <c r="K144" t="str">
        <f ca="1">IF($I144=业绩披露日期!D$7,ROW(),"")</f>
        <v/>
      </c>
      <c r="L144" t="str">
        <f>IF($I144=业绩披露日期!E$7,ROW(),"")</f>
        <v/>
      </c>
      <c r="M144" t="str">
        <f>IF($I144=业绩披露日期!F$7,ROW(),"")</f>
        <v/>
      </c>
      <c r="N144" t="str">
        <f>IF($I144=业绩披露日期!G$7,ROW(),"")</f>
        <v/>
      </c>
      <c r="O144" t="str">
        <f>IF($I144=业绩披露日期!H$7,ROW(),"")</f>
        <v/>
      </c>
      <c r="P144" t="str">
        <f>IF($I144=业绩披露日期!I$7,ROW(),"")</f>
        <v/>
      </c>
    </row>
    <row r="145" spans="1:16" x14ac:dyDescent="0.35">
      <c r="A145" s="23">
        <f t="shared" ca="1" si="11"/>
        <v>0</v>
      </c>
      <c r="B145" s="23">
        <f t="shared" si="12"/>
        <v>0</v>
      </c>
      <c r="C145" s="23">
        <f t="shared" si="13"/>
        <v>0</v>
      </c>
      <c r="D145" s="23">
        <f t="shared" si="14"/>
        <v>0</v>
      </c>
      <c r="E145" s="23">
        <f t="shared" si="15"/>
        <v>0</v>
      </c>
      <c r="F145" s="23">
        <f t="shared" si="15"/>
        <v>0</v>
      </c>
      <c r="G145" s="2" t="str">
        <f>IF('证券列表 '!B148="","",'证券列表 '!B148)</f>
        <v>ICG.O</v>
      </c>
      <c r="H145" s="2" t="s">
        <v>289</v>
      </c>
      <c r="I145" s="3">
        <v>45519</v>
      </c>
      <c r="J145" s="6">
        <v>341277790.18000001</v>
      </c>
      <c r="K145" t="str">
        <f ca="1">IF($I145=业绩披露日期!D$7,ROW(),"")</f>
        <v/>
      </c>
      <c r="L145" t="str">
        <f>IF($I145=业绩披露日期!E$7,ROW(),"")</f>
        <v/>
      </c>
      <c r="M145" t="str">
        <f>IF($I145=业绩披露日期!F$7,ROW(),"")</f>
        <v/>
      </c>
      <c r="N145" t="str">
        <f>IF($I145=业绩披露日期!G$7,ROW(),"")</f>
        <v/>
      </c>
      <c r="O145" t="str">
        <f>IF($I145=业绩披露日期!H$7,ROW(),"")</f>
        <v/>
      </c>
      <c r="P145" t="str">
        <f>IF($I145=业绩披露日期!I$7,ROW(),"")</f>
        <v/>
      </c>
    </row>
    <row r="146" spans="1:16" x14ac:dyDescent="0.35">
      <c r="A146" s="23">
        <f t="shared" ca="1" si="11"/>
        <v>0</v>
      </c>
      <c r="B146" s="23">
        <f t="shared" si="12"/>
        <v>0</v>
      </c>
      <c r="C146" s="23">
        <f t="shared" si="13"/>
        <v>0</v>
      </c>
      <c r="D146" s="23">
        <f t="shared" si="14"/>
        <v>0</v>
      </c>
      <c r="E146" s="23">
        <f t="shared" si="15"/>
        <v>0</v>
      </c>
      <c r="F146" s="23">
        <f t="shared" si="15"/>
        <v>0</v>
      </c>
      <c r="G146" s="2" t="str">
        <f>IF('证券列表 '!B149="","",'证券列表 '!B149)</f>
        <v>ICLK.O</v>
      </c>
      <c r="H146" s="2" t="s">
        <v>291</v>
      </c>
      <c r="I146" s="3"/>
      <c r="J146" s="6">
        <v>30931316.969999999</v>
      </c>
      <c r="K146" t="str">
        <f ca="1">IF($I146=业绩披露日期!D$7,ROW(),"")</f>
        <v/>
      </c>
      <c r="L146" t="str">
        <f>IF($I146=业绩披露日期!E$7,ROW(),"")</f>
        <v/>
      </c>
      <c r="M146" t="str">
        <f>IF($I146=业绩披露日期!F$7,ROW(),"")</f>
        <v/>
      </c>
      <c r="N146" t="str">
        <f>IF($I146=业绩披露日期!G$7,ROW(),"")</f>
        <v/>
      </c>
      <c r="O146" t="str">
        <f>IF($I146=业绩披露日期!H$7,ROW(),"")</f>
        <v/>
      </c>
      <c r="P146" t="str">
        <f>IF($I146=业绩披露日期!I$7,ROW(),"")</f>
        <v/>
      </c>
    </row>
    <row r="147" spans="1:16" x14ac:dyDescent="0.35">
      <c r="A147" s="23">
        <f t="shared" ca="1" si="11"/>
        <v>0</v>
      </c>
      <c r="B147" s="23">
        <f t="shared" si="12"/>
        <v>0</v>
      </c>
      <c r="C147" s="23">
        <f t="shared" si="13"/>
        <v>0</v>
      </c>
      <c r="D147" s="23">
        <f t="shared" si="14"/>
        <v>0</v>
      </c>
      <c r="E147" s="23">
        <f t="shared" si="15"/>
        <v>0</v>
      </c>
      <c r="F147" s="23">
        <f t="shared" si="15"/>
        <v>0</v>
      </c>
      <c r="G147" s="2" t="str">
        <f>IF('证券列表 '!B150="","",'证券列表 '!B150)</f>
        <v>IFBD.O</v>
      </c>
      <c r="H147" s="2" t="s">
        <v>293</v>
      </c>
      <c r="I147" s="3"/>
      <c r="J147" s="6">
        <v>2357914.2400000002</v>
      </c>
      <c r="K147" t="str">
        <f ca="1">IF($I147=业绩披露日期!D$7,ROW(),"")</f>
        <v/>
      </c>
      <c r="L147" t="str">
        <f>IF($I147=业绩披露日期!E$7,ROW(),"")</f>
        <v/>
      </c>
      <c r="M147" t="str">
        <f>IF($I147=业绩披露日期!F$7,ROW(),"")</f>
        <v/>
      </c>
      <c r="N147" t="str">
        <f>IF($I147=业绩披露日期!G$7,ROW(),"")</f>
        <v/>
      </c>
      <c r="O147" t="str">
        <f>IF($I147=业绩披露日期!H$7,ROW(),"")</f>
        <v/>
      </c>
      <c r="P147" t="str">
        <f>IF($I147=业绩披露日期!I$7,ROW(),"")</f>
        <v/>
      </c>
    </row>
    <row r="148" spans="1:16" x14ac:dyDescent="0.35">
      <c r="A148" s="23">
        <f t="shared" ca="1" si="11"/>
        <v>0</v>
      </c>
      <c r="B148" s="23">
        <f t="shared" si="12"/>
        <v>0</v>
      </c>
      <c r="C148" s="23">
        <f t="shared" si="13"/>
        <v>0</v>
      </c>
      <c r="D148" s="23">
        <f t="shared" si="14"/>
        <v>0</v>
      </c>
      <c r="E148" s="23">
        <f t="shared" si="15"/>
        <v>0</v>
      </c>
      <c r="F148" s="23">
        <f t="shared" si="15"/>
        <v>0</v>
      </c>
      <c r="G148" s="2" t="str">
        <f>IF('证券列表 '!B151="","",'证券列表 '!B151)</f>
        <v>IH.N</v>
      </c>
      <c r="H148" s="2" t="s">
        <v>295</v>
      </c>
      <c r="I148" s="3">
        <v>45554</v>
      </c>
      <c r="J148" s="6">
        <v>82144830.143999994</v>
      </c>
      <c r="K148" t="str">
        <f ca="1">IF($I148=业绩披露日期!D$7,ROW(),"")</f>
        <v/>
      </c>
      <c r="L148" t="str">
        <f>IF($I148=业绩披露日期!E$7,ROW(),"")</f>
        <v/>
      </c>
      <c r="M148" t="str">
        <f>IF($I148=业绩披露日期!F$7,ROW(),"")</f>
        <v/>
      </c>
      <c r="N148" t="str">
        <f>IF($I148=业绩披露日期!G$7,ROW(),"")</f>
        <v/>
      </c>
      <c r="O148" t="str">
        <f>IF($I148=业绩披露日期!H$7,ROW(),"")</f>
        <v/>
      </c>
      <c r="P148" t="str">
        <f>IF($I148=业绩披露日期!I$7,ROW(),"")</f>
        <v/>
      </c>
    </row>
    <row r="149" spans="1:16" x14ac:dyDescent="0.35">
      <c r="A149" s="23">
        <f t="shared" ca="1" si="11"/>
        <v>0</v>
      </c>
      <c r="B149" s="23">
        <f t="shared" si="12"/>
        <v>0</v>
      </c>
      <c r="C149" s="23">
        <f t="shared" si="13"/>
        <v>0</v>
      </c>
      <c r="D149" s="23">
        <f t="shared" si="14"/>
        <v>0</v>
      </c>
      <c r="E149" s="23">
        <f t="shared" si="15"/>
        <v>0</v>
      </c>
      <c r="F149" s="23">
        <f t="shared" si="15"/>
        <v>0</v>
      </c>
      <c r="G149" s="2" t="str">
        <f>IF('证券列表 '!B152="","",'证券列表 '!B152)</f>
        <v>ILAG.O</v>
      </c>
      <c r="H149" s="2" t="s">
        <v>297</v>
      </c>
      <c r="I149" s="3"/>
      <c r="J149" s="6">
        <v>21130200</v>
      </c>
      <c r="K149" t="str">
        <f ca="1">IF($I149=业绩披露日期!D$7,ROW(),"")</f>
        <v/>
      </c>
      <c r="L149" t="str">
        <f>IF($I149=业绩披露日期!E$7,ROW(),"")</f>
        <v/>
      </c>
      <c r="M149" t="str">
        <f>IF($I149=业绩披露日期!F$7,ROW(),"")</f>
        <v/>
      </c>
      <c r="N149" t="str">
        <f>IF($I149=业绩披露日期!G$7,ROW(),"")</f>
        <v/>
      </c>
      <c r="O149" t="str">
        <f>IF($I149=业绩披露日期!H$7,ROW(),"")</f>
        <v/>
      </c>
      <c r="P149" t="str">
        <f>IF($I149=业绩披露日期!I$7,ROW(),"")</f>
        <v/>
      </c>
    </row>
    <row r="150" spans="1:16" x14ac:dyDescent="0.35">
      <c r="A150" s="23">
        <f t="shared" ca="1" si="11"/>
        <v>0</v>
      </c>
      <c r="B150" s="23">
        <f t="shared" si="12"/>
        <v>0</v>
      </c>
      <c r="C150" s="23">
        <f t="shared" si="13"/>
        <v>0</v>
      </c>
      <c r="D150" s="23">
        <f t="shared" si="14"/>
        <v>0</v>
      </c>
      <c r="E150" s="23">
        <f t="shared" si="15"/>
        <v>0</v>
      </c>
      <c r="F150" s="23">
        <f t="shared" si="15"/>
        <v>0</v>
      </c>
      <c r="G150" s="2" t="str">
        <f>IF('证券列表 '!B153="","",'证券列表 '!B153)</f>
        <v>IMAB.O</v>
      </c>
      <c r="H150" s="2" t="s">
        <v>299</v>
      </c>
      <c r="I150" s="3">
        <v>45532</v>
      </c>
      <c r="J150" s="6">
        <v>91206841.600000009</v>
      </c>
      <c r="K150" t="str">
        <f ca="1">IF($I150=业绩披露日期!D$7,ROW(),"")</f>
        <v/>
      </c>
      <c r="L150" t="str">
        <f>IF($I150=业绩披露日期!E$7,ROW(),"")</f>
        <v/>
      </c>
      <c r="M150" t="str">
        <f>IF($I150=业绩披露日期!F$7,ROW(),"")</f>
        <v/>
      </c>
      <c r="N150" t="str">
        <f>IF($I150=业绩披露日期!G$7,ROW(),"")</f>
        <v/>
      </c>
      <c r="O150" t="str">
        <f>IF($I150=业绩披露日期!H$7,ROW(),"")</f>
        <v/>
      </c>
      <c r="P150" t="str">
        <f>IF($I150=业绩披露日期!I$7,ROW(),"")</f>
        <v/>
      </c>
    </row>
    <row r="151" spans="1:16" x14ac:dyDescent="0.35">
      <c r="A151" s="23">
        <f t="shared" ca="1" si="11"/>
        <v>0</v>
      </c>
      <c r="B151" s="23">
        <f t="shared" si="12"/>
        <v>0</v>
      </c>
      <c r="C151" s="23">
        <f t="shared" si="13"/>
        <v>0</v>
      </c>
      <c r="D151" s="23">
        <f t="shared" si="14"/>
        <v>0</v>
      </c>
      <c r="E151" s="23">
        <f t="shared" si="15"/>
        <v>0</v>
      </c>
      <c r="F151" s="23">
        <f t="shared" si="15"/>
        <v>0</v>
      </c>
      <c r="G151" s="2" t="str">
        <f>IF('证券列表 '!B154="","",'证券列表 '!B154)</f>
        <v>INTJ.O</v>
      </c>
      <c r="H151" s="2" t="s">
        <v>301</v>
      </c>
      <c r="I151" s="3"/>
      <c r="J151" s="6">
        <v>13783875</v>
      </c>
      <c r="K151" t="str">
        <f ca="1">IF($I151=业绩披露日期!D$7,ROW(),"")</f>
        <v/>
      </c>
      <c r="L151" t="str">
        <f>IF($I151=业绩披露日期!E$7,ROW(),"")</f>
        <v/>
      </c>
      <c r="M151" t="str">
        <f>IF($I151=业绩披露日期!F$7,ROW(),"")</f>
        <v/>
      </c>
      <c r="N151" t="str">
        <f>IF($I151=业绩披露日期!G$7,ROW(),"")</f>
        <v/>
      </c>
      <c r="O151" t="str">
        <f>IF($I151=业绩披露日期!H$7,ROW(),"")</f>
        <v/>
      </c>
      <c r="P151" t="str">
        <f>IF($I151=业绩披露日期!I$7,ROW(),"")</f>
        <v/>
      </c>
    </row>
    <row r="152" spans="1:16" x14ac:dyDescent="0.35">
      <c r="A152" s="23">
        <f t="shared" ca="1" si="11"/>
        <v>0</v>
      </c>
      <c r="B152" s="23">
        <f t="shared" si="12"/>
        <v>0</v>
      </c>
      <c r="C152" s="23">
        <f t="shared" si="13"/>
        <v>0</v>
      </c>
      <c r="D152" s="23">
        <f t="shared" si="14"/>
        <v>0</v>
      </c>
      <c r="E152" s="23">
        <f t="shared" si="15"/>
        <v>0</v>
      </c>
      <c r="F152" s="23">
        <f t="shared" si="15"/>
        <v>0</v>
      </c>
      <c r="G152" s="2" t="str">
        <f>IF('证券列表 '!B155="","",'证券列表 '!B155)</f>
        <v>IQ.O</v>
      </c>
      <c r="H152" s="2" t="s">
        <v>303</v>
      </c>
      <c r="I152" s="3">
        <v>45526</v>
      </c>
      <c r="J152" s="6">
        <v>2149645325.7600002</v>
      </c>
      <c r="K152" t="str">
        <f ca="1">IF($I152=业绩披露日期!D$7,ROW(),"")</f>
        <v/>
      </c>
      <c r="L152" t="str">
        <f>IF($I152=业绩披露日期!E$7,ROW(),"")</f>
        <v/>
      </c>
      <c r="M152" t="str">
        <f>IF($I152=业绩披露日期!F$7,ROW(),"")</f>
        <v/>
      </c>
      <c r="N152" t="str">
        <f>IF($I152=业绩披露日期!G$7,ROW(),"")</f>
        <v/>
      </c>
      <c r="O152" t="str">
        <f>IF($I152=业绩披露日期!H$7,ROW(),"")</f>
        <v/>
      </c>
      <c r="P152" t="str">
        <f>IF($I152=业绩披露日期!I$7,ROW(),"")</f>
        <v/>
      </c>
    </row>
    <row r="153" spans="1:16" x14ac:dyDescent="0.35">
      <c r="A153" s="23">
        <f t="shared" ca="1" si="11"/>
        <v>0</v>
      </c>
      <c r="B153" s="23">
        <f t="shared" si="12"/>
        <v>0</v>
      </c>
      <c r="C153" s="23">
        <f t="shared" si="13"/>
        <v>0</v>
      </c>
      <c r="D153" s="23">
        <f t="shared" si="14"/>
        <v>0</v>
      </c>
      <c r="E153" s="23">
        <f t="shared" si="15"/>
        <v>0</v>
      </c>
      <c r="F153" s="23">
        <f t="shared" si="15"/>
        <v>0</v>
      </c>
      <c r="G153" s="2" t="str">
        <f>IF('证券列表 '!B156="","",'证券列表 '!B156)</f>
        <v>ISPR.O</v>
      </c>
      <c r="H153" s="2" t="s">
        <v>305</v>
      </c>
      <c r="I153" s="3">
        <v>45343</v>
      </c>
      <c r="J153" s="6">
        <v>411724642.80000001</v>
      </c>
      <c r="K153" t="str">
        <f ca="1">IF($I153=业绩披露日期!D$7,ROW(),"")</f>
        <v/>
      </c>
      <c r="L153" t="str">
        <f>IF($I153=业绩披露日期!E$7,ROW(),"")</f>
        <v/>
      </c>
      <c r="M153" t="str">
        <f>IF($I153=业绩披露日期!F$7,ROW(),"")</f>
        <v/>
      </c>
      <c r="N153" t="str">
        <f>IF($I153=业绩披露日期!G$7,ROW(),"")</f>
        <v/>
      </c>
      <c r="O153" t="str">
        <f>IF($I153=业绩披露日期!H$7,ROW(),"")</f>
        <v/>
      </c>
      <c r="P153" t="str">
        <f>IF($I153=业绩披露日期!I$7,ROW(),"")</f>
        <v/>
      </c>
    </row>
    <row r="154" spans="1:16" x14ac:dyDescent="0.35">
      <c r="A154" s="23">
        <f t="shared" ca="1" si="11"/>
        <v>0</v>
      </c>
      <c r="B154" s="23">
        <f t="shared" si="12"/>
        <v>0</v>
      </c>
      <c r="C154" s="23">
        <f t="shared" si="13"/>
        <v>0</v>
      </c>
      <c r="D154" s="23">
        <f t="shared" si="14"/>
        <v>0</v>
      </c>
      <c r="E154" s="23">
        <f t="shared" si="15"/>
        <v>0</v>
      </c>
      <c r="F154" s="23">
        <f t="shared" si="15"/>
        <v>0</v>
      </c>
      <c r="G154" s="2" t="str">
        <f>IF('证券列表 '!B157="","",'证券列表 '!B157)</f>
        <v>ITP.A</v>
      </c>
      <c r="H154" s="2" t="s">
        <v>307</v>
      </c>
      <c r="I154" s="3">
        <v>45512</v>
      </c>
      <c r="J154" s="6">
        <v>2334286.8479999998</v>
      </c>
      <c r="K154" t="str">
        <f ca="1">IF($I154=业绩披露日期!D$7,ROW(),"")</f>
        <v/>
      </c>
      <c r="L154" t="str">
        <f>IF($I154=业绩披露日期!E$7,ROW(),"")</f>
        <v/>
      </c>
      <c r="M154" t="str">
        <f>IF($I154=业绩披露日期!F$7,ROW(),"")</f>
        <v/>
      </c>
      <c r="N154" t="str">
        <f>IF($I154=业绩披露日期!G$7,ROW(),"")</f>
        <v/>
      </c>
      <c r="O154" t="str">
        <f>IF($I154=业绩披露日期!H$7,ROW(),"")</f>
        <v/>
      </c>
      <c r="P154" t="str">
        <f>IF($I154=业绩披露日期!I$7,ROW(),"")</f>
        <v/>
      </c>
    </row>
    <row r="155" spans="1:16" x14ac:dyDescent="0.35">
      <c r="A155" s="23">
        <f t="shared" ca="1" si="11"/>
        <v>0</v>
      </c>
      <c r="B155" s="23">
        <f t="shared" si="12"/>
        <v>0</v>
      </c>
      <c r="C155" s="23">
        <f t="shared" si="13"/>
        <v>0</v>
      </c>
      <c r="D155" s="23">
        <f t="shared" si="14"/>
        <v>0</v>
      </c>
      <c r="E155" s="23">
        <f t="shared" si="15"/>
        <v>0</v>
      </c>
      <c r="F155" s="23">
        <f t="shared" si="15"/>
        <v>0</v>
      </c>
      <c r="G155" s="2" t="str">
        <f>IF('证券列表 '!B158="","",'证券列表 '!B158)</f>
        <v>IZM.O</v>
      </c>
      <c r="H155" s="2" t="s">
        <v>309</v>
      </c>
      <c r="I155" s="3"/>
      <c r="J155" s="6">
        <v>23542906.120000001</v>
      </c>
      <c r="K155" t="str">
        <f ca="1">IF($I155=业绩披露日期!D$7,ROW(),"")</f>
        <v/>
      </c>
      <c r="L155" t="str">
        <f>IF($I155=业绩披露日期!E$7,ROW(),"")</f>
        <v/>
      </c>
      <c r="M155" t="str">
        <f>IF($I155=业绩披露日期!F$7,ROW(),"")</f>
        <v/>
      </c>
      <c r="N155" t="str">
        <f>IF($I155=业绩披露日期!G$7,ROW(),"")</f>
        <v/>
      </c>
      <c r="O155" t="str">
        <f>IF($I155=业绩披露日期!H$7,ROW(),"")</f>
        <v/>
      </c>
      <c r="P155" t="str">
        <f>IF($I155=业绩披露日期!I$7,ROW(),"")</f>
        <v/>
      </c>
    </row>
    <row r="156" spans="1:16" x14ac:dyDescent="0.35">
      <c r="A156" s="23">
        <f t="shared" ca="1" si="11"/>
        <v>0</v>
      </c>
      <c r="B156" s="23">
        <f t="shared" si="12"/>
        <v>0</v>
      </c>
      <c r="C156" s="23">
        <f t="shared" si="13"/>
        <v>0</v>
      </c>
      <c r="D156" s="23">
        <f t="shared" si="14"/>
        <v>0</v>
      </c>
      <c r="E156" s="23">
        <f t="shared" si="15"/>
        <v>0</v>
      </c>
      <c r="F156" s="23">
        <f t="shared" si="15"/>
        <v>0</v>
      </c>
      <c r="G156" s="2" t="str">
        <f>IF('证券列表 '!B159="","",'证券列表 '!B159)</f>
        <v>JD.O</v>
      </c>
      <c r="H156" s="2" t="s">
        <v>311</v>
      </c>
      <c r="I156" s="3">
        <v>45518</v>
      </c>
      <c r="J156" s="6">
        <v>42248206356.366188</v>
      </c>
      <c r="K156" t="str">
        <f ca="1">IF($I156=业绩披露日期!D$7,ROW(),"")</f>
        <v/>
      </c>
      <c r="L156" t="str">
        <f>IF($I156=业绩披露日期!E$7,ROW(),"")</f>
        <v/>
      </c>
      <c r="M156" t="str">
        <f>IF($I156=业绩披露日期!F$7,ROW(),"")</f>
        <v/>
      </c>
      <c r="N156" t="str">
        <f>IF($I156=业绩披露日期!G$7,ROW(),"")</f>
        <v/>
      </c>
      <c r="O156" t="str">
        <f>IF($I156=业绩披露日期!H$7,ROW(),"")</f>
        <v/>
      </c>
      <c r="P156" t="str">
        <f>IF($I156=业绩披露日期!I$7,ROW(),"")</f>
        <v/>
      </c>
    </row>
    <row r="157" spans="1:16" x14ac:dyDescent="0.35">
      <c r="A157" s="23">
        <f t="shared" ca="1" si="11"/>
        <v>0</v>
      </c>
      <c r="B157" s="23">
        <f t="shared" si="12"/>
        <v>0</v>
      </c>
      <c r="C157" s="23">
        <f t="shared" si="13"/>
        <v>0</v>
      </c>
      <c r="D157" s="23">
        <f t="shared" si="14"/>
        <v>0</v>
      </c>
      <c r="E157" s="23">
        <f t="shared" si="15"/>
        <v>0</v>
      </c>
      <c r="F157" s="23">
        <f t="shared" si="15"/>
        <v>0</v>
      </c>
      <c r="G157" s="2" t="str">
        <f>IF('证券列表 '!B160="","",'证券列表 '!B160)</f>
        <v>JDZG.O</v>
      </c>
      <c r="H157" s="2" t="s">
        <v>313</v>
      </c>
      <c r="I157" s="3"/>
      <c r="J157" s="6">
        <v>12360090.210000001</v>
      </c>
      <c r="K157" t="str">
        <f ca="1">IF($I157=业绩披露日期!D$7,ROW(),"")</f>
        <v/>
      </c>
      <c r="L157" t="str">
        <f>IF($I157=业绩披露日期!E$7,ROW(),"")</f>
        <v/>
      </c>
      <c r="M157" t="str">
        <f>IF($I157=业绩披露日期!F$7,ROW(),"")</f>
        <v/>
      </c>
      <c r="N157" t="str">
        <f>IF($I157=业绩披露日期!G$7,ROW(),"")</f>
        <v/>
      </c>
      <c r="O157" t="str">
        <f>IF($I157=业绩披露日期!H$7,ROW(),"")</f>
        <v/>
      </c>
      <c r="P157" t="str">
        <f>IF($I157=业绩披露日期!I$7,ROW(),"")</f>
        <v/>
      </c>
    </row>
    <row r="158" spans="1:16" x14ac:dyDescent="0.35">
      <c r="A158" s="23">
        <f t="shared" ca="1" si="11"/>
        <v>0</v>
      </c>
      <c r="B158" s="23">
        <f t="shared" si="12"/>
        <v>0</v>
      </c>
      <c r="C158" s="23">
        <f t="shared" si="13"/>
        <v>0</v>
      </c>
      <c r="D158" s="23">
        <f t="shared" si="14"/>
        <v>0</v>
      </c>
      <c r="E158" s="23">
        <f t="shared" si="15"/>
        <v>0</v>
      </c>
      <c r="F158" s="23">
        <f t="shared" si="15"/>
        <v>0</v>
      </c>
      <c r="G158" s="2" t="str">
        <f>IF('证券列表 '!B161="","",'证券列表 '!B161)</f>
        <v>JFIN.O</v>
      </c>
      <c r="H158" s="2" t="s">
        <v>315</v>
      </c>
      <c r="I158" s="3">
        <v>45531</v>
      </c>
      <c r="J158" s="6">
        <v>282663150.38</v>
      </c>
      <c r="K158" t="str">
        <f ca="1">IF($I158=业绩披露日期!D$7,ROW(),"")</f>
        <v/>
      </c>
      <c r="L158" t="str">
        <f>IF($I158=业绩披露日期!E$7,ROW(),"")</f>
        <v/>
      </c>
      <c r="M158" t="str">
        <f>IF($I158=业绩披露日期!F$7,ROW(),"")</f>
        <v/>
      </c>
      <c r="N158" t="str">
        <f>IF($I158=业绩披露日期!G$7,ROW(),"")</f>
        <v/>
      </c>
      <c r="O158" t="str">
        <f>IF($I158=业绩披露日期!H$7,ROW(),"")</f>
        <v/>
      </c>
      <c r="P158" t="str">
        <f>IF($I158=业绩披露日期!I$7,ROW(),"")</f>
        <v/>
      </c>
    </row>
    <row r="159" spans="1:16" x14ac:dyDescent="0.35">
      <c r="A159" s="23">
        <f t="shared" ca="1" si="11"/>
        <v>0</v>
      </c>
      <c r="B159" s="23">
        <f t="shared" si="12"/>
        <v>0</v>
      </c>
      <c r="C159" s="23">
        <f t="shared" si="13"/>
        <v>0</v>
      </c>
      <c r="D159" s="23">
        <f t="shared" si="14"/>
        <v>0</v>
      </c>
      <c r="E159" s="23">
        <f t="shared" si="15"/>
        <v>0</v>
      </c>
      <c r="F159" s="23">
        <f t="shared" si="15"/>
        <v>0</v>
      </c>
      <c r="G159" s="2" t="str">
        <f>IF('证券列表 '!B162="","",'证券列表 '!B162)</f>
        <v>JFU.O</v>
      </c>
      <c r="H159" s="2" t="s">
        <v>317</v>
      </c>
      <c r="I159" s="3"/>
      <c r="J159" s="6">
        <v>21309732.73</v>
      </c>
      <c r="K159" t="str">
        <f ca="1">IF($I159=业绩披露日期!D$7,ROW(),"")</f>
        <v/>
      </c>
      <c r="L159" t="str">
        <f>IF($I159=业绩披露日期!E$7,ROW(),"")</f>
        <v/>
      </c>
      <c r="M159" t="str">
        <f>IF($I159=业绩披露日期!F$7,ROW(),"")</f>
        <v/>
      </c>
      <c r="N159" t="str">
        <f>IF($I159=业绩披露日期!G$7,ROW(),"")</f>
        <v/>
      </c>
      <c r="O159" t="str">
        <f>IF($I159=业绩披露日期!H$7,ROW(),"")</f>
        <v/>
      </c>
      <c r="P159" t="str">
        <f>IF($I159=业绩披露日期!I$7,ROW(),"")</f>
        <v/>
      </c>
    </row>
    <row r="160" spans="1:16" x14ac:dyDescent="0.35">
      <c r="A160" s="23">
        <f t="shared" ca="1" si="11"/>
        <v>0</v>
      </c>
      <c r="B160" s="23">
        <f t="shared" si="12"/>
        <v>0</v>
      </c>
      <c r="C160" s="23">
        <f t="shared" si="13"/>
        <v>0</v>
      </c>
      <c r="D160" s="23">
        <f t="shared" si="14"/>
        <v>0</v>
      </c>
      <c r="E160" s="23">
        <f t="shared" si="15"/>
        <v>0</v>
      </c>
      <c r="F160" s="23">
        <f t="shared" si="15"/>
        <v>0</v>
      </c>
      <c r="G160" s="2" t="str">
        <f>IF('证券列表 '!B163="","",'证券列表 '!B163)</f>
        <v>JG.O</v>
      </c>
      <c r="H160" s="2" t="s">
        <v>319</v>
      </c>
      <c r="I160" s="3">
        <v>45533</v>
      </c>
      <c r="J160" s="6">
        <v>22865308.732271831</v>
      </c>
      <c r="K160" t="str">
        <f ca="1">IF($I160=业绩披露日期!D$7,ROW(),"")</f>
        <v/>
      </c>
      <c r="L160" t="str">
        <f>IF($I160=业绩披露日期!E$7,ROW(),"")</f>
        <v/>
      </c>
      <c r="M160" t="str">
        <f>IF($I160=业绩披露日期!F$7,ROW(),"")</f>
        <v/>
      </c>
      <c r="N160" t="str">
        <f>IF($I160=业绩披露日期!G$7,ROW(),"")</f>
        <v/>
      </c>
      <c r="O160" t="str">
        <f>IF($I160=业绩披露日期!H$7,ROW(),"")</f>
        <v/>
      </c>
      <c r="P160" t="str">
        <f>IF($I160=业绩披露日期!I$7,ROW(),"")</f>
        <v/>
      </c>
    </row>
    <row r="161" spans="1:16" x14ac:dyDescent="0.35">
      <c r="A161" s="23">
        <f t="shared" ca="1" si="11"/>
        <v>2</v>
      </c>
      <c r="B161" s="23">
        <f t="shared" si="12"/>
        <v>0</v>
      </c>
      <c r="C161" s="23">
        <f t="shared" si="13"/>
        <v>0</v>
      </c>
      <c r="D161" s="23">
        <f t="shared" si="14"/>
        <v>0</v>
      </c>
      <c r="E161" s="23">
        <f t="shared" si="15"/>
        <v>0</v>
      </c>
      <c r="F161" s="23">
        <f t="shared" si="15"/>
        <v>0</v>
      </c>
      <c r="G161" s="2" t="str">
        <f>IF('证券列表 '!B164="","",'证券列表 '!B164)</f>
        <v>JKS.N</v>
      </c>
      <c r="H161" s="2" t="s">
        <v>321</v>
      </c>
      <c r="I161" s="3">
        <v>45534</v>
      </c>
      <c r="J161" s="6">
        <v>962096970.37500012</v>
      </c>
      <c r="K161">
        <f ca="1">IF($I161=业绩披露日期!D$7,ROW(),"")</f>
        <v>161</v>
      </c>
      <c r="L161" t="str">
        <f>IF($I161=业绩披露日期!E$7,ROW(),"")</f>
        <v/>
      </c>
      <c r="M161" t="str">
        <f>IF($I161=业绩披露日期!F$7,ROW(),"")</f>
        <v/>
      </c>
      <c r="N161" t="str">
        <f>IF($I161=业绩披露日期!G$7,ROW(),"")</f>
        <v/>
      </c>
      <c r="O161" t="str">
        <f>IF($I161=业绩披露日期!H$7,ROW(),"")</f>
        <v/>
      </c>
      <c r="P161" t="str">
        <f>IF($I161=业绩披露日期!I$7,ROW(),"")</f>
        <v/>
      </c>
    </row>
    <row r="162" spans="1:16" x14ac:dyDescent="0.35">
      <c r="A162" s="23">
        <f t="shared" ca="1" si="11"/>
        <v>0</v>
      </c>
      <c r="B162" s="23">
        <f t="shared" si="12"/>
        <v>0</v>
      </c>
      <c r="C162" s="23">
        <f t="shared" si="13"/>
        <v>0</v>
      </c>
      <c r="D162" s="23">
        <f t="shared" si="14"/>
        <v>0</v>
      </c>
      <c r="E162" s="23">
        <f t="shared" si="15"/>
        <v>0</v>
      </c>
      <c r="F162" s="23">
        <f t="shared" si="15"/>
        <v>0</v>
      </c>
      <c r="G162" s="2" t="str">
        <f>IF('证券列表 '!B165="","",'证券列表 '!B165)</f>
        <v>JL.O</v>
      </c>
      <c r="H162" s="2" t="s">
        <v>323</v>
      </c>
      <c r="I162" s="3"/>
      <c r="J162" s="6">
        <v>14130000</v>
      </c>
      <c r="K162" t="str">
        <f ca="1">IF($I162=业绩披露日期!D$7,ROW(),"")</f>
        <v/>
      </c>
      <c r="L162" t="str">
        <f>IF($I162=业绩披露日期!E$7,ROW(),"")</f>
        <v/>
      </c>
      <c r="M162" t="str">
        <f>IF($I162=业绩披露日期!F$7,ROW(),"")</f>
        <v/>
      </c>
      <c r="N162" t="str">
        <f>IF($I162=业绩披露日期!G$7,ROW(),"")</f>
        <v/>
      </c>
      <c r="O162" t="str">
        <f>IF($I162=业绩披露日期!H$7,ROW(),"")</f>
        <v/>
      </c>
      <c r="P162" t="str">
        <f>IF($I162=业绩披露日期!I$7,ROW(),"")</f>
        <v/>
      </c>
    </row>
    <row r="163" spans="1:16" x14ac:dyDescent="0.35">
      <c r="A163" s="23">
        <f t="shared" ca="1" si="11"/>
        <v>0</v>
      </c>
      <c r="B163" s="23">
        <f t="shared" si="12"/>
        <v>0</v>
      </c>
      <c r="C163" s="23">
        <f t="shared" si="13"/>
        <v>0</v>
      </c>
      <c r="D163" s="23">
        <f t="shared" si="14"/>
        <v>0</v>
      </c>
      <c r="E163" s="23">
        <f t="shared" si="15"/>
        <v>0</v>
      </c>
      <c r="F163" s="23">
        <f t="shared" si="15"/>
        <v>0</v>
      </c>
      <c r="G163" s="2" t="str">
        <f>IF('证券列表 '!B166="","",'证券列表 '!B166)</f>
        <v>JUNE.O</v>
      </c>
      <c r="H163" s="2" t="s">
        <v>325</v>
      </c>
      <c r="I163" s="3"/>
      <c r="J163" s="6">
        <v>58740001.32</v>
      </c>
      <c r="K163" t="str">
        <f ca="1">IF($I163=业绩披露日期!D$7,ROW(),"")</f>
        <v/>
      </c>
      <c r="L163" t="str">
        <f>IF($I163=业绩披露日期!E$7,ROW(),"")</f>
        <v/>
      </c>
      <c r="M163" t="str">
        <f>IF($I163=业绩披露日期!F$7,ROW(),"")</f>
        <v/>
      </c>
      <c r="N163" t="str">
        <f>IF($I163=业绩披露日期!G$7,ROW(),"")</f>
        <v/>
      </c>
      <c r="O163" t="str">
        <f>IF($I163=业绩披露日期!H$7,ROW(),"")</f>
        <v/>
      </c>
      <c r="P163" t="str">
        <f>IF($I163=业绩披露日期!I$7,ROW(),"")</f>
        <v/>
      </c>
    </row>
    <row r="164" spans="1:16" x14ac:dyDescent="0.35">
      <c r="A164" s="23">
        <f t="shared" ca="1" si="11"/>
        <v>0</v>
      </c>
      <c r="B164" s="23">
        <f t="shared" si="12"/>
        <v>0</v>
      </c>
      <c r="C164" s="23">
        <f t="shared" si="13"/>
        <v>0</v>
      </c>
      <c r="D164" s="23">
        <f t="shared" si="14"/>
        <v>0</v>
      </c>
      <c r="E164" s="23">
        <f t="shared" si="15"/>
        <v>0</v>
      </c>
      <c r="F164" s="23">
        <f t="shared" si="15"/>
        <v>0</v>
      </c>
      <c r="G164" s="2" t="str">
        <f>IF('证券列表 '!B167="","",'证券列表 '!B167)</f>
        <v>JWEL.O</v>
      </c>
      <c r="H164" s="2" t="s">
        <v>327</v>
      </c>
      <c r="I164" s="3"/>
      <c r="J164" s="6">
        <v>3147188.75</v>
      </c>
      <c r="K164" t="str">
        <f ca="1">IF($I164=业绩披露日期!D$7,ROW(),"")</f>
        <v/>
      </c>
      <c r="L164" t="str">
        <f>IF($I164=业绩披露日期!E$7,ROW(),"")</f>
        <v/>
      </c>
      <c r="M164" t="str">
        <f>IF($I164=业绩披露日期!F$7,ROW(),"")</f>
        <v/>
      </c>
      <c r="N164" t="str">
        <f>IF($I164=业绩披露日期!G$7,ROW(),"")</f>
        <v/>
      </c>
      <c r="O164" t="str">
        <f>IF($I164=业绩披露日期!H$7,ROW(),"")</f>
        <v/>
      </c>
      <c r="P164" t="str">
        <f>IF($I164=业绩披露日期!I$7,ROW(),"")</f>
        <v/>
      </c>
    </row>
    <row r="165" spans="1:16" x14ac:dyDescent="0.35">
      <c r="A165" s="23">
        <f t="shared" ca="1" si="11"/>
        <v>0</v>
      </c>
      <c r="B165" s="23">
        <f t="shared" si="12"/>
        <v>0</v>
      </c>
      <c r="C165" s="23">
        <f t="shared" si="13"/>
        <v>0</v>
      </c>
      <c r="D165" s="23">
        <f t="shared" si="14"/>
        <v>0</v>
      </c>
      <c r="E165" s="23">
        <f t="shared" si="15"/>
        <v>0</v>
      </c>
      <c r="F165" s="23">
        <f t="shared" si="15"/>
        <v>0</v>
      </c>
      <c r="G165" s="2" t="str">
        <f>IF('证券列表 '!B168="","",'证券列表 '!B168)</f>
        <v>JXJT.O</v>
      </c>
      <c r="H165" s="2" t="s">
        <v>329</v>
      </c>
      <c r="I165" s="3"/>
      <c r="J165" s="6">
        <v>10913745.6</v>
      </c>
      <c r="K165" t="str">
        <f ca="1">IF($I165=业绩披露日期!D$7,ROW(),"")</f>
        <v/>
      </c>
      <c r="L165" t="str">
        <f>IF($I165=业绩披露日期!E$7,ROW(),"")</f>
        <v/>
      </c>
      <c r="M165" t="str">
        <f>IF($I165=业绩披露日期!F$7,ROW(),"")</f>
        <v/>
      </c>
      <c r="N165" t="str">
        <f>IF($I165=业绩披露日期!G$7,ROW(),"")</f>
        <v/>
      </c>
      <c r="O165" t="str">
        <f>IF($I165=业绩披露日期!H$7,ROW(),"")</f>
        <v/>
      </c>
      <c r="P165" t="str">
        <f>IF($I165=业绩披露日期!I$7,ROW(),"")</f>
        <v/>
      </c>
    </row>
    <row r="166" spans="1:16" x14ac:dyDescent="0.35">
      <c r="A166" s="23">
        <f t="shared" ca="1" si="11"/>
        <v>0</v>
      </c>
      <c r="B166" s="23">
        <f t="shared" si="12"/>
        <v>0</v>
      </c>
      <c r="C166" s="23">
        <f t="shared" si="13"/>
        <v>0</v>
      </c>
      <c r="D166" s="23">
        <f t="shared" si="14"/>
        <v>0</v>
      </c>
      <c r="E166" s="23">
        <f t="shared" si="15"/>
        <v>0</v>
      </c>
      <c r="F166" s="23">
        <f t="shared" si="15"/>
        <v>0</v>
      </c>
      <c r="G166" s="2" t="str">
        <f>IF('证券列表 '!B169="","",'证券列表 '!B169)</f>
        <v>JYD.O</v>
      </c>
      <c r="H166" s="2" t="s">
        <v>331</v>
      </c>
      <c r="I166" s="3"/>
      <c r="J166" s="6">
        <v>15478226.4527</v>
      </c>
      <c r="K166" t="str">
        <f ca="1">IF($I166=业绩披露日期!D$7,ROW(),"")</f>
        <v/>
      </c>
      <c r="L166" t="str">
        <f>IF($I166=业绩披露日期!E$7,ROW(),"")</f>
        <v/>
      </c>
      <c r="M166" t="str">
        <f>IF($I166=业绩披露日期!F$7,ROW(),"")</f>
        <v/>
      </c>
      <c r="N166" t="str">
        <f>IF($I166=业绩披露日期!G$7,ROW(),"")</f>
        <v/>
      </c>
      <c r="O166" t="str">
        <f>IF($I166=业绩披露日期!H$7,ROW(),"")</f>
        <v/>
      </c>
      <c r="P166" t="str">
        <f>IF($I166=业绩披露日期!I$7,ROW(),"")</f>
        <v/>
      </c>
    </row>
    <row r="167" spans="1:16" x14ac:dyDescent="0.35">
      <c r="A167" s="23">
        <f t="shared" ca="1" si="11"/>
        <v>0</v>
      </c>
      <c r="B167" s="23">
        <f t="shared" si="12"/>
        <v>0</v>
      </c>
      <c r="C167" s="23">
        <f t="shared" si="13"/>
        <v>0</v>
      </c>
      <c r="D167" s="23">
        <f t="shared" si="14"/>
        <v>0</v>
      </c>
      <c r="E167" s="23">
        <f t="shared" si="15"/>
        <v>0</v>
      </c>
      <c r="F167" s="23">
        <f t="shared" si="15"/>
        <v>0</v>
      </c>
      <c r="G167" s="2" t="str">
        <f>IF('证券列表 '!B170="","",'证券列表 '!B170)</f>
        <v>JZ.O</v>
      </c>
      <c r="H167" s="2" t="s">
        <v>333</v>
      </c>
      <c r="I167" s="3"/>
      <c r="J167" s="6">
        <v>55105050</v>
      </c>
      <c r="K167" t="str">
        <f ca="1">IF($I167=业绩披露日期!D$7,ROW(),"")</f>
        <v/>
      </c>
      <c r="L167" t="str">
        <f>IF($I167=业绩披露日期!E$7,ROW(),"")</f>
        <v/>
      </c>
      <c r="M167" t="str">
        <f>IF($I167=业绩披露日期!F$7,ROW(),"")</f>
        <v/>
      </c>
      <c r="N167" t="str">
        <f>IF($I167=业绩披露日期!G$7,ROW(),"")</f>
        <v/>
      </c>
      <c r="O167" t="str">
        <f>IF($I167=业绩披露日期!H$7,ROW(),"")</f>
        <v/>
      </c>
      <c r="P167" t="str">
        <f>IF($I167=业绩披露日期!I$7,ROW(),"")</f>
        <v/>
      </c>
    </row>
    <row r="168" spans="1:16" x14ac:dyDescent="0.35">
      <c r="A168" s="23">
        <f t="shared" ca="1" si="11"/>
        <v>0</v>
      </c>
      <c r="B168" s="23">
        <f t="shared" si="12"/>
        <v>0</v>
      </c>
      <c r="C168" s="23">
        <f t="shared" si="13"/>
        <v>0</v>
      </c>
      <c r="D168" s="23">
        <f t="shared" si="14"/>
        <v>0</v>
      </c>
      <c r="E168" s="23">
        <f t="shared" si="15"/>
        <v>0</v>
      </c>
      <c r="F168" s="23">
        <f t="shared" si="15"/>
        <v>0</v>
      </c>
      <c r="G168" s="2" t="str">
        <f>IF('证券列表 '!B171="","",'证券列表 '!B171)</f>
        <v>JZXN.O</v>
      </c>
      <c r="H168" s="2" t="s">
        <v>335</v>
      </c>
      <c r="I168" s="3"/>
      <c r="J168" s="6">
        <v>10185747.75</v>
      </c>
      <c r="K168" t="str">
        <f ca="1">IF($I168=业绩披露日期!D$7,ROW(),"")</f>
        <v/>
      </c>
      <c r="L168" t="str">
        <f>IF($I168=业绩披露日期!E$7,ROW(),"")</f>
        <v/>
      </c>
      <c r="M168" t="str">
        <f>IF($I168=业绩披露日期!F$7,ROW(),"")</f>
        <v/>
      </c>
      <c r="N168" t="str">
        <f>IF($I168=业绩披露日期!G$7,ROW(),"")</f>
        <v/>
      </c>
      <c r="O168" t="str">
        <f>IF($I168=业绩披露日期!H$7,ROW(),"")</f>
        <v/>
      </c>
      <c r="P168" t="str">
        <f>IF($I168=业绩披露日期!I$7,ROW(),"")</f>
        <v/>
      </c>
    </row>
    <row r="169" spans="1:16" x14ac:dyDescent="0.35">
      <c r="A169" s="23">
        <f t="shared" ca="1" si="11"/>
        <v>0</v>
      </c>
      <c r="B169" s="23">
        <f t="shared" si="12"/>
        <v>0</v>
      </c>
      <c r="C169" s="23">
        <f t="shared" si="13"/>
        <v>0</v>
      </c>
      <c r="D169" s="23">
        <f t="shared" si="14"/>
        <v>0</v>
      </c>
      <c r="E169" s="23">
        <f t="shared" si="15"/>
        <v>0</v>
      </c>
      <c r="F169" s="23">
        <f t="shared" si="15"/>
        <v>0</v>
      </c>
      <c r="G169" s="2" t="str">
        <f>IF('证券列表 '!B172="","",'证券列表 '!B172)</f>
        <v>KC.O</v>
      </c>
      <c r="H169" s="2" t="s">
        <v>337</v>
      </c>
      <c r="I169" s="3">
        <v>45524</v>
      </c>
      <c r="J169" s="6">
        <v>629432127.44463694</v>
      </c>
      <c r="K169" t="str">
        <f ca="1">IF($I169=业绩披露日期!D$7,ROW(),"")</f>
        <v/>
      </c>
      <c r="L169" t="str">
        <f>IF($I169=业绩披露日期!E$7,ROW(),"")</f>
        <v/>
      </c>
      <c r="M169" t="str">
        <f>IF($I169=业绩披露日期!F$7,ROW(),"")</f>
        <v/>
      </c>
      <c r="N169" t="str">
        <f>IF($I169=业绩披露日期!G$7,ROW(),"")</f>
        <v/>
      </c>
      <c r="O169" t="str">
        <f>IF($I169=业绩披露日期!H$7,ROW(),"")</f>
        <v/>
      </c>
      <c r="P169" t="str">
        <f>IF($I169=业绩披露日期!I$7,ROW(),"")</f>
        <v/>
      </c>
    </row>
    <row r="170" spans="1:16" x14ac:dyDescent="0.35">
      <c r="A170" s="23">
        <f t="shared" ca="1" si="11"/>
        <v>0</v>
      </c>
      <c r="B170" s="23">
        <f t="shared" si="12"/>
        <v>0</v>
      </c>
      <c r="C170" s="23">
        <f t="shared" si="13"/>
        <v>0</v>
      </c>
      <c r="D170" s="23">
        <f t="shared" si="14"/>
        <v>0</v>
      </c>
      <c r="E170" s="23">
        <f t="shared" si="15"/>
        <v>0</v>
      </c>
      <c r="F170" s="23">
        <f t="shared" si="15"/>
        <v>0</v>
      </c>
      <c r="G170" s="2" t="str">
        <f>IF('证券列表 '!B173="","",'证券列表 '!B173)</f>
        <v>KNDI.O</v>
      </c>
      <c r="H170" s="2" t="s">
        <v>339</v>
      </c>
      <c r="I170" s="3">
        <v>45520</v>
      </c>
      <c r="J170" s="6">
        <v>155497656.52000001</v>
      </c>
      <c r="K170" t="str">
        <f ca="1">IF($I170=业绩披露日期!D$7,ROW(),"")</f>
        <v/>
      </c>
      <c r="L170" t="str">
        <f>IF($I170=业绩披露日期!E$7,ROW(),"")</f>
        <v/>
      </c>
      <c r="M170" t="str">
        <f>IF($I170=业绩披露日期!F$7,ROW(),"")</f>
        <v/>
      </c>
      <c r="N170" t="str">
        <f>IF($I170=业绩披露日期!G$7,ROW(),"")</f>
        <v/>
      </c>
      <c r="O170" t="str">
        <f>IF($I170=业绩披露日期!H$7,ROW(),"")</f>
        <v/>
      </c>
      <c r="P170" t="str">
        <f>IF($I170=业绩披露日期!I$7,ROW(),"")</f>
        <v/>
      </c>
    </row>
    <row r="171" spans="1:16" x14ac:dyDescent="0.35">
      <c r="A171" s="23">
        <f t="shared" ca="1" si="11"/>
        <v>0</v>
      </c>
      <c r="B171" s="23">
        <f t="shared" si="12"/>
        <v>0</v>
      </c>
      <c r="C171" s="23">
        <f t="shared" si="13"/>
        <v>0</v>
      </c>
      <c r="D171" s="23">
        <f t="shared" si="14"/>
        <v>0</v>
      </c>
      <c r="E171" s="23">
        <f t="shared" si="15"/>
        <v>0</v>
      </c>
      <c r="F171" s="23">
        <f t="shared" si="15"/>
        <v>0</v>
      </c>
      <c r="G171" s="2" t="str">
        <f>IF('证券列表 '!B174="","",'证券列表 '!B174)</f>
        <v>KRKR.O</v>
      </c>
      <c r="H171" s="2" t="s">
        <v>341</v>
      </c>
      <c r="I171" s="3">
        <v>45533</v>
      </c>
      <c r="J171" s="6">
        <v>10270201.357664</v>
      </c>
      <c r="K171" t="str">
        <f ca="1">IF($I171=业绩披露日期!D$7,ROW(),"")</f>
        <v/>
      </c>
      <c r="L171" t="str">
        <f>IF($I171=业绩披露日期!E$7,ROW(),"")</f>
        <v/>
      </c>
      <c r="M171" t="str">
        <f>IF($I171=业绩披露日期!F$7,ROW(),"")</f>
        <v/>
      </c>
      <c r="N171" t="str">
        <f>IF($I171=业绩披露日期!G$7,ROW(),"")</f>
        <v/>
      </c>
      <c r="O171" t="str">
        <f>IF($I171=业绩披露日期!H$7,ROW(),"")</f>
        <v/>
      </c>
      <c r="P171" t="str">
        <f>IF($I171=业绩披露日期!I$7,ROW(),"")</f>
        <v/>
      </c>
    </row>
    <row r="172" spans="1:16" x14ac:dyDescent="0.35">
      <c r="A172" s="23">
        <f t="shared" ca="1" si="11"/>
        <v>0</v>
      </c>
      <c r="B172" s="23">
        <f t="shared" si="12"/>
        <v>0</v>
      </c>
      <c r="C172" s="23">
        <f t="shared" si="13"/>
        <v>0</v>
      </c>
      <c r="D172" s="23">
        <f t="shared" si="14"/>
        <v>0</v>
      </c>
      <c r="E172" s="23">
        <f t="shared" si="15"/>
        <v>0</v>
      </c>
      <c r="F172" s="23">
        <f t="shared" si="15"/>
        <v>0</v>
      </c>
      <c r="G172" s="2" t="str">
        <f>IF('证券列表 '!B175="","",'证券列表 '!B175)</f>
        <v>KUKE.N</v>
      </c>
      <c r="H172" s="2" t="s">
        <v>343</v>
      </c>
      <c r="I172" s="3"/>
      <c r="J172" s="6">
        <v>38184738.210000001</v>
      </c>
      <c r="K172" t="str">
        <f ca="1">IF($I172=业绩披露日期!D$7,ROW(),"")</f>
        <v/>
      </c>
      <c r="L172" t="str">
        <f>IF($I172=业绩披露日期!E$7,ROW(),"")</f>
        <v/>
      </c>
      <c r="M172" t="str">
        <f>IF($I172=业绩披露日期!F$7,ROW(),"")</f>
        <v/>
      </c>
      <c r="N172" t="str">
        <f>IF($I172=业绩披露日期!G$7,ROW(),"")</f>
        <v/>
      </c>
      <c r="O172" t="str">
        <f>IF($I172=业绩披露日期!H$7,ROW(),"")</f>
        <v/>
      </c>
      <c r="P172" t="str">
        <f>IF($I172=业绩披露日期!I$7,ROW(),"")</f>
        <v/>
      </c>
    </row>
    <row r="173" spans="1:16" x14ac:dyDescent="0.35">
      <c r="A173" s="23">
        <f t="shared" ca="1" si="11"/>
        <v>0</v>
      </c>
      <c r="B173" s="23">
        <f t="shared" si="12"/>
        <v>0</v>
      </c>
      <c r="C173" s="23">
        <f t="shared" si="13"/>
        <v>0</v>
      </c>
      <c r="D173" s="23">
        <f t="shared" si="14"/>
        <v>0</v>
      </c>
      <c r="E173" s="23">
        <f t="shared" si="15"/>
        <v>0</v>
      </c>
      <c r="F173" s="23">
        <f t="shared" si="15"/>
        <v>0</v>
      </c>
      <c r="G173" s="2" t="str">
        <f>IF('证券列表 '!B176="","",'证券列表 '!B176)</f>
        <v>KXIN.O</v>
      </c>
      <c r="H173" s="2" t="s">
        <v>345</v>
      </c>
      <c r="I173" s="3"/>
      <c r="J173" s="6">
        <v>4414971.7976000002</v>
      </c>
      <c r="K173" t="str">
        <f ca="1">IF($I173=业绩披露日期!D$7,ROW(),"")</f>
        <v/>
      </c>
      <c r="L173" t="str">
        <f>IF($I173=业绩披露日期!E$7,ROW(),"")</f>
        <v/>
      </c>
      <c r="M173" t="str">
        <f>IF($I173=业绩披露日期!F$7,ROW(),"")</f>
        <v/>
      </c>
      <c r="N173" t="str">
        <f>IF($I173=业绩披露日期!G$7,ROW(),"")</f>
        <v/>
      </c>
      <c r="O173" t="str">
        <f>IF($I173=业绩披露日期!H$7,ROW(),"")</f>
        <v/>
      </c>
      <c r="P173" t="str">
        <f>IF($I173=业绩披露日期!I$7,ROW(),"")</f>
        <v/>
      </c>
    </row>
    <row r="174" spans="1:16" x14ac:dyDescent="0.35">
      <c r="A174" s="23">
        <f t="shared" ca="1" si="11"/>
        <v>0</v>
      </c>
      <c r="B174" s="23">
        <f t="shared" si="12"/>
        <v>0</v>
      </c>
      <c r="C174" s="23">
        <f t="shared" si="13"/>
        <v>0</v>
      </c>
      <c r="D174" s="23">
        <f t="shared" si="14"/>
        <v>0</v>
      </c>
      <c r="E174" s="23">
        <f t="shared" si="15"/>
        <v>0</v>
      </c>
      <c r="F174" s="23">
        <f t="shared" si="15"/>
        <v>0</v>
      </c>
      <c r="G174" s="2" t="str">
        <f>IF('证券列表 '!B177="","",'证券列表 '!B177)</f>
        <v>LANV.N</v>
      </c>
      <c r="H174" s="2" t="s">
        <v>347</v>
      </c>
      <c r="I174" s="3"/>
      <c r="J174" s="6">
        <v>213522079.68000001</v>
      </c>
      <c r="K174" t="str">
        <f ca="1">IF($I174=业绩披露日期!D$7,ROW(),"")</f>
        <v/>
      </c>
      <c r="L174" t="str">
        <f>IF($I174=业绩披露日期!E$7,ROW(),"")</f>
        <v/>
      </c>
      <c r="M174" t="str">
        <f>IF($I174=业绩披露日期!F$7,ROW(),"")</f>
        <v/>
      </c>
      <c r="N174" t="str">
        <f>IF($I174=业绩披露日期!G$7,ROW(),"")</f>
        <v/>
      </c>
      <c r="O174" t="str">
        <f>IF($I174=业绩披露日期!H$7,ROW(),"")</f>
        <v/>
      </c>
      <c r="P174" t="str">
        <f>IF($I174=业绩披露日期!I$7,ROW(),"")</f>
        <v/>
      </c>
    </row>
    <row r="175" spans="1:16" x14ac:dyDescent="0.35">
      <c r="A175" s="23">
        <f t="shared" ca="1" si="11"/>
        <v>0</v>
      </c>
      <c r="B175" s="23">
        <f t="shared" si="12"/>
        <v>0</v>
      </c>
      <c r="C175" s="23">
        <f t="shared" si="13"/>
        <v>0</v>
      </c>
      <c r="D175" s="23">
        <f t="shared" si="14"/>
        <v>0</v>
      </c>
      <c r="E175" s="23">
        <f t="shared" si="15"/>
        <v>0</v>
      </c>
      <c r="F175" s="23">
        <f t="shared" si="15"/>
        <v>0</v>
      </c>
      <c r="G175" s="2" t="str">
        <f>IF('证券列表 '!B178="","",'证券列表 '!B178)</f>
        <v>LEGN.O</v>
      </c>
      <c r="H175" s="2" t="s">
        <v>349</v>
      </c>
      <c r="I175" s="3">
        <v>45513</v>
      </c>
      <c r="J175" s="6">
        <v>10316174766.495001</v>
      </c>
      <c r="K175" t="str">
        <f ca="1">IF($I175=业绩披露日期!D$7,ROW(),"")</f>
        <v/>
      </c>
      <c r="L175" t="str">
        <f>IF($I175=业绩披露日期!E$7,ROW(),"")</f>
        <v/>
      </c>
      <c r="M175" t="str">
        <f>IF($I175=业绩披露日期!F$7,ROW(),"")</f>
        <v/>
      </c>
      <c r="N175" t="str">
        <f>IF($I175=业绩披露日期!G$7,ROW(),"")</f>
        <v/>
      </c>
      <c r="O175" t="str">
        <f>IF($I175=业绩披露日期!H$7,ROW(),"")</f>
        <v/>
      </c>
      <c r="P175" t="str">
        <f>IF($I175=业绩披露日期!I$7,ROW(),"")</f>
        <v/>
      </c>
    </row>
    <row r="176" spans="1:16" x14ac:dyDescent="0.35">
      <c r="A176" s="23">
        <f t="shared" ca="1" si="11"/>
        <v>0</v>
      </c>
      <c r="B176" s="23">
        <f t="shared" si="12"/>
        <v>0</v>
      </c>
      <c r="C176" s="23">
        <f t="shared" si="13"/>
        <v>0</v>
      </c>
      <c r="D176" s="23">
        <f t="shared" si="14"/>
        <v>0</v>
      </c>
      <c r="E176" s="23">
        <f t="shared" si="15"/>
        <v>0</v>
      </c>
      <c r="F176" s="23">
        <f t="shared" si="15"/>
        <v>0</v>
      </c>
      <c r="G176" s="2" t="str">
        <f>IF('证券列表 '!B179="","",'证券列表 '!B179)</f>
        <v>LGCB.O</v>
      </c>
      <c r="H176" s="2" t="s">
        <v>351</v>
      </c>
      <c r="I176" s="3"/>
      <c r="J176" s="6">
        <v>36980000</v>
      </c>
      <c r="K176" t="str">
        <f ca="1">IF($I176=业绩披露日期!D$7,ROW(),"")</f>
        <v/>
      </c>
      <c r="L176" t="str">
        <f>IF($I176=业绩披露日期!E$7,ROW(),"")</f>
        <v/>
      </c>
      <c r="M176" t="str">
        <f>IF($I176=业绩披露日期!F$7,ROW(),"")</f>
        <v/>
      </c>
      <c r="N176" t="str">
        <f>IF($I176=业绩披露日期!G$7,ROW(),"")</f>
        <v/>
      </c>
      <c r="O176" t="str">
        <f>IF($I176=业绩披露日期!H$7,ROW(),"")</f>
        <v/>
      </c>
      <c r="P176" t="str">
        <f>IF($I176=业绩披露日期!I$7,ROW(),"")</f>
        <v/>
      </c>
    </row>
    <row r="177" spans="1:16" x14ac:dyDescent="0.35">
      <c r="A177" s="23">
        <f t="shared" ca="1" si="11"/>
        <v>0</v>
      </c>
      <c r="B177" s="23">
        <f t="shared" si="12"/>
        <v>0</v>
      </c>
      <c r="C177" s="23">
        <f t="shared" si="13"/>
        <v>0</v>
      </c>
      <c r="D177" s="23">
        <f t="shared" si="14"/>
        <v>0</v>
      </c>
      <c r="E177" s="23">
        <f t="shared" si="15"/>
        <v>0</v>
      </c>
      <c r="F177" s="23">
        <f t="shared" si="15"/>
        <v>0</v>
      </c>
      <c r="G177" s="2" t="str">
        <f>IF('证券列表 '!B180="","",'证券列表 '!B180)</f>
        <v>LGCL.O</v>
      </c>
      <c r="H177" s="2" t="s">
        <v>353</v>
      </c>
      <c r="I177" s="3"/>
      <c r="J177" s="6">
        <v>132075078</v>
      </c>
      <c r="K177" t="str">
        <f ca="1">IF($I177=业绩披露日期!D$7,ROW(),"")</f>
        <v/>
      </c>
      <c r="L177" t="str">
        <f>IF($I177=业绩披露日期!E$7,ROW(),"")</f>
        <v/>
      </c>
      <c r="M177" t="str">
        <f>IF($I177=业绩披露日期!F$7,ROW(),"")</f>
        <v/>
      </c>
      <c r="N177" t="str">
        <f>IF($I177=业绩披露日期!G$7,ROW(),"")</f>
        <v/>
      </c>
      <c r="O177" t="str">
        <f>IF($I177=业绩披露日期!H$7,ROW(),"")</f>
        <v/>
      </c>
      <c r="P177" t="str">
        <f>IF($I177=业绩披露日期!I$7,ROW(),"")</f>
        <v/>
      </c>
    </row>
    <row r="178" spans="1:16" x14ac:dyDescent="0.35">
      <c r="A178" s="23">
        <f t="shared" ca="1" si="11"/>
        <v>0</v>
      </c>
      <c r="B178" s="23">
        <f t="shared" si="12"/>
        <v>0</v>
      </c>
      <c r="C178" s="23">
        <f t="shared" si="13"/>
        <v>0</v>
      </c>
      <c r="D178" s="23">
        <f t="shared" si="14"/>
        <v>0</v>
      </c>
      <c r="E178" s="23">
        <f t="shared" si="15"/>
        <v>0</v>
      </c>
      <c r="F178" s="23">
        <f t="shared" si="15"/>
        <v>0</v>
      </c>
      <c r="G178" s="2" t="str">
        <f>IF('证券列表 '!B181="","",'证券列表 '!B181)</f>
        <v>LGHL.O</v>
      </c>
      <c r="H178" s="2" t="s">
        <v>355</v>
      </c>
      <c r="I178" s="3"/>
      <c r="J178" s="6">
        <v>1575708.4643759998</v>
      </c>
      <c r="K178" t="str">
        <f ca="1">IF($I178=业绩披露日期!D$7,ROW(),"")</f>
        <v/>
      </c>
      <c r="L178" t="str">
        <f>IF($I178=业绩披露日期!E$7,ROW(),"")</f>
        <v/>
      </c>
      <c r="M178" t="str">
        <f>IF($I178=业绩披露日期!F$7,ROW(),"")</f>
        <v/>
      </c>
      <c r="N178" t="str">
        <f>IF($I178=业绩披露日期!G$7,ROW(),"")</f>
        <v/>
      </c>
      <c r="O178" t="str">
        <f>IF($I178=业绩披露日期!H$7,ROW(),"")</f>
        <v/>
      </c>
      <c r="P178" t="str">
        <f>IF($I178=业绩披露日期!I$7,ROW(),"")</f>
        <v/>
      </c>
    </row>
    <row r="179" spans="1:16" x14ac:dyDescent="0.35">
      <c r="A179" s="23">
        <f t="shared" ca="1" si="11"/>
        <v>0</v>
      </c>
      <c r="B179" s="23">
        <f t="shared" si="12"/>
        <v>0</v>
      </c>
      <c r="C179" s="23">
        <f t="shared" si="13"/>
        <v>0</v>
      </c>
      <c r="D179" s="23">
        <f t="shared" si="14"/>
        <v>0</v>
      </c>
      <c r="E179" s="23">
        <f t="shared" si="15"/>
        <v>0</v>
      </c>
      <c r="F179" s="23">
        <f t="shared" si="15"/>
        <v>0</v>
      </c>
      <c r="G179" s="2" t="str">
        <f>IF('证券列表 '!B182="","",'证券列表 '!B182)</f>
        <v>LI.O</v>
      </c>
      <c r="H179" s="2" t="s">
        <v>357</v>
      </c>
      <c r="I179" s="3">
        <v>45532</v>
      </c>
      <c r="J179" s="6">
        <v>19903794896.17495</v>
      </c>
      <c r="K179" t="str">
        <f ca="1">IF($I179=业绩披露日期!D$7,ROW(),"")</f>
        <v/>
      </c>
      <c r="L179" t="str">
        <f>IF($I179=业绩披露日期!E$7,ROW(),"")</f>
        <v/>
      </c>
      <c r="M179" t="str">
        <f>IF($I179=业绩披露日期!F$7,ROW(),"")</f>
        <v/>
      </c>
      <c r="N179" t="str">
        <f>IF($I179=业绩披露日期!G$7,ROW(),"")</f>
        <v/>
      </c>
      <c r="O179" t="str">
        <f>IF($I179=业绩披露日期!H$7,ROW(),"")</f>
        <v/>
      </c>
      <c r="P179" t="str">
        <f>IF($I179=业绩披露日期!I$7,ROW(),"")</f>
        <v/>
      </c>
    </row>
    <row r="180" spans="1:16" x14ac:dyDescent="0.35">
      <c r="A180" s="23">
        <f t="shared" ca="1" si="11"/>
        <v>0</v>
      </c>
      <c r="B180" s="23">
        <f t="shared" si="12"/>
        <v>0</v>
      </c>
      <c r="C180" s="23">
        <f t="shared" si="13"/>
        <v>0</v>
      </c>
      <c r="D180" s="23">
        <f t="shared" si="14"/>
        <v>0</v>
      </c>
      <c r="E180" s="23">
        <f t="shared" si="15"/>
        <v>0</v>
      </c>
      <c r="F180" s="23">
        <f t="shared" si="15"/>
        <v>0</v>
      </c>
      <c r="G180" s="2" t="str">
        <f>IF('证券列表 '!B183="","",'证券列表 '!B183)</f>
        <v>LICN.O</v>
      </c>
      <c r="H180" s="2" t="s">
        <v>359</v>
      </c>
      <c r="I180" s="3"/>
      <c r="J180" s="6">
        <v>56445000</v>
      </c>
      <c r="K180" t="str">
        <f ca="1">IF($I180=业绩披露日期!D$7,ROW(),"")</f>
        <v/>
      </c>
      <c r="L180" t="str">
        <f>IF($I180=业绩披露日期!E$7,ROW(),"")</f>
        <v/>
      </c>
      <c r="M180" t="str">
        <f>IF($I180=业绩披露日期!F$7,ROW(),"")</f>
        <v/>
      </c>
      <c r="N180" t="str">
        <f>IF($I180=业绩披露日期!G$7,ROW(),"")</f>
        <v/>
      </c>
      <c r="O180" t="str">
        <f>IF($I180=业绩披露日期!H$7,ROW(),"")</f>
        <v/>
      </c>
      <c r="P180" t="str">
        <f>IF($I180=业绩披露日期!I$7,ROW(),"")</f>
        <v/>
      </c>
    </row>
    <row r="181" spans="1:16" x14ac:dyDescent="0.35">
      <c r="A181" s="23">
        <f t="shared" ca="1" si="11"/>
        <v>0</v>
      </c>
      <c r="B181" s="23">
        <f t="shared" si="12"/>
        <v>0</v>
      </c>
      <c r="C181" s="23">
        <f t="shared" si="13"/>
        <v>0</v>
      </c>
      <c r="D181" s="23">
        <f t="shared" si="14"/>
        <v>0</v>
      </c>
      <c r="E181" s="23">
        <f t="shared" si="15"/>
        <v>0</v>
      </c>
      <c r="F181" s="23">
        <f t="shared" si="15"/>
        <v>0</v>
      </c>
      <c r="G181" s="2" t="str">
        <f>IF('证券列表 '!B184="","",'证券列表 '!B184)</f>
        <v>LITB.N</v>
      </c>
      <c r="H181" s="2" t="s">
        <v>361</v>
      </c>
      <c r="I181" s="3">
        <v>45506</v>
      </c>
      <c r="J181" s="6">
        <v>72259260.125</v>
      </c>
      <c r="K181" t="str">
        <f ca="1">IF($I181=业绩披露日期!D$7,ROW(),"")</f>
        <v/>
      </c>
      <c r="L181" t="str">
        <f>IF($I181=业绩披露日期!E$7,ROW(),"")</f>
        <v/>
      </c>
      <c r="M181" t="str">
        <f>IF($I181=业绩披露日期!F$7,ROW(),"")</f>
        <v/>
      </c>
      <c r="N181" t="str">
        <f>IF($I181=业绩披露日期!G$7,ROW(),"")</f>
        <v/>
      </c>
      <c r="O181" t="str">
        <f>IF($I181=业绩披露日期!H$7,ROW(),"")</f>
        <v/>
      </c>
      <c r="P181" t="str">
        <f>IF($I181=业绩披露日期!I$7,ROW(),"")</f>
        <v/>
      </c>
    </row>
    <row r="182" spans="1:16" x14ac:dyDescent="0.35">
      <c r="A182" s="23">
        <f t="shared" ca="1" si="11"/>
        <v>0</v>
      </c>
      <c r="B182" s="23">
        <f t="shared" si="12"/>
        <v>0</v>
      </c>
      <c r="C182" s="23">
        <f t="shared" si="13"/>
        <v>0</v>
      </c>
      <c r="D182" s="23">
        <f t="shared" si="14"/>
        <v>0</v>
      </c>
      <c r="E182" s="23">
        <f t="shared" si="15"/>
        <v>0</v>
      </c>
      <c r="F182" s="23">
        <f t="shared" si="15"/>
        <v>0</v>
      </c>
      <c r="G182" s="2" t="str">
        <f>IF('证券列表 '!B185="","",'证券列表 '!B185)</f>
        <v>LKCO.O</v>
      </c>
      <c r="H182" s="2" t="s">
        <v>363</v>
      </c>
      <c r="I182" s="3"/>
      <c r="J182" s="6">
        <v>10670804.950000001</v>
      </c>
      <c r="K182" t="str">
        <f ca="1">IF($I182=业绩披露日期!D$7,ROW(),"")</f>
        <v/>
      </c>
      <c r="L182" t="str">
        <f>IF($I182=业绩披露日期!E$7,ROW(),"")</f>
        <v/>
      </c>
      <c r="M182" t="str">
        <f>IF($I182=业绩披露日期!F$7,ROW(),"")</f>
        <v/>
      </c>
      <c r="N182" t="str">
        <f>IF($I182=业绩披露日期!G$7,ROW(),"")</f>
        <v/>
      </c>
      <c r="O182" t="str">
        <f>IF($I182=业绩披露日期!H$7,ROW(),"")</f>
        <v/>
      </c>
      <c r="P182" t="str">
        <f>IF($I182=业绩披露日期!I$7,ROW(),"")</f>
        <v/>
      </c>
    </row>
    <row r="183" spans="1:16" x14ac:dyDescent="0.35">
      <c r="A183" s="23">
        <f t="shared" ca="1" si="11"/>
        <v>0</v>
      </c>
      <c r="B183" s="23">
        <f t="shared" si="12"/>
        <v>0</v>
      </c>
      <c r="C183" s="23">
        <f t="shared" si="13"/>
        <v>0</v>
      </c>
      <c r="D183" s="23">
        <f t="shared" si="14"/>
        <v>0</v>
      </c>
      <c r="E183" s="23">
        <f t="shared" si="15"/>
        <v>0</v>
      </c>
      <c r="F183" s="23">
        <f t="shared" si="15"/>
        <v>0</v>
      </c>
      <c r="G183" s="2" t="str">
        <f>IF('证券列表 '!B186="","",'证券列表 '!B186)</f>
        <v>LOBO.O</v>
      </c>
      <c r="H183" s="2" t="s">
        <v>365</v>
      </c>
      <c r="I183" s="3"/>
      <c r="J183" s="6">
        <v>16343445.999999998</v>
      </c>
      <c r="K183" t="str">
        <f ca="1">IF($I183=业绩披露日期!D$7,ROW(),"")</f>
        <v/>
      </c>
      <c r="L183" t="str">
        <f>IF($I183=业绩披露日期!E$7,ROW(),"")</f>
        <v/>
      </c>
      <c r="M183" t="str">
        <f>IF($I183=业绩披露日期!F$7,ROW(),"")</f>
        <v/>
      </c>
      <c r="N183" t="str">
        <f>IF($I183=业绩披露日期!G$7,ROW(),"")</f>
        <v/>
      </c>
      <c r="O183" t="str">
        <f>IF($I183=业绩披露日期!H$7,ROW(),"")</f>
        <v/>
      </c>
      <c r="P183" t="str">
        <f>IF($I183=业绩披露日期!I$7,ROW(),"")</f>
        <v/>
      </c>
    </row>
    <row r="184" spans="1:16" x14ac:dyDescent="0.35">
      <c r="A184" s="23">
        <f t="shared" ca="1" si="11"/>
        <v>0</v>
      </c>
      <c r="B184" s="23">
        <f t="shared" si="12"/>
        <v>0</v>
      </c>
      <c r="C184" s="23">
        <f t="shared" si="13"/>
        <v>0</v>
      </c>
      <c r="D184" s="23">
        <f t="shared" si="14"/>
        <v>0</v>
      </c>
      <c r="E184" s="23">
        <f t="shared" si="15"/>
        <v>0</v>
      </c>
      <c r="F184" s="23">
        <f t="shared" si="15"/>
        <v>0</v>
      </c>
      <c r="G184" s="2" t="str">
        <f>IF('证券列表 '!B187="","",'证券列表 '!B187)</f>
        <v>LOT.O</v>
      </c>
      <c r="H184" s="2" t="s">
        <v>367</v>
      </c>
      <c r="I184" s="3">
        <v>45532</v>
      </c>
      <c r="J184" s="6">
        <v>3762651125.8399997</v>
      </c>
      <c r="K184" t="str">
        <f ca="1">IF($I184=业绩披露日期!D$7,ROW(),"")</f>
        <v/>
      </c>
      <c r="L184" t="str">
        <f>IF($I184=业绩披露日期!E$7,ROW(),"")</f>
        <v/>
      </c>
      <c r="M184" t="str">
        <f>IF($I184=业绩披露日期!F$7,ROW(),"")</f>
        <v/>
      </c>
      <c r="N184" t="str">
        <f>IF($I184=业绩披露日期!G$7,ROW(),"")</f>
        <v/>
      </c>
      <c r="O184" t="str">
        <f>IF($I184=业绩披露日期!H$7,ROW(),"")</f>
        <v/>
      </c>
      <c r="P184" t="str">
        <f>IF($I184=业绩披露日期!I$7,ROW(),"")</f>
        <v/>
      </c>
    </row>
    <row r="185" spans="1:16" x14ac:dyDescent="0.35">
      <c r="A185" s="23">
        <f t="shared" ca="1" si="11"/>
        <v>0</v>
      </c>
      <c r="B185" s="23">
        <f t="shared" si="12"/>
        <v>0</v>
      </c>
      <c r="C185" s="23">
        <f t="shared" si="13"/>
        <v>0</v>
      </c>
      <c r="D185" s="23">
        <f t="shared" si="14"/>
        <v>0</v>
      </c>
      <c r="E185" s="23">
        <f t="shared" si="15"/>
        <v>0</v>
      </c>
      <c r="F185" s="23">
        <f t="shared" si="15"/>
        <v>0</v>
      </c>
      <c r="G185" s="2" t="str">
        <f>IF('证券列表 '!B188="","",'证券列表 '!B188)</f>
        <v>LSB.O</v>
      </c>
      <c r="H185" s="2" t="s">
        <v>369</v>
      </c>
      <c r="I185" s="3">
        <v>45292</v>
      </c>
      <c r="J185" s="6">
        <v>50161017.469499998</v>
      </c>
      <c r="K185" t="str">
        <f ca="1">IF($I185=业绩披露日期!D$7,ROW(),"")</f>
        <v/>
      </c>
      <c r="L185" t="str">
        <f>IF($I185=业绩披露日期!E$7,ROW(),"")</f>
        <v/>
      </c>
      <c r="M185" t="str">
        <f>IF($I185=业绩披露日期!F$7,ROW(),"")</f>
        <v/>
      </c>
      <c r="N185" t="str">
        <f>IF($I185=业绩披露日期!G$7,ROW(),"")</f>
        <v/>
      </c>
      <c r="O185" t="str">
        <f>IF($I185=业绩披露日期!H$7,ROW(),"")</f>
        <v/>
      </c>
      <c r="P185" t="str">
        <f>IF($I185=业绩披露日期!I$7,ROW(),"")</f>
        <v/>
      </c>
    </row>
    <row r="186" spans="1:16" x14ac:dyDescent="0.35">
      <c r="A186" s="23">
        <f t="shared" ca="1" si="11"/>
        <v>0</v>
      </c>
      <c r="B186" s="23">
        <f t="shared" si="12"/>
        <v>0</v>
      </c>
      <c r="C186" s="23">
        <f t="shared" si="13"/>
        <v>0</v>
      </c>
      <c r="D186" s="23">
        <f t="shared" si="14"/>
        <v>0</v>
      </c>
      <c r="E186" s="23">
        <f t="shared" si="15"/>
        <v>0</v>
      </c>
      <c r="F186" s="23">
        <f t="shared" si="15"/>
        <v>0</v>
      </c>
      <c r="G186" s="2" t="str">
        <f>IF('证券列表 '!B189="","",'证券列表 '!B189)</f>
        <v>LU.N</v>
      </c>
      <c r="H186" s="2" t="s">
        <v>371</v>
      </c>
      <c r="I186" s="3">
        <v>45525</v>
      </c>
      <c r="J186" s="6">
        <v>1993585624.1346905</v>
      </c>
      <c r="K186" t="str">
        <f ca="1">IF($I186=业绩披露日期!D$7,ROW(),"")</f>
        <v/>
      </c>
      <c r="L186" t="str">
        <f>IF($I186=业绩披露日期!E$7,ROW(),"")</f>
        <v/>
      </c>
      <c r="M186" t="str">
        <f>IF($I186=业绩披露日期!F$7,ROW(),"")</f>
        <v/>
      </c>
      <c r="N186" t="str">
        <f>IF($I186=业绩披露日期!G$7,ROW(),"")</f>
        <v/>
      </c>
      <c r="O186" t="str">
        <f>IF($I186=业绩披露日期!H$7,ROW(),"")</f>
        <v/>
      </c>
      <c r="P186" t="str">
        <f>IF($I186=业绩披露日期!I$7,ROW(),"")</f>
        <v/>
      </c>
    </row>
    <row r="187" spans="1:16" x14ac:dyDescent="0.35">
      <c r="A187" s="23">
        <f t="shared" ca="1" si="11"/>
        <v>0</v>
      </c>
      <c r="B187" s="23">
        <f t="shared" si="12"/>
        <v>0</v>
      </c>
      <c r="C187" s="23">
        <f t="shared" si="13"/>
        <v>0</v>
      </c>
      <c r="D187" s="23">
        <f t="shared" si="14"/>
        <v>0</v>
      </c>
      <c r="E187" s="23">
        <f t="shared" si="15"/>
        <v>0</v>
      </c>
      <c r="F187" s="23">
        <f t="shared" si="15"/>
        <v>0</v>
      </c>
      <c r="G187" s="2" t="str">
        <f>IF('证券列表 '!B190="","",'证券列表 '!B190)</f>
        <v>LX.O</v>
      </c>
      <c r="H187" s="2" t="s">
        <v>373</v>
      </c>
      <c r="I187" s="3">
        <v>45531</v>
      </c>
      <c r="J187" s="6">
        <v>277857790.01499999</v>
      </c>
      <c r="K187" t="str">
        <f ca="1">IF($I187=业绩披露日期!D$7,ROW(),"")</f>
        <v/>
      </c>
      <c r="L187" t="str">
        <f>IF($I187=业绩披露日期!E$7,ROW(),"")</f>
        <v/>
      </c>
      <c r="M187" t="str">
        <f>IF($I187=业绩披露日期!F$7,ROW(),"")</f>
        <v/>
      </c>
      <c r="N187" t="str">
        <f>IF($I187=业绩披露日期!G$7,ROW(),"")</f>
        <v/>
      </c>
      <c r="O187" t="str">
        <f>IF($I187=业绩披露日期!H$7,ROW(),"")</f>
        <v/>
      </c>
      <c r="P187" t="str">
        <f>IF($I187=业绩披露日期!I$7,ROW(),"")</f>
        <v/>
      </c>
    </row>
    <row r="188" spans="1:16" x14ac:dyDescent="0.35">
      <c r="A188" s="23">
        <f t="shared" ca="1" si="11"/>
        <v>0</v>
      </c>
      <c r="B188" s="23">
        <f t="shared" si="12"/>
        <v>0</v>
      </c>
      <c r="C188" s="23">
        <f t="shared" si="13"/>
        <v>0</v>
      </c>
      <c r="D188" s="23">
        <f t="shared" si="14"/>
        <v>0</v>
      </c>
      <c r="E188" s="23">
        <f t="shared" si="15"/>
        <v>0</v>
      </c>
      <c r="F188" s="23">
        <f t="shared" si="15"/>
        <v>0</v>
      </c>
      <c r="G188" s="2" t="str">
        <f>IF('证券列表 '!B191="","",'证券列表 '!B191)</f>
        <v>LXEH.O</v>
      </c>
      <c r="H188" s="2" t="s">
        <v>375</v>
      </c>
      <c r="I188" s="3"/>
      <c r="J188" s="6">
        <v>1685341.7600000002</v>
      </c>
      <c r="K188" t="str">
        <f ca="1">IF($I188=业绩披露日期!D$7,ROW(),"")</f>
        <v/>
      </c>
      <c r="L188" t="str">
        <f>IF($I188=业绩披露日期!E$7,ROW(),"")</f>
        <v/>
      </c>
      <c r="M188" t="str">
        <f>IF($I188=业绩披露日期!F$7,ROW(),"")</f>
        <v/>
      </c>
      <c r="N188" t="str">
        <f>IF($I188=业绩披露日期!G$7,ROW(),"")</f>
        <v/>
      </c>
      <c r="O188" t="str">
        <f>IF($I188=业绩披露日期!H$7,ROW(),"")</f>
        <v/>
      </c>
      <c r="P188" t="str">
        <f>IF($I188=业绩披露日期!I$7,ROW(),"")</f>
        <v/>
      </c>
    </row>
    <row r="189" spans="1:16" x14ac:dyDescent="0.35">
      <c r="A189" s="23">
        <f t="shared" ca="1" si="11"/>
        <v>0</v>
      </c>
      <c r="B189" s="23">
        <f t="shared" si="12"/>
        <v>0</v>
      </c>
      <c r="C189" s="23">
        <f t="shared" si="13"/>
        <v>0</v>
      </c>
      <c r="D189" s="23">
        <f t="shared" si="14"/>
        <v>0</v>
      </c>
      <c r="E189" s="23">
        <f t="shared" si="15"/>
        <v>0</v>
      </c>
      <c r="F189" s="23">
        <f t="shared" si="15"/>
        <v>0</v>
      </c>
      <c r="G189" s="2" t="str">
        <f>IF('证券列表 '!B192="","",'证券列表 '!B192)</f>
        <v>MATH.O</v>
      </c>
      <c r="H189" s="2" t="s">
        <v>377</v>
      </c>
      <c r="I189" s="3"/>
      <c r="J189" s="6">
        <v>42121142.939999998</v>
      </c>
      <c r="K189" t="str">
        <f ca="1">IF($I189=业绩披露日期!D$7,ROW(),"")</f>
        <v/>
      </c>
      <c r="L189" t="str">
        <f>IF($I189=业绩披露日期!E$7,ROW(),"")</f>
        <v/>
      </c>
      <c r="M189" t="str">
        <f>IF($I189=业绩披露日期!F$7,ROW(),"")</f>
        <v/>
      </c>
      <c r="N189" t="str">
        <f>IF($I189=业绩披露日期!G$7,ROW(),"")</f>
        <v/>
      </c>
      <c r="O189" t="str">
        <f>IF($I189=业绩披露日期!H$7,ROW(),"")</f>
        <v/>
      </c>
      <c r="P189" t="str">
        <f>IF($I189=业绩披露日期!I$7,ROW(),"")</f>
        <v/>
      </c>
    </row>
    <row r="190" spans="1:16" x14ac:dyDescent="0.35">
      <c r="A190" s="23">
        <f t="shared" ca="1" si="11"/>
        <v>0</v>
      </c>
      <c r="B190" s="23">
        <f t="shared" si="12"/>
        <v>0</v>
      </c>
      <c r="C190" s="23">
        <f t="shared" si="13"/>
        <v>0</v>
      </c>
      <c r="D190" s="23">
        <f t="shared" si="14"/>
        <v>0</v>
      </c>
      <c r="E190" s="23">
        <f t="shared" si="15"/>
        <v>0</v>
      </c>
      <c r="F190" s="23">
        <f t="shared" si="15"/>
        <v>0</v>
      </c>
      <c r="G190" s="2" t="str">
        <f>IF('证券列表 '!B193="","",'证券列表 '!B193)</f>
        <v>MDJH.O</v>
      </c>
      <c r="H190" s="2" t="s">
        <v>379</v>
      </c>
      <c r="I190" s="3"/>
      <c r="J190" s="6">
        <v>11793135.681600001</v>
      </c>
      <c r="K190" t="str">
        <f ca="1">IF($I190=业绩披露日期!D$7,ROW(),"")</f>
        <v/>
      </c>
      <c r="L190" t="str">
        <f>IF($I190=业绩披露日期!E$7,ROW(),"")</f>
        <v/>
      </c>
      <c r="M190" t="str">
        <f>IF($I190=业绩披露日期!F$7,ROW(),"")</f>
        <v/>
      </c>
      <c r="N190" t="str">
        <f>IF($I190=业绩披露日期!G$7,ROW(),"")</f>
        <v/>
      </c>
      <c r="O190" t="str">
        <f>IF($I190=业绩披露日期!H$7,ROW(),"")</f>
        <v/>
      </c>
      <c r="P190" t="str">
        <f>IF($I190=业绩披露日期!I$7,ROW(),"")</f>
        <v/>
      </c>
    </row>
    <row r="191" spans="1:16" x14ac:dyDescent="0.35">
      <c r="A191" s="23">
        <f t="shared" ca="1" si="11"/>
        <v>0</v>
      </c>
      <c r="B191" s="23">
        <f t="shared" si="12"/>
        <v>0</v>
      </c>
      <c r="C191" s="23">
        <f t="shared" si="13"/>
        <v>0</v>
      </c>
      <c r="D191" s="23">
        <f t="shared" si="14"/>
        <v>0</v>
      </c>
      <c r="E191" s="23">
        <f t="shared" si="15"/>
        <v>0</v>
      </c>
      <c r="F191" s="23">
        <f t="shared" si="15"/>
        <v>0</v>
      </c>
      <c r="G191" s="2" t="str">
        <f>IF('证券列表 '!B194="","",'证券列表 '!B194)</f>
        <v>MEGL.O</v>
      </c>
      <c r="H191" s="2" t="s">
        <v>381</v>
      </c>
      <c r="I191" s="3"/>
      <c r="J191" s="6">
        <v>9277293.3420000002</v>
      </c>
      <c r="K191" t="str">
        <f ca="1">IF($I191=业绩披露日期!D$7,ROW(),"")</f>
        <v/>
      </c>
      <c r="L191" t="str">
        <f>IF($I191=业绩披露日期!E$7,ROW(),"")</f>
        <v/>
      </c>
      <c r="M191" t="str">
        <f>IF($I191=业绩披露日期!F$7,ROW(),"")</f>
        <v/>
      </c>
      <c r="N191" t="str">
        <f>IF($I191=业绩披露日期!G$7,ROW(),"")</f>
        <v/>
      </c>
      <c r="O191" t="str">
        <f>IF($I191=业绩披露日期!H$7,ROW(),"")</f>
        <v/>
      </c>
      <c r="P191" t="str">
        <f>IF($I191=业绩披露日期!I$7,ROW(),"")</f>
        <v/>
      </c>
    </row>
    <row r="192" spans="1:16" x14ac:dyDescent="0.35">
      <c r="A192" s="23">
        <f t="shared" ca="1" si="11"/>
        <v>0</v>
      </c>
      <c r="B192" s="23">
        <f t="shared" si="12"/>
        <v>0</v>
      </c>
      <c r="C192" s="23">
        <f t="shared" si="13"/>
        <v>0</v>
      </c>
      <c r="D192" s="23">
        <f t="shared" si="14"/>
        <v>0</v>
      </c>
      <c r="E192" s="23">
        <f t="shared" si="15"/>
        <v>0</v>
      </c>
      <c r="F192" s="23">
        <f t="shared" si="15"/>
        <v>0</v>
      </c>
      <c r="G192" s="2" t="str">
        <f>IF('证券列表 '!B195="","",'证券列表 '!B195)</f>
        <v>MFH.O</v>
      </c>
      <c r="H192" s="2" t="s">
        <v>383</v>
      </c>
      <c r="I192" s="3"/>
      <c r="J192" s="6">
        <v>255105.67908333332</v>
      </c>
      <c r="K192" t="str">
        <f ca="1">IF($I192=业绩披露日期!D$7,ROW(),"")</f>
        <v/>
      </c>
      <c r="L192" t="str">
        <f>IF($I192=业绩披露日期!E$7,ROW(),"")</f>
        <v/>
      </c>
      <c r="M192" t="str">
        <f>IF($I192=业绩披露日期!F$7,ROW(),"")</f>
        <v/>
      </c>
      <c r="N192" t="str">
        <f>IF($I192=业绩披露日期!G$7,ROW(),"")</f>
        <v/>
      </c>
      <c r="O192" t="str">
        <f>IF($I192=业绩披露日期!H$7,ROW(),"")</f>
        <v/>
      </c>
      <c r="P192" t="str">
        <f>IF($I192=业绩披露日期!I$7,ROW(),"")</f>
        <v/>
      </c>
    </row>
    <row r="193" spans="1:16" x14ac:dyDescent="0.35">
      <c r="A193" s="23">
        <f t="shared" ca="1" si="11"/>
        <v>0</v>
      </c>
      <c r="B193" s="23">
        <f t="shared" si="12"/>
        <v>0</v>
      </c>
      <c r="C193" s="23">
        <f t="shared" si="13"/>
        <v>0</v>
      </c>
      <c r="D193" s="23">
        <f t="shared" si="14"/>
        <v>0</v>
      </c>
      <c r="E193" s="23">
        <f t="shared" si="15"/>
        <v>0</v>
      </c>
      <c r="F193" s="23">
        <f t="shared" si="15"/>
        <v>0</v>
      </c>
      <c r="G193" s="2" t="str">
        <f>IF('证券列表 '!B196="","",'证券列表 '!B196)</f>
        <v>MFI.O</v>
      </c>
      <c r="H193" s="2" t="s">
        <v>385</v>
      </c>
      <c r="I193" s="3"/>
      <c r="J193" s="6">
        <v>8681167.0516999997</v>
      </c>
      <c r="K193" t="str">
        <f ca="1">IF($I193=业绩披露日期!D$7,ROW(),"")</f>
        <v/>
      </c>
      <c r="L193" t="str">
        <f>IF($I193=业绩披露日期!E$7,ROW(),"")</f>
        <v/>
      </c>
      <c r="M193" t="str">
        <f>IF($I193=业绩披露日期!F$7,ROW(),"")</f>
        <v/>
      </c>
      <c r="N193" t="str">
        <f>IF($I193=业绩披露日期!G$7,ROW(),"")</f>
        <v/>
      </c>
      <c r="O193" t="str">
        <f>IF($I193=业绩披露日期!H$7,ROW(),"")</f>
        <v/>
      </c>
      <c r="P193" t="str">
        <f>IF($I193=业绩披露日期!I$7,ROW(),"")</f>
        <v/>
      </c>
    </row>
    <row r="194" spans="1:16" x14ac:dyDescent="0.35">
      <c r="A194" s="23">
        <f t="shared" ca="1" si="11"/>
        <v>0</v>
      </c>
      <c r="B194" s="23">
        <f t="shared" si="12"/>
        <v>0</v>
      </c>
      <c r="C194" s="23">
        <f t="shared" si="13"/>
        <v>0</v>
      </c>
      <c r="D194" s="23">
        <f t="shared" si="14"/>
        <v>0</v>
      </c>
      <c r="E194" s="23">
        <f t="shared" si="15"/>
        <v>0</v>
      </c>
      <c r="F194" s="23">
        <f t="shared" si="15"/>
        <v>0</v>
      </c>
      <c r="G194" s="2" t="str">
        <f>IF('证券列表 '!B197="","",'证券列表 '!B197)</f>
        <v>MGIH.O</v>
      </c>
      <c r="H194" s="2" t="s">
        <v>387</v>
      </c>
      <c r="I194" s="3"/>
      <c r="J194" s="6">
        <v>18000000</v>
      </c>
      <c r="K194" t="str">
        <f ca="1">IF($I194=业绩披露日期!D$7,ROW(),"")</f>
        <v/>
      </c>
      <c r="L194" t="str">
        <f>IF($I194=业绩披露日期!E$7,ROW(),"")</f>
        <v/>
      </c>
      <c r="M194" t="str">
        <f>IF($I194=业绩披露日期!F$7,ROW(),"")</f>
        <v/>
      </c>
      <c r="N194" t="str">
        <f>IF($I194=业绩披露日期!G$7,ROW(),"")</f>
        <v/>
      </c>
      <c r="O194" t="str">
        <f>IF($I194=业绩披露日期!H$7,ROW(),"")</f>
        <v/>
      </c>
      <c r="P194" t="str">
        <f>IF($I194=业绩披露日期!I$7,ROW(),"")</f>
        <v/>
      </c>
    </row>
    <row r="195" spans="1:16" x14ac:dyDescent="0.35">
      <c r="A195" s="23">
        <f t="shared" ca="1" si="11"/>
        <v>0</v>
      </c>
      <c r="B195" s="23">
        <f t="shared" si="12"/>
        <v>0</v>
      </c>
      <c r="C195" s="23">
        <f t="shared" si="13"/>
        <v>0</v>
      </c>
      <c r="D195" s="23">
        <f t="shared" si="14"/>
        <v>0</v>
      </c>
      <c r="E195" s="23">
        <f t="shared" si="15"/>
        <v>0</v>
      </c>
      <c r="F195" s="23">
        <f t="shared" si="15"/>
        <v>0</v>
      </c>
      <c r="G195" s="2" t="str">
        <f>IF('证券列表 '!B198="","",'证券列表 '!B198)</f>
        <v>MHUA.O</v>
      </c>
      <c r="H195" s="2" t="s">
        <v>389</v>
      </c>
      <c r="I195" s="3"/>
      <c r="J195" s="6">
        <v>21055230</v>
      </c>
      <c r="K195" t="str">
        <f ca="1">IF($I195=业绩披露日期!D$7,ROW(),"")</f>
        <v/>
      </c>
      <c r="L195" t="str">
        <f>IF($I195=业绩披露日期!E$7,ROW(),"")</f>
        <v/>
      </c>
      <c r="M195" t="str">
        <f>IF($I195=业绩披露日期!F$7,ROW(),"")</f>
        <v/>
      </c>
      <c r="N195" t="str">
        <f>IF($I195=业绩披露日期!G$7,ROW(),"")</f>
        <v/>
      </c>
      <c r="O195" t="str">
        <f>IF($I195=业绩披露日期!H$7,ROW(),"")</f>
        <v/>
      </c>
      <c r="P195" t="str">
        <f>IF($I195=业绩披露日期!I$7,ROW(),"")</f>
        <v/>
      </c>
    </row>
    <row r="196" spans="1:16" x14ac:dyDescent="0.35">
      <c r="A196" s="23">
        <f t="shared" ref="A196:A259" ca="1" si="16">IF(K196="",0,RANK(K196,K:K,1))</f>
        <v>0</v>
      </c>
      <c r="B196" s="23">
        <f t="shared" ref="B196:B259" si="17">IF(L196="",0,RANK(L196,L:L,1))</f>
        <v>0</v>
      </c>
      <c r="C196" s="23">
        <f t="shared" ref="C196:C259" si="18">IF(M196="",0,RANK(M196,M:M,1))</f>
        <v>0</v>
      </c>
      <c r="D196" s="23">
        <f t="shared" ref="D196:D259" si="19">IF(N196="",0,RANK(N196,N:N,1))</f>
        <v>3</v>
      </c>
      <c r="E196" s="23">
        <f t="shared" ref="E196:F259" si="20">IF(O196="",0,RANK(O196,O:O,1))</f>
        <v>0</v>
      </c>
      <c r="F196" s="23">
        <f t="shared" si="20"/>
        <v>0</v>
      </c>
      <c r="G196" s="2" t="str">
        <f>IF('证券列表 '!B199="","",'证券列表 '!B199)</f>
        <v>MI.A</v>
      </c>
      <c r="H196" s="2" t="s">
        <v>391</v>
      </c>
      <c r="I196" s="3">
        <v>45537</v>
      </c>
      <c r="J196" s="6">
        <v>11477339.1</v>
      </c>
      <c r="K196" t="str">
        <f ca="1">IF($I196=业绩披露日期!D$7,ROW(),"")</f>
        <v/>
      </c>
      <c r="L196" t="str">
        <f>IF($I196=业绩披露日期!E$7,ROW(),"")</f>
        <v/>
      </c>
      <c r="M196" t="str">
        <f>IF($I196=业绩披露日期!F$7,ROW(),"")</f>
        <v/>
      </c>
      <c r="N196">
        <f>IF($I196=业绩披露日期!G$7,ROW(),"")</f>
        <v>196</v>
      </c>
      <c r="O196" t="str">
        <f>IF($I196=业绩披露日期!H$7,ROW(),"")</f>
        <v/>
      </c>
      <c r="P196" t="str">
        <f>IF($I196=业绩披露日期!I$7,ROW(),"")</f>
        <v/>
      </c>
    </row>
    <row r="197" spans="1:16" x14ac:dyDescent="0.35">
      <c r="A197" s="23">
        <f t="shared" ca="1" si="16"/>
        <v>0</v>
      </c>
      <c r="B197" s="23">
        <f t="shared" si="17"/>
        <v>0</v>
      </c>
      <c r="C197" s="23">
        <f t="shared" si="18"/>
        <v>0</v>
      </c>
      <c r="D197" s="23">
        <f t="shared" si="19"/>
        <v>0</v>
      </c>
      <c r="E197" s="23">
        <f t="shared" si="20"/>
        <v>0</v>
      </c>
      <c r="F197" s="23">
        <f t="shared" si="20"/>
        <v>0</v>
      </c>
      <c r="G197" s="2" t="str">
        <f>IF('证券列表 '!B200="","",'证券列表 '!B200)</f>
        <v>MLCO.O</v>
      </c>
      <c r="H197" s="2" t="s">
        <v>393</v>
      </c>
      <c r="I197" s="3">
        <v>45517</v>
      </c>
      <c r="J197" s="6">
        <v>2241748546.6866665</v>
      </c>
      <c r="K197" t="str">
        <f ca="1">IF($I197=业绩披露日期!D$7,ROW(),"")</f>
        <v/>
      </c>
      <c r="L197" t="str">
        <f>IF($I197=业绩披露日期!E$7,ROW(),"")</f>
        <v/>
      </c>
      <c r="M197" t="str">
        <f>IF($I197=业绩披露日期!F$7,ROW(),"")</f>
        <v/>
      </c>
      <c r="N197" t="str">
        <f>IF($I197=业绩披露日期!G$7,ROW(),"")</f>
        <v/>
      </c>
      <c r="O197" t="str">
        <f>IF($I197=业绩披露日期!H$7,ROW(),"")</f>
        <v/>
      </c>
      <c r="P197" t="str">
        <f>IF($I197=业绩披露日期!I$7,ROW(),"")</f>
        <v/>
      </c>
    </row>
    <row r="198" spans="1:16" x14ac:dyDescent="0.35">
      <c r="A198" s="23">
        <f t="shared" ca="1" si="16"/>
        <v>0</v>
      </c>
      <c r="B198" s="23">
        <f t="shared" si="17"/>
        <v>0</v>
      </c>
      <c r="C198" s="23">
        <f t="shared" si="18"/>
        <v>0</v>
      </c>
      <c r="D198" s="23">
        <f t="shared" si="19"/>
        <v>0</v>
      </c>
      <c r="E198" s="23">
        <f t="shared" si="20"/>
        <v>0</v>
      </c>
      <c r="F198" s="23">
        <f t="shared" si="20"/>
        <v>1</v>
      </c>
      <c r="G198" s="2" t="str">
        <f>IF('证券列表 '!B201="","",'证券列表 '!B201)</f>
        <v>MLGO.O</v>
      </c>
      <c r="H198" s="2" t="s">
        <v>395</v>
      </c>
      <c r="I198" s="3">
        <v>45539</v>
      </c>
      <c r="J198" s="6">
        <v>2079750.4130000002</v>
      </c>
      <c r="K198" t="str">
        <f ca="1">IF($I198=业绩披露日期!D$7,ROW(),"")</f>
        <v/>
      </c>
      <c r="L198" t="str">
        <f>IF($I198=业绩披露日期!E$7,ROW(),"")</f>
        <v/>
      </c>
      <c r="M198" t="str">
        <f>IF($I198=业绩披露日期!F$7,ROW(),"")</f>
        <v/>
      </c>
      <c r="N198" t="str">
        <f>IF($I198=业绩披露日期!G$7,ROW(),"")</f>
        <v/>
      </c>
      <c r="O198" t="str">
        <f>IF($I198=业绩披露日期!H$7,ROW(),"")</f>
        <v/>
      </c>
      <c r="P198">
        <f>IF($I198=业绩披露日期!I$7,ROW(),"")</f>
        <v>198</v>
      </c>
    </row>
    <row r="199" spans="1:16" x14ac:dyDescent="0.35">
      <c r="A199" s="23">
        <f t="shared" ca="1" si="16"/>
        <v>0</v>
      </c>
      <c r="B199" s="23">
        <f t="shared" si="17"/>
        <v>0</v>
      </c>
      <c r="C199" s="23">
        <f t="shared" si="18"/>
        <v>0</v>
      </c>
      <c r="D199" s="23">
        <f t="shared" si="19"/>
        <v>0</v>
      </c>
      <c r="E199" s="23">
        <f t="shared" si="20"/>
        <v>0</v>
      </c>
      <c r="F199" s="23">
        <f t="shared" si="20"/>
        <v>0</v>
      </c>
      <c r="G199" s="2" t="str">
        <f>IF('证券列表 '!B202="","",'证券列表 '!B202)</f>
        <v>MMV.O</v>
      </c>
      <c r="H199" s="2" t="s">
        <v>397</v>
      </c>
      <c r="I199" s="3"/>
      <c r="J199" s="6">
        <v>17849718.451400001</v>
      </c>
      <c r="K199" t="str">
        <f ca="1">IF($I199=业绩披露日期!D$7,ROW(),"")</f>
        <v/>
      </c>
      <c r="L199" t="str">
        <f>IF($I199=业绩披露日期!E$7,ROW(),"")</f>
        <v/>
      </c>
      <c r="M199" t="str">
        <f>IF($I199=业绩披露日期!F$7,ROW(),"")</f>
        <v/>
      </c>
      <c r="N199" t="str">
        <f>IF($I199=业绩披露日期!G$7,ROW(),"")</f>
        <v/>
      </c>
      <c r="O199" t="str">
        <f>IF($I199=业绩披露日期!H$7,ROW(),"")</f>
        <v/>
      </c>
      <c r="P199" t="str">
        <f>IF($I199=业绩披露日期!I$7,ROW(),"")</f>
        <v/>
      </c>
    </row>
    <row r="200" spans="1:16" x14ac:dyDescent="0.35">
      <c r="A200" s="23">
        <f t="shared" ca="1" si="16"/>
        <v>0</v>
      </c>
      <c r="B200" s="23">
        <f t="shared" si="17"/>
        <v>0</v>
      </c>
      <c r="C200" s="23">
        <f t="shared" si="18"/>
        <v>0</v>
      </c>
      <c r="D200" s="23">
        <f t="shared" si="19"/>
        <v>0</v>
      </c>
      <c r="E200" s="23">
        <f t="shared" si="20"/>
        <v>0</v>
      </c>
      <c r="F200" s="23">
        <f t="shared" si="20"/>
        <v>0</v>
      </c>
      <c r="G200" s="2" t="str">
        <f>IF('证券列表 '!B203="","",'证券列表 '!B203)</f>
        <v>MNSO.N</v>
      </c>
      <c r="H200" s="2" t="s">
        <v>399</v>
      </c>
      <c r="I200" s="3">
        <v>45363</v>
      </c>
      <c r="J200" s="6">
        <v>5070197448.1606045</v>
      </c>
      <c r="K200" t="str">
        <f ca="1">IF($I200=业绩披露日期!D$7,ROW(),"")</f>
        <v/>
      </c>
      <c r="L200" t="str">
        <f>IF($I200=业绩披露日期!E$7,ROW(),"")</f>
        <v/>
      </c>
      <c r="M200" t="str">
        <f>IF($I200=业绩披露日期!F$7,ROW(),"")</f>
        <v/>
      </c>
      <c r="N200" t="str">
        <f>IF($I200=业绩披露日期!G$7,ROW(),"")</f>
        <v/>
      </c>
      <c r="O200" t="str">
        <f>IF($I200=业绩披露日期!H$7,ROW(),"")</f>
        <v/>
      </c>
      <c r="P200" t="str">
        <f>IF($I200=业绩披露日期!I$7,ROW(),"")</f>
        <v/>
      </c>
    </row>
    <row r="201" spans="1:16" x14ac:dyDescent="0.35">
      <c r="A201" s="23">
        <f t="shared" ca="1" si="16"/>
        <v>0</v>
      </c>
      <c r="B201" s="23">
        <f t="shared" si="17"/>
        <v>0</v>
      </c>
      <c r="C201" s="23">
        <f t="shared" si="18"/>
        <v>0</v>
      </c>
      <c r="D201" s="23">
        <f t="shared" si="19"/>
        <v>0</v>
      </c>
      <c r="E201" s="23">
        <f t="shared" si="20"/>
        <v>0</v>
      </c>
      <c r="F201" s="23">
        <f t="shared" si="20"/>
        <v>0</v>
      </c>
      <c r="G201" s="2" t="str">
        <f>IF('证券列表 '!B204="","",'证券列表 '!B204)</f>
        <v>MOGU.N</v>
      </c>
      <c r="H201" s="2" t="s">
        <v>401</v>
      </c>
      <c r="I201" s="3"/>
      <c r="J201" s="6">
        <v>16908550.665440001</v>
      </c>
      <c r="K201" t="str">
        <f ca="1">IF($I201=业绩披露日期!D$7,ROW(),"")</f>
        <v/>
      </c>
      <c r="L201" t="str">
        <f>IF($I201=业绩披露日期!E$7,ROW(),"")</f>
        <v/>
      </c>
      <c r="M201" t="str">
        <f>IF($I201=业绩披露日期!F$7,ROW(),"")</f>
        <v/>
      </c>
      <c r="N201" t="str">
        <f>IF($I201=业绩披露日期!G$7,ROW(),"")</f>
        <v/>
      </c>
      <c r="O201" t="str">
        <f>IF($I201=业绩披露日期!H$7,ROW(),"")</f>
        <v/>
      </c>
      <c r="P201" t="str">
        <f>IF($I201=业绩披露日期!I$7,ROW(),"")</f>
        <v/>
      </c>
    </row>
    <row r="202" spans="1:16" x14ac:dyDescent="0.35">
      <c r="A202" s="23">
        <f t="shared" ca="1" si="16"/>
        <v>0</v>
      </c>
      <c r="B202" s="23">
        <f t="shared" si="17"/>
        <v>0</v>
      </c>
      <c r="C202" s="23">
        <f t="shared" si="18"/>
        <v>0</v>
      </c>
      <c r="D202" s="23">
        <f t="shared" si="19"/>
        <v>0</v>
      </c>
      <c r="E202" s="23">
        <f t="shared" si="20"/>
        <v>2</v>
      </c>
      <c r="F202" s="23">
        <f t="shared" si="20"/>
        <v>0</v>
      </c>
      <c r="G202" s="2" t="str">
        <f>IF('证券列表 '!B205="","",'证券列表 '!B205)</f>
        <v>MOMO.O</v>
      </c>
      <c r="H202" s="2" t="s">
        <v>403</v>
      </c>
      <c r="I202" s="3">
        <v>45538</v>
      </c>
      <c r="J202" s="6">
        <v>1219686775.27</v>
      </c>
      <c r="K202" t="str">
        <f ca="1">IF($I202=业绩披露日期!D$7,ROW(),"")</f>
        <v/>
      </c>
      <c r="L202" t="str">
        <f>IF($I202=业绩披露日期!E$7,ROW(),"")</f>
        <v/>
      </c>
      <c r="M202" t="str">
        <f>IF($I202=业绩披露日期!F$7,ROW(),"")</f>
        <v/>
      </c>
      <c r="N202" t="str">
        <f>IF($I202=业绩披露日期!G$7,ROW(),"")</f>
        <v/>
      </c>
      <c r="O202">
        <f>IF($I202=业绩披露日期!H$7,ROW(),"")</f>
        <v>202</v>
      </c>
      <c r="P202" t="str">
        <f>IF($I202=业绩披露日期!I$7,ROW(),"")</f>
        <v/>
      </c>
    </row>
    <row r="203" spans="1:16" x14ac:dyDescent="0.35">
      <c r="A203" s="23">
        <f t="shared" ca="1" si="16"/>
        <v>0</v>
      </c>
      <c r="B203" s="23">
        <f t="shared" si="17"/>
        <v>0</v>
      </c>
      <c r="C203" s="23">
        <f t="shared" si="18"/>
        <v>0</v>
      </c>
      <c r="D203" s="23">
        <f t="shared" si="19"/>
        <v>0</v>
      </c>
      <c r="E203" s="23">
        <f t="shared" si="20"/>
        <v>0</v>
      </c>
      <c r="F203" s="23">
        <f t="shared" si="20"/>
        <v>0</v>
      </c>
      <c r="G203" s="2" t="str">
        <f>IF('证券列表 '!B206="","",'证券列表 '!B206)</f>
        <v>MSC.N</v>
      </c>
      <c r="H203" s="2" t="s">
        <v>405</v>
      </c>
      <c r="I203" s="3">
        <v>45517</v>
      </c>
      <c r="J203" s="6">
        <v>1211617661.25</v>
      </c>
      <c r="K203" t="str">
        <f ca="1">IF($I203=业绩披露日期!D$7,ROW(),"")</f>
        <v/>
      </c>
      <c r="L203" t="str">
        <f>IF($I203=业绩披露日期!E$7,ROW(),"")</f>
        <v/>
      </c>
      <c r="M203" t="str">
        <f>IF($I203=业绩披露日期!F$7,ROW(),"")</f>
        <v/>
      </c>
      <c r="N203" t="str">
        <f>IF($I203=业绩披露日期!G$7,ROW(),"")</f>
        <v/>
      </c>
      <c r="O203" t="str">
        <f>IF($I203=业绩披露日期!H$7,ROW(),"")</f>
        <v/>
      </c>
      <c r="P203" t="str">
        <f>IF($I203=业绩披露日期!I$7,ROW(),"")</f>
        <v/>
      </c>
    </row>
    <row r="204" spans="1:16" x14ac:dyDescent="0.35">
      <c r="A204" s="23">
        <f t="shared" ca="1" si="16"/>
        <v>0</v>
      </c>
      <c r="B204" s="23">
        <f t="shared" si="17"/>
        <v>0</v>
      </c>
      <c r="C204" s="23">
        <f t="shared" si="18"/>
        <v>0</v>
      </c>
      <c r="D204" s="23">
        <f t="shared" si="19"/>
        <v>0</v>
      </c>
      <c r="E204" s="23">
        <f t="shared" si="20"/>
        <v>0</v>
      </c>
      <c r="F204" s="23">
        <f t="shared" si="20"/>
        <v>0</v>
      </c>
      <c r="G204" s="2" t="str">
        <f>IF('证券列表 '!B207="","",'证券列表 '!B207)</f>
        <v>MTC.O</v>
      </c>
      <c r="H204" s="2" t="s">
        <v>407</v>
      </c>
      <c r="I204" s="3"/>
      <c r="J204" s="6">
        <v>54964031.316000007</v>
      </c>
      <c r="K204" t="str">
        <f ca="1">IF($I204=业绩披露日期!D$7,ROW(),"")</f>
        <v/>
      </c>
      <c r="L204" t="str">
        <f>IF($I204=业绩披露日期!E$7,ROW(),"")</f>
        <v/>
      </c>
      <c r="M204" t="str">
        <f>IF($I204=业绩披露日期!F$7,ROW(),"")</f>
        <v/>
      </c>
      <c r="N204" t="str">
        <f>IF($I204=业绩披露日期!G$7,ROW(),"")</f>
        <v/>
      </c>
      <c r="O204" t="str">
        <f>IF($I204=业绩披露日期!H$7,ROW(),"")</f>
        <v/>
      </c>
      <c r="P204" t="str">
        <f>IF($I204=业绩披露日期!I$7,ROW(),"")</f>
        <v/>
      </c>
    </row>
    <row r="205" spans="1:16" x14ac:dyDescent="0.35">
      <c r="A205" s="23">
        <f t="shared" ca="1" si="16"/>
        <v>0</v>
      </c>
      <c r="B205" s="23">
        <f t="shared" si="17"/>
        <v>0</v>
      </c>
      <c r="C205" s="23">
        <f t="shared" si="18"/>
        <v>0</v>
      </c>
      <c r="D205" s="23">
        <f t="shared" si="19"/>
        <v>0</v>
      </c>
      <c r="E205" s="23">
        <f t="shared" si="20"/>
        <v>0</v>
      </c>
      <c r="F205" s="23">
        <f t="shared" si="20"/>
        <v>0</v>
      </c>
      <c r="G205" s="2" t="str">
        <f>IF('证券列表 '!B208="","",'证券列表 '!B208)</f>
        <v>MTEN.O</v>
      </c>
      <c r="H205" s="2" t="s">
        <v>409</v>
      </c>
      <c r="I205" s="3"/>
      <c r="J205" s="6">
        <v>30915500.000000004</v>
      </c>
      <c r="K205" t="str">
        <f ca="1">IF($I205=业绩披露日期!D$7,ROW(),"")</f>
        <v/>
      </c>
      <c r="L205" t="str">
        <f>IF($I205=业绩披露日期!E$7,ROW(),"")</f>
        <v/>
      </c>
      <c r="M205" t="str">
        <f>IF($I205=业绩披露日期!F$7,ROW(),"")</f>
        <v/>
      </c>
      <c r="N205" t="str">
        <f>IF($I205=业绩披露日期!G$7,ROW(),"")</f>
        <v/>
      </c>
      <c r="O205" t="str">
        <f>IF($I205=业绩披露日期!H$7,ROW(),"")</f>
        <v/>
      </c>
      <c r="P205" t="str">
        <f>IF($I205=业绩披露日期!I$7,ROW(),"")</f>
        <v/>
      </c>
    </row>
    <row r="206" spans="1:16" x14ac:dyDescent="0.35">
      <c r="A206" s="23">
        <f t="shared" ca="1" si="16"/>
        <v>0</v>
      </c>
      <c r="B206" s="23">
        <f t="shared" si="17"/>
        <v>0</v>
      </c>
      <c r="C206" s="23">
        <f t="shared" si="18"/>
        <v>0</v>
      </c>
      <c r="D206" s="23">
        <f t="shared" si="19"/>
        <v>0</v>
      </c>
      <c r="E206" s="23">
        <f t="shared" si="20"/>
        <v>0</v>
      </c>
      <c r="F206" s="23">
        <f t="shared" si="20"/>
        <v>0</v>
      </c>
      <c r="G206" s="2" t="str">
        <f>IF('证券列表 '!B209="","",'证券列表 '!B209)</f>
        <v>MYND.A</v>
      </c>
      <c r="H206" s="2" t="s">
        <v>411</v>
      </c>
      <c r="I206" s="3"/>
      <c r="J206" s="6">
        <v>75775318.11999999</v>
      </c>
      <c r="K206" t="str">
        <f ca="1">IF($I206=业绩披露日期!D$7,ROW(),"")</f>
        <v/>
      </c>
      <c r="L206" t="str">
        <f>IF($I206=业绩披露日期!E$7,ROW(),"")</f>
        <v/>
      </c>
      <c r="M206" t="str">
        <f>IF($I206=业绩披露日期!F$7,ROW(),"")</f>
        <v/>
      </c>
      <c r="N206" t="str">
        <f>IF($I206=业绩披露日期!G$7,ROW(),"")</f>
        <v/>
      </c>
      <c r="O206" t="str">
        <f>IF($I206=业绩披露日期!H$7,ROW(),"")</f>
        <v/>
      </c>
      <c r="P206" t="str">
        <f>IF($I206=业绩披露日期!I$7,ROW(),"")</f>
        <v/>
      </c>
    </row>
    <row r="207" spans="1:16" x14ac:dyDescent="0.35">
      <c r="A207" s="23">
        <f t="shared" ca="1" si="16"/>
        <v>0</v>
      </c>
      <c r="B207" s="23">
        <f t="shared" si="17"/>
        <v>0</v>
      </c>
      <c r="C207" s="23">
        <f t="shared" si="18"/>
        <v>0</v>
      </c>
      <c r="D207" s="23">
        <f t="shared" si="19"/>
        <v>0</v>
      </c>
      <c r="E207" s="23">
        <f t="shared" si="20"/>
        <v>0</v>
      </c>
      <c r="F207" s="23">
        <f t="shared" si="20"/>
        <v>0</v>
      </c>
      <c r="G207" s="2" t="str">
        <f>IF('证券列表 '!B210="","",'证券列表 '!B210)</f>
        <v>NA.O</v>
      </c>
      <c r="H207" s="2" t="s">
        <v>413</v>
      </c>
      <c r="I207" s="3"/>
      <c r="J207" s="6">
        <v>10900228.248</v>
      </c>
      <c r="K207" t="str">
        <f ca="1">IF($I207=业绩披露日期!D$7,ROW(),"")</f>
        <v/>
      </c>
      <c r="L207" t="str">
        <f>IF($I207=业绩披露日期!E$7,ROW(),"")</f>
        <v/>
      </c>
      <c r="M207" t="str">
        <f>IF($I207=业绩披露日期!F$7,ROW(),"")</f>
        <v/>
      </c>
      <c r="N207" t="str">
        <f>IF($I207=业绩披露日期!G$7,ROW(),"")</f>
        <v/>
      </c>
      <c r="O207" t="str">
        <f>IF($I207=业绩披露日期!H$7,ROW(),"")</f>
        <v/>
      </c>
      <c r="P207" t="str">
        <f>IF($I207=业绩披露日期!I$7,ROW(),"")</f>
        <v/>
      </c>
    </row>
    <row r="208" spans="1:16" x14ac:dyDescent="0.35">
      <c r="A208" s="23">
        <f t="shared" ca="1" si="16"/>
        <v>0</v>
      </c>
      <c r="B208" s="23">
        <f t="shared" si="17"/>
        <v>0</v>
      </c>
      <c r="C208" s="23">
        <f t="shared" si="18"/>
        <v>0</v>
      </c>
      <c r="D208" s="23">
        <f t="shared" si="19"/>
        <v>0</v>
      </c>
      <c r="E208" s="23">
        <f t="shared" si="20"/>
        <v>0</v>
      </c>
      <c r="F208" s="23">
        <f t="shared" si="20"/>
        <v>0</v>
      </c>
      <c r="G208" s="2" t="str">
        <f>IF('证券列表 '!B211="","",'证券列表 '!B211)</f>
        <v>NAAS.O</v>
      </c>
      <c r="H208" s="2" t="s">
        <v>415</v>
      </c>
      <c r="I208" s="3"/>
      <c r="J208" s="6">
        <v>52995283.101150006</v>
      </c>
      <c r="K208" t="str">
        <f ca="1">IF($I208=业绩披露日期!D$7,ROW(),"")</f>
        <v/>
      </c>
      <c r="L208" t="str">
        <f>IF($I208=业绩披露日期!E$7,ROW(),"")</f>
        <v/>
      </c>
      <c r="M208" t="str">
        <f>IF($I208=业绩披露日期!F$7,ROW(),"")</f>
        <v/>
      </c>
      <c r="N208" t="str">
        <f>IF($I208=业绩披露日期!G$7,ROW(),"")</f>
        <v/>
      </c>
      <c r="O208" t="str">
        <f>IF($I208=业绩披露日期!H$7,ROW(),"")</f>
        <v/>
      </c>
      <c r="P208" t="str">
        <f>IF($I208=业绩披露日期!I$7,ROW(),"")</f>
        <v/>
      </c>
    </row>
    <row r="209" spans="1:16" x14ac:dyDescent="0.35">
      <c r="A209" s="23">
        <f t="shared" ca="1" si="16"/>
        <v>0</v>
      </c>
      <c r="B209" s="23">
        <f t="shared" si="17"/>
        <v>0</v>
      </c>
      <c r="C209" s="23">
        <f t="shared" si="18"/>
        <v>0</v>
      </c>
      <c r="D209" s="23">
        <f t="shared" si="19"/>
        <v>0</v>
      </c>
      <c r="E209" s="23">
        <f t="shared" si="20"/>
        <v>0</v>
      </c>
      <c r="F209" s="23">
        <f t="shared" si="20"/>
        <v>0</v>
      </c>
      <c r="G209" s="2" t="str">
        <f>IF('证券列表 '!B212="","",'证券列表 '!B212)</f>
        <v>NCI.O</v>
      </c>
      <c r="H209" s="2" t="s">
        <v>417</v>
      </c>
      <c r="I209" s="3"/>
      <c r="J209" s="6">
        <v>8611616</v>
      </c>
      <c r="K209" t="str">
        <f ca="1">IF($I209=业绩披露日期!D$7,ROW(),"")</f>
        <v/>
      </c>
      <c r="L209" t="str">
        <f>IF($I209=业绩披露日期!E$7,ROW(),"")</f>
        <v/>
      </c>
      <c r="M209" t="str">
        <f>IF($I209=业绩披露日期!F$7,ROW(),"")</f>
        <v/>
      </c>
      <c r="N209" t="str">
        <f>IF($I209=业绩披露日期!G$7,ROW(),"")</f>
        <v/>
      </c>
      <c r="O209" t="str">
        <f>IF($I209=业绩披露日期!H$7,ROW(),"")</f>
        <v/>
      </c>
      <c r="P209" t="str">
        <f>IF($I209=业绩披露日期!I$7,ROW(),"")</f>
        <v/>
      </c>
    </row>
    <row r="210" spans="1:16" x14ac:dyDescent="0.35">
      <c r="A210" s="23">
        <f t="shared" ca="1" si="16"/>
        <v>0</v>
      </c>
      <c r="B210" s="23">
        <f t="shared" si="17"/>
        <v>0</v>
      </c>
      <c r="C210" s="23">
        <f t="shared" si="18"/>
        <v>0</v>
      </c>
      <c r="D210" s="23">
        <f t="shared" si="19"/>
        <v>0</v>
      </c>
      <c r="E210" s="23">
        <f t="shared" si="20"/>
        <v>0</v>
      </c>
      <c r="F210" s="23">
        <f t="shared" si="20"/>
        <v>0</v>
      </c>
      <c r="G210" s="2" t="str">
        <f>IF('证券列表 '!B213="","",'证券列表 '!B213)</f>
        <v>NCL.A</v>
      </c>
      <c r="H210" s="2" t="s">
        <v>419</v>
      </c>
      <c r="I210" s="3">
        <v>45523</v>
      </c>
      <c r="J210" s="6">
        <v>4145040.0000000005</v>
      </c>
      <c r="K210" t="str">
        <f ca="1">IF($I210=业绩披露日期!D$7,ROW(),"")</f>
        <v/>
      </c>
      <c r="L210" t="str">
        <f>IF($I210=业绩披露日期!E$7,ROW(),"")</f>
        <v/>
      </c>
      <c r="M210" t="str">
        <f>IF($I210=业绩披露日期!F$7,ROW(),"")</f>
        <v/>
      </c>
      <c r="N210" t="str">
        <f>IF($I210=业绩披露日期!G$7,ROW(),"")</f>
        <v/>
      </c>
      <c r="O210" t="str">
        <f>IF($I210=业绩披露日期!H$7,ROW(),"")</f>
        <v/>
      </c>
      <c r="P210" t="str">
        <f>IF($I210=业绩披露日期!I$7,ROW(),"")</f>
        <v/>
      </c>
    </row>
    <row r="211" spans="1:16" x14ac:dyDescent="0.35">
      <c r="A211" s="23">
        <f t="shared" ca="1" si="16"/>
        <v>0</v>
      </c>
      <c r="B211" s="23">
        <f t="shared" si="17"/>
        <v>0</v>
      </c>
      <c r="C211" s="23">
        <f t="shared" si="18"/>
        <v>0</v>
      </c>
      <c r="D211" s="23">
        <f t="shared" si="19"/>
        <v>0</v>
      </c>
      <c r="E211" s="23">
        <f t="shared" si="20"/>
        <v>0</v>
      </c>
      <c r="F211" s="23">
        <f t="shared" si="20"/>
        <v>0</v>
      </c>
      <c r="G211" s="2" t="str">
        <f>IF('证券列表 '!B214="","",'证券列表 '!B214)</f>
        <v>NCTY.O</v>
      </c>
      <c r="H211" s="2" t="s">
        <v>421</v>
      </c>
      <c r="I211" s="3"/>
      <c r="J211" s="6">
        <v>64615051.961824328</v>
      </c>
      <c r="K211" t="str">
        <f ca="1">IF($I211=业绩披露日期!D$7,ROW(),"")</f>
        <v/>
      </c>
      <c r="L211" t="str">
        <f>IF($I211=业绩披露日期!E$7,ROW(),"")</f>
        <v/>
      </c>
      <c r="M211" t="str">
        <f>IF($I211=业绩披露日期!F$7,ROW(),"")</f>
        <v/>
      </c>
      <c r="N211" t="str">
        <f>IF($I211=业绩披露日期!G$7,ROW(),"")</f>
        <v/>
      </c>
      <c r="O211" t="str">
        <f>IF($I211=业绩披露日期!H$7,ROW(),"")</f>
        <v/>
      </c>
      <c r="P211" t="str">
        <f>IF($I211=业绩披露日期!I$7,ROW(),"")</f>
        <v/>
      </c>
    </row>
    <row r="212" spans="1:16" x14ac:dyDescent="0.35">
      <c r="A212" s="23">
        <f t="shared" ca="1" si="16"/>
        <v>0</v>
      </c>
      <c r="B212" s="23">
        <f t="shared" si="17"/>
        <v>0</v>
      </c>
      <c r="C212" s="23">
        <f t="shared" si="18"/>
        <v>0</v>
      </c>
      <c r="D212" s="23">
        <f t="shared" si="19"/>
        <v>0</v>
      </c>
      <c r="E212" s="23">
        <f t="shared" si="20"/>
        <v>0</v>
      </c>
      <c r="F212" s="23">
        <f t="shared" si="20"/>
        <v>0</v>
      </c>
      <c r="G212" s="2" t="str">
        <f>IF('证券列表 '!B215="","",'证券列表 '!B215)</f>
        <v>NEGG.O</v>
      </c>
      <c r="H212" s="2" t="s">
        <v>423</v>
      </c>
      <c r="I212" s="3"/>
      <c r="J212" s="6">
        <v>298704560</v>
      </c>
      <c r="K212" t="str">
        <f ca="1">IF($I212=业绩披露日期!D$7,ROW(),"")</f>
        <v/>
      </c>
      <c r="L212" t="str">
        <f>IF($I212=业绩披露日期!E$7,ROW(),"")</f>
        <v/>
      </c>
      <c r="M212" t="str">
        <f>IF($I212=业绩披露日期!F$7,ROW(),"")</f>
        <v/>
      </c>
      <c r="N212" t="str">
        <f>IF($I212=业绩披露日期!G$7,ROW(),"")</f>
        <v/>
      </c>
      <c r="O212" t="str">
        <f>IF($I212=业绩披露日期!H$7,ROW(),"")</f>
        <v/>
      </c>
      <c r="P212" t="str">
        <f>IF($I212=业绩披露日期!I$7,ROW(),"")</f>
        <v/>
      </c>
    </row>
    <row r="213" spans="1:16" x14ac:dyDescent="0.35">
      <c r="A213" s="23">
        <f t="shared" ca="1" si="16"/>
        <v>0</v>
      </c>
      <c r="B213" s="23">
        <f t="shared" si="17"/>
        <v>0</v>
      </c>
      <c r="C213" s="23">
        <f t="shared" si="18"/>
        <v>0</v>
      </c>
      <c r="D213" s="23">
        <f t="shared" si="19"/>
        <v>0</v>
      </c>
      <c r="E213" s="23">
        <f t="shared" si="20"/>
        <v>0</v>
      </c>
      <c r="F213" s="23">
        <f t="shared" si="20"/>
        <v>0</v>
      </c>
      <c r="G213" s="2" t="str">
        <f>IF('证券列表 '!B216="","",'证券列表 '!B216)</f>
        <v>NIO.N</v>
      </c>
      <c r="H213" s="2" t="s">
        <v>425</v>
      </c>
      <c r="I213" s="3">
        <v>45540</v>
      </c>
      <c r="J213" s="6">
        <v>8069365688.4742985</v>
      </c>
      <c r="K213" t="str">
        <f ca="1">IF($I213=业绩披露日期!D$7,ROW(),"")</f>
        <v/>
      </c>
      <c r="L213" t="str">
        <f>IF($I213=业绩披露日期!E$7,ROW(),"")</f>
        <v/>
      </c>
      <c r="M213" t="str">
        <f>IF($I213=业绩披露日期!F$7,ROW(),"")</f>
        <v/>
      </c>
      <c r="N213" t="str">
        <f>IF($I213=业绩披露日期!G$7,ROW(),"")</f>
        <v/>
      </c>
      <c r="O213" t="str">
        <f>IF($I213=业绩披露日期!H$7,ROW(),"")</f>
        <v/>
      </c>
      <c r="P213" t="str">
        <f>IF($I213=业绩披露日期!I$7,ROW(),"")</f>
        <v/>
      </c>
    </row>
    <row r="214" spans="1:16" x14ac:dyDescent="0.35">
      <c r="A214" s="23">
        <f t="shared" ca="1" si="16"/>
        <v>0</v>
      </c>
      <c r="B214" s="23">
        <f t="shared" si="17"/>
        <v>0</v>
      </c>
      <c r="C214" s="23">
        <f t="shared" si="18"/>
        <v>0</v>
      </c>
      <c r="D214" s="23">
        <f t="shared" si="19"/>
        <v>0</v>
      </c>
      <c r="E214" s="23">
        <f t="shared" si="20"/>
        <v>0</v>
      </c>
      <c r="F214" s="23">
        <f t="shared" si="20"/>
        <v>0</v>
      </c>
      <c r="G214" s="2" t="str">
        <f>IF('证券列表 '!B217="","",'证券列表 '!B217)</f>
        <v>NIPG.O</v>
      </c>
      <c r="H214" s="2" t="s">
        <v>427</v>
      </c>
      <c r="I214" s="3"/>
      <c r="J214" s="6">
        <v>434991871.15999997</v>
      </c>
      <c r="K214" t="str">
        <f ca="1">IF($I214=业绩披露日期!D$7,ROW(),"")</f>
        <v/>
      </c>
      <c r="L214" t="str">
        <f>IF($I214=业绩披露日期!E$7,ROW(),"")</f>
        <v/>
      </c>
      <c r="M214" t="str">
        <f>IF($I214=业绩披露日期!F$7,ROW(),"")</f>
        <v/>
      </c>
      <c r="N214" t="str">
        <f>IF($I214=业绩披露日期!G$7,ROW(),"")</f>
        <v/>
      </c>
      <c r="O214" t="str">
        <f>IF($I214=业绩披露日期!H$7,ROW(),"")</f>
        <v/>
      </c>
      <c r="P214" t="str">
        <f>IF($I214=业绩披露日期!I$7,ROW(),"")</f>
        <v/>
      </c>
    </row>
    <row r="215" spans="1:16" x14ac:dyDescent="0.35">
      <c r="A215" s="23">
        <f t="shared" ca="1" si="16"/>
        <v>0</v>
      </c>
      <c r="B215" s="23">
        <f t="shared" si="17"/>
        <v>0</v>
      </c>
      <c r="C215" s="23">
        <f t="shared" si="18"/>
        <v>0</v>
      </c>
      <c r="D215" s="23">
        <f t="shared" si="19"/>
        <v>0</v>
      </c>
      <c r="E215" s="23">
        <f t="shared" si="20"/>
        <v>0</v>
      </c>
      <c r="F215" s="23">
        <f t="shared" si="20"/>
        <v>0</v>
      </c>
      <c r="G215" s="2" t="str">
        <f>IF('证券列表 '!B218="","",'证券列表 '!B218)</f>
        <v>NISN.O</v>
      </c>
      <c r="H215" s="2" t="s">
        <v>429</v>
      </c>
      <c r="I215" s="3"/>
      <c r="J215" s="6">
        <v>41140183.039999999</v>
      </c>
      <c r="K215" t="str">
        <f ca="1">IF($I215=业绩披露日期!D$7,ROW(),"")</f>
        <v/>
      </c>
      <c r="L215" t="str">
        <f>IF($I215=业绩披露日期!E$7,ROW(),"")</f>
        <v/>
      </c>
      <c r="M215" t="str">
        <f>IF($I215=业绩披露日期!F$7,ROW(),"")</f>
        <v/>
      </c>
      <c r="N215" t="str">
        <f>IF($I215=业绩披露日期!G$7,ROW(),"")</f>
        <v/>
      </c>
      <c r="O215" t="str">
        <f>IF($I215=业绩披露日期!H$7,ROW(),"")</f>
        <v/>
      </c>
      <c r="P215" t="str">
        <f>IF($I215=业绩披露日期!I$7,ROW(),"")</f>
        <v/>
      </c>
    </row>
    <row r="216" spans="1:16" x14ac:dyDescent="0.35">
      <c r="A216" s="23">
        <f t="shared" ca="1" si="16"/>
        <v>0</v>
      </c>
      <c r="B216" s="23">
        <f t="shared" si="17"/>
        <v>0</v>
      </c>
      <c r="C216" s="23">
        <f t="shared" si="18"/>
        <v>0</v>
      </c>
      <c r="D216" s="23">
        <f t="shared" si="19"/>
        <v>0</v>
      </c>
      <c r="E216" s="23">
        <f t="shared" si="20"/>
        <v>0</v>
      </c>
      <c r="F216" s="23">
        <f t="shared" si="20"/>
        <v>0</v>
      </c>
      <c r="G216" s="2" t="str">
        <f>IF('证券列表 '!B219="","",'证券列表 '!B219)</f>
        <v>NIU.O</v>
      </c>
      <c r="H216" s="2" t="s">
        <v>431</v>
      </c>
      <c r="I216" s="3">
        <v>45516</v>
      </c>
      <c r="J216" s="6">
        <v>144333128.16</v>
      </c>
      <c r="K216" t="str">
        <f ca="1">IF($I216=业绩披露日期!D$7,ROW(),"")</f>
        <v/>
      </c>
      <c r="L216" t="str">
        <f>IF($I216=业绩披露日期!E$7,ROW(),"")</f>
        <v/>
      </c>
      <c r="M216" t="str">
        <f>IF($I216=业绩披露日期!F$7,ROW(),"")</f>
        <v/>
      </c>
      <c r="N216" t="str">
        <f>IF($I216=业绩披露日期!G$7,ROW(),"")</f>
        <v/>
      </c>
      <c r="O216" t="str">
        <f>IF($I216=业绩披露日期!H$7,ROW(),"")</f>
        <v/>
      </c>
      <c r="P216" t="str">
        <f>IF($I216=业绩披露日期!I$7,ROW(),"")</f>
        <v/>
      </c>
    </row>
    <row r="217" spans="1:16" x14ac:dyDescent="0.35">
      <c r="A217" s="23">
        <f t="shared" ca="1" si="16"/>
        <v>0</v>
      </c>
      <c r="B217" s="23">
        <f t="shared" si="17"/>
        <v>0</v>
      </c>
      <c r="C217" s="23">
        <f t="shared" si="18"/>
        <v>0</v>
      </c>
      <c r="D217" s="23">
        <f t="shared" si="19"/>
        <v>0</v>
      </c>
      <c r="E217" s="23">
        <f t="shared" si="20"/>
        <v>0</v>
      </c>
      <c r="F217" s="23">
        <f t="shared" si="20"/>
        <v>0</v>
      </c>
      <c r="G217" s="2" t="str">
        <f>IF('证券列表 '!B220="","",'证券列表 '!B220)</f>
        <v>NOAH.N</v>
      </c>
      <c r="H217" s="2" t="s">
        <v>433</v>
      </c>
      <c r="I217" s="3">
        <v>45532</v>
      </c>
      <c r="J217" s="6">
        <v>504647677.30580389</v>
      </c>
      <c r="K217" t="str">
        <f ca="1">IF($I217=业绩披露日期!D$7,ROW(),"")</f>
        <v/>
      </c>
      <c r="L217" t="str">
        <f>IF($I217=业绩披露日期!E$7,ROW(),"")</f>
        <v/>
      </c>
      <c r="M217" t="str">
        <f>IF($I217=业绩披露日期!F$7,ROW(),"")</f>
        <v/>
      </c>
      <c r="N217" t="str">
        <f>IF($I217=业绩披露日期!G$7,ROW(),"")</f>
        <v/>
      </c>
      <c r="O217" t="str">
        <f>IF($I217=业绩披露日期!H$7,ROW(),"")</f>
        <v/>
      </c>
      <c r="P217" t="str">
        <f>IF($I217=业绩披露日期!I$7,ROW(),"")</f>
        <v/>
      </c>
    </row>
    <row r="218" spans="1:16" x14ac:dyDescent="0.35">
      <c r="A218" s="23">
        <f t="shared" ca="1" si="16"/>
        <v>0</v>
      </c>
      <c r="B218" s="23">
        <f t="shared" si="17"/>
        <v>0</v>
      </c>
      <c r="C218" s="23">
        <f t="shared" si="18"/>
        <v>0</v>
      </c>
      <c r="D218" s="23">
        <f t="shared" si="19"/>
        <v>0</v>
      </c>
      <c r="E218" s="23">
        <f t="shared" si="20"/>
        <v>0</v>
      </c>
      <c r="F218" s="23">
        <f t="shared" si="20"/>
        <v>0</v>
      </c>
      <c r="G218" s="2" t="str">
        <f>IF('证券列表 '!B221="","",'证券列表 '!B221)</f>
        <v>NTES.O</v>
      </c>
      <c r="H218" s="2" t="s">
        <v>435</v>
      </c>
      <c r="I218" s="3">
        <v>45525</v>
      </c>
      <c r="J218" s="6">
        <v>52244987024.985901</v>
      </c>
      <c r="K218" t="str">
        <f ca="1">IF($I218=业绩披露日期!D$7,ROW(),"")</f>
        <v/>
      </c>
      <c r="L218" t="str">
        <f>IF($I218=业绩披露日期!E$7,ROW(),"")</f>
        <v/>
      </c>
      <c r="M218" t="str">
        <f>IF($I218=业绩披露日期!F$7,ROW(),"")</f>
        <v/>
      </c>
      <c r="N218" t="str">
        <f>IF($I218=业绩披露日期!G$7,ROW(),"")</f>
        <v/>
      </c>
      <c r="O218" t="str">
        <f>IF($I218=业绩披露日期!H$7,ROW(),"")</f>
        <v/>
      </c>
      <c r="P218" t="str">
        <f>IF($I218=业绩披露日期!I$7,ROW(),"")</f>
        <v/>
      </c>
    </row>
    <row r="219" spans="1:16" x14ac:dyDescent="0.35">
      <c r="A219" s="23">
        <f t="shared" ca="1" si="16"/>
        <v>0</v>
      </c>
      <c r="B219" s="23">
        <f t="shared" si="17"/>
        <v>0</v>
      </c>
      <c r="C219" s="23">
        <f t="shared" si="18"/>
        <v>0</v>
      </c>
      <c r="D219" s="23">
        <f t="shared" si="19"/>
        <v>0</v>
      </c>
      <c r="E219" s="23">
        <f t="shared" si="20"/>
        <v>0</v>
      </c>
      <c r="F219" s="23">
        <f t="shared" si="20"/>
        <v>0</v>
      </c>
      <c r="G219" s="2" t="str">
        <f>IF('证券列表 '!B222="","",'证券列表 '!B222)</f>
        <v>NVFY.O</v>
      </c>
      <c r="H219" s="2" t="s">
        <v>437</v>
      </c>
      <c r="I219" s="3">
        <v>45516</v>
      </c>
      <c r="J219" s="6">
        <v>4719644.55</v>
      </c>
      <c r="K219" t="str">
        <f ca="1">IF($I219=业绩披露日期!D$7,ROW(),"")</f>
        <v/>
      </c>
      <c r="L219" t="str">
        <f>IF($I219=业绩披露日期!E$7,ROW(),"")</f>
        <v/>
      </c>
      <c r="M219" t="str">
        <f>IF($I219=业绩披露日期!F$7,ROW(),"")</f>
        <v/>
      </c>
      <c r="N219" t="str">
        <f>IF($I219=业绩披露日期!G$7,ROW(),"")</f>
        <v/>
      </c>
      <c r="O219" t="str">
        <f>IF($I219=业绩披露日期!H$7,ROW(),"")</f>
        <v/>
      </c>
      <c r="P219" t="str">
        <f>IF($I219=业绩披露日期!I$7,ROW(),"")</f>
        <v/>
      </c>
    </row>
    <row r="220" spans="1:16" x14ac:dyDescent="0.35">
      <c r="A220" s="23">
        <f t="shared" ca="1" si="16"/>
        <v>0</v>
      </c>
      <c r="B220" s="23">
        <f t="shared" si="17"/>
        <v>0</v>
      </c>
      <c r="C220" s="23">
        <f t="shared" si="18"/>
        <v>0</v>
      </c>
      <c r="D220" s="23">
        <f t="shared" si="19"/>
        <v>0</v>
      </c>
      <c r="E220" s="23">
        <f t="shared" si="20"/>
        <v>0</v>
      </c>
      <c r="F220" s="23">
        <f t="shared" si="20"/>
        <v>0</v>
      </c>
      <c r="G220" s="2" t="str">
        <f>IF('证券列表 '!B223="","",'证券列表 '!B223)</f>
        <v>NWGL.O</v>
      </c>
      <c r="H220" s="2" t="s">
        <v>439</v>
      </c>
      <c r="I220" s="3"/>
      <c r="J220" s="6">
        <v>25988469.24625</v>
      </c>
      <c r="K220" t="str">
        <f ca="1">IF($I220=业绩披露日期!D$7,ROW(),"")</f>
        <v/>
      </c>
      <c r="L220" t="str">
        <f>IF($I220=业绩披露日期!E$7,ROW(),"")</f>
        <v/>
      </c>
      <c r="M220" t="str">
        <f>IF($I220=业绩披露日期!F$7,ROW(),"")</f>
        <v/>
      </c>
      <c r="N220" t="str">
        <f>IF($I220=业绩披露日期!G$7,ROW(),"")</f>
        <v/>
      </c>
      <c r="O220" t="str">
        <f>IF($I220=业绩披露日期!H$7,ROW(),"")</f>
        <v/>
      </c>
      <c r="P220" t="str">
        <f>IF($I220=业绩披露日期!I$7,ROW(),"")</f>
        <v/>
      </c>
    </row>
    <row r="221" spans="1:16" x14ac:dyDescent="0.35">
      <c r="A221" s="23">
        <f t="shared" ca="1" si="16"/>
        <v>0</v>
      </c>
      <c r="B221" s="23">
        <f t="shared" si="17"/>
        <v>0</v>
      </c>
      <c r="C221" s="23">
        <f t="shared" si="18"/>
        <v>0</v>
      </c>
      <c r="D221" s="23">
        <f t="shared" si="19"/>
        <v>0</v>
      </c>
      <c r="E221" s="23">
        <f t="shared" si="20"/>
        <v>0</v>
      </c>
      <c r="F221" s="23">
        <f t="shared" si="20"/>
        <v>0</v>
      </c>
      <c r="G221" s="2" t="str">
        <f>IF('证券列表 '!B224="","",'证券列表 '!B224)</f>
        <v>NWTN.O</v>
      </c>
      <c r="H221" s="2" t="s">
        <v>441</v>
      </c>
      <c r="I221" s="3"/>
      <c r="J221" s="6">
        <v>277886140.89099997</v>
      </c>
      <c r="K221" t="str">
        <f ca="1">IF($I221=业绩披露日期!D$7,ROW(),"")</f>
        <v/>
      </c>
      <c r="L221" t="str">
        <f>IF($I221=业绩披露日期!E$7,ROW(),"")</f>
        <v/>
      </c>
      <c r="M221" t="str">
        <f>IF($I221=业绩披露日期!F$7,ROW(),"")</f>
        <v/>
      </c>
      <c r="N221" t="str">
        <f>IF($I221=业绩披露日期!G$7,ROW(),"")</f>
        <v/>
      </c>
      <c r="O221" t="str">
        <f>IF($I221=业绩披露日期!H$7,ROW(),"")</f>
        <v/>
      </c>
      <c r="P221" t="str">
        <f>IF($I221=业绩披露日期!I$7,ROW(),"")</f>
        <v/>
      </c>
    </row>
    <row r="222" spans="1:16" x14ac:dyDescent="0.35">
      <c r="A222" s="23">
        <f t="shared" ca="1" si="16"/>
        <v>0</v>
      </c>
      <c r="B222" s="23">
        <f t="shared" si="17"/>
        <v>0</v>
      </c>
      <c r="C222" s="23">
        <f t="shared" si="18"/>
        <v>0</v>
      </c>
      <c r="D222" s="23">
        <f t="shared" si="19"/>
        <v>0</v>
      </c>
      <c r="E222" s="23">
        <f t="shared" si="20"/>
        <v>0</v>
      </c>
      <c r="F222" s="23">
        <f t="shared" si="20"/>
        <v>0</v>
      </c>
      <c r="G222" s="2" t="str">
        <f>IF('证券列表 '!B225="","",'证券列表 '!B225)</f>
        <v>NXTT.O</v>
      </c>
      <c r="H222" s="2" t="s">
        <v>443</v>
      </c>
      <c r="I222" s="3">
        <v>45531</v>
      </c>
      <c r="J222" s="6">
        <v>9635817.4920000006</v>
      </c>
      <c r="K222" t="str">
        <f ca="1">IF($I222=业绩披露日期!D$7,ROW(),"")</f>
        <v/>
      </c>
      <c r="L222" t="str">
        <f>IF($I222=业绩披露日期!E$7,ROW(),"")</f>
        <v/>
      </c>
      <c r="M222" t="str">
        <f>IF($I222=业绩披露日期!F$7,ROW(),"")</f>
        <v/>
      </c>
      <c r="N222" t="str">
        <f>IF($I222=业绩披露日期!G$7,ROW(),"")</f>
        <v/>
      </c>
      <c r="O222" t="str">
        <f>IF($I222=业绩披露日期!H$7,ROW(),"")</f>
        <v/>
      </c>
      <c r="P222" t="str">
        <f>IF($I222=业绩披露日期!I$7,ROW(),"")</f>
        <v/>
      </c>
    </row>
    <row r="223" spans="1:16" x14ac:dyDescent="0.35">
      <c r="A223" s="23">
        <f t="shared" ca="1" si="16"/>
        <v>0</v>
      </c>
      <c r="B223" s="23">
        <f t="shared" si="17"/>
        <v>0</v>
      </c>
      <c r="C223" s="23">
        <f t="shared" si="18"/>
        <v>0</v>
      </c>
      <c r="D223" s="23">
        <f t="shared" si="19"/>
        <v>0</v>
      </c>
      <c r="E223" s="23">
        <f t="shared" si="20"/>
        <v>0</v>
      </c>
      <c r="F223" s="23">
        <f t="shared" si="20"/>
        <v>0</v>
      </c>
      <c r="G223" s="2" t="str">
        <f>IF('证券列表 '!B226="","",'证券列表 '!B226)</f>
        <v>OCFT.N</v>
      </c>
      <c r="H223" s="2" t="s">
        <v>445</v>
      </c>
      <c r="I223" s="3">
        <v>45520</v>
      </c>
      <c r="J223" s="6">
        <v>60758316.669074878</v>
      </c>
      <c r="K223" t="str">
        <f ca="1">IF($I223=业绩披露日期!D$7,ROW(),"")</f>
        <v/>
      </c>
      <c r="L223" t="str">
        <f>IF($I223=业绩披露日期!E$7,ROW(),"")</f>
        <v/>
      </c>
      <c r="M223" t="str">
        <f>IF($I223=业绩披露日期!F$7,ROW(),"")</f>
        <v/>
      </c>
      <c r="N223" t="str">
        <f>IF($I223=业绩披露日期!G$7,ROW(),"")</f>
        <v/>
      </c>
      <c r="O223" t="str">
        <f>IF($I223=业绩披露日期!H$7,ROW(),"")</f>
        <v/>
      </c>
      <c r="P223" t="str">
        <f>IF($I223=业绩披露日期!I$7,ROW(),"")</f>
        <v/>
      </c>
    </row>
    <row r="224" spans="1:16" x14ac:dyDescent="0.35">
      <c r="A224" s="23">
        <f t="shared" ca="1" si="16"/>
        <v>0</v>
      </c>
      <c r="B224" s="23">
        <f t="shared" si="17"/>
        <v>0</v>
      </c>
      <c r="C224" s="23">
        <f t="shared" si="18"/>
        <v>0</v>
      </c>
      <c r="D224" s="23">
        <f t="shared" si="19"/>
        <v>0</v>
      </c>
      <c r="E224" s="23">
        <f t="shared" si="20"/>
        <v>0</v>
      </c>
      <c r="F224" s="23">
        <f t="shared" si="20"/>
        <v>0</v>
      </c>
      <c r="G224" s="2" t="str">
        <f>IF('证券列表 '!B227="","",'证券列表 '!B227)</f>
        <v>OCG.O</v>
      </c>
      <c r="H224" s="2" t="s">
        <v>447</v>
      </c>
      <c r="I224" s="3"/>
      <c r="J224" s="6">
        <v>5163354.1999999993</v>
      </c>
      <c r="K224" t="str">
        <f ca="1">IF($I224=业绩披露日期!D$7,ROW(),"")</f>
        <v/>
      </c>
      <c r="L224" t="str">
        <f>IF($I224=业绩披露日期!E$7,ROW(),"")</f>
        <v/>
      </c>
      <c r="M224" t="str">
        <f>IF($I224=业绩披露日期!F$7,ROW(),"")</f>
        <v/>
      </c>
      <c r="N224" t="str">
        <f>IF($I224=业绩披露日期!G$7,ROW(),"")</f>
        <v/>
      </c>
      <c r="O224" t="str">
        <f>IF($I224=业绩披露日期!H$7,ROW(),"")</f>
        <v/>
      </c>
      <c r="P224" t="str">
        <f>IF($I224=业绩披露日期!I$7,ROW(),"")</f>
        <v/>
      </c>
    </row>
    <row r="225" spans="1:16" x14ac:dyDescent="0.35">
      <c r="A225" s="23">
        <f t="shared" ca="1" si="16"/>
        <v>0</v>
      </c>
      <c r="B225" s="23">
        <f t="shared" si="17"/>
        <v>0</v>
      </c>
      <c r="C225" s="23">
        <f t="shared" si="18"/>
        <v>0</v>
      </c>
      <c r="D225" s="23">
        <f t="shared" si="19"/>
        <v>0</v>
      </c>
      <c r="E225" s="23">
        <f t="shared" si="20"/>
        <v>0</v>
      </c>
      <c r="F225" s="23">
        <f t="shared" si="20"/>
        <v>0</v>
      </c>
      <c r="G225" s="2" t="str">
        <f>IF('证券列表 '!B228="","",'证券列表 '!B228)</f>
        <v>OST.O</v>
      </c>
      <c r="H225" s="2" t="s">
        <v>449</v>
      </c>
      <c r="I225" s="3"/>
      <c r="J225" s="6">
        <v>5209937.5</v>
      </c>
      <c r="K225" t="str">
        <f ca="1">IF($I225=业绩披露日期!D$7,ROW(),"")</f>
        <v/>
      </c>
      <c r="L225" t="str">
        <f>IF($I225=业绩披露日期!E$7,ROW(),"")</f>
        <v/>
      </c>
      <c r="M225" t="str">
        <f>IF($I225=业绩披露日期!F$7,ROW(),"")</f>
        <v/>
      </c>
      <c r="N225" t="str">
        <f>IF($I225=业绩披露日期!G$7,ROW(),"")</f>
        <v/>
      </c>
      <c r="O225" t="str">
        <f>IF($I225=业绩披露日期!H$7,ROW(),"")</f>
        <v/>
      </c>
      <c r="P225" t="str">
        <f>IF($I225=业绩披露日期!I$7,ROW(),"")</f>
        <v/>
      </c>
    </row>
    <row r="226" spans="1:16" x14ac:dyDescent="0.35">
      <c r="A226" s="23">
        <f t="shared" ca="1" si="16"/>
        <v>0</v>
      </c>
      <c r="B226" s="23">
        <f t="shared" si="17"/>
        <v>0</v>
      </c>
      <c r="C226" s="23">
        <f t="shared" si="18"/>
        <v>0</v>
      </c>
      <c r="D226" s="23">
        <f t="shared" si="19"/>
        <v>0</v>
      </c>
      <c r="E226" s="23">
        <f t="shared" si="20"/>
        <v>0</v>
      </c>
      <c r="F226" s="23">
        <f t="shared" si="20"/>
        <v>0</v>
      </c>
      <c r="G226" s="2" t="str">
        <f>IF('证券列表 '!B229="","",'证券列表 '!B229)</f>
        <v>PAVS.O</v>
      </c>
      <c r="H226" s="2" t="s">
        <v>451</v>
      </c>
      <c r="I226" s="3"/>
      <c r="J226" s="6">
        <v>6529867.7000000002</v>
      </c>
      <c r="K226" t="str">
        <f ca="1">IF($I226=业绩披露日期!D$7,ROW(),"")</f>
        <v/>
      </c>
      <c r="L226" t="str">
        <f>IF($I226=业绩披露日期!E$7,ROW(),"")</f>
        <v/>
      </c>
      <c r="M226" t="str">
        <f>IF($I226=业绩披露日期!F$7,ROW(),"")</f>
        <v/>
      </c>
      <c r="N226" t="str">
        <f>IF($I226=业绩披露日期!G$7,ROW(),"")</f>
        <v/>
      </c>
      <c r="O226" t="str">
        <f>IF($I226=业绩披露日期!H$7,ROW(),"")</f>
        <v/>
      </c>
      <c r="P226" t="str">
        <f>IF($I226=业绩披露日期!I$7,ROW(),"")</f>
        <v/>
      </c>
    </row>
    <row r="227" spans="1:16" x14ac:dyDescent="0.35">
      <c r="A227" s="23">
        <f t="shared" ca="1" si="16"/>
        <v>0</v>
      </c>
      <c r="B227" s="23">
        <f t="shared" si="17"/>
        <v>0</v>
      </c>
      <c r="C227" s="23">
        <f t="shared" si="18"/>
        <v>0</v>
      </c>
      <c r="D227" s="23">
        <f t="shared" si="19"/>
        <v>0</v>
      </c>
      <c r="E227" s="23">
        <f t="shared" si="20"/>
        <v>0</v>
      </c>
      <c r="F227" s="23">
        <f t="shared" si="20"/>
        <v>0</v>
      </c>
      <c r="G227" s="2" t="str">
        <f>IF('证券列表 '!B230="","",'证券列表 '!B230)</f>
        <v>PDD.O</v>
      </c>
      <c r="H227" s="2" t="s">
        <v>452</v>
      </c>
      <c r="I227" s="3">
        <v>45530</v>
      </c>
      <c r="J227" s="6">
        <v>129738950853.3</v>
      </c>
      <c r="K227" t="str">
        <f ca="1">IF($I227=业绩披露日期!D$7,ROW(),"")</f>
        <v/>
      </c>
      <c r="L227" t="str">
        <f>IF($I227=业绩披露日期!E$7,ROW(),"")</f>
        <v/>
      </c>
      <c r="M227" t="str">
        <f>IF($I227=业绩披露日期!F$7,ROW(),"")</f>
        <v/>
      </c>
      <c r="N227" t="str">
        <f>IF($I227=业绩披露日期!G$7,ROW(),"")</f>
        <v/>
      </c>
      <c r="O227" t="str">
        <f>IF($I227=业绩披露日期!H$7,ROW(),"")</f>
        <v/>
      </c>
      <c r="P227" t="str">
        <f>IF($I227=业绩披露日期!I$7,ROW(),"")</f>
        <v/>
      </c>
    </row>
    <row r="228" spans="1:16" x14ac:dyDescent="0.35">
      <c r="A228" s="23">
        <f t="shared" ca="1" si="16"/>
        <v>0</v>
      </c>
      <c r="B228" s="23">
        <f t="shared" si="17"/>
        <v>0</v>
      </c>
      <c r="C228" s="23">
        <f t="shared" si="18"/>
        <v>0</v>
      </c>
      <c r="D228" s="23">
        <f t="shared" si="19"/>
        <v>0</v>
      </c>
      <c r="E228" s="23">
        <f t="shared" si="20"/>
        <v>0</v>
      </c>
      <c r="F228" s="23">
        <f t="shared" si="20"/>
        <v>0</v>
      </c>
      <c r="G228" s="2" t="str">
        <f>IF('证券列表 '!B231="","",'证券列表 '!B231)</f>
        <v>PERF.N</v>
      </c>
      <c r="H228" s="2" t="s">
        <v>454</v>
      </c>
      <c r="I228" s="3">
        <v>45497</v>
      </c>
      <c r="J228" s="6">
        <v>207781473.70709997</v>
      </c>
      <c r="K228" t="str">
        <f ca="1">IF($I228=业绩披露日期!D$7,ROW(),"")</f>
        <v/>
      </c>
      <c r="L228" t="str">
        <f>IF($I228=业绩披露日期!E$7,ROW(),"")</f>
        <v/>
      </c>
      <c r="M228" t="str">
        <f>IF($I228=业绩披露日期!F$7,ROW(),"")</f>
        <v/>
      </c>
      <c r="N228" t="str">
        <f>IF($I228=业绩披露日期!G$7,ROW(),"")</f>
        <v/>
      </c>
      <c r="O228" t="str">
        <f>IF($I228=业绩披露日期!H$7,ROW(),"")</f>
        <v/>
      </c>
      <c r="P228" t="str">
        <f>IF($I228=业绩披露日期!I$7,ROW(),"")</f>
        <v/>
      </c>
    </row>
    <row r="229" spans="1:16" x14ac:dyDescent="0.35">
      <c r="A229" s="23">
        <f t="shared" ca="1" si="16"/>
        <v>0</v>
      </c>
      <c r="B229" s="23">
        <f t="shared" si="17"/>
        <v>0</v>
      </c>
      <c r="C229" s="23">
        <f t="shared" si="18"/>
        <v>0</v>
      </c>
      <c r="D229" s="23">
        <f t="shared" si="19"/>
        <v>0</v>
      </c>
      <c r="E229" s="23">
        <f t="shared" si="20"/>
        <v>0</v>
      </c>
      <c r="F229" s="23">
        <f t="shared" si="20"/>
        <v>0</v>
      </c>
      <c r="G229" s="2" t="str">
        <f>IF('证券列表 '!B232="","",'证券列表 '!B232)</f>
        <v>PETZ.O</v>
      </c>
      <c r="H229" s="2" t="s">
        <v>456</v>
      </c>
      <c r="I229" s="3"/>
      <c r="J229" s="6">
        <v>12387921.6</v>
      </c>
      <c r="K229" t="str">
        <f ca="1">IF($I229=业绩披露日期!D$7,ROW(),"")</f>
        <v/>
      </c>
      <c r="L229" t="str">
        <f>IF($I229=业绩披露日期!E$7,ROW(),"")</f>
        <v/>
      </c>
      <c r="M229" t="str">
        <f>IF($I229=业绩披露日期!F$7,ROW(),"")</f>
        <v/>
      </c>
      <c r="N229" t="str">
        <f>IF($I229=业绩披露日期!G$7,ROW(),"")</f>
        <v/>
      </c>
      <c r="O229" t="str">
        <f>IF($I229=业绩披露日期!H$7,ROW(),"")</f>
        <v/>
      </c>
      <c r="P229" t="str">
        <f>IF($I229=业绩披露日期!I$7,ROW(),"")</f>
        <v/>
      </c>
    </row>
    <row r="230" spans="1:16" x14ac:dyDescent="0.35">
      <c r="A230" s="23">
        <f t="shared" ca="1" si="16"/>
        <v>0</v>
      </c>
      <c r="B230" s="23">
        <f t="shared" si="17"/>
        <v>0</v>
      </c>
      <c r="C230" s="23">
        <f t="shared" si="18"/>
        <v>0</v>
      </c>
      <c r="D230" s="23">
        <f t="shared" si="19"/>
        <v>0</v>
      </c>
      <c r="E230" s="23">
        <f t="shared" si="20"/>
        <v>0</v>
      </c>
      <c r="F230" s="23">
        <f t="shared" si="20"/>
        <v>0</v>
      </c>
      <c r="G230" s="2" t="str">
        <f>IF('证券列表 '!B233="","",'证券列表 '!B233)</f>
        <v>PGHL.O</v>
      </c>
      <c r="H230" s="2" t="s">
        <v>458</v>
      </c>
      <c r="I230" s="3"/>
      <c r="J230" s="6">
        <v>179760000</v>
      </c>
      <c r="K230" t="str">
        <f ca="1">IF($I230=业绩披露日期!D$7,ROW(),"")</f>
        <v/>
      </c>
      <c r="L230" t="str">
        <f>IF($I230=业绩披露日期!E$7,ROW(),"")</f>
        <v/>
      </c>
      <c r="M230" t="str">
        <f>IF($I230=业绩披露日期!F$7,ROW(),"")</f>
        <v/>
      </c>
      <c r="N230" t="str">
        <f>IF($I230=业绩披露日期!G$7,ROW(),"")</f>
        <v/>
      </c>
      <c r="O230" t="str">
        <f>IF($I230=业绩披露日期!H$7,ROW(),"")</f>
        <v/>
      </c>
      <c r="P230" t="str">
        <f>IF($I230=业绩披露日期!I$7,ROW(),"")</f>
        <v/>
      </c>
    </row>
    <row r="231" spans="1:16" x14ac:dyDescent="0.35">
      <c r="A231" s="23">
        <f t="shared" ca="1" si="16"/>
        <v>0</v>
      </c>
      <c r="B231" s="23">
        <f t="shared" si="17"/>
        <v>0</v>
      </c>
      <c r="C231" s="23">
        <f t="shared" si="18"/>
        <v>0</v>
      </c>
      <c r="D231" s="23">
        <f t="shared" si="19"/>
        <v>0</v>
      </c>
      <c r="E231" s="23">
        <f t="shared" si="20"/>
        <v>0</v>
      </c>
      <c r="F231" s="23">
        <f t="shared" si="20"/>
        <v>0</v>
      </c>
      <c r="G231" s="2" t="str">
        <f>IF('证券列表 '!B234="","",'证券列表 '!B234)</f>
        <v>PLAG.A</v>
      </c>
      <c r="H231" s="2" t="s">
        <v>460</v>
      </c>
      <c r="I231" s="3">
        <v>45516</v>
      </c>
      <c r="J231" s="6">
        <v>13400193.76</v>
      </c>
      <c r="K231" t="str">
        <f ca="1">IF($I231=业绩披露日期!D$7,ROW(),"")</f>
        <v/>
      </c>
      <c r="L231" t="str">
        <f>IF($I231=业绩披露日期!E$7,ROW(),"")</f>
        <v/>
      </c>
      <c r="M231" t="str">
        <f>IF($I231=业绩披露日期!F$7,ROW(),"")</f>
        <v/>
      </c>
      <c r="N231" t="str">
        <f>IF($I231=业绩披露日期!G$7,ROW(),"")</f>
        <v/>
      </c>
      <c r="O231" t="str">
        <f>IF($I231=业绩披露日期!H$7,ROW(),"")</f>
        <v/>
      </c>
      <c r="P231" t="str">
        <f>IF($I231=业绩披露日期!I$7,ROW(),"")</f>
        <v/>
      </c>
    </row>
    <row r="232" spans="1:16" x14ac:dyDescent="0.35">
      <c r="A232" s="23">
        <f t="shared" ca="1" si="16"/>
        <v>0</v>
      </c>
      <c r="B232" s="23">
        <f t="shared" si="17"/>
        <v>0</v>
      </c>
      <c r="C232" s="23">
        <f t="shared" si="18"/>
        <v>0</v>
      </c>
      <c r="D232" s="23">
        <f t="shared" si="19"/>
        <v>0</v>
      </c>
      <c r="E232" s="23">
        <f t="shared" si="20"/>
        <v>0</v>
      </c>
      <c r="F232" s="23">
        <f t="shared" si="20"/>
        <v>0</v>
      </c>
      <c r="G232" s="2" t="str">
        <f>IF('证券列表 '!B235="","",'证券列表 '!B235)</f>
        <v>PSIG.O</v>
      </c>
      <c r="H232" s="2" t="s">
        <v>462</v>
      </c>
      <c r="I232" s="3"/>
      <c r="J232" s="6">
        <v>20084417.192699999</v>
      </c>
      <c r="K232" t="str">
        <f ca="1">IF($I232=业绩披露日期!D$7,ROW(),"")</f>
        <v/>
      </c>
      <c r="L232" t="str">
        <f>IF($I232=业绩披露日期!E$7,ROW(),"")</f>
        <v/>
      </c>
      <c r="M232" t="str">
        <f>IF($I232=业绩披露日期!F$7,ROW(),"")</f>
        <v/>
      </c>
      <c r="N232" t="str">
        <f>IF($I232=业绩披露日期!G$7,ROW(),"")</f>
        <v/>
      </c>
      <c r="O232" t="str">
        <f>IF($I232=业绩披露日期!H$7,ROW(),"")</f>
        <v/>
      </c>
      <c r="P232" t="str">
        <f>IF($I232=业绩披露日期!I$7,ROW(),"")</f>
        <v/>
      </c>
    </row>
    <row r="233" spans="1:16" x14ac:dyDescent="0.35">
      <c r="A233" s="23">
        <f t="shared" ca="1" si="16"/>
        <v>0</v>
      </c>
      <c r="B233" s="23">
        <f t="shared" si="17"/>
        <v>0</v>
      </c>
      <c r="C233" s="23">
        <f t="shared" si="18"/>
        <v>0</v>
      </c>
      <c r="D233" s="23">
        <f t="shared" si="19"/>
        <v>0</v>
      </c>
      <c r="E233" s="23">
        <f t="shared" si="20"/>
        <v>0</v>
      </c>
      <c r="F233" s="23">
        <f t="shared" si="20"/>
        <v>0</v>
      </c>
      <c r="G233" s="2" t="str">
        <f>IF('证券列表 '!B236="","",'证券列表 '!B236)</f>
        <v>PT.O</v>
      </c>
      <c r="H233" s="2" t="s">
        <v>464</v>
      </c>
      <c r="I233" s="3"/>
      <c r="J233" s="6">
        <v>16426399.329714285</v>
      </c>
      <c r="K233" t="str">
        <f ca="1">IF($I233=业绩披露日期!D$7,ROW(),"")</f>
        <v/>
      </c>
      <c r="L233" t="str">
        <f>IF($I233=业绩披露日期!E$7,ROW(),"")</f>
        <v/>
      </c>
      <c r="M233" t="str">
        <f>IF($I233=业绩披露日期!F$7,ROW(),"")</f>
        <v/>
      </c>
      <c r="N233" t="str">
        <f>IF($I233=业绩披露日期!G$7,ROW(),"")</f>
        <v/>
      </c>
      <c r="O233" t="str">
        <f>IF($I233=业绩披露日期!H$7,ROW(),"")</f>
        <v/>
      </c>
      <c r="P233" t="str">
        <f>IF($I233=业绩披露日期!I$7,ROW(),"")</f>
        <v/>
      </c>
    </row>
    <row r="234" spans="1:16" x14ac:dyDescent="0.35">
      <c r="A234" s="23">
        <f t="shared" ca="1" si="16"/>
        <v>0</v>
      </c>
      <c r="B234" s="23">
        <f t="shared" si="17"/>
        <v>0</v>
      </c>
      <c r="C234" s="23">
        <f t="shared" si="18"/>
        <v>0</v>
      </c>
      <c r="D234" s="23">
        <f t="shared" si="19"/>
        <v>0</v>
      </c>
      <c r="E234" s="23">
        <f t="shared" si="20"/>
        <v>0</v>
      </c>
      <c r="F234" s="23">
        <f t="shared" si="20"/>
        <v>0</v>
      </c>
      <c r="G234" s="2" t="str">
        <f>IF('证券列表 '!B237="","",'证券列表 '!B237)</f>
        <v>PWM.O</v>
      </c>
      <c r="H234" s="2" t="s">
        <v>466</v>
      </c>
      <c r="I234" s="3"/>
      <c r="J234" s="6">
        <v>14480000.4</v>
      </c>
      <c r="K234" t="str">
        <f ca="1">IF($I234=业绩披露日期!D$7,ROW(),"")</f>
        <v/>
      </c>
      <c r="L234" t="str">
        <f>IF($I234=业绩披露日期!E$7,ROW(),"")</f>
        <v/>
      </c>
      <c r="M234" t="str">
        <f>IF($I234=业绩披露日期!F$7,ROW(),"")</f>
        <v/>
      </c>
      <c r="N234" t="str">
        <f>IF($I234=业绩披露日期!G$7,ROW(),"")</f>
        <v/>
      </c>
      <c r="O234" t="str">
        <f>IF($I234=业绩披露日期!H$7,ROW(),"")</f>
        <v/>
      </c>
      <c r="P234" t="str">
        <f>IF($I234=业绩披露日期!I$7,ROW(),"")</f>
        <v/>
      </c>
    </row>
    <row r="235" spans="1:16" x14ac:dyDescent="0.35">
      <c r="A235" s="23">
        <f t="shared" ca="1" si="16"/>
        <v>0</v>
      </c>
      <c r="B235" s="23">
        <f t="shared" si="17"/>
        <v>0</v>
      </c>
      <c r="C235" s="23">
        <f t="shared" si="18"/>
        <v>0</v>
      </c>
      <c r="D235" s="23">
        <f t="shared" si="19"/>
        <v>0</v>
      </c>
      <c r="E235" s="23">
        <f t="shared" si="20"/>
        <v>0</v>
      </c>
      <c r="F235" s="23">
        <f t="shared" si="20"/>
        <v>0</v>
      </c>
      <c r="G235" s="2" t="str">
        <f>IF('证券列表 '!B238="","",'证券列表 '!B238)</f>
        <v>QD.N</v>
      </c>
      <c r="H235" s="2" t="s">
        <v>468</v>
      </c>
      <c r="I235" s="3">
        <v>45540</v>
      </c>
      <c r="J235" s="6">
        <v>342820970.31</v>
      </c>
      <c r="K235" t="str">
        <f ca="1">IF($I235=业绩披露日期!D$7,ROW(),"")</f>
        <v/>
      </c>
      <c r="L235" t="str">
        <f>IF($I235=业绩披露日期!E$7,ROW(),"")</f>
        <v/>
      </c>
      <c r="M235" t="str">
        <f>IF($I235=业绩披露日期!F$7,ROW(),"")</f>
        <v/>
      </c>
      <c r="N235" t="str">
        <f>IF($I235=业绩披露日期!G$7,ROW(),"")</f>
        <v/>
      </c>
      <c r="O235" t="str">
        <f>IF($I235=业绩披露日期!H$7,ROW(),"")</f>
        <v/>
      </c>
      <c r="P235" t="str">
        <f>IF($I235=业绩披露日期!I$7,ROW(),"")</f>
        <v/>
      </c>
    </row>
    <row r="236" spans="1:16" x14ac:dyDescent="0.35">
      <c r="A236" s="23">
        <f t="shared" ca="1" si="16"/>
        <v>0</v>
      </c>
      <c r="B236" s="23">
        <f t="shared" si="17"/>
        <v>0</v>
      </c>
      <c r="C236" s="23">
        <f t="shared" si="18"/>
        <v>0</v>
      </c>
      <c r="D236" s="23">
        <f t="shared" si="19"/>
        <v>0</v>
      </c>
      <c r="E236" s="23">
        <f t="shared" si="20"/>
        <v>0</v>
      </c>
      <c r="F236" s="23">
        <f t="shared" si="20"/>
        <v>0</v>
      </c>
      <c r="G236" s="2" t="str">
        <f>IF('证券列表 '!B239="","",'证券列表 '!B239)</f>
        <v>QFIN.O</v>
      </c>
      <c r="H236" s="2" t="s">
        <v>470</v>
      </c>
      <c r="I236" s="3">
        <v>45517</v>
      </c>
      <c r="J236" s="6">
        <v>4180932125.1114616</v>
      </c>
      <c r="K236" t="str">
        <f ca="1">IF($I236=业绩披露日期!D$7,ROW(),"")</f>
        <v/>
      </c>
      <c r="L236" t="str">
        <f>IF($I236=业绩披露日期!E$7,ROW(),"")</f>
        <v/>
      </c>
      <c r="M236" t="str">
        <f>IF($I236=业绩披露日期!F$7,ROW(),"")</f>
        <v/>
      </c>
      <c r="N236" t="str">
        <f>IF($I236=业绩披露日期!G$7,ROW(),"")</f>
        <v/>
      </c>
      <c r="O236" t="str">
        <f>IF($I236=业绩披露日期!H$7,ROW(),"")</f>
        <v/>
      </c>
      <c r="P236" t="str">
        <f>IF($I236=业绩披露日期!I$7,ROW(),"")</f>
        <v/>
      </c>
    </row>
    <row r="237" spans="1:16" x14ac:dyDescent="0.35">
      <c r="A237" s="23">
        <f t="shared" ca="1" si="16"/>
        <v>0</v>
      </c>
      <c r="B237" s="23">
        <f t="shared" si="17"/>
        <v>0</v>
      </c>
      <c r="C237" s="23">
        <f t="shared" si="18"/>
        <v>0</v>
      </c>
      <c r="D237" s="23">
        <f t="shared" si="19"/>
        <v>0</v>
      </c>
      <c r="E237" s="23">
        <f t="shared" si="20"/>
        <v>0</v>
      </c>
      <c r="F237" s="23">
        <f t="shared" si="20"/>
        <v>0</v>
      </c>
      <c r="G237" s="2" t="str">
        <f>IF('证券列表 '!B240="","",'证券列表 '!B240)</f>
        <v>QH.O</v>
      </c>
      <c r="H237" s="2" t="s">
        <v>472</v>
      </c>
      <c r="I237" s="3"/>
      <c r="J237" s="6">
        <v>3728472.0698100002</v>
      </c>
      <c r="K237" t="str">
        <f ca="1">IF($I237=业绩披露日期!D$7,ROW(),"")</f>
        <v/>
      </c>
      <c r="L237" t="str">
        <f>IF($I237=业绩披露日期!E$7,ROW(),"")</f>
        <v/>
      </c>
      <c r="M237" t="str">
        <f>IF($I237=业绩披露日期!F$7,ROW(),"")</f>
        <v/>
      </c>
      <c r="N237" t="str">
        <f>IF($I237=业绩披露日期!G$7,ROW(),"")</f>
        <v/>
      </c>
      <c r="O237" t="str">
        <f>IF($I237=业绩披露日期!H$7,ROW(),"")</f>
        <v/>
      </c>
      <c r="P237" t="str">
        <f>IF($I237=业绩披露日期!I$7,ROW(),"")</f>
        <v/>
      </c>
    </row>
    <row r="238" spans="1:16" x14ac:dyDescent="0.35">
      <c r="A238" s="23">
        <f t="shared" ca="1" si="16"/>
        <v>0</v>
      </c>
      <c r="B238" s="23">
        <f t="shared" si="17"/>
        <v>0</v>
      </c>
      <c r="C238" s="23">
        <f t="shared" si="18"/>
        <v>0</v>
      </c>
      <c r="D238" s="23">
        <f t="shared" si="19"/>
        <v>0</v>
      </c>
      <c r="E238" s="23">
        <f t="shared" si="20"/>
        <v>0</v>
      </c>
      <c r="F238" s="23">
        <f t="shared" si="20"/>
        <v>0</v>
      </c>
      <c r="G238" s="2" t="str">
        <f>IF('证券列表 '!B241="","",'证券列表 '!B241)</f>
        <v>QMMM.O</v>
      </c>
      <c r="H238" s="2" t="s">
        <v>474</v>
      </c>
      <c r="I238" s="3"/>
      <c r="J238" s="6">
        <v>87293500</v>
      </c>
      <c r="K238" t="str">
        <f ca="1">IF($I238=业绩披露日期!D$7,ROW(),"")</f>
        <v/>
      </c>
      <c r="L238" t="str">
        <f>IF($I238=业绩披露日期!E$7,ROW(),"")</f>
        <v/>
      </c>
      <c r="M238" t="str">
        <f>IF($I238=业绩披露日期!F$7,ROW(),"")</f>
        <v/>
      </c>
      <c r="N238" t="str">
        <f>IF($I238=业绩披露日期!G$7,ROW(),"")</f>
        <v/>
      </c>
      <c r="O238" t="str">
        <f>IF($I238=业绩披露日期!H$7,ROW(),"")</f>
        <v/>
      </c>
      <c r="P238" t="str">
        <f>IF($I238=业绩披露日期!I$7,ROW(),"")</f>
        <v/>
      </c>
    </row>
    <row r="239" spans="1:16" x14ac:dyDescent="0.35">
      <c r="A239" s="23">
        <f t="shared" ca="1" si="16"/>
        <v>0</v>
      </c>
      <c r="B239" s="23">
        <f t="shared" si="17"/>
        <v>0</v>
      </c>
      <c r="C239" s="23">
        <f t="shared" si="18"/>
        <v>0</v>
      </c>
      <c r="D239" s="23">
        <f t="shared" si="19"/>
        <v>0</v>
      </c>
      <c r="E239" s="23">
        <f t="shared" si="20"/>
        <v>0</v>
      </c>
      <c r="F239" s="23">
        <f t="shared" si="20"/>
        <v>0</v>
      </c>
      <c r="G239" s="2" t="str">
        <f>IF('证券列表 '!B242="","",'证券列表 '!B242)</f>
        <v>QSG.O</v>
      </c>
      <c r="H239" s="2" t="s">
        <v>476</v>
      </c>
      <c r="I239" s="3">
        <v>45358</v>
      </c>
      <c r="J239" s="6">
        <v>90981145.933333337</v>
      </c>
      <c r="K239" t="str">
        <f ca="1">IF($I239=业绩披露日期!D$7,ROW(),"")</f>
        <v/>
      </c>
      <c r="L239" t="str">
        <f>IF($I239=业绩披露日期!E$7,ROW(),"")</f>
        <v/>
      </c>
      <c r="M239" t="str">
        <f>IF($I239=业绩披露日期!F$7,ROW(),"")</f>
        <v/>
      </c>
      <c r="N239" t="str">
        <f>IF($I239=业绩披露日期!G$7,ROW(),"")</f>
        <v/>
      </c>
      <c r="O239" t="str">
        <f>IF($I239=业绩披露日期!H$7,ROW(),"")</f>
        <v/>
      </c>
      <c r="P239" t="str">
        <f>IF($I239=业绩披露日期!I$7,ROW(),"")</f>
        <v/>
      </c>
    </row>
    <row r="240" spans="1:16" x14ac:dyDescent="0.35">
      <c r="A240" s="23">
        <f t="shared" ca="1" si="16"/>
        <v>0</v>
      </c>
      <c r="B240" s="23">
        <f t="shared" si="17"/>
        <v>0</v>
      </c>
      <c r="C240" s="23">
        <f t="shared" si="18"/>
        <v>0</v>
      </c>
      <c r="D240" s="23">
        <f t="shared" si="19"/>
        <v>0</v>
      </c>
      <c r="E240" s="23">
        <f t="shared" si="20"/>
        <v>0</v>
      </c>
      <c r="F240" s="23">
        <f t="shared" si="20"/>
        <v>0</v>
      </c>
      <c r="G240" s="2" t="str">
        <f>IF('证券列表 '!B243="","",'证券列表 '!B243)</f>
        <v>RAY.O</v>
      </c>
      <c r="H240" s="2" t="s">
        <v>478</v>
      </c>
      <c r="I240" s="3"/>
      <c r="J240" s="6">
        <v>36400000</v>
      </c>
      <c r="K240" t="str">
        <f ca="1">IF($I240=业绩披露日期!D$7,ROW(),"")</f>
        <v/>
      </c>
      <c r="L240" t="str">
        <f>IF($I240=业绩披露日期!E$7,ROW(),"")</f>
        <v/>
      </c>
      <c r="M240" t="str">
        <f>IF($I240=业绩披露日期!F$7,ROW(),"")</f>
        <v/>
      </c>
      <c r="N240" t="str">
        <f>IF($I240=业绩披露日期!G$7,ROW(),"")</f>
        <v/>
      </c>
      <c r="O240" t="str">
        <f>IF($I240=业绩披露日期!H$7,ROW(),"")</f>
        <v/>
      </c>
      <c r="P240" t="str">
        <f>IF($I240=业绩披露日期!I$7,ROW(),"")</f>
        <v/>
      </c>
    </row>
    <row r="241" spans="1:16" x14ac:dyDescent="0.35">
      <c r="A241" s="23">
        <f t="shared" ca="1" si="16"/>
        <v>0</v>
      </c>
      <c r="B241" s="23">
        <f t="shared" si="17"/>
        <v>0</v>
      </c>
      <c r="C241" s="23">
        <f t="shared" si="18"/>
        <v>0</v>
      </c>
      <c r="D241" s="23">
        <f t="shared" si="19"/>
        <v>0</v>
      </c>
      <c r="E241" s="23">
        <f t="shared" si="20"/>
        <v>0</v>
      </c>
      <c r="F241" s="23">
        <f t="shared" si="20"/>
        <v>0</v>
      </c>
      <c r="G241" s="2" t="str">
        <f>IF('证券列表 '!B244="","",'证券列表 '!B244)</f>
        <v>RAYA.O</v>
      </c>
      <c r="H241" s="2" t="s">
        <v>480</v>
      </c>
      <c r="I241" s="3"/>
      <c r="J241" s="6">
        <v>11205000</v>
      </c>
      <c r="K241" t="str">
        <f ca="1">IF($I241=业绩披露日期!D$7,ROW(),"")</f>
        <v/>
      </c>
      <c r="L241" t="str">
        <f>IF($I241=业绩披露日期!E$7,ROW(),"")</f>
        <v/>
      </c>
      <c r="M241" t="str">
        <f>IF($I241=业绩披露日期!F$7,ROW(),"")</f>
        <v/>
      </c>
      <c r="N241" t="str">
        <f>IF($I241=业绩披露日期!G$7,ROW(),"")</f>
        <v/>
      </c>
      <c r="O241" t="str">
        <f>IF($I241=业绩披露日期!H$7,ROW(),"")</f>
        <v/>
      </c>
      <c r="P241" t="str">
        <f>IF($I241=业绩披露日期!I$7,ROW(),"")</f>
        <v/>
      </c>
    </row>
    <row r="242" spans="1:16" x14ac:dyDescent="0.35">
      <c r="A242" s="23">
        <f t="shared" ca="1" si="16"/>
        <v>0</v>
      </c>
      <c r="B242" s="23">
        <f t="shared" si="17"/>
        <v>0</v>
      </c>
      <c r="C242" s="23">
        <f t="shared" si="18"/>
        <v>0</v>
      </c>
      <c r="D242" s="23">
        <f t="shared" si="19"/>
        <v>0</v>
      </c>
      <c r="E242" s="23">
        <f t="shared" si="20"/>
        <v>0</v>
      </c>
      <c r="F242" s="23">
        <f t="shared" si="20"/>
        <v>0</v>
      </c>
      <c r="G242" s="2" t="str">
        <f>IF('证券列表 '!B245="","",'证券列表 '!B245)</f>
        <v>RCON.O</v>
      </c>
      <c r="H242" s="2" t="s">
        <v>482</v>
      </c>
      <c r="I242" s="3"/>
      <c r="J242" s="6">
        <v>22829962.899999999</v>
      </c>
      <c r="K242" t="str">
        <f ca="1">IF($I242=业绩披露日期!D$7,ROW(),"")</f>
        <v/>
      </c>
      <c r="L242" t="str">
        <f>IF($I242=业绩披露日期!E$7,ROW(),"")</f>
        <v/>
      </c>
      <c r="M242" t="str">
        <f>IF($I242=业绩披露日期!F$7,ROW(),"")</f>
        <v/>
      </c>
      <c r="N242" t="str">
        <f>IF($I242=业绩披露日期!G$7,ROW(),"")</f>
        <v/>
      </c>
      <c r="O242" t="str">
        <f>IF($I242=业绩披露日期!H$7,ROW(),"")</f>
        <v/>
      </c>
      <c r="P242" t="str">
        <f>IF($I242=业绩披露日期!I$7,ROW(),"")</f>
        <v/>
      </c>
    </row>
    <row r="243" spans="1:16" x14ac:dyDescent="0.35">
      <c r="A243" s="23">
        <f t="shared" ca="1" si="16"/>
        <v>0</v>
      </c>
      <c r="B243" s="23">
        <f t="shared" si="17"/>
        <v>0</v>
      </c>
      <c r="C243" s="23">
        <f t="shared" si="18"/>
        <v>0</v>
      </c>
      <c r="D243" s="23">
        <f t="shared" si="19"/>
        <v>0</v>
      </c>
      <c r="E243" s="23">
        <f t="shared" si="20"/>
        <v>0</v>
      </c>
      <c r="F243" s="23">
        <f t="shared" si="20"/>
        <v>0</v>
      </c>
      <c r="G243" s="2" t="str">
        <f>IF('证券列表 '!B246="","",'证券列表 '!B246)</f>
        <v>RERE.N</v>
      </c>
      <c r="H243" s="2" t="s">
        <v>484</v>
      </c>
      <c r="I243" s="3">
        <v>45524</v>
      </c>
      <c r="J243" s="6">
        <v>502595467.55662221</v>
      </c>
      <c r="K243" t="str">
        <f ca="1">IF($I243=业绩披露日期!D$7,ROW(),"")</f>
        <v/>
      </c>
      <c r="L243" t="str">
        <f>IF($I243=业绩披露日期!E$7,ROW(),"")</f>
        <v/>
      </c>
      <c r="M243" t="str">
        <f>IF($I243=业绩披露日期!F$7,ROW(),"")</f>
        <v/>
      </c>
      <c r="N243" t="str">
        <f>IF($I243=业绩披露日期!G$7,ROW(),"")</f>
        <v/>
      </c>
      <c r="O243" t="str">
        <f>IF($I243=业绩披露日期!H$7,ROW(),"")</f>
        <v/>
      </c>
      <c r="P243" t="str">
        <f>IF($I243=业绩披露日期!I$7,ROW(),"")</f>
        <v/>
      </c>
    </row>
    <row r="244" spans="1:16" x14ac:dyDescent="0.35">
      <c r="A244" s="23">
        <f t="shared" ca="1" si="16"/>
        <v>0</v>
      </c>
      <c r="B244" s="23">
        <f t="shared" si="17"/>
        <v>0</v>
      </c>
      <c r="C244" s="23">
        <f t="shared" si="18"/>
        <v>0</v>
      </c>
      <c r="D244" s="23">
        <f t="shared" si="19"/>
        <v>0</v>
      </c>
      <c r="E244" s="23">
        <f t="shared" si="20"/>
        <v>0</v>
      </c>
      <c r="F244" s="23">
        <f t="shared" si="20"/>
        <v>0</v>
      </c>
      <c r="G244" s="2" t="str">
        <f>IF('证券列表 '!B247="","",'证券列表 '!B247)</f>
        <v>RETO.O</v>
      </c>
      <c r="H244" s="2" t="s">
        <v>486</v>
      </c>
      <c r="I244" s="3"/>
      <c r="J244" s="6">
        <v>4618953.7200000007</v>
      </c>
      <c r="K244" t="str">
        <f ca="1">IF($I244=业绩披露日期!D$7,ROW(),"")</f>
        <v/>
      </c>
      <c r="L244" t="str">
        <f>IF($I244=业绩披露日期!E$7,ROW(),"")</f>
        <v/>
      </c>
      <c r="M244" t="str">
        <f>IF($I244=业绩披露日期!F$7,ROW(),"")</f>
        <v/>
      </c>
      <c r="N244" t="str">
        <f>IF($I244=业绩披露日期!G$7,ROW(),"")</f>
        <v/>
      </c>
      <c r="O244" t="str">
        <f>IF($I244=业绩披露日期!H$7,ROW(),"")</f>
        <v/>
      </c>
      <c r="P244" t="str">
        <f>IF($I244=业绩披露日期!I$7,ROW(),"")</f>
        <v/>
      </c>
    </row>
    <row r="245" spans="1:16" x14ac:dyDescent="0.35">
      <c r="A245" s="23">
        <f t="shared" ca="1" si="16"/>
        <v>0</v>
      </c>
      <c r="B245" s="23">
        <f t="shared" si="17"/>
        <v>0</v>
      </c>
      <c r="C245" s="23">
        <f t="shared" si="18"/>
        <v>0</v>
      </c>
      <c r="D245" s="23">
        <f t="shared" si="19"/>
        <v>0</v>
      </c>
      <c r="E245" s="23">
        <f t="shared" si="20"/>
        <v>0</v>
      </c>
      <c r="F245" s="23">
        <f t="shared" si="20"/>
        <v>0</v>
      </c>
      <c r="G245" s="2" t="str">
        <f>IF('证券列表 '!B248="","",'证券列表 '!B248)</f>
        <v>RGC.O</v>
      </c>
      <c r="H245" s="2" t="s">
        <v>488</v>
      </c>
      <c r="I245" s="3"/>
      <c r="J245" s="6">
        <v>93952892.519999996</v>
      </c>
      <c r="K245" t="str">
        <f ca="1">IF($I245=业绩披露日期!D$7,ROW(),"")</f>
        <v/>
      </c>
      <c r="L245" t="str">
        <f>IF($I245=业绩披露日期!E$7,ROW(),"")</f>
        <v/>
      </c>
      <c r="M245" t="str">
        <f>IF($I245=业绩披露日期!F$7,ROW(),"")</f>
        <v/>
      </c>
      <c r="N245" t="str">
        <f>IF($I245=业绩披露日期!G$7,ROW(),"")</f>
        <v/>
      </c>
      <c r="O245" t="str">
        <f>IF($I245=业绩披露日期!H$7,ROW(),"")</f>
        <v/>
      </c>
      <c r="P245" t="str">
        <f>IF($I245=业绩披露日期!I$7,ROW(),"")</f>
        <v/>
      </c>
    </row>
    <row r="246" spans="1:16" x14ac:dyDescent="0.35">
      <c r="A246" s="23">
        <f t="shared" ca="1" si="16"/>
        <v>0</v>
      </c>
      <c r="B246" s="23">
        <f t="shared" si="17"/>
        <v>0</v>
      </c>
      <c r="C246" s="23">
        <f t="shared" si="18"/>
        <v>0</v>
      </c>
      <c r="D246" s="23">
        <f t="shared" si="19"/>
        <v>0</v>
      </c>
      <c r="E246" s="23">
        <f t="shared" si="20"/>
        <v>0</v>
      </c>
      <c r="F246" s="23">
        <f t="shared" si="20"/>
        <v>0</v>
      </c>
      <c r="G246" s="2" t="str">
        <f>IF('证券列表 '!B249="","",'证券列表 '!B249)</f>
        <v>RITR.O</v>
      </c>
      <c r="H246" s="2" t="s">
        <v>490</v>
      </c>
      <c r="I246" s="3"/>
      <c r="J246" s="6">
        <v>322428750</v>
      </c>
      <c r="K246" t="str">
        <f ca="1">IF($I246=业绩披露日期!D$7,ROW(),"")</f>
        <v/>
      </c>
      <c r="L246" t="str">
        <f>IF($I246=业绩披露日期!E$7,ROW(),"")</f>
        <v/>
      </c>
      <c r="M246" t="str">
        <f>IF($I246=业绩披露日期!F$7,ROW(),"")</f>
        <v/>
      </c>
      <c r="N246" t="str">
        <f>IF($I246=业绩披露日期!G$7,ROW(),"")</f>
        <v/>
      </c>
      <c r="O246" t="str">
        <f>IF($I246=业绩披露日期!H$7,ROW(),"")</f>
        <v/>
      </c>
      <c r="P246" t="str">
        <f>IF($I246=业绩披露日期!I$7,ROW(),"")</f>
        <v/>
      </c>
    </row>
    <row r="247" spans="1:16" x14ac:dyDescent="0.35">
      <c r="A247" s="23">
        <f t="shared" ca="1" si="16"/>
        <v>0</v>
      </c>
      <c r="B247" s="23">
        <f t="shared" si="17"/>
        <v>0</v>
      </c>
      <c r="C247" s="23">
        <f t="shared" si="18"/>
        <v>0</v>
      </c>
      <c r="D247" s="23">
        <f t="shared" si="19"/>
        <v>0</v>
      </c>
      <c r="E247" s="23">
        <f t="shared" si="20"/>
        <v>0</v>
      </c>
      <c r="F247" s="23">
        <f t="shared" si="20"/>
        <v>0</v>
      </c>
      <c r="G247" s="2" t="str">
        <f>IF('证券列表 '!B250="","",'证券列表 '!B250)</f>
        <v>RLX.N</v>
      </c>
      <c r="H247" s="2" t="s">
        <v>492</v>
      </c>
      <c r="I247" s="3">
        <v>45520</v>
      </c>
      <c r="J247" s="6">
        <v>2110858895.04</v>
      </c>
      <c r="K247" t="str">
        <f ca="1">IF($I247=业绩披露日期!D$7,ROW(),"")</f>
        <v/>
      </c>
      <c r="L247" t="str">
        <f>IF($I247=业绩披露日期!E$7,ROW(),"")</f>
        <v/>
      </c>
      <c r="M247" t="str">
        <f>IF($I247=业绩披露日期!F$7,ROW(),"")</f>
        <v/>
      </c>
      <c r="N247" t="str">
        <f>IF($I247=业绩披露日期!G$7,ROW(),"")</f>
        <v/>
      </c>
      <c r="O247" t="str">
        <f>IF($I247=业绩披露日期!H$7,ROW(),"")</f>
        <v/>
      </c>
      <c r="P247" t="str">
        <f>IF($I247=业绩披露日期!I$7,ROW(),"")</f>
        <v/>
      </c>
    </row>
    <row r="248" spans="1:16" x14ac:dyDescent="0.35">
      <c r="A248" s="23">
        <f t="shared" ca="1" si="16"/>
        <v>0</v>
      </c>
      <c r="B248" s="23">
        <f t="shared" si="17"/>
        <v>0</v>
      </c>
      <c r="C248" s="23">
        <f t="shared" si="18"/>
        <v>0</v>
      </c>
      <c r="D248" s="23">
        <f t="shared" si="19"/>
        <v>0</v>
      </c>
      <c r="E248" s="23">
        <f t="shared" si="20"/>
        <v>0</v>
      </c>
      <c r="F248" s="23">
        <f t="shared" si="20"/>
        <v>0</v>
      </c>
      <c r="G248" s="2" t="str">
        <f>IF('证券列表 '!B251="","",'证券列表 '!B251)</f>
        <v>ROMA.O</v>
      </c>
      <c r="H248" s="2" t="s">
        <v>494</v>
      </c>
      <c r="I248" s="3"/>
      <c r="J248" s="6">
        <v>5535828.9900000002</v>
      </c>
      <c r="K248" t="str">
        <f ca="1">IF($I248=业绩披露日期!D$7,ROW(),"")</f>
        <v/>
      </c>
      <c r="L248" t="str">
        <f>IF($I248=业绩披露日期!E$7,ROW(),"")</f>
        <v/>
      </c>
      <c r="M248" t="str">
        <f>IF($I248=业绩披露日期!F$7,ROW(),"")</f>
        <v/>
      </c>
      <c r="N248" t="str">
        <f>IF($I248=业绩披露日期!G$7,ROW(),"")</f>
        <v/>
      </c>
      <c r="O248" t="str">
        <f>IF($I248=业绩披露日期!H$7,ROW(),"")</f>
        <v/>
      </c>
      <c r="P248" t="str">
        <f>IF($I248=业绩披露日期!I$7,ROW(),"")</f>
        <v/>
      </c>
    </row>
    <row r="249" spans="1:16" x14ac:dyDescent="0.35">
      <c r="A249" s="23">
        <f t="shared" ca="1" si="16"/>
        <v>0</v>
      </c>
      <c r="B249" s="23">
        <f t="shared" si="17"/>
        <v>0</v>
      </c>
      <c r="C249" s="23">
        <f t="shared" si="18"/>
        <v>0</v>
      </c>
      <c r="D249" s="23">
        <f t="shared" si="19"/>
        <v>0</v>
      </c>
      <c r="E249" s="23">
        <f t="shared" si="20"/>
        <v>0</v>
      </c>
      <c r="F249" s="23">
        <f t="shared" si="20"/>
        <v>0</v>
      </c>
      <c r="G249" s="2" t="str">
        <f>IF('证券列表 '!B252="","",'证券列表 '!B252)</f>
        <v>RTC.O</v>
      </c>
      <c r="H249" s="2" t="s">
        <v>496</v>
      </c>
      <c r="I249" s="3"/>
      <c r="J249" s="6">
        <v>125967774.27000001</v>
      </c>
      <c r="K249" t="str">
        <f ca="1">IF($I249=业绩披露日期!D$7,ROW(),"")</f>
        <v/>
      </c>
      <c r="L249" t="str">
        <f>IF($I249=业绩披露日期!E$7,ROW(),"")</f>
        <v/>
      </c>
      <c r="M249" t="str">
        <f>IF($I249=业绩披露日期!F$7,ROW(),"")</f>
        <v/>
      </c>
      <c r="N249" t="str">
        <f>IF($I249=业绩披露日期!G$7,ROW(),"")</f>
        <v/>
      </c>
      <c r="O249" t="str">
        <f>IF($I249=业绩披露日期!H$7,ROW(),"")</f>
        <v/>
      </c>
      <c r="P249" t="str">
        <f>IF($I249=业绩披露日期!I$7,ROW(),"")</f>
        <v/>
      </c>
    </row>
    <row r="250" spans="1:16" x14ac:dyDescent="0.35">
      <c r="A250" s="23">
        <f t="shared" ca="1" si="16"/>
        <v>0</v>
      </c>
      <c r="B250" s="23">
        <f t="shared" si="17"/>
        <v>0</v>
      </c>
      <c r="C250" s="23">
        <f t="shared" si="18"/>
        <v>0</v>
      </c>
      <c r="D250" s="23">
        <f t="shared" si="19"/>
        <v>0</v>
      </c>
      <c r="E250" s="23">
        <f t="shared" si="20"/>
        <v>0</v>
      </c>
      <c r="F250" s="23">
        <f t="shared" si="20"/>
        <v>0</v>
      </c>
      <c r="G250" s="2" t="str">
        <f>IF('证券列表 '!B253="","",'证券列表 '!B253)</f>
        <v>SDA.O</v>
      </c>
      <c r="H250" s="2" t="s">
        <v>498</v>
      </c>
      <c r="I250" s="3"/>
      <c r="J250" s="6">
        <v>1049856890.7</v>
      </c>
      <c r="K250" t="str">
        <f ca="1">IF($I250=业绩披露日期!D$7,ROW(),"")</f>
        <v/>
      </c>
      <c r="L250" t="str">
        <f>IF($I250=业绩披露日期!E$7,ROW(),"")</f>
        <v/>
      </c>
      <c r="M250" t="str">
        <f>IF($I250=业绩披露日期!F$7,ROW(),"")</f>
        <v/>
      </c>
      <c r="N250" t="str">
        <f>IF($I250=业绩披露日期!G$7,ROW(),"")</f>
        <v/>
      </c>
      <c r="O250" t="str">
        <f>IF($I250=业绩披露日期!H$7,ROW(),"")</f>
        <v/>
      </c>
      <c r="P250" t="str">
        <f>IF($I250=业绩披露日期!I$7,ROW(),"")</f>
        <v/>
      </c>
    </row>
    <row r="251" spans="1:16" x14ac:dyDescent="0.35">
      <c r="A251" s="23">
        <f t="shared" ca="1" si="16"/>
        <v>0</v>
      </c>
      <c r="B251" s="23">
        <f t="shared" si="17"/>
        <v>0</v>
      </c>
      <c r="C251" s="23">
        <f t="shared" si="18"/>
        <v>0</v>
      </c>
      <c r="D251" s="23">
        <f t="shared" si="19"/>
        <v>0</v>
      </c>
      <c r="E251" s="23">
        <f t="shared" si="20"/>
        <v>0</v>
      </c>
      <c r="F251" s="23">
        <f t="shared" si="20"/>
        <v>0</v>
      </c>
      <c r="G251" s="2" t="str">
        <f>IF('证券列表 '!B254="","",'证券列表 '!B254)</f>
        <v>SEED.O</v>
      </c>
      <c r="H251" s="2" t="s">
        <v>500</v>
      </c>
      <c r="I251" s="3"/>
      <c r="J251" s="6">
        <v>16174630.800000001</v>
      </c>
      <c r="K251" t="str">
        <f ca="1">IF($I251=业绩披露日期!D$7,ROW(),"")</f>
        <v/>
      </c>
      <c r="L251" t="str">
        <f>IF($I251=业绩披露日期!E$7,ROW(),"")</f>
        <v/>
      </c>
      <c r="M251" t="str">
        <f>IF($I251=业绩披露日期!F$7,ROW(),"")</f>
        <v/>
      </c>
      <c r="N251" t="str">
        <f>IF($I251=业绩披露日期!G$7,ROW(),"")</f>
        <v/>
      </c>
      <c r="O251" t="str">
        <f>IF($I251=业绩披露日期!H$7,ROW(),"")</f>
        <v/>
      </c>
      <c r="P251" t="str">
        <f>IF($I251=业绩披露日期!I$7,ROW(),"")</f>
        <v/>
      </c>
    </row>
    <row r="252" spans="1:16" x14ac:dyDescent="0.35">
      <c r="A252" s="23">
        <f t="shared" ca="1" si="16"/>
        <v>0</v>
      </c>
      <c r="B252" s="23">
        <f t="shared" si="17"/>
        <v>0</v>
      </c>
      <c r="C252" s="23">
        <f t="shared" si="18"/>
        <v>0</v>
      </c>
      <c r="D252" s="23">
        <f t="shared" si="19"/>
        <v>0</v>
      </c>
      <c r="E252" s="23">
        <f t="shared" si="20"/>
        <v>0</v>
      </c>
      <c r="F252" s="23">
        <f t="shared" si="20"/>
        <v>0</v>
      </c>
      <c r="G252" s="2" t="str">
        <f>IF('证券列表 '!B255="","",'证券列表 '!B255)</f>
        <v>SELX.O</v>
      </c>
      <c r="H252" s="2" t="s">
        <v>502</v>
      </c>
      <c r="I252" s="3"/>
      <c r="J252" s="6">
        <v>58762515.780000001</v>
      </c>
      <c r="K252" t="str">
        <f ca="1">IF($I252=业绩披露日期!D$7,ROW(),"")</f>
        <v/>
      </c>
      <c r="L252" t="str">
        <f>IF($I252=业绩披露日期!E$7,ROW(),"")</f>
        <v/>
      </c>
      <c r="M252" t="str">
        <f>IF($I252=业绩披露日期!F$7,ROW(),"")</f>
        <v/>
      </c>
      <c r="N252" t="str">
        <f>IF($I252=业绩披露日期!G$7,ROW(),"")</f>
        <v/>
      </c>
      <c r="O252" t="str">
        <f>IF($I252=业绩披露日期!H$7,ROW(),"")</f>
        <v/>
      </c>
      <c r="P252" t="str">
        <f>IF($I252=业绩披露日期!I$7,ROW(),"")</f>
        <v/>
      </c>
    </row>
    <row r="253" spans="1:16" x14ac:dyDescent="0.35">
      <c r="A253" s="23">
        <f t="shared" ca="1" si="16"/>
        <v>0</v>
      </c>
      <c r="B253" s="23">
        <f t="shared" si="17"/>
        <v>0</v>
      </c>
      <c r="C253" s="23">
        <f t="shared" si="18"/>
        <v>0</v>
      </c>
      <c r="D253" s="23">
        <f t="shared" si="19"/>
        <v>0</v>
      </c>
      <c r="E253" s="23">
        <f t="shared" si="20"/>
        <v>0</v>
      </c>
      <c r="F253" s="23">
        <f t="shared" si="20"/>
        <v>0</v>
      </c>
      <c r="G253" s="2" t="str">
        <f>IF('证券列表 '!B256="","",'证券列表 '!B256)</f>
        <v>SFWL.O</v>
      </c>
      <c r="H253" s="2" t="s">
        <v>504</v>
      </c>
      <c r="I253" s="3"/>
      <c r="J253" s="6">
        <v>104771841.51000001</v>
      </c>
      <c r="K253" t="str">
        <f ca="1">IF($I253=业绩披露日期!D$7,ROW(),"")</f>
        <v/>
      </c>
      <c r="L253" t="str">
        <f>IF($I253=业绩披露日期!E$7,ROW(),"")</f>
        <v/>
      </c>
      <c r="M253" t="str">
        <f>IF($I253=业绩披露日期!F$7,ROW(),"")</f>
        <v/>
      </c>
      <c r="N253" t="str">
        <f>IF($I253=业绩披露日期!G$7,ROW(),"")</f>
        <v/>
      </c>
      <c r="O253" t="str">
        <f>IF($I253=业绩披露日期!H$7,ROW(),"")</f>
        <v/>
      </c>
      <c r="P253" t="str">
        <f>IF($I253=业绩披露日期!I$7,ROW(),"")</f>
        <v/>
      </c>
    </row>
    <row r="254" spans="1:16" x14ac:dyDescent="0.35">
      <c r="A254" s="23">
        <f t="shared" ca="1" si="16"/>
        <v>0</v>
      </c>
      <c r="B254" s="23">
        <f t="shared" si="17"/>
        <v>0</v>
      </c>
      <c r="C254" s="23">
        <f t="shared" si="18"/>
        <v>0</v>
      </c>
      <c r="D254" s="23">
        <f t="shared" si="19"/>
        <v>0</v>
      </c>
      <c r="E254" s="23">
        <f t="shared" si="20"/>
        <v>0</v>
      </c>
      <c r="F254" s="23">
        <f t="shared" si="20"/>
        <v>0</v>
      </c>
      <c r="G254" s="2" t="str">
        <f>IF('证券列表 '!B257="","",'证券列表 '!B257)</f>
        <v>SGLY.O</v>
      </c>
      <c r="H254" s="2" t="s">
        <v>506</v>
      </c>
      <c r="I254" s="3">
        <v>45356</v>
      </c>
      <c r="J254" s="6">
        <v>20530463.120000001</v>
      </c>
      <c r="K254" t="str">
        <f ca="1">IF($I254=业绩披露日期!D$7,ROW(),"")</f>
        <v/>
      </c>
      <c r="L254" t="str">
        <f>IF($I254=业绩披露日期!E$7,ROW(),"")</f>
        <v/>
      </c>
      <c r="M254" t="str">
        <f>IF($I254=业绩披露日期!F$7,ROW(),"")</f>
        <v/>
      </c>
      <c r="N254" t="str">
        <f>IF($I254=业绩披露日期!G$7,ROW(),"")</f>
        <v/>
      </c>
      <c r="O254" t="str">
        <f>IF($I254=业绩披露日期!H$7,ROW(),"")</f>
        <v/>
      </c>
      <c r="P254" t="str">
        <f>IF($I254=业绩披露日期!I$7,ROW(),"")</f>
        <v/>
      </c>
    </row>
    <row r="255" spans="1:16" x14ac:dyDescent="0.35">
      <c r="A255" s="23">
        <f t="shared" ca="1" si="16"/>
        <v>0</v>
      </c>
      <c r="B255" s="23">
        <f t="shared" si="17"/>
        <v>0</v>
      </c>
      <c r="C255" s="23">
        <f t="shared" si="18"/>
        <v>0</v>
      </c>
      <c r="D255" s="23">
        <f t="shared" si="19"/>
        <v>0</v>
      </c>
      <c r="E255" s="23">
        <f t="shared" si="20"/>
        <v>0</v>
      </c>
      <c r="F255" s="23">
        <f t="shared" si="20"/>
        <v>0</v>
      </c>
      <c r="G255" s="2" t="str">
        <f>IF('证券列表 '!B258="","",'证券列表 '!B258)</f>
        <v>SISI.O</v>
      </c>
      <c r="H255" s="2" t="s">
        <v>508</v>
      </c>
      <c r="I255" s="3">
        <v>45335</v>
      </c>
      <c r="J255" s="6">
        <v>5303336.7569999993</v>
      </c>
      <c r="K255" t="str">
        <f ca="1">IF($I255=业绩披露日期!D$7,ROW(),"")</f>
        <v/>
      </c>
      <c r="L255" t="str">
        <f>IF($I255=业绩披露日期!E$7,ROW(),"")</f>
        <v/>
      </c>
      <c r="M255" t="str">
        <f>IF($I255=业绩披露日期!F$7,ROW(),"")</f>
        <v/>
      </c>
      <c r="N255" t="str">
        <f>IF($I255=业绩披露日期!G$7,ROW(),"")</f>
        <v/>
      </c>
      <c r="O255" t="str">
        <f>IF($I255=业绩披露日期!H$7,ROW(),"")</f>
        <v/>
      </c>
      <c r="P255" t="str">
        <f>IF($I255=业绩披露日期!I$7,ROW(),"")</f>
        <v/>
      </c>
    </row>
    <row r="256" spans="1:16" x14ac:dyDescent="0.35">
      <c r="A256" s="23">
        <f t="shared" ca="1" si="16"/>
        <v>0</v>
      </c>
      <c r="B256" s="23">
        <f t="shared" si="17"/>
        <v>0</v>
      </c>
      <c r="C256" s="23">
        <f t="shared" si="18"/>
        <v>0</v>
      </c>
      <c r="D256" s="23">
        <f t="shared" si="19"/>
        <v>0</v>
      </c>
      <c r="E256" s="23">
        <f t="shared" si="20"/>
        <v>0</v>
      </c>
      <c r="F256" s="23">
        <f t="shared" si="20"/>
        <v>2</v>
      </c>
      <c r="G256" s="2" t="str">
        <f>IF('证券列表 '!B259="","",'证券列表 '!B259)</f>
        <v>SJ.O</v>
      </c>
      <c r="H256" s="2" t="s">
        <v>510</v>
      </c>
      <c r="I256" s="3">
        <v>45539</v>
      </c>
      <c r="J256" s="6">
        <v>40405975.350000001</v>
      </c>
      <c r="K256" t="str">
        <f ca="1">IF($I256=业绩披露日期!D$7,ROW(),"")</f>
        <v/>
      </c>
      <c r="L256" t="str">
        <f>IF($I256=业绩披露日期!E$7,ROW(),"")</f>
        <v/>
      </c>
      <c r="M256" t="str">
        <f>IF($I256=业绩披露日期!F$7,ROW(),"")</f>
        <v/>
      </c>
      <c r="N256" t="str">
        <f>IF($I256=业绩披露日期!G$7,ROW(),"")</f>
        <v/>
      </c>
      <c r="O256" t="str">
        <f>IF($I256=业绩披露日期!H$7,ROW(),"")</f>
        <v/>
      </c>
      <c r="P256">
        <f>IF($I256=业绩披露日期!I$7,ROW(),"")</f>
        <v>256</v>
      </c>
    </row>
    <row r="257" spans="1:16" x14ac:dyDescent="0.35">
      <c r="A257" s="23">
        <f t="shared" ca="1" si="16"/>
        <v>0</v>
      </c>
      <c r="B257" s="23">
        <f t="shared" si="17"/>
        <v>0</v>
      </c>
      <c r="C257" s="23">
        <f t="shared" si="18"/>
        <v>0</v>
      </c>
      <c r="D257" s="23">
        <f t="shared" si="19"/>
        <v>0</v>
      </c>
      <c r="E257" s="23">
        <f t="shared" si="20"/>
        <v>0</v>
      </c>
      <c r="F257" s="23">
        <f t="shared" si="20"/>
        <v>0</v>
      </c>
      <c r="G257" s="2" t="str">
        <f>IF('证券列表 '!B260="","",'证券列表 '!B260)</f>
        <v>SMXT.O</v>
      </c>
      <c r="H257" s="2" t="s">
        <v>512</v>
      </c>
      <c r="I257" s="3">
        <v>45525</v>
      </c>
      <c r="J257" s="6">
        <v>56274200</v>
      </c>
      <c r="K257" t="str">
        <f ca="1">IF($I257=业绩披露日期!D$7,ROW(),"")</f>
        <v/>
      </c>
      <c r="L257" t="str">
        <f>IF($I257=业绩披露日期!E$7,ROW(),"")</f>
        <v/>
      </c>
      <c r="M257" t="str">
        <f>IF($I257=业绩披露日期!F$7,ROW(),"")</f>
        <v/>
      </c>
      <c r="N257" t="str">
        <f>IF($I257=业绩披露日期!G$7,ROW(),"")</f>
        <v/>
      </c>
      <c r="O257" t="str">
        <f>IF($I257=业绩披露日期!H$7,ROW(),"")</f>
        <v/>
      </c>
      <c r="P257" t="str">
        <f>IF($I257=业绩披露日期!I$7,ROW(),"")</f>
        <v/>
      </c>
    </row>
    <row r="258" spans="1:16" x14ac:dyDescent="0.35">
      <c r="A258" s="23">
        <f t="shared" ca="1" si="16"/>
        <v>0</v>
      </c>
      <c r="B258" s="23">
        <f t="shared" si="17"/>
        <v>0</v>
      </c>
      <c r="C258" s="23">
        <f t="shared" si="18"/>
        <v>0</v>
      </c>
      <c r="D258" s="23">
        <f t="shared" si="19"/>
        <v>0</v>
      </c>
      <c r="E258" s="23">
        <f t="shared" si="20"/>
        <v>0</v>
      </c>
      <c r="F258" s="23">
        <f t="shared" si="20"/>
        <v>0</v>
      </c>
      <c r="G258" s="2" t="str">
        <f>IF('证券列表 '!B261="","",'证券列表 '!B261)</f>
        <v>SNTG.O</v>
      </c>
      <c r="H258" s="2" t="s">
        <v>514</v>
      </c>
      <c r="I258" s="3"/>
      <c r="J258" s="6">
        <v>5807022.75</v>
      </c>
      <c r="K258" t="str">
        <f ca="1">IF($I258=业绩披露日期!D$7,ROW(),"")</f>
        <v/>
      </c>
      <c r="L258" t="str">
        <f>IF($I258=业绩披露日期!E$7,ROW(),"")</f>
        <v/>
      </c>
      <c r="M258" t="str">
        <f>IF($I258=业绩披露日期!F$7,ROW(),"")</f>
        <v/>
      </c>
      <c r="N258" t="str">
        <f>IF($I258=业绩披露日期!G$7,ROW(),"")</f>
        <v/>
      </c>
      <c r="O258" t="str">
        <f>IF($I258=业绩披露日期!H$7,ROW(),"")</f>
        <v/>
      </c>
      <c r="P258" t="str">
        <f>IF($I258=业绩披露日期!I$7,ROW(),"")</f>
        <v/>
      </c>
    </row>
    <row r="259" spans="1:16" x14ac:dyDescent="0.35">
      <c r="A259" s="23">
        <f t="shared" ca="1" si="16"/>
        <v>0</v>
      </c>
      <c r="B259" s="23">
        <f t="shared" si="17"/>
        <v>0</v>
      </c>
      <c r="C259" s="23">
        <f t="shared" si="18"/>
        <v>0</v>
      </c>
      <c r="D259" s="23">
        <f t="shared" si="19"/>
        <v>0</v>
      </c>
      <c r="E259" s="23">
        <f t="shared" si="20"/>
        <v>3</v>
      </c>
      <c r="F259" s="23">
        <f t="shared" si="20"/>
        <v>0</v>
      </c>
      <c r="G259" s="2" t="str">
        <f>IF('证券列表 '!B262="","",'证券列表 '!B262)</f>
        <v>SOGP.O</v>
      </c>
      <c r="H259" s="2" t="s">
        <v>516</v>
      </c>
      <c r="I259" s="3">
        <v>45538</v>
      </c>
      <c r="J259" s="6">
        <v>9682366.2980850004</v>
      </c>
      <c r="K259" t="str">
        <f ca="1">IF($I259=业绩披露日期!D$7,ROW(),"")</f>
        <v/>
      </c>
      <c r="L259" t="str">
        <f>IF($I259=业绩披露日期!E$7,ROW(),"")</f>
        <v/>
      </c>
      <c r="M259" t="str">
        <f>IF($I259=业绩披露日期!F$7,ROW(),"")</f>
        <v/>
      </c>
      <c r="N259" t="str">
        <f>IF($I259=业绩披露日期!G$7,ROW(),"")</f>
        <v/>
      </c>
      <c r="O259">
        <f>IF($I259=业绩披露日期!H$7,ROW(),"")</f>
        <v>259</v>
      </c>
      <c r="P259" t="str">
        <f>IF($I259=业绩披露日期!I$7,ROW(),"")</f>
        <v/>
      </c>
    </row>
    <row r="260" spans="1:16" x14ac:dyDescent="0.35">
      <c r="A260" s="23">
        <f t="shared" ref="A260:A323" ca="1" si="21">IF(K260="",0,RANK(K260,K:K,1))</f>
        <v>0</v>
      </c>
      <c r="B260" s="23">
        <f t="shared" ref="B260:B323" si="22">IF(L260="",0,RANK(L260,L:L,1))</f>
        <v>0</v>
      </c>
      <c r="C260" s="23">
        <f t="shared" ref="C260:C323" si="23">IF(M260="",0,RANK(M260,M:M,1))</f>
        <v>0</v>
      </c>
      <c r="D260" s="23">
        <f t="shared" ref="D260:D323" si="24">IF(N260="",0,RANK(N260,N:N,1))</f>
        <v>0</v>
      </c>
      <c r="E260" s="23">
        <f t="shared" ref="E260:F323" si="25">IF(O260="",0,RANK(O260,O:O,1))</f>
        <v>0</v>
      </c>
      <c r="F260" s="23">
        <f t="shared" si="25"/>
        <v>0</v>
      </c>
      <c r="G260" s="2" t="str">
        <f>IF('证券列表 '!B263="","",'证券列表 '!B263)</f>
        <v>SOHU.O</v>
      </c>
      <c r="H260" s="2" t="s">
        <v>518</v>
      </c>
      <c r="I260" s="3">
        <v>45509</v>
      </c>
      <c r="J260" s="6">
        <v>497056960</v>
      </c>
      <c r="K260" t="str">
        <f ca="1">IF($I260=业绩披露日期!D$7,ROW(),"")</f>
        <v/>
      </c>
      <c r="L260" t="str">
        <f>IF($I260=业绩披露日期!E$7,ROW(),"")</f>
        <v/>
      </c>
      <c r="M260" t="str">
        <f>IF($I260=业绩披露日期!F$7,ROW(),"")</f>
        <v/>
      </c>
      <c r="N260" t="str">
        <f>IF($I260=业绩披露日期!G$7,ROW(),"")</f>
        <v/>
      </c>
      <c r="O260" t="str">
        <f>IF($I260=业绩披露日期!H$7,ROW(),"")</f>
        <v/>
      </c>
      <c r="P260" t="str">
        <f>IF($I260=业绩披露日期!I$7,ROW(),"")</f>
        <v/>
      </c>
    </row>
    <row r="261" spans="1:16" x14ac:dyDescent="0.35">
      <c r="A261" s="23">
        <f t="shared" ca="1" si="21"/>
        <v>0</v>
      </c>
      <c r="B261" s="23">
        <f t="shared" si="22"/>
        <v>0</v>
      </c>
      <c r="C261" s="23">
        <f t="shared" si="23"/>
        <v>0</v>
      </c>
      <c r="D261" s="23">
        <f t="shared" si="24"/>
        <v>0</v>
      </c>
      <c r="E261" s="23">
        <f t="shared" si="25"/>
        <v>0</v>
      </c>
      <c r="F261" s="23">
        <f t="shared" si="25"/>
        <v>0</v>
      </c>
      <c r="G261" s="2" t="str">
        <f>IF('证券列表 '!B264="","",'证券列表 '!B264)</f>
        <v>SOL.N</v>
      </c>
      <c r="H261" s="2" t="s">
        <v>520</v>
      </c>
      <c r="I261" s="3">
        <v>45524</v>
      </c>
      <c r="J261" s="6">
        <v>96359316.340000004</v>
      </c>
      <c r="K261" t="str">
        <f ca="1">IF($I261=业绩披露日期!D$7,ROW(),"")</f>
        <v/>
      </c>
      <c r="L261" t="str">
        <f>IF($I261=业绩披露日期!E$7,ROW(),"")</f>
        <v/>
      </c>
      <c r="M261" t="str">
        <f>IF($I261=业绩披露日期!F$7,ROW(),"")</f>
        <v/>
      </c>
      <c r="N261" t="str">
        <f>IF($I261=业绩披露日期!G$7,ROW(),"")</f>
        <v/>
      </c>
      <c r="O261" t="str">
        <f>IF($I261=业绩披露日期!H$7,ROW(),"")</f>
        <v/>
      </c>
      <c r="P261" t="str">
        <f>IF($I261=业绩披露日期!I$7,ROW(),"")</f>
        <v/>
      </c>
    </row>
    <row r="262" spans="1:16" x14ac:dyDescent="0.35">
      <c r="A262" s="23">
        <f t="shared" ca="1" si="21"/>
        <v>0</v>
      </c>
      <c r="B262" s="23">
        <f t="shared" si="22"/>
        <v>0</v>
      </c>
      <c r="C262" s="23">
        <f t="shared" si="23"/>
        <v>0</v>
      </c>
      <c r="D262" s="23">
        <f t="shared" si="24"/>
        <v>0</v>
      </c>
      <c r="E262" s="23">
        <f t="shared" si="25"/>
        <v>0</v>
      </c>
      <c r="F262" s="23">
        <f t="shared" si="25"/>
        <v>0</v>
      </c>
      <c r="G262" s="2" t="str">
        <f>IF('证券列表 '!B265="","",'证券列表 '!B265)</f>
        <v>SOS.N</v>
      </c>
      <c r="H262" s="2" t="s">
        <v>522</v>
      </c>
      <c r="I262" s="3"/>
      <c r="J262" s="6">
        <v>26250255.5425</v>
      </c>
      <c r="K262" t="str">
        <f ca="1">IF($I262=业绩披露日期!D$7,ROW(),"")</f>
        <v/>
      </c>
      <c r="L262" t="str">
        <f>IF($I262=业绩披露日期!E$7,ROW(),"")</f>
        <v/>
      </c>
      <c r="M262" t="str">
        <f>IF($I262=业绩披露日期!F$7,ROW(),"")</f>
        <v/>
      </c>
      <c r="N262" t="str">
        <f>IF($I262=业绩披露日期!G$7,ROW(),"")</f>
        <v/>
      </c>
      <c r="O262" t="str">
        <f>IF($I262=业绩披露日期!H$7,ROW(),"")</f>
        <v/>
      </c>
      <c r="P262" t="str">
        <f>IF($I262=业绩披露日期!I$7,ROW(),"")</f>
        <v/>
      </c>
    </row>
    <row r="263" spans="1:16" x14ac:dyDescent="0.35">
      <c r="A263" s="23">
        <f t="shared" ca="1" si="21"/>
        <v>3</v>
      </c>
      <c r="B263" s="23">
        <f t="shared" si="22"/>
        <v>0</v>
      </c>
      <c r="C263" s="23">
        <f t="shared" si="23"/>
        <v>0</v>
      </c>
      <c r="D263" s="23">
        <f t="shared" si="24"/>
        <v>0</v>
      </c>
      <c r="E263" s="23">
        <f t="shared" si="25"/>
        <v>0</v>
      </c>
      <c r="F263" s="23">
        <f t="shared" si="25"/>
        <v>0</v>
      </c>
      <c r="G263" s="2" t="str">
        <f>IF('证券列表 '!B266="","",'证券列表 '!B266)</f>
        <v>SPI.O</v>
      </c>
      <c r="H263" s="2" t="s">
        <v>524</v>
      </c>
      <c r="I263" s="3">
        <v>45534</v>
      </c>
      <c r="J263" s="6">
        <v>10368980.062899999</v>
      </c>
      <c r="K263">
        <f ca="1">IF($I263=业绩披露日期!D$7,ROW(),"")</f>
        <v>263</v>
      </c>
      <c r="L263" t="str">
        <f>IF($I263=业绩披露日期!E$7,ROW(),"")</f>
        <v/>
      </c>
      <c r="M263" t="str">
        <f>IF($I263=业绩披露日期!F$7,ROW(),"")</f>
        <v/>
      </c>
      <c r="N263" t="str">
        <f>IF($I263=业绩披露日期!G$7,ROW(),"")</f>
        <v/>
      </c>
      <c r="O263" t="str">
        <f>IF($I263=业绩披露日期!H$7,ROW(),"")</f>
        <v/>
      </c>
      <c r="P263" t="str">
        <f>IF($I263=业绩披露日期!I$7,ROW(),"")</f>
        <v/>
      </c>
    </row>
    <row r="264" spans="1:16" x14ac:dyDescent="0.35">
      <c r="A264" s="23">
        <f t="shared" ca="1" si="21"/>
        <v>0</v>
      </c>
      <c r="B264" s="23">
        <f t="shared" si="22"/>
        <v>0</v>
      </c>
      <c r="C264" s="23">
        <f t="shared" si="23"/>
        <v>0</v>
      </c>
      <c r="D264" s="23">
        <f t="shared" si="24"/>
        <v>0</v>
      </c>
      <c r="E264" s="23">
        <f t="shared" si="25"/>
        <v>0</v>
      </c>
      <c r="F264" s="23">
        <f t="shared" si="25"/>
        <v>0</v>
      </c>
      <c r="G264" s="2" t="str">
        <f>IF('证券列表 '!B267="","",'证券列表 '!B267)</f>
        <v>STEC.O</v>
      </c>
      <c r="H264" s="2" t="s">
        <v>526</v>
      </c>
      <c r="I264" s="3"/>
      <c r="J264" s="6">
        <v>16239999.999999998</v>
      </c>
      <c r="K264" t="str">
        <f ca="1">IF($I264=业绩披露日期!D$7,ROW(),"")</f>
        <v/>
      </c>
      <c r="L264" t="str">
        <f>IF($I264=业绩披露日期!E$7,ROW(),"")</f>
        <v/>
      </c>
      <c r="M264" t="str">
        <f>IF($I264=业绩披露日期!F$7,ROW(),"")</f>
        <v/>
      </c>
      <c r="N264" t="str">
        <f>IF($I264=业绩披露日期!G$7,ROW(),"")</f>
        <v/>
      </c>
      <c r="O264" t="str">
        <f>IF($I264=业绩披露日期!H$7,ROW(),"")</f>
        <v/>
      </c>
      <c r="P264" t="str">
        <f>IF($I264=业绩披露日期!I$7,ROW(),"")</f>
        <v/>
      </c>
    </row>
    <row r="265" spans="1:16" x14ac:dyDescent="0.35">
      <c r="A265" s="23">
        <f t="shared" ca="1" si="21"/>
        <v>0</v>
      </c>
      <c r="B265" s="23">
        <f t="shared" si="22"/>
        <v>0</v>
      </c>
      <c r="C265" s="23">
        <f t="shared" si="23"/>
        <v>0</v>
      </c>
      <c r="D265" s="23">
        <f t="shared" si="24"/>
        <v>0</v>
      </c>
      <c r="E265" s="23">
        <f t="shared" si="25"/>
        <v>0</v>
      </c>
      <c r="F265" s="23">
        <f t="shared" si="25"/>
        <v>0</v>
      </c>
      <c r="G265" s="2" t="str">
        <f>IF('证券列表 '!B268="","",'证券列表 '!B268)</f>
        <v>STG.N</v>
      </c>
      <c r="H265" s="2" t="s">
        <v>528</v>
      </c>
      <c r="I265" s="3">
        <v>45520</v>
      </c>
      <c r="J265" s="6">
        <v>107616636.24000001</v>
      </c>
      <c r="K265" t="str">
        <f ca="1">IF($I265=业绩披露日期!D$7,ROW(),"")</f>
        <v/>
      </c>
      <c r="L265" t="str">
        <f>IF($I265=业绩披露日期!E$7,ROW(),"")</f>
        <v/>
      </c>
      <c r="M265" t="str">
        <f>IF($I265=业绩披露日期!F$7,ROW(),"")</f>
        <v/>
      </c>
      <c r="N265" t="str">
        <f>IF($I265=业绩披露日期!G$7,ROW(),"")</f>
        <v/>
      </c>
      <c r="O265" t="str">
        <f>IF($I265=业绩披露日期!H$7,ROW(),"")</f>
        <v/>
      </c>
      <c r="P265" t="str">
        <f>IF($I265=业绩披露日期!I$7,ROW(),"")</f>
        <v/>
      </c>
    </row>
    <row r="266" spans="1:16" x14ac:dyDescent="0.35">
      <c r="A266" s="23">
        <f t="shared" ca="1" si="21"/>
        <v>0</v>
      </c>
      <c r="B266" s="23">
        <f t="shared" si="22"/>
        <v>0</v>
      </c>
      <c r="C266" s="23">
        <f t="shared" si="23"/>
        <v>0</v>
      </c>
      <c r="D266" s="23">
        <f t="shared" si="24"/>
        <v>0</v>
      </c>
      <c r="E266" s="23">
        <f t="shared" si="25"/>
        <v>0</v>
      </c>
      <c r="F266" s="23">
        <f t="shared" si="25"/>
        <v>0</v>
      </c>
      <c r="G266" s="2" t="str">
        <f>IF('证券列表 '!B269="","",'证券列表 '!B269)</f>
        <v>SUGP.O</v>
      </c>
      <c r="H266" s="2" t="s">
        <v>530</v>
      </c>
      <c r="I266" s="3"/>
      <c r="J266" s="6">
        <v>24910000</v>
      </c>
      <c r="K266" t="str">
        <f ca="1">IF($I266=业绩披露日期!D$7,ROW(),"")</f>
        <v/>
      </c>
      <c r="L266" t="str">
        <f>IF($I266=业绩披露日期!E$7,ROW(),"")</f>
        <v/>
      </c>
      <c r="M266" t="str">
        <f>IF($I266=业绩披露日期!F$7,ROW(),"")</f>
        <v/>
      </c>
      <c r="N266" t="str">
        <f>IF($I266=业绩披露日期!G$7,ROW(),"")</f>
        <v/>
      </c>
      <c r="O266" t="str">
        <f>IF($I266=业绩披露日期!H$7,ROW(),"")</f>
        <v/>
      </c>
      <c r="P266" t="str">
        <f>IF($I266=业绩披露日期!I$7,ROW(),"")</f>
        <v/>
      </c>
    </row>
    <row r="267" spans="1:16" x14ac:dyDescent="0.35">
      <c r="A267" s="23">
        <f t="shared" ca="1" si="21"/>
        <v>0</v>
      </c>
      <c r="B267" s="23">
        <f t="shared" si="22"/>
        <v>0</v>
      </c>
      <c r="C267" s="23">
        <f t="shared" si="23"/>
        <v>0</v>
      </c>
      <c r="D267" s="23">
        <f t="shared" si="24"/>
        <v>0</v>
      </c>
      <c r="E267" s="23">
        <f t="shared" si="25"/>
        <v>0</v>
      </c>
      <c r="F267" s="23">
        <f t="shared" si="25"/>
        <v>0</v>
      </c>
      <c r="G267" s="2" t="str">
        <f>IF('证券列表 '!B270="","",'证券列表 '!B270)</f>
        <v>SVA.O</v>
      </c>
      <c r="H267" s="2" t="s">
        <v>532</v>
      </c>
      <c r="I267" s="3"/>
      <c r="J267" s="6">
        <v>644658138.20999992</v>
      </c>
      <c r="K267" t="str">
        <f ca="1">IF($I267=业绩披露日期!D$7,ROW(),"")</f>
        <v/>
      </c>
      <c r="L267" t="str">
        <f>IF($I267=业绩披露日期!E$7,ROW(),"")</f>
        <v/>
      </c>
      <c r="M267" t="str">
        <f>IF($I267=业绩披露日期!F$7,ROW(),"")</f>
        <v/>
      </c>
      <c r="N267" t="str">
        <f>IF($I267=业绩披露日期!G$7,ROW(),"")</f>
        <v/>
      </c>
      <c r="O267" t="str">
        <f>IF($I267=业绩披露日期!H$7,ROW(),"")</f>
        <v/>
      </c>
      <c r="P267" t="str">
        <f>IF($I267=业绩披露日期!I$7,ROW(),"")</f>
        <v/>
      </c>
    </row>
    <row r="268" spans="1:16" x14ac:dyDescent="0.35">
      <c r="A268" s="23">
        <f t="shared" ca="1" si="21"/>
        <v>0</v>
      </c>
      <c r="B268" s="23">
        <f t="shared" si="22"/>
        <v>0</v>
      </c>
      <c r="C268" s="23">
        <f t="shared" si="23"/>
        <v>0</v>
      </c>
      <c r="D268" s="23">
        <f t="shared" si="24"/>
        <v>0</v>
      </c>
      <c r="E268" s="23">
        <f t="shared" si="25"/>
        <v>0</v>
      </c>
      <c r="F268" s="23">
        <f t="shared" si="25"/>
        <v>0</v>
      </c>
      <c r="G268" s="2" t="str">
        <f>IF('证券列表 '!B271="","",'证券列表 '!B271)</f>
        <v>SVM.A</v>
      </c>
      <c r="H268" s="2" t="s">
        <v>534</v>
      </c>
      <c r="I268" s="3">
        <v>45239</v>
      </c>
      <c r="J268" s="6">
        <v>857342110.67999995</v>
      </c>
      <c r="K268" t="str">
        <f ca="1">IF($I268=业绩披露日期!D$7,ROW(),"")</f>
        <v/>
      </c>
      <c r="L268" t="str">
        <f>IF($I268=业绩披露日期!E$7,ROW(),"")</f>
        <v/>
      </c>
      <c r="M268" t="str">
        <f>IF($I268=业绩披露日期!F$7,ROW(),"")</f>
        <v/>
      </c>
      <c r="N268" t="str">
        <f>IF($I268=业绩披露日期!G$7,ROW(),"")</f>
        <v/>
      </c>
      <c r="O268" t="str">
        <f>IF($I268=业绩披露日期!H$7,ROW(),"")</f>
        <v/>
      </c>
      <c r="P268" t="str">
        <f>IF($I268=业绩披露日期!I$7,ROW(),"")</f>
        <v/>
      </c>
    </row>
    <row r="269" spans="1:16" x14ac:dyDescent="0.35">
      <c r="A269" s="23">
        <f t="shared" ca="1" si="21"/>
        <v>0</v>
      </c>
      <c r="B269" s="23">
        <f t="shared" si="22"/>
        <v>0</v>
      </c>
      <c r="C269" s="23">
        <f t="shared" si="23"/>
        <v>0</v>
      </c>
      <c r="D269" s="23">
        <f t="shared" si="24"/>
        <v>0</v>
      </c>
      <c r="E269" s="23">
        <f t="shared" si="25"/>
        <v>0</v>
      </c>
      <c r="F269" s="23">
        <f t="shared" si="25"/>
        <v>0</v>
      </c>
      <c r="G269" s="2" t="str">
        <f>IF('证券列表 '!B272="","",'证券列表 '!B272)</f>
        <v>SWIN.O</v>
      </c>
      <c r="H269" s="2" t="s">
        <v>536</v>
      </c>
      <c r="I269" s="3"/>
      <c r="J269" s="6">
        <v>44424400</v>
      </c>
      <c r="K269" t="str">
        <f ca="1">IF($I269=业绩披露日期!D$7,ROW(),"")</f>
        <v/>
      </c>
      <c r="L269" t="str">
        <f>IF($I269=业绩披露日期!E$7,ROW(),"")</f>
        <v/>
      </c>
      <c r="M269" t="str">
        <f>IF($I269=业绩披露日期!F$7,ROW(),"")</f>
        <v/>
      </c>
      <c r="N269" t="str">
        <f>IF($I269=业绩披露日期!G$7,ROW(),"")</f>
        <v/>
      </c>
      <c r="O269" t="str">
        <f>IF($I269=业绩披露日期!H$7,ROW(),"")</f>
        <v/>
      </c>
      <c r="P269" t="str">
        <f>IF($I269=业绩披露日期!I$7,ROW(),"")</f>
        <v/>
      </c>
    </row>
    <row r="270" spans="1:16" x14ac:dyDescent="0.35">
      <c r="A270" s="23">
        <f t="shared" ca="1" si="21"/>
        <v>0</v>
      </c>
      <c r="B270" s="23">
        <f t="shared" si="22"/>
        <v>0</v>
      </c>
      <c r="C270" s="23">
        <f t="shared" si="23"/>
        <v>0</v>
      </c>
      <c r="D270" s="23">
        <f t="shared" si="24"/>
        <v>0</v>
      </c>
      <c r="E270" s="23">
        <f t="shared" si="25"/>
        <v>0</v>
      </c>
      <c r="F270" s="23">
        <f t="shared" si="25"/>
        <v>0</v>
      </c>
      <c r="G270" s="2" t="str">
        <f>IF('证券列表 '!B273="","",'证券列表 '!B273)</f>
        <v>SXTC.O</v>
      </c>
      <c r="H270" s="2" t="s">
        <v>538</v>
      </c>
      <c r="I270" s="3"/>
      <c r="J270" s="6">
        <v>2134165.86</v>
      </c>
      <c r="K270" t="str">
        <f ca="1">IF($I270=业绩披露日期!D$7,ROW(),"")</f>
        <v/>
      </c>
      <c r="L270" t="str">
        <f>IF($I270=业绩披露日期!E$7,ROW(),"")</f>
        <v/>
      </c>
      <c r="M270" t="str">
        <f>IF($I270=业绩披露日期!F$7,ROW(),"")</f>
        <v/>
      </c>
      <c r="N270" t="str">
        <f>IF($I270=业绩披露日期!G$7,ROW(),"")</f>
        <v/>
      </c>
      <c r="O270" t="str">
        <f>IF($I270=业绩披露日期!H$7,ROW(),"")</f>
        <v/>
      </c>
      <c r="P270" t="str">
        <f>IF($I270=业绩披露日期!I$7,ROW(),"")</f>
        <v/>
      </c>
    </row>
    <row r="271" spans="1:16" x14ac:dyDescent="0.35">
      <c r="A271" s="23">
        <f t="shared" ca="1" si="21"/>
        <v>0</v>
      </c>
      <c r="B271" s="23">
        <f t="shared" si="22"/>
        <v>0</v>
      </c>
      <c r="C271" s="23">
        <f t="shared" si="23"/>
        <v>0</v>
      </c>
      <c r="D271" s="23">
        <f t="shared" si="24"/>
        <v>0</v>
      </c>
      <c r="E271" s="23">
        <f t="shared" si="25"/>
        <v>0</v>
      </c>
      <c r="F271" s="23">
        <f t="shared" si="25"/>
        <v>0</v>
      </c>
      <c r="G271" s="2" t="str">
        <f>IF('证券列表 '!B274="","",'证券列表 '!B274)</f>
        <v>SY.O</v>
      </c>
      <c r="H271" s="2" t="s">
        <v>540</v>
      </c>
      <c r="I271" s="3">
        <v>45527</v>
      </c>
      <c r="J271" s="6">
        <v>88660322.430967242</v>
      </c>
      <c r="K271" t="str">
        <f ca="1">IF($I271=业绩披露日期!D$7,ROW(),"")</f>
        <v/>
      </c>
      <c r="L271" t="str">
        <f>IF($I271=业绩披露日期!E$7,ROW(),"")</f>
        <v/>
      </c>
      <c r="M271" t="str">
        <f>IF($I271=业绩披露日期!F$7,ROW(),"")</f>
        <v/>
      </c>
      <c r="N271" t="str">
        <f>IF($I271=业绩披露日期!G$7,ROW(),"")</f>
        <v/>
      </c>
      <c r="O271" t="str">
        <f>IF($I271=业绩披露日期!H$7,ROW(),"")</f>
        <v/>
      </c>
      <c r="P271" t="str">
        <f>IF($I271=业绩披露日期!I$7,ROW(),"")</f>
        <v/>
      </c>
    </row>
    <row r="272" spans="1:16" x14ac:dyDescent="0.35">
      <c r="A272" s="23">
        <f t="shared" ca="1" si="21"/>
        <v>0</v>
      </c>
      <c r="B272" s="23">
        <f t="shared" si="22"/>
        <v>0</v>
      </c>
      <c r="C272" s="23">
        <f t="shared" si="23"/>
        <v>0</v>
      </c>
      <c r="D272" s="23">
        <f t="shared" si="24"/>
        <v>0</v>
      </c>
      <c r="E272" s="23">
        <f t="shared" si="25"/>
        <v>0</v>
      </c>
      <c r="F272" s="23">
        <f t="shared" si="25"/>
        <v>0</v>
      </c>
      <c r="G272" s="2" t="str">
        <f>IF('证券列表 '!B275="","",'证券列表 '!B275)</f>
        <v>TAL.N</v>
      </c>
      <c r="H272" s="2" t="s">
        <v>542</v>
      </c>
      <c r="I272" s="3">
        <v>45225</v>
      </c>
      <c r="J272" s="6">
        <v>4846347280.2280235</v>
      </c>
      <c r="K272" t="str">
        <f ca="1">IF($I272=业绩披露日期!D$7,ROW(),"")</f>
        <v/>
      </c>
      <c r="L272" t="str">
        <f>IF($I272=业绩披露日期!E$7,ROW(),"")</f>
        <v/>
      </c>
      <c r="M272" t="str">
        <f>IF($I272=业绩披露日期!F$7,ROW(),"")</f>
        <v/>
      </c>
      <c r="N272" t="str">
        <f>IF($I272=业绩披露日期!G$7,ROW(),"")</f>
        <v/>
      </c>
      <c r="O272" t="str">
        <f>IF($I272=业绩披露日期!H$7,ROW(),"")</f>
        <v/>
      </c>
      <c r="P272" t="str">
        <f>IF($I272=业绩披露日期!I$7,ROW(),"")</f>
        <v/>
      </c>
    </row>
    <row r="273" spans="1:16" x14ac:dyDescent="0.35">
      <c r="A273" s="23">
        <f t="shared" ca="1" si="21"/>
        <v>0</v>
      </c>
      <c r="B273" s="23">
        <f t="shared" si="22"/>
        <v>0</v>
      </c>
      <c r="C273" s="23">
        <f t="shared" si="23"/>
        <v>0</v>
      </c>
      <c r="D273" s="23">
        <f t="shared" si="24"/>
        <v>0</v>
      </c>
      <c r="E273" s="23">
        <f t="shared" si="25"/>
        <v>0</v>
      </c>
      <c r="F273" s="23">
        <f t="shared" si="25"/>
        <v>0</v>
      </c>
      <c r="G273" s="2" t="str">
        <f>IF('证券列表 '!B276="","",'证券列表 '!B276)</f>
        <v>TANH.O</v>
      </c>
      <c r="H273" s="2" t="s">
        <v>544</v>
      </c>
      <c r="I273" s="3"/>
      <c r="J273" s="6">
        <v>1102164.7545</v>
      </c>
      <c r="K273" t="str">
        <f ca="1">IF($I273=业绩披露日期!D$7,ROW(),"")</f>
        <v/>
      </c>
      <c r="L273" t="str">
        <f>IF($I273=业绩披露日期!E$7,ROW(),"")</f>
        <v/>
      </c>
      <c r="M273" t="str">
        <f>IF($I273=业绩披露日期!F$7,ROW(),"")</f>
        <v/>
      </c>
      <c r="N273" t="str">
        <f>IF($I273=业绩披露日期!G$7,ROW(),"")</f>
        <v/>
      </c>
      <c r="O273" t="str">
        <f>IF($I273=业绩披露日期!H$7,ROW(),"")</f>
        <v/>
      </c>
      <c r="P273" t="str">
        <f>IF($I273=业绩披露日期!I$7,ROW(),"")</f>
        <v/>
      </c>
    </row>
    <row r="274" spans="1:16" x14ac:dyDescent="0.35">
      <c r="A274" s="23">
        <f t="shared" ca="1" si="21"/>
        <v>0</v>
      </c>
      <c r="B274" s="23">
        <f t="shared" si="22"/>
        <v>0</v>
      </c>
      <c r="C274" s="23">
        <f t="shared" si="23"/>
        <v>0</v>
      </c>
      <c r="D274" s="23">
        <f t="shared" si="24"/>
        <v>0</v>
      </c>
      <c r="E274" s="23">
        <f t="shared" si="25"/>
        <v>0</v>
      </c>
      <c r="F274" s="23">
        <f t="shared" si="25"/>
        <v>0</v>
      </c>
      <c r="G274" s="2" t="str">
        <f>IF('证券列表 '!B277="","",'证券列表 '!B277)</f>
        <v>TAOP.O</v>
      </c>
      <c r="H274" s="2" t="s">
        <v>546</v>
      </c>
      <c r="I274" s="3"/>
      <c r="J274" s="6">
        <v>2516385.4072000002</v>
      </c>
      <c r="K274" t="str">
        <f ca="1">IF($I274=业绩披露日期!D$7,ROW(),"")</f>
        <v/>
      </c>
      <c r="L274" t="str">
        <f>IF($I274=业绩披露日期!E$7,ROW(),"")</f>
        <v/>
      </c>
      <c r="M274" t="str">
        <f>IF($I274=业绩披露日期!F$7,ROW(),"")</f>
        <v/>
      </c>
      <c r="N274" t="str">
        <f>IF($I274=业绩披露日期!G$7,ROW(),"")</f>
        <v/>
      </c>
      <c r="O274" t="str">
        <f>IF($I274=业绩披露日期!H$7,ROW(),"")</f>
        <v/>
      </c>
      <c r="P274" t="str">
        <f>IF($I274=业绩披露日期!I$7,ROW(),"")</f>
        <v/>
      </c>
    </row>
    <row r="275" spans="1:16" x14ac:dyDescent="0.35">
      <c r="A275" s="23">
        <f t="shared" ca="1" si="21"/>
        <v>0</v>
      </c>
      <c r="B275" s="23">
        <f t="shared" si="22"/>
        <v>0</v>
      </c>
      <c r="C275" s="23">
        <f t="shared" si="23"/>
        <v>0</v>
      </c>
      <c r="D275" s="23">
        <f t="shared" si="24"/>
        <v>0</v>
      </c>
      <c r="E275" s="23">
        <f t="shared" si="25"/>
        <v>0</v>
      </c>
      <c r="F275" s="23">
        <f t="shared" si="25"/>
        <v>0</v>
      </c>
      <c r="G275" s="2" t="str">
        <f>IF('证券列表 '!B278="","",'证券列表 '!B278)</f>
        <v>TC.O</v>
      </c>
      <c r="H275" s="2" t="s">
        <v>548</v>
      </c>
      <c r="I275" s="3"/>
      <c r="J275" s="6">
        <v>3425476.2212499999</v>
      </c>
      <c r="K275" t="str">
        <f ca="1">IF($I275=业绩披露日期!D$7,ROW(),"")</f>
        <v/>
      </c>
      <c r="L275" t="str">
        <f>IF($I275=业绩披露日期!E$7,ROW(),"")</f>
        <v/>
      </c>
      <c r="M275" t="str">
        <f>IF($I275=业绩披露日期!F$7,ROW(),"")</f>
        <v/>
      </c>
      <c r="N275" t="str">
        <f>IF($I275=业绩披露日期!G$7,ROW(),"")</f>
        <v/>
      </c>
      <c r="O275" t="str">
        <f>IF($I275=业绩披露日期!H$7,ROW(),"")</f>
        <v/>
      </c>
      <c r="P275" t="str">
        <f>IF($I275=业绩披露日期!I$7,ROW(),"")</f>
        <v/>
      </c>
    </row>
    <row r="276" spans="1:16" x14ac:dyDescent="0.35">
      <c r="A276" s="23">
        <f t="shared" ca="1" si="21"/>
        <v>0</v>
      </c>
      <c r="B276" s="23">
        <f t="shared" si="22"/>
        <v>0</v>
      </c>
      <c r="C276" s="23">
        <f t="shared" si="23"/>
        <v>0</v>
      </c>
      <c r="D276" s="23">
        <f t="shared" si="24"/>
        <v>0</v>
      </c>
      <c r="E276" s="23">
        <f t="shared" si="25"/>
        <v>0</v>
      </c>
      <c r="F276" s="23">
        <f t="shared" si="25"/>
        <v>0</v>
      </c>
      <c r="G276" s="2" t="str">
        <f>IF('证券列表 '!B279="","",'证券列表 '!B279)</f>
        <v>TCJH.O</v>
      </c>
      <c r="H276" s="2" t="s">
        <v>550</v>
      </c>
      <c r="I276" s="3"/>
      <c r="J276" s="6">
        <v>3466250</v>
      </c>
      <c r="K276" t="str">
        <f ca="1">IF($I276=业绩披露日期!D$7,ROW(),"")</f>
        <v/>
      </c>
      <c r="L276" t="str">
        <f>IF($I276=业绩披露日期!E$7,ROW(),"")</f>
        <v/>
      </c>
      <c r="M276" t="str">
        <f>IF($I276=业绩披露日期!F$7,ROW(),"")</f>
        <v/>
      </c>
      <c r="N276" t="str">
        <f>IF($I276=业绩披露日期!G$7,ROW(),"")</f>
        <v/>
      </c>
      <c r="O276" t="str">
        <f>IF($I276=业绩披露日期!H$7,ROW(),"")</f>
        <v/>
      </c>
      <c r="P276" t="str">
        <f>IF($I276=业绩披露日期!I$7,ROW(),"")</f>
        <v/>
      </c>
    </row>
    <row r="277" spans="1:16" x14ac:dyDescent="0.35">
      <c r="A277" s="23">
        <f t="shared" ca="1" si="21"/>
        <v>0</v>
      </c>
      <c r="B277" s="23">
        <f t="shared" si="22"/>
        <v>0</v>
      </c>
      <c r="C277" s="23">
        <f t="shared" si="23"/>
        <v>0</v>
      </c>
      <c r="D277" s="23">
        <f t="shared" si="24"/>
        <v>0</v>
      </c>
      <c r="E277" s="23">
        <f t="shared" si="25"/>
        <v>0</v>
      </c>
      <c r="F277" s="23">
        <f t="shared" si="25"/>
        <v>0</v>
      </c>
      <c r="G277" s="2" t="str">
        <f>IF('证券列表 '!B280="","",'证券列表 '!B280)</f>
        <v>TCOM.O</v>
      </c>
      <c r="H277" s="2" t="s">
        <v>552</v>
      </c>
      <c r="I277" s="3">
        <v>45530</v>
      </c>
      <c r="J277" s="6">
        <v>32165792792.94455</v>
      </c>
      <c r="K277" t="str">
        <f ca="1">IF($I277=业绩披露日期!D$7,ROW(),"")</f>
        <v/>
      </c>
      <c r="L277" t="str">
        <f>IF($I277=业绩披露日期!E$7,ROW(),"")</f>
        <v/>
      </c>
      <c r="M277" t="str">
        <f>IF($I277=业绩披露日期!F$7,ROW(),"")</f>
        <v/>
      </c>
      <c r="N277" t="str">
        <f>IF($I277=业绩披露日期!G$7,ROW(),"")</f>
        <v/>
      </c>
      <c r="O277" t="str">
        <f>IF($I277=业绩披露日期!H$7,ROW(),"")</f>
        <v/>
      </c>
      <c r="P277" t="str">
        <f>IF($I277=业绩披露日期!I$7,ROW(),"")</f>
        <v/>
      </c>
    </row>
    <row r="278" spans="1:16" x14ac:dyDescent="0.35">
      <c r="A278" s="23">
        <f t="shared" ca="1" si="21"/>
        <v>0</v>
      </c>
      <c r="B278" s="23">
        <f t="shared" si="22"/>
        <v>0</v>
      </c>
      <c r="C278" s="23">
        <f t="shared" si="23"/>
        <v>0</v>
      </c>
      <c r="D278" s="23">
        <f t="shared" si="24"/>
        <v>4</v>
      </c>
      <c r="E278" s="23">
        <f t="shared" si="25"/>
        <v>0</v>
      </c>
      <c r="F278" s="23">
        <f t="shared" si="25"/>
        <v>0</v>
      </c>
      <c r="G278" s="2" t="str">
        <f>IF('证券列表 '!B281="","",'证券列表 '!B281)</f>
        <v>TCTM.O</v>
      </c>
      <c r="H278" s="2" t="s">
        <v>554</v>
      </c>
      <c r="I278" s="3">
        <v>45537</v>
      </c>
      <c r="J278" s="6">
        <v>11499640.541999999</v>
      </c>
      <c r="K278" t="str">
        <f ca="1">IF($I278=业绩披露日期!D$7,ROW(),"")</f>
        <v/>
      </c>
      <c r="L278" t="str">
        <f>IF($I278=业绩披露日期!E$7,ROW(),"")</f>
        <v/>
      </c>
      <c r="M278" t="str">
        <f>IF($I278=业绩披露日期!F$7,ROW(),"")</f>
        <v/>
      </c>
      <c r="N278">
        <f>IF($I278=业绩披露日期!G$7,ROW(),"")</f>
        <v>278</v>
      </c>
      <c r="O278" t="str">
        <f>IF($I278=业绩披露日期!H$7,ROW(),"")</f>
        <v/>
      </c>
      <c r="P278" t="str">
        <f>IF($I278=业绩披露日期!I$7,ROW(),"")</f>
        <v/>
      </c>
    </row>
    <row r="279" spans="1:16" x14ac:dyDescent="0.35">
      <c r="A279" s="23">
        <f t="shared" ca="1" si="21"/>
        <v>0</v>
      </c>
      <c r="B279" s="23">
        <f t="shared" si="22"/>
        <v>0</v>
      </c>
      <c r="C279" s="23">
        <f t="shared" si="23"/>
        <v>0</v>
      </c>
      <c r="D279" s="23">
        <f t="shared" si="24"/>
        <v>0</v>
      </c>
      <c r="E279" s="23">
        <f t="shared" si="25"/>
        <v>0</v>
      </c>
      <c r="F279" s="23">
        <f t="shared" si="25"/>
        <v>0</v>
      </c>
      <c r="G279" s="2" t="str">
        <f>IF('证券列表 '!B282="","",'证券列表 '!B282)</f>
        <v>THCH.O</v>
      </c>
      <c r="H279" s="2" t="s">
        <v>556</v>
      </c>
      <c r="I279" s="3">
        <v>45533</v>
      </c>
      <c r="J279" s="6">
        <v>106738376.50049999</v>
      </c>
      <c r="K279" t="str">
        <f ca="1">IF($I279=业绩披露日期!D$7,ROW(),"")</f>
        <v/>
      </c>
      <c r="L279" t="str">
        <f>IF($I279=业绩披露日期!E$7,ROW(),"")</f>
        <v/>
      </c>
      <c r="M279" t="str">
        <f>IF($I279=业绩披露日期!F$7,ROW(),"")</f>
        <v/>
      </c>
      <c r="N279" t="str">
        <f>IF($I279=业绩披露日期!G$7,ROW(),"")</f>
        <v/>
      </c>
      <c r="O279" t="str">
        <f>IF($I279=业绩披露日期!H$7,ROW(),"")</f>
        <v/>
      </c>
      <c r="P279" t="str">
        <f>IF($I279=业绩披露日期!I$7,ROW(),"")</f>
        <v/>
      </c>
    </row>
    <row r="280" spans="1:16" x14ac:dyDescent="0.35">
      <c r="A280" s="23">
        <f t="shared" ca="1" si="21"/>
        <v>4</v>
      </c>
      <c r="B280" s="23">
        <f t="shared" si="22"/>
        <v>0</v>
      </c>
      <c r="C280" s="23">
        <f t="shared" si="23"/>
        <v>0</v>
      </c>
      <c r="D280" s="23">
        <f t="shared" si="24"/>
        <v>0</v>
      </c>
      <c r="E280" s="23">
        <f t="shared" si="25"/>
        <v>0</v>
      </c>
      <c r="F280" s="23">
        <f t="shared" si="25"/>
        <v>0</v>
      </c>
      <c r="G280" s="2" t="str">
        <f>IF('证券列表 '!B283="","",'证券列表 '!B283)</f>
        <v>TIGR.O</v>
      </c>
      <c r="H280" s="2" t="s">
        <v>558</v>
      </c>
      <c r="I280" s="3">
        <v>45534</v>
      </c>
      <c r="J280" s="6">
        <v>610306153.89866674</v>
      </c>
      <c r="K280">
        <f ca="1">IF($I280=业绩披露日期!D$7,ROW(),"")</f>
        <v>280</v>
      </c>
      <c r="L280" t="str">
        <f>IF($I280=业绩披露日期!E$7,ROW(),"")</f>
        <v/>
      </c>
      <c r="M280" t="str">
        <f>IF($I280=业绩披露日期!F$7,ROW(),"")</f>
        <v/>
      </c>
      <c r="N280" t="str">
        <f>IF($I280=业绩披露日期!G$7,ROW(),"")</f>
        <v/>
      </c>
      <c r="O280" t="str">
        <f>IF($I280=业绩披露日期!H$7,ROW(),"")</f>
        <v/>
      </c>
      <c r="P280" t="str">
        <f>IF($I280=业绩披露日期!I$7,ROW(),"")</f>
        <v/>
      </c>
    </row>
    <row r="281" spans="1:16" x14ac:dyDescent="0.35">
      <c r="A281" s="23">
        <f t="shared" ca="1" si="21"/>
        <v>0</v>
      </c>
      <c r="B281" s="23">
        <f t="shared" si="22"/>
        <v>0</v>
      </c>
      <c r="C281" s="23">
        <f t="shared" si="23"/>
        <v>0</v>
      </c>
      <c r="D281" s="23">
        <f t="shared" si="24"/>
        <v>0</v>
      </c>
      <c r="E281" s="23">
        <f t="shared" si="25"/>
        <v>0</v>
      </c>
      <c r="F281" s="23">
        <f t="shared" si="25"/>
        <v>0</v>
      </c>
      <c r="G281" s="2" t="str">
        <f>IF('证券列表 '!B284="","",'证券列表 '!B284)</f>
        <v>TIRX.O</v>
      </c>
      <c r="H281" s="2" t="s">
        <v>560</v>
      </c>
      <c r="I281" s="3"/>
      <c r="J281" s="6">
        <v>4172617.75</v>
      </c>
      <c r="K281" t="str">
        <f ca="1">IF($I281=业绩披露日期!D$7,ROW(),"")</f>
        <v/>
      </c>
      <c r="L281" t="str">
        <f>IF($I281=业绩披露日期!E$7,ROW(),"")</f>
        <v/>
      </c>
      <c r="M281" t="str">
        <f>IF($I281=业绩披露日期!F$7,ROW(),"")</f>
        <v/>
      </c>
      <c r="N281" t="str">
        <f>IF($I281=业绩披露日期!G$7,ROW(),"")</f>
        <v/>
      </c>
      <c r="O281" t="str">
        <f>IF($I281=业绩披露日期!H$7,ROW(),"")</f>
        <v/>
      </c>
      <c r="P281" t="str">
        <f>IF($I281=业绩披露日期!I$7,ROW(),"")</f>
        <v/>
      </c>
    </row>
    <row r="282" spans="1:16" x14ac:dyDescent="0.35">
      <c r="A282" s="23">
        <f t="shared" ca="1" si="21"/>
        <v>0</v>
      </c>
      <c r="B282" s="23">
        <f t="shared" si="22"/>
        <v>0</v>
      </c>
      <c r="C282" s="23">
        <f t="shared" si="23"/>
        <v>0</v>
      </c>
      <c r="D282" s="23">
        <f t="shared" si="24"/>
        <v>0</v>
      </c>
      <c r="E282" s="23">
        <f t="shared" si="25"/>
        <v>0</v>
      </c>
      <c r="F282" s="23">
        <f t="shared" si="25"/>
        <v>0</v>
      </c>
      <c r="G282" s="2" t="str">
        <f>IF('证券列表 '!B285="","",'证券列表 '!B285)</f>
        <v>TME.N</v>
      </c>
      <c r="H282" s="2" t="s">
        <v>562</v>
      </c>
      <c r="I282" s="3">
        <v>45516</v>
      </c>
      <c r="J282" s="6">
        <v>17603491713.03833</v>
      </c>
      <c r="K282" t="str">
        <f ca="1">IF($I282=业绩披露日期!D$7,ROW(),"")</f>
        <v/>
      </c>
      <c r="L282" t="str">
        <f>IF($I282=业绩披露日期!E$7,ROW(),"")</f>
        <v/>
      </c>
      <c r="M282" t="str">
        <f>IF($I282=业绩披露日期!F$7,ROW(),"")</f>
        <v/>
      </c>
      <c r="N282" t="str">
        <f>IF($I282=业绩披露日期!G$7,ROW(),"")</f>
        <v/>
      </c>
      <c r="O282" t="str">
        <f>IF($I282=业绩披露日期!H$7,ROW(),"")</f>
        <v/>
      </c>
      <c r="P282" t="str">
        <f>IF($I282=业绩披露日期!I$7,ROW(),"")</f>
        <v/>
      </c>
    </row>
    <row r="283" spans="1:16" x14ac:dyDescent="0.35">
      <c r="A283" s="23">
        <f t="shared" ca="1" si="21"/>
        <v>0</v>
      </c>
      <c r="B283" s="23">
        <f t="shared" si="22"/>
        <v>0</v>
      </c>
      <c r="C283" s="23">
        <f t="shared" si="23"/>
        <v>0</v>
      </c>
      <c r="D283" s="23">
        <f t="shared" si="24"/>
        <v>0</v>
      </c>
      <c r="E283" s="23">
        <f t="shared" si="25"/>
        <v>0</v>
      </c>
      <c r="F283" s="23">
        <f t="shared" si="25"/>
        <v>0</v>
      </c>
      <c r="G283" s="2" t="str">
        <f>IF('证券列表 '!B286="","",'证券列表 '!B286)</f>
        <v>TOP.O</v>
      </c>
      <c r="H283" s="2" t="s">
        <v>564</v>
      </c>
      <c r="I283" s="3"/>
      <c r="J283" s="6">
        <v>79238081.74000001</v>
      </c>
      <c r="K283" t="str">
        <f ca="1">IF($I283=业绩披露日期!D$7,ROW(),"")</f>
        <v/>
      </c>
      <c r="L283" t="str">
        <f>IF($I283=业绩披露日期!E$7,ROW(),"")</f>
        <v/>
      </c>
      <c r="M283" t="str">
        <f>IF($I283=业绩披露日期!F$7,ROW(),"")</f>
        <v/>
      </c>
      <c r="N283" t="str">
        <f>IF($I283=业绩披露日期!G$7,ROW(),"")</f>
        <v/>
      </c>
      <c r="O283" t="str">
        <f>IF($I283=业绩披露日期!H$7,ROW(),"")</f>
        <v/>
      </c>
      <c r="P283" t="str">
        <f>IF($I283=业绩披露日期!I$7,ROW(),"")</f>
        <v/>
      </c>
    </row>
    <row r="284" spans="1:16" x14ac:dyDescent="0.35">
      <c r="A284" s="23">
        <f t="shared" ca="1" si="21"/>
        <v>0</v>
      </c>
      <c r="B284" s="23">
        <f t="shared" si="22"/>
        <v>0</v>
      </c>
      <c r="C284" s="23">
        <f t="shared" si="23"/>
        <v>0</v>
      </c>
      <c r="D284" s="23">
        <f t="shared" si="24"/>
        <v>0</v>
      </c>
      <c r="E284" s="23">
        <f t="shared" si="25"/>
        <v>0</v>
      </c>
      <c r="F284" s="23">
        <f t="shared" si="25"/>
        <v>0</v>
      </c>
      <c r="G284" s="2" t="str">
        <f>IF('证券列表 '!B287="","",'证券列表 '!B287)</f>
        <v>TOUR.O</v>
      </c>
      <c r="H284" s="2" t="s">
        <v>566</v>
      </c>
      <c r="I284" s="3">
        <v>45510</v>
      </c>
      <c r="J284" s="6">
        <v>100315418.49000001</v>
      </c>
      <c r="K284" t="str">
        <f ca="1">IF($I284=业绩披露日期!D$7,ROW(),"")</f>
        <v/>
      </c>
      <c r="L284" t="str">
        <f>IF($I284=业绩披露日期!E$7,ROW(),"")</f>
        <v/>
      </c>
      <c r="M284" t="str">
        <f>IF($I284=业绩披露日期!F$7,ROW(),"")</f>
        <v/>
      </c>
      <c r="N284" t="str">
        <f>IF($I284=业绩披露日期!G$7,ROW(),"")</f>
        <v/>
      </c>
      <c r="O284" t="str">
        <f>IF($I284=业绩披露日期!H$7,ROW(),"")</f>
        <v/>
      </c>
      <c r="P284" t="str">
        <f>IF($I284=业绩披露日期!I$7,ROW(),"")</f>
        <v/>
      </c>
    </row>
    <row r="285" spans="1:16" x14ac:dyDescent="0.35">
      <c r="A285" s="23">
        <f t="shared" ca="1" si="21"/>
        <v>0</v>
      </c>
      <c r="B285" s="23">
        <f t="shared" si="22"/>
        <v>0</v>
      </c>
      <c r="C285" s="23">
        <f t="shared" si="23"/>
        <v>0</v>
      </c>
      <c r="D285" s="23">
        <f t="shared" si="24"/>
        <v>0</v>
      </c>
      <c r="E285" s="23">
        <f t="shared" si="25"/>
        <v>0</v>
      </c>
      <c r="F285" s="23">
        <f t="shared" si="25"/>
        <v>0</v>
      </c>
      <c r="G285" s="2" t="str">
        <f>IF('证券列表 '!B288="","",'证券列表 '!B288)</f>
        <v>TROO.O</v>
      </c>
      <c r="H285" s="2" t="s">
        <v>568</v>
      </c>
      <c r="I285" s="3"/>
      <c r="J285" s="6">
        <v>442459281.29000002</v>
      </c>
      <c r="K285" t="str">
        <f ca="1">IF($I285=业绩披露日期!D$7,ROW(),"")</f>
        <v/>
      </c>
      <c r="L285" t="str">
        <f>IF($I285=业绩披露日期!E$7,ROW(),"")</f>
        <v/>
      </c>
      <c r="M285" t="str">
        <f>IF($I285=业绩披露日期!F$7,ROW(),"")</f>
        <v/>
      </c>
      <c r="N285" t="str">
        <f>IF($I285=业绩披露日期!G$7,ROW(),"")</f>
        <v/>
      </c>
      <c r="O285" t="str">
        <f>IF($I285=业绩披露日期!H$7,ROW(),"")</f>
        <v/>
      </c>
      <c r="P285" t="str">
        <f>IF($I285=业绩披露日期!I$7,ROW(),"")</f>
        <v/>
      </c>
    </row>
    <row r="286" spans="1:16" x14ac:dyDescent="0.35">
      <c r="A286" s="23">
        <f t="shared" ca="1" si="21"/>
        <v>0</v>
      </c>
      <c r="B286" s="23">
        <f t="shared" si="22"/>
        <v>0</v>
      </c>
      <c r="C286" s="23">
        <f t="shared" si="23"/>
        <v>0</v>
      </c>
      <c r="D286" s="23">
        <f t="shared" si="24"/>
        <v>0</v>
      </c>
      <c r="E286" s="23">
        <f t="shared" si="25"/>
        <v>0</v>
      </c>
      <c r="F286" s="23">
        <f t="shared" si="25"/>
        <v>0</v>
      </c>
      <c r="G286" s="2" t="str">
        <f>IF('证券列表 '!B289="","",'证券列表 '!B289)</f>
        <v>TRSG.O</v>
      </c>
      <c r="H286" s="2" t="s">
        <v>570</v>
      </c>
      <c r="I286" s="3"/>
      <c r="J286" s="6">
        <v>45662500</v>
      </c>
      <c r="K286" t="str">
        <f ca="1">IF($I286=业绩披露日期!D$7,ROW(),"")</f>
        <v/>
      </c>
      <c r="L286" t="str">
        <f>IF($I286=业绩披露日期!E$7,ROW(),"")</f>
        <v/>
      </c>
      <c r="M286" t="str">
        <f>IF($I286=业绩披露日期!F$7,ROW(),"")</f>
        <v/>
      </c>
      <c r="N286" t="str">
        <f>IF($I286=业绩披露日期!G$7,ROW(),"")</f>
        <v/>
      </c>
      <c r="O286" t="str">
        <f>IF($I286=业绩披露日期!H$7,ROW(),"")</f>
        <v/>
      </c>
      <c r="P286" t="str">
        <f>IF($I286=业绩披露日期!I$7,ROW(),"")</f>
        <v/>
      </c>
    </row>
    <row r="287" spans="1:16" x14ac:dyDescent="0.35">
      <c r="A287" s="23">
        <f t="shared" ca="1" si="21"/>
        <v>0</v>
      </c>
      <c r="B287" s="23">
        <f t="shared" si="22"/>
        <v>0</v>
      </c>
      <c r="C287" s="23">
        <f t="shared" si="23"/>
        <v>0</v>
      </c>
      <c r="D287" s="23">
        <f t="shared" si="24"/>
        <v>0</v>
      </c>
      <c r="E287" s="23">
        <f t="shared" si="25"/>
        <v>0</v>
      </c>
      <c r="F287" s="23">
        <f t="shared" si="25"/>
        <v>0</v>
      </c>
      <c r="G287" s="2" t="str">
        <f>IF('证券列表 '!B290="","",'证券列表 '!B290)</f>
        <v>TUYA.N</v>
      </c>
      <c r="H287" s="2" t="s">
        <v>572</v>
      </c>
      <c r="I287" s="3">
        <v>45530</v>
      </c>
      <c r="J287" s="6">
        <v>950433570.45829999</v>
      </c>
      <c r="K287" t="str">
        <f ca="1">IF($I287=业绩披露日期!D$7,ROW(),"")</f>
        <v/>
      </c>
      <c r="L287" t="str">
        <f>IF($I287=业绩披露日期!E$7,ROW(),"")</f>
        <v/>
      </c>
      <c r="M287" t="str">
        <f>IF($I287=业绩披露日期!F$7,ROW(),"")</f>
        <v/>
      </c>
      <c r="N287" t="str">
        <f>IF($I287=业绩披露日期!G$7,ROW(),"")</f>
        <v/>
      </c>
      <c r="O287" t="str">
        <f>IF($I287=业绩披露日期!H$7,ROW(),"")</f>
        <v/>
      </c>
      <c r="P287" t="str">
        <f>IF($I287=业绩披露日期!I$7,ROW(),"")</f>
        <v/>
      </c>
    </row>
    <row r="288" spans="1:16" x14ac:dyDescent="0.35">
      <c r="A288" s="23">
        <f t="shared" ca="1" si="21"/>
        <v>0</v>
      </c>
      <c r="B288" s="23">
        <f t="shared" si="22"/>
        <v>0</v>
      </c>
      <c r="C288" s="23">
        <f t="shared" si="23"/>
        <v>0</v>
      </c>
      <c r="D288" s="23">
        <f t="shared" si="24"/>
        <v>0</v>
      </c>
      <c r="E288" s="23">
        <f t="shared" si="25"/>
        <v>0</v>
      </c>
      <c r="F288" s="23">
        <f t="shared" si="25"/>
        <v>0</v>
      </c>
      <c r="G288" s="2" t="str">
        <f>IF('证券列表 '!B291="","",'证券列表 '!B291)</f>
        <v>TWG.O</v>
      </c>
      <c r="H288" s="2" t="s">
        <v>574</v>
      </c>
      <c r="I288" s="3"/>
      <c r="J288" s="6">
        <v>25230000</v>
      </c>
      <c r="K288" t="str">
        <f ca="1">IF($I288=业绩披露日期!D$7,ROW(),"")</f>
        <v/>
      </c>
      <c r="L288" t="str">
        <f>IF($I288=业绩披露日期!E$7,ROW(),"")</f>
        <v/>
      </c>
      <c r="M288" t="str">
        <f>IF($I288=业绩披露日期!F$7,ROW(),"")</f>
        <v/>
      </c>
      <c r="N288" t="str">
        <f>IF($I288=业绩披露日期!G$7,ROW(),"")</f>
        <v/>
      </c>
      <c r="O288" t="str">
        <f>IF($I288=业绩披露日期!H$7,ROW(),"")</f>
        <v/>
      </c>
      <c r="P288" t="str">
        <f>IF($I288=业绩披露日期!I$7,ROW(),"")</f>
        <v/>
      </c>
    </row>
    <row r="289" spans="1:16" x14ac:dyDescent="0.35">
      <c r="A289" s="23">
        <f t="shared" ca="1" si="21"/>
        <v>0</v>
      </c>
      <c r="B289" s="23">
        <f t="shared" si="22"/>
        <v>0</v>
      </c>
      <c r="C289" s="23">
        <f t="shared" si="23"/>
        <v>0</v>
      </c>
      <c r="D289" s="23">
        <f t="shared" si="24"/>
        <v>0</v>
      </c>
      <c r="E289" s="23">
        <f t="shared" si="25"/>
        <v>0</v>
      </c>
      <c r="F289" s="23">
        <f t="shared" si="25"/>
        <v>0</v>
      </c>
      <c r="G289" s="2" t="str">
        <f>IF('证券列表 '!B292="","",'证券列表 '!B292)</f>
        <v>UBXG.O</v>
      </c>
      <c r="H289" s="2" t="s">
        <v>576</v>
      </c>
      <c r="I289" s="3"/>
      <c r="J289" s="6">
        <v>38340000</v>
      </c>
      <c r="K289" t="str">
        <f ca="1">IF($I289=业绩披露日期!D$7,ROW(),"")</f>
        <v/>
      </c>
      <c r="L289" t="str">
        <f>IF($I289=业绩披露日期!E$7,ROW(),"")</f>
        <v/>
      </c>
      <c r="M289" t="str">
        <f>IF($I289=业绩披露日期!F$7,ROW(),"")</f>
        <v/>
      </c>
      <c r="N289" t="str">
        <f>IF($I289=业绩披露日期!G$7,ROW(),"")</f>
        <v/>
      </c>
      <c r="O289" t="str">
        <f>IF($I289=业绩披露日期!H$7,ROW(),"")</f>
        <v/>
      </c>
      <c r="P289" t="str">
        <f>IF($I289=业绩披露日期!I$7,ROW(),"")</f>
        <v/>
      </c>
    </row>
    <row r="290" spans="1:16" x14ac:dyDescent="0.35">
      <c r="A290" s="23">
        <f t="shared" ca="1" si="21"/>
        <v>0</v>
      </c>
      <c r="B290" s="23">
        <f t="shared" si="22"/>
        <v>0</v>
      </c>
      <c r="C290" s="23">
        <f t="shared" si="23"/>
        <v>0</v>
      </c>
      <c r="D290" s="23">
        <f t="shared" si="24"/>
        <v>0</v>
      </c>
      <c r="E290" s="23">
        <f t="shared" si="25"/>
        <v>0</v>
      </c>
      <c r="F290" s="23">
        <f t="shared" si="25"/>
        <v>0</v>
      </c>
      <c r="G290" s="2" t="str">
        <f>IF('证券列表 '!B293="","",'证券列表 '!B293)</f>
        <v>UCAR.O</v>
      </c>
      <c r="H290" s="2" t="s">
        <v>578</v>
      </c>
      <c r="I290" s="3"/>
      <c r="J290" s="6">
        <v>15848680.3737</v>
      </c>
      <c r="K290" t="str">
        <f ca="1">IF($I290=业绩披露日期!D$7,ROW(),"")</f>
        <v/>
      </c>
      <c r="L290" t="str">
        <f>IF($I290=业绩披露日期!E$7,ROW(),"")</f>
        <v/>
      </c>
      <c r="M290" t="str">
        <f>IF($I290=业绩披露日期!F$7,ROW(),"")</f>
        <v/>
      </c>
      <c r="N290" t="str">
        <f>IF($I290=业绩披露日期!G$7,ROW(),"")</f>
        <v/>
      </c>
      <c r="O290" t="str">
        <f>IF($I290=业绩披露日期!H$7,ROW(),"")</f>
        <v/>
      </c>
      <c r="P290" t="str">
        <f>IF($I290=业绩披露日期!I$7,ROW(),"")</f>
        <v/>
      </c>
    </row>
    <row r="291" spans="1:16" x14ac:dyDescent="0.35">
      <c r="A291" s="23">
        <f t="shared" ca="1" si="21"/>
        <v>0</v>
      </c>
      <c r="B291" s="23">
        <f t="shared" si="22"/>
        <v>0</v>
      </c>
      <c r="C291" s="23">
        <f t="shared" si="23"/>
        <v>0</v>
      </c>
      <c r="D291" s="23">
        <f t="shared" si="24"/>
        <v>0</v>
      </c>
      <c r="E291" s="23">
        <f t="shared" si="25"/>
        <v>0</v>
      </c>
      <c r="F291" s="23">
        <f t="shared" si="25"/>
        <v>0</v>
      </c>
      <c r="G291" s="2" t="str">
        <f>IF('证券列表 '!B294="","",'证券列表 '!B294)</f>
        <v>UCL.O</v>
      </c>
      <c r="H291" s="2" t="s">
        <v>580</v>
      </c>
      <c r="I291" s="3">
        <v>45518</v>
      </c>
      <c r="J291" s="6">
        <v>50988641.280000001</v>
      </c>
      <c r="K291" t="str">
        <f ca="1">IF($I291=业绩披露日期!D$7,ROW(),"")</f>
        <v/>
      </c>
      <c r="L291" t="str">
        <f>IF($I291=业绩披露日期!E$7,ROW(),"")</f>
        <v/>
      </c>
      <c r="M291" t="str">
        <f>IF($I291=业绩披露日期!F$7,ROW(),"")</f>
        <v/>
      </c>
      <c r="N291" t="str">
        <f>IF($I291=业绩披露日期!G$7,ROW(),"")</f>
        <v/>
      </c>
      <c r="O291" t="str">
        <f>IF($I291=业绩披露日期!H$7,ROW(),"")</f>
        <v/>
      </c>
      <c r="P291" t="str">
        <f>IF($I291=业绩披露日期!I$7,ROW(),"")</f>
        <v/>
      </c>
    </row>
    <row r="292" spans="1:16" x14ac:dyDescent="0.35">
      <c r="A292" s="23">
        <f t="shared" ca="1" si="21"/>
        <v>0</v>
      </c>
      <c r="B292" s="23">
        <f t="shared" si="22"/>
        <v>0</v>
      </c>
      <c r="C292" s="23">
        <f t="shared" si="23"/>
        <v>0</v>
      </c>
      <c r="D292" s="23">
        <f t="shared" si="24"/>
        <v>0</v>
      </c>
      <c r="E292" s="23">
        <f t="shared" si="25"/>
        <v>0</v>
      </c>
      <c r="F292" s="23">
        <f t="shared" si="25"/>
        <v>0</v>
      </c>
      <c r="G292" s="2" t="str">
        <f>IF('证券列表 '!B295="","",'证券列表 '!B295)</f>
        <v>UK.O</v>
      </c>
      <c r="H292" s="2" t="s">
        <v>582</v>
      </c>
      <c r="I292" s="3"/>
      <c r="J292" s="6">
        <v>1002793.42</v>
      </c>
      <c r="K292" t="str">
        <f ca="1">IF($I292=业绩披露日期!D$7,ROW(),"")</f>
        <v/>
      </c>
      <c r="L292" t="str">
        <f>IF($I292=业绩披露日期!E$7,ROW(),"")</f>
        <v/>
      </c>
      <c r="M292" t="str">
        <f>IF($I292=业绩披露日期!F$7,ROW(),"")</f>
        <v/>
      </c>
      <c r="N292" t="str">
        <f>IF($I292=业绩披露日期!G$7,ROW(),"")</f>
        <v/>
      </c>
      <c r="O292" t="str">
        <f>IF($I292=业绩披露日期!H$7,ROW(),"")</f>
        <v/>
      </c>
      <c r="P292" t="str">
        <f>IF($I292=业绩披露日期!I$7,ROW(),"")</f>
        <v/>
      </c>
    </row>
    <row r="293" spans="1:16" x14ac:dyDescent="0.35">
      <c r="A293" s="23">
        <f t="shared" ca="1" si="21"/>
        <v>0</v>
      </c>
      <c r="B293" s="23">
        <f t="shared" si="22"/>
        <v>0</v>
      </c>
      <c r="C293" s="23">
        <f t="shared" si="23"/>
        <v>0</v>
      </c>
      <c r="D293" s="23">
        <f t="shared" si="24"/>
        <v>0</v>
      </c>
      <c r="E293" s="23">
        <f t="shared" si="25"/>
        <v>0</v>
      </c>
      <c r="F293" s="23">
        <f t="shared" si="25"/>
        <v>0</v>
      </c>
      <c r="G293" s="2" t="str">
        <f>IF('证券列表 '!B296="","",'证券列表 '!B296)</f>
        <v>UPC.O</v>
      </c>
      <c r="H293" s="2" t="s">
        <v>584</v>
      </c>
      <c r="I293" s="3"/>
      <c r="J293" s="6">
        <v>77322334.980000004</v>
      </c>
      <c r="K293" t="str">
        <f ca="1">IF($I293=业绩披露日期!D$7,ROW(),"")</f>
        <v/>
      </c>
      <c r="L293" t="str">
        <f>IF($I293=业绩披露日期!E$7,ROW(),"")</f>
        <v/>
      </c>
      <c r="M293" t="str">
        <f>IF($I293=业绩披露日期!F$7,ROW(),"")</f>
        <v/>
      </c>
      <c r="N293" t="str">
        <f>IF($I293=业绩披露日期!G$7,ROW(),"")</f>
        <v/>
      </c>
      <c r="O293" t="str">
        <f>IF($I293=业绩披露日期!H$7,ROW(),"")</f>
        <v/>
      </c>
      <c r="P293" t="str">
        <f>IF($I293=业绩披露日期!I$7,ROW(),"")</f>
        <v/>
      </c>
    </row>
    <row r="294" spans="1:16" x14ac:dyDescent="0.35">
      <c r="A294" s="23">
        <f t="shared" ca="1" si="21"/>
        <v>0</v>
      </c>
      <c r="B294" s="23">
        <f t="shared" si="22"/>
        <v>0</v>
      </c>
      <c r="C294" s="23">
        <f t="shared" si="23"/>
        <v>0</v>
      </c>
      <c r="D294" s="23">
        <f t="shared" si="24"/>
        <v>0</v>
      </c>
      <c r="E294" s="23">
        <f t="shared" si="25"/>
        <v>0</v>
      </c>
      <c r="F294" s="23">
        <f t="shared" si="25"/>
        <v>0</v>
      </c>
      <c r="G294" s="2" t="str">
        <f>IF('证券列表 '!B297="","",'证券列表 '!B297)</f>
        <v>UTSI.O</v>
      </c>
      <c r="H294" s="2" t="s">
        <v>586</v>
      </c>
      <c r="I294" s="3"/>
      <c r="J294" s="6">
        <v>26513940.460000001</v>
      </c>
      <c r="K294" t="str">
        <f ca="1">IF($I294=业绩披露日期!D$7,ROW(),"")</f>
        <v/>
      </c>
      <c r="L294" t="str">
        <f>IF($I294=业绩披露日期!E$7,ROW(),"")</f>
        <v/>
      </c>
      <c r="M294" t="str">
        <f>IF($I294=业绩披露日期!F$7,ROW(),"")</f>
        <v/>
      </c>
      <c r="N294" t="str">
        <f>IF($I294=业绩披露日期!G$7,ROW(),"")</f>
        <v/>
      </c>
      <c r="O294" t="str">
        <f>IF($I294=业绩披露日期!H$7,ROW(),"")</f>
        <v/>
      </c>
      <c r="P294" t="str">
        <f>IF($I294=业绩披露日期!I$7,ROW(),"")</f>
        <v/>
      </c>
    </row>
    <row r="295" spans="1:16" x14ac:dyDescent="0.35">
      <c r="A295" s="23">
        <f t="shared" ca="1" si="21"/>
        <v>0</v>
      </c>
      <c r="B295" s="23">
        <f t="shared" si="22"/>
        <v>0</v>
      </c>
      <c r="C295" s="23">
        <f t="shared" si="23"/>
        <v>0</v>
      </c>
      <c r="D295" s="23">
        <f t="shared" si="24"/>
        <v>0</v>
      </c>
      <c r="E295" s="23">
        <f t="shared" si="25"/>
        <v>0</v>
      </c>
      <c r="F295" s="23">
        <f t="shared" si="25"/>
        <v>0</v>
      </c>
      <c r="G295" s="2" t="str">
        <f>IF('证券列表 '!B298="","",'证券列表 '!B298)</f>
        <v>UXIN.O</v>
      </c>
      <c r="H295" s="2" t="s">
        <v>588</v>
      </c>
      <c r="I295" s="3">
        <v>45258</v>
      </c>
      <c r="J295" s="6">
        <v>291304320.56150001</v>
      </c>
      <c r="K295" t="str">
        <f ca="1">IF($I295=业绩披露日期!D$7,ROW(),"")</f>
        <v/>
      </c>
      <c r="L295" t="str">
        <f>IF($I295=业绩披露日期!E$7,ROW(),"")</f>
        <v/>
      </c>
      <c r="M295" t="str">
        <f>IF($I295=业绩披露日期!F$7,ROW(),"")</f>
        <v/>
      </c>
      <c r="N295" t="str">
        <f>IF($I295=业绩披露日期!G$7,ROW(),"")</f>
        <v/>
      </c>
      <c r="O295" t="str">
        <f>IF($I295=业绩披露日期!H$7,ROW(),"")</f>
        <v/>
      </c>
      <c r="P295" t="str">
        <f>IF($I295=业绩披露日期!I$7,ROW(),"")</f>
        <v/>
      </c>
    </row>
    <row r="296" spans="1:16" x14ac:dyDescent="0.35">
      <c r="A296" s="23">
        <f t="shared" ca="1" si="21"/>
        <v>0</v>
      </c>
      <c r="B296" s="23">
        <f t="shared" si="22"/>
        <v>0</v>
      </c>
      <c r="C296" s="23">
        <f t="shared" si="23"/>
        <v>0</v>
      </c>
      <c r="D296" s="23">
        <f t="shared" si="24"/>
        <v>0</v>
      </c>
      <c r="E296" s="23">
        <f t="shared" si="25"/>
        <v>0</v>
      </c>
      <c r="F296" s="23">
        <f t="shared" si="25"/>
        <v>0</v>
      </c>
      <c r="G296" s="2" t="str">
        <f>IF('证券列表 '!B299="","",'证券列表 '!B299)</f>
        <v>VIOT.O</v>
      </c>
      <c r="H296" s="2" t="s">
        <v>590</v>
      </c>
      <c r="I296" s="3">
        <v>45530</v>
      </c>
      <c r="J296" s="6">
        <v>96304924.179999992</v>
      </c>
      <c r="K296" t="str">
        <f ca="1">IF($I296=业绩披露日期!D$7,ROW(),"")</f>
        <v/>
      </c>
      <c r="L296" t="str">
        <f>IF($I296=业绩披露日期!E$7,ROW(),"")</f>
        <v/>
      </c>
      <c r="M296" t="str">
        <f>IF($I296=业绩披露日期!F$7,ROW(),"")</f>
        <v/>
      </c>
      <c r="N296" t="str">
        <f>IF($I296=业绩披露日期!G$7,ROW(),"")</f>
        <v/>
      </c>
      <c r="O296" t="str">
        <f>IF($I296=业绩披露日期!H$7,ROW(),"")</f>
        <v/>
      </c>
      <c r="P296" t="str">
        <f>IF($I296=业绩披露日期!I$7,ROW(),"")</f>
        <v/>
      </c>
    </row>
    <row r="297" spans="1:16" x14ac:dyDescent="0.35">
      <c r="A297" s="23">
        <f t="shared" ca="1" si="21"/>
        <v>0</v>
      </c>
      <c r="B297" s="23">
        <f t="shared" si="22"/>
        <v>0</v>
      </c>
      <c r="C297" s="23">
        <f t="shared" si="23"/>
        <v>0</v>
      </c>
      <c r="D297" s="23">
        <f t="shared" si="24"/>
        <v>0</v>
      </c>
      <c r="E297" s="23">
        <f t="shared" si="25"/>
        <v>0</v>
      </c>
      <c r="F297" s="23">
        <f t="shared" si="25"/>
        <v>0</v>
      </c>
      <c r="G297" s="2" t="str">
        <f>IF('证券列表 '!B300="","",'证券列表 '!B300)</f>
        <v>VIPS.N</v>
      </c>
      <c r="H297" s="2" t="s">
        <v>592</v>
      </c>
      <c r="I297" s="3">
        <v>45524</v>
      </c>
      <c r="J297" s="6">
        <v>6694797625.5</v>
      </c>
      <c r="K297" t="str">
        <f ca="1">IF($I297=业绩披露日期!D$7,ROW(),"")</f>
        <v/>
      </c>
      <c r="L297" t="str">
        <f>IF($I297=业绩披露日期!E$7,ROW(),"")</f>
        <v/>
      </c>
      <c r="M297" t="str">
        <f>IF($I297=业绩披露日期!F$7,ROW(),"")</f>
        <v/>
      </c>
      <c r="N297" t="str">
        <f>IF($I297=业绩披露日期!G$7,ROW(),"")</f>
        <v/>
      </c>
      <c r="O297" t="str">
        <f>IF($I297=业绩披露日期!H$7,ROW(),"")</f>
        <v/>
      </c>
      <c r="P297" t="str">
        <f>IF($I297=业绩披露日期!I$7,ROW(),"")</f>
        <v/>
      </c>
    </row>
    <row r="298" spans="1:16" x14ac:dyDescent="0.35">
      <c r="A298" s="23">
        <f t="shared" ca="1" si="21"/>
        <v>0</v>
      </c>
      <c r="B298" s="23">
        <f t="shared" si="22"/>
        <v>0</v>
      </c>
      <c r="C298" s="23">
        <f t="shared" si="23"/>
        <v>0</v>
      </c>
      <c r="D298" s="23">
        <f t="shared" si="24"/>
        <v>0</v>
      </c>
      <c r="E298" s="23">
        <f t="shared" si="25"/>
        <v>0</v>
      </c>
      <c r="F298" s="23">
        <f t="shared" si="25"/>
        <v>0</v>
      </c>
      <c r="G298" s="2" t="str">
        <f>IF('证券列表 '!B301="","",'证券列表 '!B301)</f>
        <v>VNET.O</v>
      </c>
      <c r="H298" s="2" t="s">
        <v>594</v>
      </c>
      <c r="I298" s="3">
        <v>45531</v>
      </c>
      <c r="J298" s="6">
        <v>652763590</v>
      </c>
      <c r="K298" t="str">
        <f ca="1">IF($I298=业绩披露日期!D$7,ROW(),"")</f>
        <v/>
      </c>
      <c r="L298" t="str">
        <f>IF($I298=业绩披露日期!E$7,ROW(),"")</f>
        <v/>
      </c>
      <c r="M298" t="str">
        <f>IF($I298=业绩披露日期!F$7,ROW(),"")</f>
        <v/>
      </c>
      <c r="N298" t="str">
        <f>IF($I298=业绩披露日期!G$7,ROW(),"")</f>
        <v/>
      </c>
      <c r="O298" t="str">
        <f>IF($I298=业绩披露日期!H$7,ROW(),"")</f>
        <v/>
      </c>
      <c r="P298" t="str">
        <f>IF($I298=业绩披露日期!I$7,ROW(),"")</f>
        <v/>
      </c>
    </row>
    <row r="299" spans="1:16" x14ac:dyDescent="0.35">
      <c r="A299" s="23">
        <f t="shared" ca="1" si="21"/>
        <v>0</v>
      </c>
      <c r="B299" s="23">
        <f t="shared" si="22"/>
        <v>0</v>
      </c>
      <c r="C299" s="23">
        <f t="shared" si="23"/>
        <v>0</v>
      </c>
      <c r="D299" s="23">
        <f t="shared" si="24"/>
        <v>0</v>
      </c>
      <c r="E299" s="23">
        <f t="shared" si="25"/>
        <v>0</v>
      </c>
      <c r="F299" s="23">
        <f t="shared" si="25"/>
        <v>0</v>
      </c>
      <c r="G299" s="2" t="str">
        <f>IF('证券列表 '!B302="","",'证券列表 '!B302)</f>
        <v>VSME.O</v>
      </c>
      <c r="H299" s="2" t="s">
        <v>596</v>
      </c>
      <c r="I299" s="3"/>
      <c r="J299" s="6">
        <v>3089835.2214000002</v>
      </c>
      <c r="K299" t="str">
        <f ca="1">IF($I299=业绩披露日期!D$7,ROW(),"")</f>
        <v/>
      </c>
      <c r="L299" t="str">
        <f>IF($I299=业绩披露日期!E$7,ROW(),"")</f>
        <v/>
      </c>
      <c r="M299" t="str">
        <f>IF($I299=业绩披露日期!F$7,ROW(),"")</f>
        <v/>
      </c>
      <c r="N299" t="str">
        <f>IF($I299=业绩披露日期!G$7,ROW(),"")</f>
        <v/>
      </c>
      <c r="O299" t="str">
        <f>IF($I299=业绩披露日期!H$7,ROW(),"")</f>
        <v/>
      </c>
      <c r="P299" t="str">
        <f>IF($I299=业绩披露日期!I$7,ROW(),"")</f>
        <v/>
      </c>
    </row>
    <row r="300" spans="1:16" x14ac:dyDescent="0.35">
      <c r="A300" s="23">
        <f t="shared" ca="1" si="21"/>
        <v>0</v>
      </c>
      <c r="B300" s="23">
        <f t="shared" si="22"/>
        <v>0</v>
      </c>
      <c r="C300" s="23">
        <f t="shared" si="23"/>
        <v>0</v>
      </c>
      <c r="D300" s="23">
        <f t="shared" si="24"/>
        <v>0</v>
      </c>
      <c r="E300" s="23">
        <f t="shared" si="25"/>
        <v>0</v>
      </c>
      <c r="F300" s="23">
        <f t="shared" si="25"/>
        <v>0</v>
      </c>
      <c r="G300" s="2" t="str">
        <f>IF('证券列表 '!B303="","",'证券列表 '!B303)</f>
        <v>WAFU.O</v>
      </c>
      <c r="H300" s="2" t="s">
        <v>598</v>
      </c>
      <c r="I300" s="3"/>
      <c r="J300" s="6">
        <v>7717603.25</v>
      </c>
      <c r="K300" t="str">
        <f ca="1">IF($I300=业绩披露日期!D$7,ROW(),"")</f>
        <v/>
      </c>
      <c r="L300" t="str">
        <f>IF($I300=业绩披露日期!E$7,ROW(),"")</f>
        <v/>
      </c>
      <c r="M300" t="str">
        <f>IF($I300=业绩披露日期!F$7,ROW(),"")</f>
        <v/>
      </c>
      <c r="N300" t="str">
        <f>IF($I300=业绩披露日期!G$7,ROW(),"")</f>
        <v/>
      </c>
      <c r="O300" t="str">
        <f>IF($I300=业绩披露日期!H$7,ROW(),"")</f>
        <v/>
      </c>
      <c r="P300" t="str">
        <f>IF($I300=业绩披露日期!I$7,ROW(),"")</f>
        <v/>
      </c>
    </row>
    <row r="301" spans="1:16" x14ac:dyDescent="0.35">
      <c r="A301" s="23">
        <f t="shared" ca="1" si="21"/>
        <v>0</v>
      </c>
      <c r="B301" s="23">
        <f t="shared" si="22"/>
        <v>0</v>
      </c>
      <c r="C301" s="23">
        <f t="shared" si="23"/>
        <v>0</v>
      </c>
      <c r="D301" s="23">
        <f t="shared" si="24"/>
        <v>0</v>
      </c>
      <c r="E301" s="23">
        <f t="shared" si="25"/>
        <v>0</v>
      </c>
      <c r="F301" s="23">
        <f t="shared" si="25"/>
        <v>0</v>
      </c>
      <c r="G301" s="2" t="str">
        <f>IF('证券列表 '!B304="","",'证券列表 '!B304)</f>
        <v>WB.O</v>
      </c>
      <c r="H301" s="2" t="s">
        <v>600</v>
      </c>
      <c r="I301" s="3">
        <v>45525</v>
      </c>
      <c r="J301" s="6">
        <v>1814221192.5690627</v>
      </c>
      <c r="K301" t="str">
        <f ca="1">IF($I301=业绩披露日期!D$7,ROW(),"")</f>
        <v/>
      </c>
      <c r="L301" t="str">
        <f>IF($I301=业绩披露日期!E$7,ROW(),"")</f>
        <v/>
      </c>
      <c r="M301" t="str">
        <f>IF($I301=业绩披露日期!F$7,ROW(),"")</f>
        <v/>
      </c>
      <c r="N301" t="str">
        <f>IF($I301=业绩披露日期!G$7,ROW(),"")</f>
        <v/>
      </c>
      <c r="O301" t="str">
        <f>IF($I301=业绩披露日期!H$7,ROW(),"")</f>
        <v/>
      </c>
      <c r="P301" t="str">
        <f>IF($I301=业绩披露日期!I$7,ROW(),"")</f>
        <v/>
      </c>
    </row>
    <row r="302" spans="1:16" x14ac:dyDescent="0.35">
      <c r="A302" s="23">
        <f t="shared" ca="1" si="21"/>
        <v>0</v>
      </c>
      <c r="B302" s="23">
        <f t="shared" si="22"/>
        <v>0</v>
      </c>
      <c r="C302" s="23">
        <f t="shared" si="23"/>
        <v>0</v>
      </c>
      <c r="D302" s="23">
        <f t="shared" si="24"/>
        <v>0</v>
      </c>
      <c r="E302" s="23">
        <f t="shared" si="25"/>
        <v>0</v>
      </c>
      <c r="F302" s="23">
        <f t="shared" si="25"/>
        <v>0</v>
      </c>
      <c r="G302" s="2" t="str">
        <f>IF('证券列表 '!B305="","",'证券列表 '!B305)</f>
        <v>WBUY.O</v>
      </c>
      <c r="H302" s="2" t="s">
        <v>602</v>
      </c>
      <c r="I302" s="3"/>
      <c r="J302" s="6">
        <v>6296268.3200000003</v>
      </c>
      <c r="K302" t="str">
        <f ca="1">IF($I302=业绩披露日期!D$7,ROW(),"")</f>
        <v/>
      </c>
      <c r="L302" t="str">
        <f>IF($I302=业绩披露日期!E$7,ROW(),"")</f>
        <v/>
      </c>
      <c r="M302" t="str">
        <f>IF($I302=业绩披露日期!F$7,ROW(),"")</f>
        <v/>
      </c>
      <c r="N302" t="str">
        <f>IF($I302=业绩披露日期!G$7,ROW(),"")</f>
        <v/>
      </c>
      <c r="O302" t="str">
        <f>IF($I302=业绩披露日期!H$7,ROW(),"")</f>
        <v/>
      </c>
      <c r="P302" t="str">
        <f>IF($I302=业绩披露日期!I$7,ROW(),"")</f>
        <v/>
      </c>
    </row>
    <row r="303" spans="1:16" x14ac:dyDescent="0.35">
      <c r="A303" s="23">
        <f t="shared" ca="1" si="21"/>
        <v>0</v>
      </c>
      <c r="B303" s="23">
        <f t="shared" si="22"/>
        <v>0</v>
      </c>
      <c r="C303" s="23">
        <f t="shared" si="23"/>
        <v>0</v>
      </c>
      <c r="D303" s="23">
        <f t="shared" si="24"/>
        <v>0</v>
      </c>
      <c r="E303" s="23">
        <f t="shared" si="25"/>
        <v>0</v>
      </c>
      <c r="F303" s="23">
        <f t="shared" si="25"/>
        <v>3</v>
      </c>
      <c r="G303" s="2" t="str">
        <f>IF('证券列表 '!B306="","",'证券列表 '!B306)</f>
        <v>WDH.N</v>
      </c>
      <c r="H303" s="2" t="s">
        <v>604</v>
      </c>
      <c r="I303" s="3">
        <v>45539</v>
      </c>
      <c r="J303" s="6">
        <v>387387478.80000001</v>
      </c>
      <c r="K303" t="str">
        <f ca="1">IF($I303=业绩披露日期!D$7,ROW(),"")</f>
        <v/>
      </c>
      <c r="L303" t="str">
        <f>IF($I303=业绩披露日期!E$7,ROW(),"")</f>
        <v/>
      </c>
      <c r="M303" t="str">
        <f>IF($I303=业绩披露日期!F$7,ROW(),"")</f>
        <v/>
      </c>
      <c r="N303" t="str">
        <f>IF($I303=业绩披露日期!G$7,ROW(),"")</f>
        <v/>
      </c>
      <c r="O303" t="str">
        <f>IF($I303=业绩披露日期!H$7,ROW(),"")</f>
        <v/>
      </c>
      <c r="P303">
        <f>IF($I303=业绩披露日期!I$7,ROW(),"")</f>
        <v>303</v>
      </c>
    </row>
    <row r="304" spans="1:16" x14ac:dyDescent="0.35">
      <c r="A304" s="23">
        <f t="shared" ca="1" si="21"/>
        <v>0</v>
      </c>
      <c r="B304" s="23">
        <f t="shared" si="22"/>
        <v>0</v>
      </c>
      <c r="C304" s="23">
        <f t="shared" si="23"/>
        <v>0</v>
      </c>
      <c r="D304" s="23">
        <f t="shared" si="24"/>
        <v>0</v>
      </c>
      <c r="E304" s="23">
        <f t="shared" si="25"/>
        <v>0</v>
      </c>
      <c r="F304" s="23">
        <f t="shared" si="25"/>
        <v>0</v>
      </c>
      <c r="G304" s="2" t="str">
        <f>IF('证券列表 '!B307="","",'证券列表 '!B307)</f>
        <v>WETH.O</v>
      </c>
      <c r="H304" s="2" t="s">
        <v>606</v>
      </c>
      <c r="I304" s="3">
        <v>45524</v>
      </c>
      <c r="J304" s="6">
        <v>19567715.759999998</v>
      </c>
      <c r="K304" t="str">
        <f ca="1">IF($I304=业绩披露日期!D$7,ROW(),"")</f>
        <v/>
      </c>
      <c r="L304" t="str">
        <f>IF($I304=业绩披露日期!E$7,ROW(),"")</f>
        <v/>
      </c>
      <c r="M304" t="str">
        <f>IF($I304=业绩披露日期!F$7,ROW(),"")</f>
        <v/>
      </c>
      <c r="N304" t="str">
        <f>IF($I304=业绩披露日期!G$7,ROW(),"")</f>
        <v/>
      </c>
      <c r="O304" t="str">
        <f>IF($I304=业绩披露日期!H$7,ROW(),"")</f>
        <v/>
      </c>
      <c r="P304" t="str">
        <f>IF($I304=业绩披露日期!I$7,ROW(),"")</f>
        <v/>
      </c>
    </row>
    <row r="305" spans="1:16" x14ac:dyDescent="0.35">
      <c r="A305" s="23">
        <f t="shared" ca="1" si="21"/>
        <v>0</v>
      </c>
      <c r="B305" s="23">
        <f t="shared" si="22"/>
        <v>0</v>
      </c>
      <c r="C305" s="23">
        <f t="shared" si="23"/>
        <v>0</v>
      </c>
      <c r="D305" s="23">
        <f t="shared" si="24"/>
        <v>0</v>
      </c>
      <c r="E305" s="23">
        <f t="shared" si="25"/>
        <v>0</v>
      </c>
      <c r="F305" s="23">
        <f t="shared" si="25"/>
        <v>0</v>
      </c>
      <c r="G305" s="2" t="str">
        <f>IF('证券列表 '!B308="","",'证券列表 '!B308)</f>
        <v>WIMI.O</v>
      </c>
      <c r="H305" s="2" t="s">
        <v>608</v>
      </c>
      <c r="I305" s="3"/>
      <c r="J305" s="6">
        <v>77584352.784999996</v>
      </c>
      <c r="K305" t="str">
        <f ca="1">IF($I305=业绩披露日期!D$7,ROW(),"")</f>
        <v/>
      </c>
      <c r="L305" t="str">
        <f>IF($I305=业绩披露日期!E$7,ROW(),"")</f>
        <v/>
      </c>
      <c r="M305" t="str">
        <f>IF($I305=业绩披露日期!F$7,ROW(),"")</f>
        <v/>
      </c>
      <c r="N305" t="str">
        <f>IF($I305=业绩披露日期!G$7,ROW(),"")</f>
        <v/>
      </c>
      <c r="O305" t="str">
        <f>IF($I305=业绩披露日期!H$7,ROW(),"")</f>
        <v/>
      </c>
      <c r="P305" t="str">
        <f>IF($I305=业绩披露日期!I$7,ROW(),"")</f>
        <v/>
      </c>
    </row>
    <row r="306" spans="1:16" x14ac:dyDescent="0.35">
      <c r="A306" s="23">
        <f t="shared" ca="1" si="21"/>
        <v>0</v>
      </c>
      <c r="B306" s="23">
        <f t="shared" si="22"/>
        <v>0</v>
      </c>
      <c r="C306" s="23">
        <f t="shared" si="23"/>
        <v>0</v>
      </c>
      <c r="D306" s="23">
        <f t="shared" si="24"/>
        <v>0</v>
      </c>
      <c r="E306" s="23">
        <f t="shared" si="25"/>
        <v>0</v>
      </c>
      <c r="F306" s="23">
        <f t="shared" si="25"/>
        <v>0</v>
      </c>
      <c r="G306" s="2" t="str">
        <f>IF('证券列表 '!B309="","",'证券列表 '!B309)</f>
        <v>WLGS.O</v>
      </c>
      <c r="H306" s="2" t="s">
        <v>610</v>
      </c>
      <c r="I306" s="3"/>
      <c r="J306" s="6">
        <v>8150677.3800000008</v>
      </c>
      <c r="K306" t="str">
        <f ca="1">IF($I306=业绩披露日期!D$7,ROW(),"")</f>
        <v/>
      </c>
      <c r="L306" t="str">
        <f>IF($I306=业绩披露日期!E$7,ROW(),"")</f>
        <v/>
      </c>
      <c r="M306" t="str">
        <f>IF($I306=业绩披露日期!F$7,ROW(),"")</f>
        <v/>
      </c>
      <c r="N306" t="str">
        <f>IF($I306=业绩披露日期!G$7,ROW(),"")</f>
        <v/>
      </c>
      <c r="O306" t="str">
        <f>IF($I306=业绩披露日期!H$7,ROW(),"")</f>
        <v/>
      </c>
      <c r="P306" t="str">
        <f>IF($I306=业绩披露日期!I$7,ROW(),"")</f>
        <v/>
      </c>
    </row>
    <row r="307" spans="1:16" x14ac:dyDescent="0.35">
      <c r="A307" s="23">
        <f t="shared" ca="1" si="21"/>
        <v>0</v>
      </c>
      <c r="B307" s="23">
        <f t="shared" si="22"/>
        <v>0</v>
      </c>
      <c r="C307" s="23">
        <f t="shared" si="23"/>
        <v>0</v>
      </c>
      <c r="D307" s="23">
        <f t="shared" si="24"/>
        <v>0</v>
      </c>
      <c r="E307" s="23">
        <f t="shared" si="25"/>
        <v>0</v>
      </c>
      <c r="F307" s="23">
        <f t="shared" si="25"/>
        <v>0</v>
      </c>
      <c r="G307" s="2" t="str">
        <f>IF('证券列表 '!B310="","",'证券列表 '!B310)</f>
        <v>WNW.O</v>
      </c>
      <c r="H307" s="2" t="s">
        <v>612</v>
      </c>
      <c r="I307" s="3"/>
      <c r="J307" s="6">
        <v>2411743.125</v>
      </c>
      <c r="K307" t="str">
        <f ca="1">IF($I307=业绩披露日期!D$7,ROW(),"")</f>
        <v/>
      </c>
      <c r="L307" t="str">
        <f>IF($I307=业绩披露日期!E$7,ROW(),"")</f>
        <v/>
      </c>
      <c r="M307" t="str">
        <f>IF($I307=业绩披露日期!F$7,ROW(),"")</f>
        <v/>
      </c>
      <c r="N307" t="str">
        <f>IF($I307=业绩披露日期!G$7,ROW(),"")</f>
        <v/>
      </c>
      <c r="O307" t="str">
        <f>IF($I307=业绩披露日期!H$7,ROW(),"")</f>
        <v/>
      </c>
      <c r="P307" t="str">
        <f>IF($I307=业绩披露日期!I$7,ROW(),"")</f>
        <v/>
      </c>
    </row>
    <row r="308" spans="1:16" x14ac:dyDescent="0.35">
      <c r="A308" s="23">
        <f t="shared" ca="1" si="21"/>
        <v>0</v>
      </c>
      <c r="B308" s="23">
        <f t="shared" si="22"/>
        <v>0</v>
      </c>
      <c r="C308" s="23">
        <f t="shared" si="23"/>
        <v>0</v>
      </c>
      <c r="D308" s="23">
        <f t="shared" si="24"/>
        <v>0</v>
      </c>
      <c r="E308" s="23">
        <f t="shared" si="25"/>
        <v>0</v>
      </c>
      <c r="F308" s="23">
        <f t="shared" si="25"/>
        <v>0</v>
      </c>
      <c r="G308" s="2" t="str">
        <f>IF('证券列表 '!B311="","",'证券列表 '!B311)</f>
        <v>WOK.O</v>
      </c>
      <c r="H308" s="2" t="s">
        <v>614</v>
      </c>
      <c r="I308" s="3"/>
      <c r="J308" s="6">
        <v>56985000</v>
      </c>
      <c r="K308" t="str">
        <f ca="1">IF($I308=业绩披露日期!D$7,ROW(),"")</f>
        <v/>
      </c>
      <c r="L308" t="str">
        <f>IF($I308=业绩披露日期!E$7,ROW(),"")</f>
        <v/>
      </c>
      <c r="M308" t="str">
        <f>IF($I308=业绩披露日期!F$7,ROW(),"")</f>
        <v/>
      </c>
      <c r="N308" t="str">
        <f>IF($I308=业绩披露日期!G$7,ROW(),"")</f>
        <v/>
      </c>
      <c r="O308" t="str">
        <f>IF($I308=业绩披露日期!H$7,ROW(),"")</f>
        <v/>
      </c>
      <c r="P308" t="str">
        <f>IF($I308=业绩披露日期!I$7,ROW(),"")</f>
        <v/>
      </c>
    </row>
    <row r="309" spans="1:16" x14ac:dyDescent="0.35">
      <c r="A309" s="23">
        <f t="shared" ca="1" si="21"/>
        <v>0</v>
      </c>
      <c r="B309" s="23">
        <f t="shared" si="22"/>
        <v>0</v>
      </c>
      <c r="C309" s="23">
        <f t="shared" si="23"/>
        <v>0</v>
      </c>
      <c r="D309" s="23">
        <f t="shared" si="24"/>
        <v>0</v>
      </c>
      <c r="E309" s="23">
        <f t="shared" si="25"/>
        <v>0</v>
      </c>
      <c r="F309" s="23">
        <f t="shared" si="25"/>
        <v>0</v>
      </c>
      <c r="G309" s="2" t="str">
        <f>IF('证券列表 '!B312="","",'证券列表 '!B312)</f>
        <v>WTO.O</v>
      </c>
      <c r="H309" s="2" t="s">
        <v>616</v>
      </c>
      <c r="I309" s="3"/>
      <c r="J309" s="6">
        <v>40854344.341799997</v>
      </c>
      <c r="K309" t="str">
        <f ca="1">IF($I309=业绩披露日期!D$7,ROW(),"")</f>
        <v/>
      </c>
      <c r="L309" t="str">
        <f>IF($I309=业绩披露日期!E$7,ROW(),"")</f>
        <v/>
      </c>
      <c r="M309" t="str">
        <f>IF($I309=业绩披露日期!F$7,ROW(),"")</f>
        <v/>
      </c>
      <c r="N309" t="str">
        <f>IF($I309=业绩披露日期!G$7,ROW(),"")</f>
        <v/>
      </c>
      <c r="O309" t="str">
        <f>IF($I309=业绩披露日期!H$7,ROW(),"")</f>
        <v/>
      </c>
      <c r="P309" t="str">
        <f>IF($I309=业绩披露日期!I$7,ROW(),"")</f>
        <v/>
      </c>
    </row>
    <row r="310" spans="1:16" x14ac:dyDescent="0.35">
      <c r="A310" s="23">
        <f t="shared" ca="1" si="21"/>
        <v>0</v>
      </c>
      <c r="B310" s="23">
        <f t="shared" si="22"/>
        <v>0</v>
      </c>
      <c r="C310" s="23">
        <f t="shared" si="23"/>
        <v>0</v>
      </c>
      <c r="D310" s="23">
        <f t="shared" si="24"/>
        <v>0</v>
      </c>
      <c r="E310" s="23">
        <f t="shared" si="25"/>
        <v>0</v>
      </c>
      <c r="F310" s="23">
        <f t="shared" si="25"/>
        <v>0</v>
      </c>
      <c r="G310" s="2" t="str">
        <f>IF('证券列表 '!B313="","",'证券列表 '!B313)</f>
        <v>XHG.O</v>
      </c>
      <c r="H310" s="2" t="s">
        <v>618</v>
      </c>
      <c r="I310" s="3"/>
      <c r="J310" s="6">
        <v>97977487.517280012</v>
      </c>
      <c r="K310" t="str">
        <f ca="1">IF($I310=业绩披露日期!D$7,ROW(),"")</f>
        <v/>
      </c>
      <c r="L310" t="str">
        <f>IF($I310=业绩披露日期!E$7,ROW(),"")</f>
        <v/>
      </c>
      <c r="M310" t="str">
        <f>IF($I310=业绩披露日期!F$7,ROW(),"")</f>
        <v/>
      </c>
      <c r="N310" t="str">
        <f>IF($I310=业绩披露日期!G$7,ROW(),"")</f>
        <v/>
      </c>
      <c r="O310" t="str">
        <f>IF($I310=业绩披露日期!H$7,ROW(),"")</f>
        <v/>
      </c>
      <c r="P310" t="str">
        <f>IF($I310=业绩披露日期!I$7,ROW(),"")</f>
        <v/>
      </c>
    </row>
    <row r="311" spans="1:16" x14ac:dyDescent="0.35">
      <c r="A311" s="23">
        <f t="shared" ca="1" si="21"/>
        <v>0</v>
      </c>
      <c r="B311" s="23">
        <f t="shared" si="22"/>
        <v>0</v>
      </c>
      <c r="C311" s="23">
        <f t="shared" si="23"/>
        <v>0</v>
      </c>
      <c r="D311" s="23">
        <f t="shared" si="24"/>
        <v>0</v>
      </c>
      <c r="E311" s="23">
        <f t="shared" si="25"/>
        <v>0</v>
      </c>
      <c r="F311" s="23">
        <f t="shared" si="25"/>
        <v>0</v>
      </c>
      <c r="G311" s="2" t="str">
        <f>IF('证券列表 '!B314="","",'证券列表 '!B314)</f>
        <v>XIN.N</v>
      </c>
      <c r="H311" s="2" t="s">
        <v>620</v>
      </c>
      <c r="I311" s="3"/>
      <c r="J311" s="6">
        <v>15572909.826704999</v>
      </c>
      <c r="K311" t="str">
        <f ca="1">IF($I311=业绩披露日期!D$7,ROW(),"")</f>
        <v/>
      </c>
      <c r="L311" t="str">
        <f>IF($I311=业绩披露日期!E$7,ROW(),"")</f>
        <v/>
      </c>
      <c r="M311" t="str">
        <f>IF($I311=业绩披露日期!F$7,ROW(),"")</f>
        <v/>
      </c>
      <c r="N311" t="str">
        <f>IF($I311=业绩披露日期!G$7,ROW(),"")</f>
        <v/>
      </c>
      <c r="O311" t="str">
        <f>IF($I311=业绩披露日期!H$7,ROW(),"")</f>
        <v/>
      </c>
      <c r="P311" t="str">
        <f>IF($I311=业绩披露日期!I$7,ROW(),"")</f>
        <v/>
      </c>
    </row>
    <row r="312" spans="1:16" x14ac:dyDescent="0.35">
      <c r="A312" s="23">
        <f t="shared" ca="1" si="21"/>
        <v>0</v>
      </c>
      <c r="B312" s="23">
        <f t="shared" si="22"/>
        <v>0</v>
      </c>
      <c r="C312" s="23">
        <f t="shared" si="23"/>
        <v>0</v>
      </c>
      <c r="D312" s="23">
        <f t="shared" si="24"/>
        <v>0</v>
      </c>
      <c r="E312" s="23">
        <f t="shared" si="25"/>
        <v>0</v>
      </c>
      <c r="F312" s="23">
        <f t="shared" si="25"/>
        <v>0</v>
      </c>
      <c r="G312" s="2" t="str">
        <f>IF('证券列表 '!B315="","",'证券列表 '!B315)</f>
        <v>XNET.O</v>
      </c>
      <c r="H312" s="2" t="s">
        <v>622</v>
      </c>
      <c r="I312" s="3"/>
      <c r="J312" s="6">
        <v>104424356.64799999</v>
      </c>
      <c r="K312" t="str">
        <f ca="1">IF($I312=业绩披露日期!D$7,ROW(),"")</f>
        <v/>
      </c>
      <c r="L312" t="str">
        <f>IF($I312=业绩披露日期!E$7,ROW(),"")</f>
        <v/>
      </c>
      <c r="M312" t="str">
        <f>IF($I312=业绩披露日期!F$7,ROW(),"")</f>
        <v/>
      </c>
      <c r="N312" t="str">
        <f>IF($I312=业绩披露日期!G$7,ROW(),"")</f>
        <v/>
      </c>
      <c r="O312" t="str">
        <f>IF($I312=业绩披露日期!H$7,ROW(),"")</f>
        <v/>
      </c>
      <c r="P312" t="str">
        <f>IF($I312=业绩披露日期!I$7,ROW(),"")</f>
        <v/>
      </c>
    </row>
    <row r="313" spans="1:16" x14ac:dyDescent="0.35">
      <c r="A313" s="23">
        <f t="shared" ca="1" si="21"/>
        <v>0</v>
      </c>
      <c r="B313" s="23">
        <f t="shared" si="22"/>
        <v>0</v>
      </c>
      <c r="C313" s="23">
        <f t="shared" si="23"/>
        <v>0</v>
      </c>
      <c r="D313" s="23">
        <f t="shared" si="24"/>
        <v>0</v>
      </c>
      <c r="E313" s="23">
        <f t="shared" si="25"/>
        <v>0</v>
      </c>
      <c r="F313" s="23">
        <f t="shared" si="25"/>
        <v>0</v>
      </c>
      <c r="G313" s="2" t="str">
        <f>IF('证券列表 '!B316="","",'证券列表 '!B316)</f>
        <v>XPEV.N</v>
      </c>
      <c r="H313" s="2" t="s">
        <v>624</v>
      </c>
      <c r="I313" s="3">
        <v>45524</v>
      </c>
      <c r="J313" s="6">
        <v>7151887663.9356813</v>
      </c>
      <c r="K313" t="str">
        <f ca="1">IF($I313=业绩披露日期!D$7,ROW(),"")</f>
        <v/>
      </c>
      <c r="L313" t="str">
        <f>IF($I313=业绩披露日期!E$7,ROW(),"")</f>
        <v/>
      </c>
      <c r="M313" t="str">
        <f>IF($I313=业绩披露日期!F$7,ROW(),"")</f>
        <v/>
      </c>
      <c r="N313" t="str">
        <f>IF($I313=业绩披露日期!G$7,ROW(),"")</f>
        <v/>
      </c>
      <c r="O313" t="str">
        <f>IF($I313=业绩披露日期!H$7,ROW(),"")</f>
        <v/>
      </c>
      <c r="P313" t="str">
        <f>IF($I313=业绩披露日期!I$7,ROW(),"")</f>
        <v/>
      </c>
    </row>
    <row r="314" spans="1:16" x14ac:dyDescent="0.35">
      <c r="A314" s="23">
        <f t="shared" ca="1" si="21"/>
        <v>0</v>
      </c>
      <c r="B314" s="23">
        <f t="shared" si="22"/>
        <v>0</v>
      </c>
      <c r="C314" s="23">
        <f t="shared" si="23"/>
        <v>0</v>
      </c>
      <c r="D314" s="23">
        <f t="shared" si="24"/>
        <v>0</v>
      </c>
      <c r="E314" s="23">
        <f t="shared" si="25"/>
        <v>0</v>
      </c>
      <c r="F314" s="23">
        <f t="shared" si="25"/>
        <v>0</v>
      </c>
      <c r="G314" s="2" t="str">
        <f>IF('证券列表 '!B317="","",'证券列表 '!B317)</f>
        <v>XTKG.O</v>
      </c>
      <c r="H314" s="2" t="s">
        <v>626</v>
      </c>
      <c r="I314" s="3"/>
      <c r="J314" s="6">
        <v>75315340.589999989</v>
      </c>
      <c r="K314" t="str">
        <f ca="1">IF($I314=业绩披露日期!D$7,ROW(),"")</f>
        <v/>
      </c>
      <c r="L314" t="str">
        <f>IF($I314=业绩披露日期!E$7,ROW(),"")</f>
        <v/>
      </c>
      <c r="M314" t="str">
        <f>IF($I314=业绩披露日期!F$7,ROW(),"")</f>
        <v/>
      </c>
      <c r="N314" t="str">
        <f>IF($I314=业绩披露日期!G$7,ROW(),"")</f>
        <v/>
      </c>
      <c r="O314" t="str">
        <f>IF($I314=业绩披露日期!H$7,ROW(),"")</f>
        <v/>
      </c>
      <c r="P314" t="str">
        <f>IF($I314=业绩披露日期!I$7,ROW(),"")</f>
        <v/>
      </c>
    </row>
    <row r="315" spans="1:16" x14ac:dyDescent="0.35">
      <c r="A315" s="23">
        <f t="shared" ca="1" si="21"/>
        <v>0</v>
      </c>
      <c r="B315" s="23">
        <f t="shared" si="22"/>
        <v>0</v>
      </c>
      <c r="C315" s="23">
        <f t="shared" si="23"/>
        <v>0</v>
      </c>
      <c r="D315" s="23">
        <f t="shared" si="24"/>
        <v>0</v>
      </c>
      <c r="E315" s="23">
        <f t="shared" si="25"/>
        <v>0</v>
      </c>
      <c r="F315" s="23">
        <f t="shared" si="25"/>
        <v>0</v>
      </c>
      <c r="G315" s="2" t="str">
        <f>IF('证券列表 '!B318="","",'证券列表 '!B318)</f>
        <v>XYF.N</v>
      </c>
      <c r="H315" s="2" t="s">
        <v>628</v>
      </c>
      <c r="I315" s="3">
        <v>45526</v>
      </c>
      <c r="J315" s="6">
        <v>241024576.91666669</v>
      </c>
      <c r="K315" t="str">
        <f ca="1">IF($I315=业绩披露日期!D$7,ROW(),"")</f>
        <v/>
      </c>
      <c r="L315" t="str">
        <f>IF($I315=业绩披露日期!E$7,ROW(),"")</f>
        <v/>
      </c>
      <c r="M315" t="str">
        <f>IF($I315=业绩披露日期!F$7,ROW(),"")</f>
        <v/>
      </c>
      <c r="N315" t="str">
        <f>IF($I315=业绩披露日期!G$7,ROW(),"")</f>
        <v/>
      </c>
      <c r="O315" t="str">
        <f>IF($I315=业绩披露日期!H$7,ROW(),"")</f>
        <v/>
      </c>
      <c r="P315" t="str">
        <f>IF($I315=业绩披露日期!I$7,ROW(),"")</f>
        <v/>
      </c>
    </row>
    <row r="316" spans="1:16" x14ac:dyDescent="0.35">
      <c r="A316" s="23">
        <f t="shared" ca="1" si="21"/>
        <v>0</v>
      </c>
      <c r="B316" s="23">
        <f t="shared" si="22"/>
        <v>0</v>
      </c>
      <c r="C316" s="23">
        <f t="shared" si="23"/>
        <v>0</v>
      </c>
      <c r="D316" s="23">
        <f t="shared" si="24"/>
        <v>0</v>
      </c>
      <c r="E316" s="23">
        <f t="shared" si="25"/>
        <v>0</v>
      </c>
      <c r="F316" s="23">
        <f t="shared" si="25"/>
        <v>0</v>
      </c>
      <c r="G316" s="2" t="str">
        <f>IF('证券列表 '!B319="","",'证券列表 '!B319)</f>
        <v>YALA.N</v>
      </c>
      <c r="H316" s="2" t="s">
        <v>630</v>
      </c>
      <c r="I316" s="3">
        <v>45516</v>
      </c>
      <c r="J316" s="6">
        <v>648184092</v>
      </c>
      <c r="K316" t="str">
        <f ca="1">IF($I316=业绩披露日期!D$7,ROW(),"")</f>
        <v/>
      </c>
      <c r="L316" t="str">
        <f>IF($I316=业绩披露日期!E$7,ROW(),"")</f>
        <v/>
      </c>
      <c r="M316" t="str">
        <f>IF($I316=业绩披露日期!F$7,ROW(),"")</f>
        <v/>
      </c>
      <c r="N316" t="str">
        <f>IF($I316=业绩披露日期!G$7,ROW(),"")</f>
        <v/>
      </c>
      <c r="O316" t="str">
        <f>IF($I316=业绩披露日期!H$7,ROW(),"")</f>
        <v/>
      </c>
      <c r="P316" t="str">
        <f>IF($I316=业绩披露日期!I$7,ROW(),"")</f>
        <v/>
      </c>
    </row>
    <row r="317" spans="1:16" x14ac:dyDescent="0.35">
      <c r="A317" s="23">
        <f t="shared" ca="1" si="21"/>
        <v>0</v>
      </c>
      <c r="B317" s="23">
        <f t="shared" si="22"/>
        <v>0</v>
      </c>
      <c r="C317" s="23">
        <f t="shared" si="23"/>
        <v>0</v>
      </c>
      <c r="D317" s="23">
        <f t="shared" si="24"/>
        <v>0</v>
      </c>
      <c r="E317" s="23">
        <f t="shared" si="25"/>
        <v>0</v>
      </c>
      <c r="F317" s="23">
        <f t="shared" si="25"/>
        <v>0</v>
      </c>
      <c r="G317" s="2" t="str">
        <f>IF('证券列表 '!B320="","",'证券列表 '!B320)</f>
        <v>YGMZ.O</v>
      </c>
      <c r="H317" s="2" t="s">
        <v>632</v>
      </c>
      <c r="I317" s="3"/>
      <c r="J317" s="6">
        <v>5304284.2435000008</v>
      </c>
      <c r="K317" t="str">
        <f ca="1">IF($I317=业绩披露日期!D$7,ROW(),"")</f>
        <v/>
      </c>
      <c r="L317" t="str">
        <f>IF($I317=业绩披露日期!E$7,ROW(),"")</f>
        <v/>
      </c>
      <c r="M317" t="str">
        <f>IF($I317=业绩披露日期!F$7,ROW(),"")</f>
        <v/>
      </c>
      <c r="N317" t="str">
        <f>IF($I317=业绩披露日期!G$7,ROW(),"")</f>
        <v/>
      </c>
      <c r="O317" t="str">
        <f>IF($I317=业绩披露日期!H$7,ROW(),"")</f>
        <v/>
      </c>
      <c r="P317" t="str">
        <f>IF($I317=业绩披露日期!I$7,ROW(),"")</f>
        <v/>
      </c>
    </row>
    <row r="318" spans="1:16" x14ac:dyDescent="0.35">
      <c r="A318" s="23">
        <f t="shared" ca="1" si="21"/>
        <v>0</v>
      </c>
      <c r="B318" s="23">
        <f t="shared" si="22"/>
        <v>0</v>
      </c>
      <c r="C318" s="23">
        <f t="shared" si="23"/>
        <v>0</v>
      </c>
      <c r="D318" s="23">
        <f t="shared" si="24"/>
        <v>0</v>
      </c>
      <c r="E318" s="23">
        <f t="shared" si="25"/>
        <v>0</v>
      </c>
      <c r="F318" s="23">
        <f t="shared" si="25"/>
        <v>0</v>
      </c>
      <c r="G318" s="2" t="str">
        <f>IF('证券列表 '!B321="","",'证券列表 '!B321)</f>
        <v>YI.O</v>
      </c>
      <c r="H318" s="2" t="s">
        <v>634</v>
      </c>
      <c r="I318" s="3">
        <v>45533</v>
      </c>
      <c r="J318" s="6">
        <v>66818171.160000004</v>
      </c>
      <c r="K318" t="str">
        <f ca="1">IF($I318=业绩披露日期!D$7,ROW(),"")</f>
        <v/>
      </c>
      <c r="L318" t="str">
        <f>IF($I318=业绩披露日期!E$7,ROW(),"")</f>
        <v/>
      </c>
      <c r="M318" t="str">
        <f>IF($I318=业绩披露日期!F$7,ROW(),"")</f>
        <v/>
      </c>
      <c r="N318" t="str">
        <f>IF($I318=业绩披露日期!G$7,ROW(),"")</f>
        <v/>
      </c>
      <c r="O318" t="str">
        <f>IF($I318=业绩披露日期!H$7,ROW(),"")</f>
        <v/>
      </c>
      <c r="P318" t="str">
        <f>IF($I318=业绩披露日期!I$7,ROW(),"")</f>
        <v/>
      </c>
    </row>
    <row r="319" spans="1:16" x14ac:dyDescent="0.35">
      <c r="A319" s="23">
        <f t="shared" ca="1" si="21"/>
        <v>0</v>
      </c>
      <c r="B319" s="23">
        <f t="shared" si="22"/>
        <v>0</v>
      </c>
      <c r="C319" s="23">
        <f t="shared" si="23"/>
        <v>0</v>
      </c>
      <c r="D319" s="23">
        <f t="shared" si="24"/>
        <v>0</v>
      </c>
      <c r="E319" s="23">
        <f t="shared" si="25"/>
        <v>0</v>
      </c>
      <c r="F319" s="23">
        <f t="shared" si="25"/>
        <v>0</v>
      </c>
      <c r="G319" s="2" t="str">
        <f>IF('证券列表 '!B322="","",'证券列表 '!B322)</f>
        <v>YIBO.O</v>
      </c>
      <c r="H319" s="2" t="s">
        <v>636</v>
      </c>
      <c r="I319" s="3"/>
      <c r="J319" s="6">
        <v>109379647.99999999</v>
      </c>
      <c r="K319" t="str">
        <f ca="1">IF($I319=业绩披露日期!D$7,ROW(),"")</f>
        <v/>
      </c>
      <c r="L319" t="str">
        <f>IF($I319=业绩披露日期!E$7,ROW(),"")</f>
        <v/>
      </c>
      <c r="M319" t="str">
        <f>IF($I319=业绩披露日期!F$7,ROW(),"")</f>
        <v/>
      </c>
      <c r="N319" t="str">
        <f>IF($I319=业绩披露日期!G$7,ROW(),"")</f>
        <v/>
      </c>
      <c r="O319" t="str">
        <f>IF($I319=业绩披露日期!H$7,ROW(),"")</f>
        <v/>
      </c>
      <c r="P319" t="str">
        <f>IF($I319=业绩披露日期!I$7,ROW(),"")</f>
        <v/>
      </c>
    </row>
    <row r="320" spans="1:16" x14ac:dyDescent="0.35">
      <c r="A320" s="23">
        <f t="shared" ca="1" si="21"/>
        <v>0</v>
      </c>
      <c r="B320" s="23">
        <f t="shared" si="22"/>
        <v>0</v>
      </c>
      <c r="C320" s="23">
        <f t="shared" si="23"/>
        <v>0</v>
      </c>
      <c r="D320" s="23">
        <f t="shared" si="24"/>
        <v>0</v>
      </c>
      <c r="E320" s="23">
        <f t="shared" si="25"/>
        <v>0</v>
      </c>
      <c r="F320" s="23">
        <f t="shared" si="25"/>
        <v>0</v>
      </c>
      <c r="G320" s="2" t="str">
        <f>IF('证券列表 '!B323="","",'证券列表 '!B323)</f>
        <v>YJ.O</v>
      </c>
      <c r="H320" s="2" t="s">
        <v>638</v>
      </c>
      <c r="I320" s="3">
        <v>45527</v>
      </c>
      <c r="J320" s="6">
        <v>9635254.8068000004</v>
      </c>
      <c r="K320" t="str">
        <f ca="1">IF($I320=业绩披露日期!D$7,ROW(),"")</f>
        <v/>
      </c>
      <c r="L320" t="str">
        <f>IF($I320=业绩披露日期!E$7,ROW(),"")</f>
        <v/>
      </c>
      <c r="M320" t="str">
        <f>IF($I320=业绩披露日期!F$7,ROW(),"")</f>
        <v/>
      </c>
      <c r="N320" t="str">
        <f>IF($I320=业绩披露日期!G$7,ROW(),"")</f>
        <v/>
      </c>
      <c r="O320" t="str">
        <f>IF($I320=业绩披露日期!H$7,ROW(),"")</f>
        <v/>
      </c>
      <c r="P320" t="str">
        <f>IF($I320=业绩披露日期!I$7,ROW(),"")</f>
        <v/>
      </c>
    </row>
    <row r="321" spans="1:16" x14ac:dyDescent="0.35">
      <c r="A321" s="23">
        <f t="shared" ca="1" si="21"/>
        <v>0</v>
      </c>
      <c r="B321" s="23">
        <f t="shared" si="22"/>
        <v>0</v>
      </c>
      <c r="C321" s="23">
        <f t="shared" si="23"/>
        <v>0</v>
      </c>
      <c r="D321" s="23">
        <f t="shared" si="24"/>
        <v>0</v>
      </c>
      <c r="E321" s="23">
        <f t="shared" si="25"/>
        <v>0</v>
      </c>
      <c r="F321" s="23">
        <f t="shared" si="25"/>
        <v>0</v>
      </c>
      <c r="G321" s="2" t="str">
        <f>IF('证券列表 '!B324="","",'证券列表 '!B324)</f>
        <v>YMM.N</v>
      </c>
      <c r="H321" s="2" t="s">
        <v>640</v>
      </c>
      <c r="I321" s="3">
        <v>45525</v>
      </c>
      <c r="J321" s="6">
        <v>7466656709.316</v>
      </c>
      <c r="K321" t="str">
        <f ca="1">IF($I321=业绩披露日期!D$7,ROW(),"")</f>
        <v/>
      </c>
      <c r="L321" t="str">
        <f>IF($I321=业绩披露日期!E$7,ROW(),"")</f>
        <v/>
      </c>
      <c r="M321" t="str">
        <f>IF($I321=业绩披露日期!F$7,ROW(),"")</f>
        <v/>
      </c>
      <c r="N321" t="str">
        <f>IF($I321=业绩披露日期!G$7,ROW(),"")</f>
        <v/>
      </c>
      <c r="O321" t="str">
        <f>IF($I321=业绩披露日期!H$7,ROW(),"")</f>
        <v/>
      </c>
      <c r="P321" t="str">
        <f>IF($I321=业绩披露日期!I$7,ROW(),"")</f>
        <v/>
      </c>
    </row>
    <row r="322" spans="1:16" x14ac:dyDescent="0.35">
      <c r="A322" s="23">
        <f t="shared" ca="1" si="21"/>
        <v>0</v>
      </c>
      <c r="B322" s="23">
        <f t="shared" si="22"/>
        <v>0</v>
      </c>
      <c r="C322" s="23">
        <f t="shared" si="23"/>
        <v>0</v>
      </c>
      <c r="D322" s="23">
        <f t="shared" si="24"/>
        <v>5</v>
      </c>
      <c r="E322" s="23">
        <f t="shared" si="25"/>
        <v>0</v>
      </c>
      <c r="F322" s="23">
        <f t="shared" si="25"/>
        <v>0</v>
      </c>
      <c r="G322" s="2" t="str">
        <f>IF('证券列表 '!B325="","",'证券列表 '!B325)</f>
        <v>YQ.O</v>
      </c>
      <c r="H322" s="2" t="s">
        <v>642</v>
      </c>
      <c r="I322" s="3">
        <v>45537</v>
      </c>
      <c r="J322" s="6">
        <v>15193592.5624</v>
      </c>
      <c r="K322" t="str">
        <f ca="1">IF($I322=业绩披露日期!D$7,ROW(),"")</f>
        <v/>
      </c>
      <c r="L322" t="str">
        <f>IF($I322=业绩披露日期!E$7,ROW(),"")</f>
        <v/>
      </c>
      <c r="M322" t="str">
        <f>IF($I322=业绩披露日期!F$7,ROW(),"")</f>
        <v/>
      </c>
      <c r="N322">
        <f>IF($I322=业绩披露日期!G$7,ROW(),"")</f>
        <v>322</v>
      </c>
      <c r="O322" t="str">
        <f>IF($I322=业绩披露日期!H$7,ROW(),"")</f>
        <v/>
      </c>
      <c r="P322" t="str">
        <f>IF($I322=业绩披露日期!I$7,ROW(),"")</f>
        <v/>
      </c>
    </row>
    <row r="323" spans="1:16" x14ac:dyDescent="0.35">
      <c r="A323" s="23">
        <f t="shared" ca="1" si="21"/>
        <v>0</v>
      </c>
      <c r="B323" s="23">
        <f t="shared" si="22"/>
        <v>0</v>
      </c>
      <c r="C323" s="23">
        <f t="shared" si="23"/>
        <v>0</v>
      </c>
      <c r="D323" s="23">
        <f t="shared" si="24"/>
        <v>0</v>
      </c>
      <c r="E323" s="23">
        <f t="shared" si="25"/>
        <v>0</v>
      </c>
      <c r="F323" s="23">
        <f t="shared" si="25"/>
        <v>0</v>
      </c>
      <c r="G323" s="2" t="str">
        <f>IF('证券列表 '!B326="","",'证券列表 '!B326)</f>
        <v>YRD.N</v>
      </c>
      <c r="H323" s="2" t="s">
        <v>644</v>
      </c>
      <c r="I323" s="3">
        <v>45524</v>
      </c>
      <c r="J323" s="6">
        <v>392944134.35999995</v>
      </c>
      <c r="K323" t="str">
        <f ca="1">IF($I323=业绩披露日期!D$7,ROW(),"")</f>
        <v/>
      </c>
      <c r="L323" t="str">
        <f>IF($I323=业绩披露日期!E$7,ROW(),"")</f>
        <v/>
      </c>
      <c r="M323" t="str">
        <f>IF($I323=业绩披露日期!F$7,ROW(),"")</f>
        <v/>
      </c>
      <c r="N323" t="str">
        <f>IF($I323=业绩披露日期!G$7,ROW(),"")</f>
        <v/>
      </c>
      <c r="O323" t="str">
        <f>IF($I323=业绩披露日期!H$7,ROW(),"")</f>
        <v/>
      </c>
      <c r="P323" t="str">
        <f>IF($I323=业绩披露日期!I$7,ROW(),"")</f>
        <v/>
      </c>
    </row>
    <row r="324" spans="1:16" x14ac:dyDescent="0.35">
      <c r="A324" s="23">
        <f t="shared" ref="A324:A387" ca="1" si="26">IF(K324="",0,RANK(K324,K:K,1))</f>
        <v>0</v>
      </c>
      <c r="B324" s="23">
        <f t="shared" ref="B324:B387" si="27">IF(L324="",0,RANK(L324,L:L,1))</f>
        <v>0</v>
      </c>
      <c r="C324" s="23">
        <f t="shared" ref="C324:C387" si="28">IF(M324="",0,RANK(M324,M:M,1))</f>
        <v>0</v>
      </c>
      <c r="D324" s="23">
        <f t="shared" ref="D324:D387" si="29">IF(N324="",0,RANK(N324,N:N,1))</f>
        <v>0</v>
      </c>
      <c r="E324" s="23">
        <f t="shared" ref="E324:F387" si="30">IF(O324="",0,RANK(O324,O:O,1))</f>
        <v>0</v>
      </c>
      <c r="F324" s="23">
        <f t="shared" si="30"/>
        <v>0</v>
      </c>
      <c r="G324" s="2" t="str">
        <f>IF('证券列表 '!B327="","",'证券列表 '!B327)</f>
        <v>YSG.N</v>
      </c>
      <c r="H324" s="2" t="s">
        <v>646</v>
      </c>
      <c r="I324" s="3">
        <v>45524</v>
      </c>
      <c r="J324" s="6">
        <v>315444699.55599999</v>
      </c>
      <c r="K324" t="str">
        <f ca="1">IF($I324=业绩披露日期!D$7,ROW(),"")</f>
        <v/>
      </c>
      <c r="L324" t="str">
        <f>IF($I324=业绩披露日期!E$7,ROW(),"")</f>
        <v/>
      </c>
      <c r="M324" t="str">
        <f>IF($I324=业绩披露日期!F$7,ROW(),"")</f>
        <v/>
      </c>
      <c r="N324" t="str">
        <f>IF($I324=业绩披露日期!G$7,ROW(),"")</f>
        <v/>
      </c>
      <c r="O324" t="str">
        <f>IF($I324=业绩披露日期!H$7,ROW(),"")</f>
        <v/>
      </c>
      <c r="P324" t="str">
        <f>IF($I324=业绩披露日期!I$7,ROW(),"")</f>
        <v/>
      </c>
    </row>
    <row r="325" spans="1:16" x14ac:dyDescent="0.35">
      <c r="A325" s="23">
        <f t="shared" ca="1" si="26"/>
        <v>0</v>
      </c>
      <c r="B325" s="23">
        <f t="shared" si="27"/>
        <v>0</v>
      </c>
      <c r="C325" s="23">
        <f t="shared" si="28"/>
        <v>0</v>
      </c>
      <c r="D325" s="23">
        <f t="shared" si="29"/>
        <v>0</v>
      </c>
      <c r="E325" s="23">
        <f t="shared" si="30"/>
        <v>0</v>
      </c>
      <c r="F325" s="23">
        <f t="shared" si="30"/>
        <v>0</v>
      </c>
      <c r="G325" s="2" t="str">
        <f>IF('证券列表 '!B328="","",'证券列表 '!B328)</f>
        <v>YUMC.N</v>
      </c>
      <c r="H325" s="2" t="s">
        <v>648</v>
      </c>
      <c r="I325" s="3">
        <v>45510</v>
      </c>
      <c r="J325" s="6">
        <v>12827471288.076998</v>
      </c>
      <c r="K325" t="str">
        <f ca="1">IF($I325=业绩披露日期!D$7,ROW(),"")</f>
        <v/>
      </c>
      <c r="L325" t="str">
        <f>IF($I325=业绩披露日期!E$7,ROW(),"")</f>
        <v/>
      </c>
      <c r="M325" t="str">
        <f>IF($I325=业绩披露日期!F$7,ROW(),"")</f>
        <v/>
      </c>
      <c r="N325" t="str">
        <f>IF($I325=业绩披露日期!G$7,ROW(),"")</f>
        <v/>
      </c>
      <c r="O325" t="str">
        <f>IF($I325=业绩披露日期!H$7,ROW(),"")</f>
        <v/>
      </c>
      <c r="P325" t="str">
        <f>IF($I325=业绩披露日期!I$7,ROW(),"")</f>
        <v/>
      </c>
    </row>
    <row r="326" spans="1:16" x14ac:dyDescent="0.35">
      <c r="A326" s="23">
        <f t="shared" ca="1" si="26"/>
        <v>0</v>
      </c>
      <c r="B326" s="23">
        <f t="shared" si="27"/>
        <v>0</v>
      </c>
      <c r="C326" s="23">
        <f t="shared" si="28"/>
        <v>0</v>
      </c>
      <c r="D326" s="23">
        <f t="shared" si="29"/>
        <v>0</v>
      </c>
      <c r="E326" s="23">
        <f t="shared" si="30"/>
        <v>0</v>
      </c>
      <c r="F326" s="23">
        <f t="shared" si="30"/>
        <v>0</v>
      </c>
      <c r="G326" s="2" t="str">
        <f>IF('证券列表 '!B329="","",'证券列表 '!B329)</f>
        <v>YXT.O</v>
      </c>
      <c r="H326" s="2" t="s">
        <v>650</v>
      </c>
      <c r="I326" s="3"/>
      <c r="J326" s="6">
        <v>379977742.00833333</v>
      </c>
      <c r="K326" t="str">
        <f ca="1">IF($I326=业绩披露日期!D$7,ROW(),"")</f>
        <v/>
      </c>
      <c r="L326" t="str">
        <f>IF($I326=业绩披露日期!E$7,ROW(),"")</f>
        <v/>
      </c>
      <c r="M326" t="str">
        <f>IF($I326=业绩披露日期!F$7,ROW(),"")</f>
        <v/>
      </c>
      <c r="N326" t="str">
        <f>IF($I326=业绩披露日期!G$7,ROW(),"")</f>
        <v/>
      </c>
      <c r="O326" t="str">
        <f>IF($I326=业绩披露日期!H$7,ROW(),"")</f>
        <v/>
      </c>
      <c r="P326" t="str">
        <f>IF($I326=业绩披露日期!I$7,ROW(),"")</f>
        <v/>
      </c>
    </row>
    <row r="327" spans="1:16" x14ac:dyDescent="0.35">
      <c r="A327" s="23">
        <f t="shared" ca="1" si="26"/>
        <v>0</v>
      </c>
      <c r="B327" s="23">
        <f t="shared" si="27"/>
        <v>0</v>
      </c>
      <c r="C327" s="23">
        <f t="shared" si="28"/>
        <v>0</v>
      </c>
      <c r="D327" s="23">
        <f t="shared" si="29"/>
        <v>0</v>
      </c>
      <c r="E327" s="23">
        <f t="shared" si="30"/>
        <v>0</v>
      </c>
      <c r="F327" s="23">
        <f t="shared" si="30"/>
        <v>0</v>
      </c>
      <c r="G327" s="2" t="str">
        <f>IF('证券列表 '!B330="","",'证券列表 '!B330)</f>
        <v>YY.O</v>
      </c>
      <c r="H327" s="2" t="s">
        <v>652</v>
      </c>
      <c r="I327" s="3">
        <v>45531</v>
      </c>
      <c r="J327" s="6">
        <v>1974869481.494</v>
      </c>
      <c r="K327" t="str">
        <f ca="1">IF($I327=业绩披露日期!D$7,ROW(),"")</f>
        <v/>
      </c>
      <c r="L327" t="str">
        <f>IF($I327=业绩披露日期!E$7,ROW(),"")</f>
        <v/>
      </c>
      <c r="M327" t="str">
        <f>IF($I327=业绩披露日期!F$7,ROW(),"")</f>
        <v/>
      </c>
      <c r="N327" t="str">
        <f>IF($I327=业绩披露日期!G$7,ROW(),"")</f>
        <v/>
      </c>
      <c r="O327" t="str">
        <f>IF($I327=业绩披露日期!H$7,ROW(),"")</f>
        <v/>
      </c>
      <c r="P327" t="str">
        <f>IF($I327=业绩披露日期!I$7,ROW(),"")</f>
        <v/>
      </c>
    </row>
    <row r="328" spans="1:16" x14ac:dyDescent="0.35">
      <c r="A328" s="23">
        <f t="shared" ca="1" si="26"/>
        <v>0</v>
      </c>
      <c r="B328" s="23">
        <f t="shared" si="27"/>
        <v>0</v>
      </c>
      <c r="C328" s="23">
        <f t="shared" si="28"/>
        <v>0</v>
      </c>
      <c r="D328" s="23">
        <f t="shared" si="29"/>
        <v>0</v>
      </c>
      <c r="E328" s="23">
        <f t="shared" si="30"/>
        <v>0</v>
      </c>
      <c r="F328" s="23">
        <f t="shared" si="30"/>
        <v>0</v>
      </c>
      <c r="G328" s="2" t="str">
        <f>IF('证券列表 '!B331="","",'证券列表 '!B331)</f>
        <v>ZBAO.O</v>
      </c>
      <c r="H328" s="2" t="s">
        <v>654</v>
      </c>
      <c r="I328" s="3"/>
      <c r="J328" s="6">
        <v>175802907.8292</v>
      </c>
      <c r="K328" t="str">
        <f ca="1">IF($I328=业绩披露日期!D$7,ROW(),"")</f>
        <v/>
      </c>
      <c r="L328" t="str">
        <f>IF($I328=业绩披露日期!E$7,ROW(),"")</f>
        <v/>
      </c>
      <c r="M328" t="str">
        <f>IF($I328=业绩披露日期!F$7,ROW(),"")</f>
        <v/>
      </c>
      <c r="N328" t="str">
        <f>IF($I328=业绩披露日期!G$7,ROW(),"")</f>
        <v/>
      </c>
      <c r="O328" t="str">
        <f>IF($I328=业绩披露日期!H$7,ROW(),"")</f>
        <v/>
      </c>
      <c r="P328" t="str">
        <f>IF($I328=业绩披露日期!I$7,ROW(),"")</f>
        <v/>
      </c>
    </row>
    <row r="329" spans="1:16" x14ac:dyDescent="0.35">
      <c r="A329" s="23">
        <f t="shared" ca="1" si="26"/>
        <v>0</v>
      </c>
      <c r="B329" s="23">
        <f t="shared" si="27"/>
        <v>0</v>
      </c>
      <c r="C329" s="23">
        <f t="shared" si="28"/>
        <v>0</v>
      </c>
      <c r="D329" s="23">
        <f t="shared" si="29"/>
        <v>0</v>
      </c>
      <c r="E329" s="23">
        <f t="shared" si="30"/>
        <v>0</v>
      </c>
      <c r="F329" s="23">
        <f t="shared" si="30"/>
        <v>0</v>
      </c>
      <c r="G329" s="2" t="str">
        <f>IF('证券列表 '!B332="","",'证券列表 '!B332)</f>
        <v>ZCMD.O</v>
      </c>
      <c r="H329" s="2" t="s">
        <v>656</v>
      </c>
      <c r="I329" s="3"/>
      <c r="J329" s="6">
        <v>3581075.15</v>
      </c>
      <c r="K329" t="str">
        <f ca="1">IF($I329=业绩披露日期!D$7,ROW(),"")</f>
        <v/>
      </c>
      <c r="L329" t="str">
        <f>IF($I329=业绩披露日期!E$7,ROW(),"")</f>
        <v/>
      </c>
      <c r="M329" t="str">
        <f>IF($I329=业绩披露日期!F$7,ROW(),"")</f>
        <v/>
      </c>
      <c r="N329" t="str">
        <f>IF($I329=业绩披露日期!G$7,ROW(),"")</f>
        <v/>
      </c>
      <c r="O329" t="str">
        <f>IF($I329=业绩披露日期!H$7,ROW(),"")</f>
        <v/>
      </c>
      <c r="P329" t="str">
        <f>IF($I329=业绩披露日期!I$7,ROW(),"")</f>
        <v/>
      </c>
    </row>
    <row r="330" spans="1:16" x14ac:dyDescent="0.35">
      <c r="A330" s="23">
        <f t="shared" ca="1" si="26"/>
        <v>0</v>
      </c>
      <c r="B330" s="23">
        <f t="shared" si="27"/>
        <v>0</v>
      </c>
      <c r="C330" s="23">
        <f t="shared" si="28"/>
        <v>0</v>
      </c>
      <c r="D330" s="23">
        <f t="shared" si="29"/>
        <v>0</v>
      </c>
      <c r="E330" s="23">
        <f t="shared" si="30"/>
        <v>0</v>
      </c>
      <c r="F330" s="23">
        <f t="shared" si="30"/>
        <v>0</v>
      </c>
      <c r="G330" s="2" t="str">
        <f>IF('证券列表 '!B333="","",'证券列表 '!B333)</f>
        <v>ZEPP.N</v>
      </c>
      <c r="H330" s="2" t="s">
        <v>658</v>
      </c>
      <c r="I330" s="3">
        <v>45525</v>
      </c>
      <c r="J330" s="6">
        <v>43740675</v>
      </c>
      <c r="K330" t="str">
        <f ca="1">IF($I330=业绩披露日期!D$7,ROW(),"")</f>
        <v/>
      </c>
      <c r="L330" t="str">
        <f>IF($I330=业绩披露日期!E$7,ROW(),"")</f>
        <v/>
      </c>
      <c r="M330" t="str">
        <f>IF($I330=业绩披露日期!F$7,ROW(),"")</f>
        <v/>
      </c>
      <c r="N330" t="str">
        <f>IF($I330=业绩披露日期!G$7,ROW(),"")</f>
        <v/>
      </c>
      <c r="O330" t="str">
        <f>IF($I330=业绩披露日期!H$7,ROW(),"")</f>
        <v/>
      </c>
      <c r="P330" t="str">
        <f>IF($I330=业绩披露日期!I$7,ROW(),"")</f>
        <v/>
      </c>
    </row>
    <row r="331" spans="1:16" x14ac:dyDescent="0.35">
      <c r="A331" s="23">
        <f t="shared" ca="1" si="26"/>
        <v>0</v>
      </c>
      <c r="B331" s="23">
        <f t="shared" si="27"/>
        <v>0</v>
      </c>
      <c r="C331" s="23">
        <f t="shared" si="28"/>
        <v>0</v>
      </c>
      <c r="D331" s="23">
        <f t="shared" si="29"/>
        <v>0</v>
      </c>
      <c r="E331" s="23">
        <f t="shared" si="30"/>
        <v>0</v>
      </c>
      <c r="F331" s="23">
        <f t="shared" si="30"/>
        <v>0</v>
      </c>
      <c r="G331" s="2" t="str">
        <f>IF('证券列表 '!B334="","",'证券列表 '!B334)</f>
        <v>ZH.N</v>
      </c>
      <c r="H331" s="2" t="s">
        <v>660</v>
      </c>
      <c r="I331" s="3">
        <v>45526</v>
      </c>
      <c r="J331" s="6">
        <v>316193646.00979292</v>
      </c>
      <c r="K331" t="str">
        <f ca="1">IF($I331=业绩披露日期!D$7,ROW(),"")</f>
        <v/>
      </c>
      <c r="L331" t="str">
        <f>IF($I331=业绩披露日期!E$7,ROW(),"")</f>
        <v/>
      </c>
      <c r="M331" t="str">
        <f>IF($I331=业绩披露日期!F$7,ROW(),"")</f>
        <v/>
      </c>
      <c r="N331" t="str">
        <f>IF($I331=业绩披露日期!G$7,ROW(),"")</f>
        <v/>
      </c>
      <c r="O331" t="str">
        <f>IF($I331=业绩披露日期!H$7,ROW(),"")</f>
        <v/>
      </c>
      <c r="P331" t="str">
        <f>IF($I331=业绩披露日期!I$7,ROW(),"")</f>
        <v/>
      </c>
    </row>
    <row r="332" spans="1:16" x14ac:dyDescent="0.35">
      <c r="A332" s="23">
        <f t="shared" ca="1" si="26"/>
        <v>0</v>
      </c>
      <c r="B332" s="23">
        <f t="shared" si="27"/>
        <v>0</v>
      </c>
      <c r="C332" s="23">
        <f t="shared" si="28"/>
        <v>0</v>
      </c>
      <c r="D332" s="23">
        <f t="shared" si="29"/>
        <v>0</v>
      </c>
      <c r="E332" s="23">
        <f t="shared" si="30"/>
        <v>0</v>
      </c>
      <c r="F332" s="23">
        <f t="shared" si="30"/>
        <v>0</v>
      </c>
      <c r="G332" s="2" t="str">
        <f>IF('证券列表 '!B335="","",'证券列表 '!B335)</f>
        <v>ZJYL.O</v>
      </c>
      <c r="H332" s="2" t="s">
        <v>662</v>
      </c>
      <c r="I332" s="3"/>
      <c r="J332" s="6">
        <v>427373583</v>
      </c>
      <c r="K332" t="str">
        <f ca="1">IF($I332=业绩披露日期!D$7,ROW(),"")</f>
        <v/>
      </c>
      <c r="L332" t="str">
        <f>IF($I332=业绩披露日期!E$7,ROW(),"")</f>
        <v/>
      </c>
      <c r="M332" t="str">
        <f>IF($I332=业绩披露日期!F$7,ROW(),"")</f>
        <v/>
      </c>
      <c r="N332" t="str">
        <f>IF($I332=业绩披露日期!G$7,ROW(),"")</f>
        <v/>
      </c>
      <c r="O332" t="str">
        <f>IF($I332=业绩披露日期!H$7,ROW(),"")</f>
        <v/>
      </c>
      <c r="P332" t="str">
        <f>IF($I332=业绩披露日期!I$7,ROW(),"")</f>
        <v/>
      </c>
    </row>
    <row r="333" spans="1:16" x14ac:dyDescent="0.35">
      <c r="A333" s="23">
        <f t="shared" ca="1" si="26"/>
        <v>0</v>
      </c>
      <c r="B333" s="23">
        <f t="shared" si="27"/>
        <v>0</v>
      </c>
      <c r="C333" s="23">
        <f t="shared" si="28"/>
        <v>0</v>
      </c>
      <c r="D333" s="23">
        <f t="shared" si="29"/>
        <v>0</v>
      </c>
      <c r="E333" s="23">
        <f t="shared" si="30"/>
        <v>0</v>
      </c>
      <c r="F333" s="23">
        <f t="shared" si="30"/>
        <v>0</v>
      </c>
      <c r="G333" s="2" t="str">
        <f>IF('证券列表 '!B336="","",'证券列表 '!B336)</f>
        <v>ZK.N</v>
      </c>
      <c r="H333" s="2" t="s">
        <v>664</v>
      </c>
      <c r="I333" s="3">
        <v>45525</v>
      </c>
      <c r="J333" s="6">
        <v>4010870931.4799995</v>
      </c>
      <c r="K333" t="str">
        <f ca="1">IF($I333=业绩披露日期!D$7,ROW(),"")</f>
        <v/>
      </c>
      <c r="L333" t="str">
        <f>IF($I333=业绩披露日期!E$7,ROW(),"")</f>
        <v/>
      </c>
      <c r="M333" t="str">
        <f>IF($I333=业绩披露日期!F$7,ROW(),"")</f>
        <v/>
      </c>
      <c r="N333" t="str">
        <f>IF($I333=业绩披露日期!G$7,ROW(),"")</f>
        <v/>
      </c>
      <c r="O333" t="str">
        <f>IF($I333=业绩披露日期!H$7,ROW(),"")</f>
        <v/>
      </c>
      <c r="P333" t="str">
        <f>IF($I333=业绩披露日期!I$7,ROW(),"")</f>
        <v/>
      </c>
    </row>
    <row r="334" spans="1:16" x14ac:dyDescent="0.35">
      <c r="A334" s="23">
        <f t="shared" ca="1" si="26"/>
        <v>0</v>
      </c>
      <c r="B334" s="23">
        <f t="shared" si="27"/>
        <v>0</v>
      </c>
      <c r="C334" s="23">
        <f t="shared" si="28"/>
        <v>0</v>
      </c>
      <c r="D334" s="23">
        <f t="shared" si="29"/>
        <v>0</v>
      </c>
      <c r="E334" s="23">
        <f t="shared" si="30"/>
        <v>0</v>
      </c>
      <c r="F334" s="23">
        <f t="shared" si="30"/>
        <v>0</v>
      </c>
      <c r="G334" s="2" t="str">
        <f>IF('证券列表 '!B337="","",'证券列表 '!B337)</f>
        <v>ZKH.N</v>
      </c>
      <c r="H334" s="2" t="s">
        <v>666</v>
      </c>
      <c r="I334" s="3">
        <v>45526</v>
      </c>
      <c r="J334" s="6">
        <v>465096209.88342857</v>
      </c>
      <c r="K334" t="str">
        <f ca="1">IF($I334=业绩披露日期!D$7,ROW(),"")</f>
        <v/>
      </c>
      <c r="L334" t="str">
        <f>IF($I334=业绩披露日期!E$7,ROW(),"")</f>
        <v/>
      </c>
      <c r="M334" t="str">
        <f>IF($I334=业绩披露日期!F$7,ROW(),"")</f>
        <v/>
      </c>
      <c r="N334" t="str">
        <f>IF($I334=业绩披露日期!G$7,ROW(),"")</f>
        <v/>
      </c>
      <c r="O334" t="str">
        <f>IF($I334=业绩披露日期!H$7,ROW(),"")</f>
        <v/>
      </c>
      <c r="P334" t="str">
        <f>IF($I334=业绩披露日期!I$7,ROW(),"")</f>
        <v/>
      </c>
    </row>
    <row r="335" spans="1:16" x14ac:dyDescent="0.35">
      <c r="A335" s="23">
        <f t="shared" ca="1" si="26"/>
        <v>0</v>
      </c>
      <c r="B335" s="23">
        <f t="shared" si="27"/>
        <v>0</v>
      </c>
      <c r="C335" s="23">
        <f t="shared" si="28"/>
        <v>0</v>
      </c>
      <c r="D335" s="23">
        <f t="shared" si="29"/>
        <v>0</v>
      </c>
      <c r="E335" s="23">
        <f t="shared" si="30"/>
        <v>0</v>
      </c>
      <c r="F335" s="23">
        <f t="shared" si="30"/>
        <v>0</v>
      </c>
      <c r="G335" s="2" t="str">
        <f>IF('证券列表 '!B338="","",'证券列表 '!B338)</f>
        <v>ZKIN.O</v>
      </c>
      <c r="H335" s="2" t="s">
        <v>668</v>
      </c>
      <c r="I335" s="3"/>
      <c r="J335" s="6">
        <v>15605566.02</v>
      </c>
      <c r="K335" t="str">
        <f ca="1">IF($I335=业绩披露日期!D$7,ROW(),"")</f>
        <v/>
      </c>
      <c r="L335" t="str">
        <f>IF($I335=业绩披露日期!E$7,ROW(),"")</f>
        <v/>
      </c>
      <c r="M335" t="str">
        <f>IF($I335=业绩披露日期!F$7,ROW(),"")</f>
        <v/>
      </c>
      <c r="N335" t="str">
        <f>IF($I335=业绩披露日期!G$7,ROW(),"")</f>
        <v/>
      </c>
      <c r="O335" t="str">
        <f>IF($I335=业绩披露日期!H$7,ROW(),"")</f>
        <v/>
      </c>
      <c r="P335" t="str">
        <f>IF($I335=业绩披露日期!I$7,ROW(),"")</f>
        <v/>
      </c>
    </row>
    <row r="336" spans="1:16" x14ac:dyDescent="0.35">
      <c r="A336" s="23">
        <f t="shared" ca="1" si="26"/>
        <v>0</v>
      </c>
      <c r="B336" s="23">
        <f t="shared" si="27"/>
        <v>0</v>
      </c>
      <c r="C336" s="23">
        <f t="shared" si="28"/>
        <v>0</v>
      </c>
      <c r="D336" s="23">
        <f t="shared" si="29"/>
        <v>0</v>
      </c>
      <c r="E336" s="23">
        <f t="shared" si="30"/>
        <v>0</v>
      </c>
      <c r="F336" s="23">
        <f t="shared" si="30"/>
        <v>0</v>
      </c>
      <c r="G336" s="2" t="str">
        <f>IF('证券列表 '!B339="","",'证券列表 '!B339)</f>
        <v>ZLAB.O</v>
      </c>
      <c r="H336" s="2" t="s">
        <v>670</v>
      </c>
      <c r="I336" s="3">
        <v>45531</v>
      </c>
      <c r="J336" s="6">
        <v>1869866799.6978395</v>
      </c>
      <c r="K336" t="str">
        <f ca="1">IF($I336=业绩披露日期!D$7,ROW(),"")</f>
        <v/>
      </c>
      <c r="L336" t="str">
        <f>IF($I336=业绩披露日期!E$7,ROW(),"")</f>
        <v/>
      </c>
      <c r="M336" t="str">
        <f>IF($I336=业绩披露日期!F$7,ROW(),"")</f>
        <v/>
      </c>
      <c r="N336" t="str">
        <f>IF($I336=业绩披露日期!G$7,ROW(),"")</f>
        <v/>
      </c>
      <c r="O336" t="str">
        <f>IF($I336=业绩披露日期!H$7,ROW(),"")</f>
        <v/>
      </c>
      <c r="P336" t="str">
        <f>IF($I336=业绩披露日期!I$7,ROW(),"")</f>
        <v/>
      </c>
    </row>
    <row r="337" spans="1:16" x14ac:dyDescent="0.35">
      <c r="A337" s="23">
        <f t="shared" ca="1" si="26"/>
        <v>0</v>
      </c>
      <c r="B337" s="23">
        <f t="shared" si="27"/>
        <v>0</v>
      </c>
      <c r="C337" s="23">
        <f t="shared" si="28"/>
        <v>0</v>
      </c>
      <c r="D337" s="23">
        <f t="shared" si="29"/>
        <v>0</v>
      </c>
      <c r="E337" s="23">
        <f t="shared" si="30"/>
        <v>0</v>
      </c>
      <c r="F337" s="23">
        <f t="shared" si="30"/>
        <v>0</v>
      </c>
      <c r="G337" s="2" t="str">
        <f>IF('证券列表 '!B340="","",'证券列表 '!B340)</f>
        <v>ZTO.N</v>
      </c>
      <c r="H337" s="2" t="s">
        <v>672</v>
      </c>
      <c r="I337" s="3">
        <v>45524</v>
      </c>
      <c r="J337" s="6">
        <v>17082077248.651592</v>
      </c>
      <c r="K337" t="str">
        <f ca="1">IF($I337=业绩披露日期!D$7,ROW(),"")</f>
        <v/>
      </c>
      <c r="L337" t="str">
        <f>IF($I337=业绩披露日期!E$7,ROW(),"")</f>
        <v/>
      </c>
      <c r="M337" t="str">
        <f>IF($I337=业绩披露日期!F$7,ROW(),"")</f>
        <v/>
      </c>
      <c r="N337" t="str">
        <f>IF($I337=业绩披露日期!G$7,ROW(),"")</f>
        <v/>
      </c>
      <c r="O337" t="str">
        <f>IF($I337=业绩披露日期!H$7,ROW(),"")</f>
        <v/>
      </c>
      <c r="P337" t="str">
        <f>IF($I337=业绩披露日期!I$7,ROW(),"")</f>
        <v/>
      </c>
    </row>
    <row r="338" spans="1:16" x14ac:dyDescent="0.35">
      <c r="A338" s="23">
        <f t="shared" ca="1" si="26"/>
        <v>0</v>
      </c>
      <c r="B338" s="23">
        <f t="shared" si="27"/>
        <v>0</v>
      </c>
      <c r="C338" s="23">
        <f t="shared" si="28"/>
        <v>0</v>
      </c>
      <c r="D338" s="23">
        <f t="shared" si="29"/>
        <v>0</v>
      </c>
      <c r="E338" s="23">
        <f t="shared" si="30"/>
        <v>0</v>
      </c>
      <c r="F338" s="23">
        <f t="shared" si="30"/>
        <v>0</v>
      </c>
      <c r="G338" s="2" t="str">
        <f>IF('证券列表 '!B341="","",'证券列表 '!B341)</f>
        <v/>
      </c>
      <c r="H338" s="2" t="s">
        <v>693</v>
      </c>
      <c r="I338" s="3">
        <v>45497</v>
      </c>
      <c r="J338" s="6">
        <v>164489948688.03</v>
      </c>
      <c r="K338" t="str">
        <f ca="1">IF($I338=业绩披露日期!D$7,ROW(),"")</f>
        <v/>
      </c>
      <c r="L338" t="str">
        <f>IF($I338=业绩披露日期!E$7,ROW(),"")</f>
        <v/>
      </c>
      <c r="M338" t="str">
        <f>IF($I338=业绩披露日期!F$7,ROW(),"")</f>
        <v/>
      </c>
      <c r="N338" t="str">
        <f>IF($I338=业绩披露日期!G$7,ROW(),"")</f>
        <v/>
      </c>
      <c r="O338" t="str">
        <f>IF($I338=业绩披露日期!H$7,ROW(),"")</f>
        <v/>
      </c>
      <c r="P338" t="str">
        <f>IF($I338=业绩披露日期!I$7,ROW(),"")</f>
        <v/>
      </c>
    </row>
    <row r="339" spans="1:16" x14ac:dyDescent="0.35">
      <c r="A339" s="23">
        <f t="shared" ca="1" si="26"/>
        <v>0</v>
      </c>
      <c r="B339" s="23">
        <f t="shared" si="27"/>
        <v>0</v>
      </c>
      <c r="C339" s="23">
        <f t="shared" si="28"/>
        <v>0</v>
      </c>
      <c r="D339" s="23">
        <f t="shared" si="29"/>
        <v>0</v>
      </c>
      <c r="E339" s="23">
        <f t="shared" si="30"/>
        <v>0</v>
      </c>
      <c r="F339" s="23">
        <f t="shared" si="30"/>
        <v>0</v>
      </c>
      <c r="G339" s="2" t="str">
        <f>IF('证券列表 '!B342="","",'证券列表 '!B342)</f>
        <v/>
      </c>
      <c r="H339" s="2" t="s">
        <v>694</v>
      </c>
      <c r="I339" s="3">
        <v>45497</v>
      </c>
      <c r="J339" s="6">
        <v>61020289535.839996</v>
      </c>
      <c r="K339" t="str">
        <f ca="1">IF($I339=业绩披露日期!D$7,ROW(),"")</f>
        <v/>
      </c>
      <c r="L339" t="str">
        <f>IF($I339=业绩披露日期!E$7,ROW(),"")</f>
        <v/>
      </c>
      <c r="M339" t="str">
        <f>IF($I339=业绩披露日期!F$7,ROW(),"")</f>
        <v/>
      </c>
      <c r="N339" t="str">
        <f>IF($I339=业绩披露日期!G$7,ROW(),"")</f>
        <v/>
      </c>
      <c r="O339" t="str">
        <f>IF($I339=业绩披露日期!H$7,ROW(),"")</f>
        <v/>
      </c>
      <c r="P339" t="str">
        <f>IF($I339=业绩披露日期!I$7,ROW(),"")</f>
        <v/>
      </c>
    </row>
    <row r="340" spans="1:16" x14ac:dyDescent="0.35">
      <c r="A340" s="23">
        <f t="shared" ca="1" si="26"/>
        <v>0</v>
      </c>
      <c r="B340" s="23">
        <f t="shared" si="27"/>
        <v>0</v>
      </c>
      <c r="C340" s="23">
        <f t="shared" si="28"/>
        <v>0</v>
      </c>
      <c r="D340" s="23">
        <f t="shared" si="29"/>
        <v>0</v>
      </c>
      <c r="E340" s="23">
        <f t="shared" si="30"/>
        <v>0</v>
      </c>
      <c r="F340" s="23">
        <f t="shared" si="30"/>
        <v>0</v>
      </c>
      <c r="G340" s="2" t="str">
        <f>IF('证券列表 '!B343="","",'证券列表 '!B343)</f>
        <v/>
      </c>
      <c r="H340" s="2" t="s">
        <v>695</v>
      </c>
      <c r="I340" s="3">
        <v>45491</v>
      </c>
      <c r="J340" s="6">
        <v>297187912595.20001</v>
      </c>
      <c r="K340" t="str">
        <f ca="1">IF($I340=业绩披露日期!D$7,ROW(),"")</f>
        <v/>
      </c>
      <c r="L340" t="str">
        <f>IF($I340=业绩披露日期!E$7,ROW(),"")</f>
        <v/>
      </c>
      <c r="M340" t="str">
        <f>IF($I340=业绩披露日期!F$7,ROW(),"")</f>
        <v/>
      </c>
      <c r="N340" t="str">
        <f>IF($I340=业绩披露日期!G$7,ROW(),"")</f>
        <v/>
      </c>
      <c r="O340" t="str">
        <f>IF($I340=业绩披露日期!H$7,ROW(),"")</f>
        <v/>
      </c>
      <c r="P340" t="str">
        <f>IF($I340=业绩披露日期!I$7,ROW(),"")</f>
        <v/>
      </c>
    </row>
    <row r="341" spans="1:16" x14ac:dyDescent="0.35">
      <c r="A341" s="23">
        <f t="shared" ca="1" si="26"/>
        <v>0</v>
      </c>
      <c r="B341" s="23">
        <f t="shared" si="27"/>
        <v>0</v>
      </c>
      <c r="C341" s="23">
        <f t="shared" si="28"/>
        <v>0</v>
      </c>
      <c r="D341" s="23">
        <f t="shared" si="29"/>
        <v>0</v>
      </c>
      <c r="E341" s="23">
        <f t="shared" si="30"/>
        <v>0</v>
      </c>
      <c r="F341" s="23">
        <f t="shared" si="30"/>
        <v>0</v>
      </c>
      <c r="G341" s="2" t="str">
        <f>IF('证券列表 '!B344="","",'证券列表 '!B344)</f>
        <v/>
      </c>
      <c r="H341" s="2" t="s">
        <v>696</v>
      </c>
      <c r="I341" s="3">
        <v>45511</v>
      </c>
      <c r="J341" s="6">
        <v>14720092850.34</v>
      </c>
      <c r="K341" t="str">
        <f ca="1">IF($I341=业绩披露日期!D$7,ROW(),"")</f>
        <v/>
      </c>
      <c r="L341" t="str">
        <f>IF($I341=业绩披露日期!E$7,ROW(),"")</f>
        <v/>
      </c>
      <c r="M341" t="str">
        <f>IF($I341=业绩披露日期!F$7,ROW(),"")</f>
        <v/>
      </c>
      <c r="N341" t="str">
        <f>IF($I341=业绩披露日期!G$7,ROW(),"")</f>
        <v/>
      </c>
      <c r="O341" t="str">
        <f>IF($I341=业绩披露日期!H$7,ROW(),"")</f>
        <v/>
      </c>
      <c r="P341" t="str">
        <f>IF($I341=业绩披露日期!I$7,ROW(),"")</f>
        <v/>
      </c>
    </row>
    <row r="342" spans="1:16" x14ac:dyDescent="0.35">
      <c r="A342" s="23">
        <f t="shared" ca="1" si="26"/>
        <v>0</v>
      </c>
      <c r="B342" s="23">
        <f t="shared" si="27"/>
        <v>0</v>
      </c>
      <c r="C342" s="23">
        <f t="shared" si="28"/>
        <v>0</v>
      </c>
      <c r="D342" s="23">
        <f t="shared" si="29"/>
        <v>0</v>
      </c>
      <c r="E342" s="23">
        <f t="shared" si="30"/>
        <v>0</v>
      </c>
      <c r="F342" s="23">
        <f t="shared" si="30"/>
        <v>0</v>
      </c>
      <c r="G342" s="2" t="str">
        <f>IF('证券列表 '!B345="","",'证券列表 '!B345)</f>
        <v/>
      </c>
      <c r="H342" s="2" t="s">
        <v>697</v>
      </c>
      <c r="I342" s="3">
        <v>45281</v>
      </c>
      <c r="J342" s="6">
        <v>124836625677.44</v>
      </c>
      <c r="K342" t="str">
        <f ca="1">IF($I342=业绩披露日期!D$7,ROW(),"")</f>
        <v/>
      </c>
      <c r="L342" t="str">
        <f>IF($I342=业绩披露日期!E$7,ROW(),"")</f>
        <v/>
      </c>
      <c r="M342" t="str">
        <f>IF($I342=业绩披露日期!F$7,ROW(),"")</f>
        <v/>
      </c>
      <c r="N342" t="str">
        <f>IF($I342=业绩披露日期!G$7,ROW(),"")</f>
        <v/>
      </c>
      <c r="O342" t="str">
        <f>IF($I342=业绩披露日期!H$7,ROW(),"")</f>
        <v/>
      </c>
      <c r="P342" t="str">
        <f>IF($I342=业绩披露日期!I$7,ROW(),"")</f>
        <v/>
      </c>
    </row>
    <row r="343" spans="1:16" x14ac:dyDescent="0.35">
      <c r="A343" s="23">
        <f t="shared" ca="1" si="26"/>
        <v>0</v>
      </c>
      <c r="B343" s="23">
        <f t="shared" si="27"/>
        <v>0</v>
      </c>
      <c r="C343" s="23">
        <f t="shared" si="28"/>
        <v>0</v>
      </c>
      <c r="D343" s="23">
        <f t="shared" si="29"/>
        <v>0</v>
      </c>
      <c r="E343" s="23">
        <f t="shared" si="30"/>
        <v>0</v>
      </c>
      <c r="F343" s="23">
        <f t="shared" si="30"/>
        <v>0</v>
      </c>
      <c r="G343" s="2" t="str">
        <f>IF('证券列表 '!B346="","",'证券列表 '!B346)</f>
        <v/>
      </c>
      <c r="H343" s="2" t="s">
        <v>698</v>
      </c>
      <c r="I343" s="3">
        <v>45498</v>
      </c>
      <c r="J343" s="6">
        <v>75952477858.400009</v>
      </c>
      <c r="K343" t="str">
        <f ca="1">IF($I343=业绩披露日期!D$7,ROW(),"")</f>
        <v/>
      </c>
      <c r="L343" t="str">
        <f>IF($I343=业绩披露日期!E$7,ROW(),"")</f>
        <v/>
      </c>
      <c r="M343" t="str">
        <f>IF($I343=业绩披露日期!F$7,ROW(),"")</f>
        <v/>
      </c>
      <c r="N343" t="str">
        <f>IF($I343=业绩披露日期!G$7,ROW(),"")</f>
        <v/>
      </c>
      <c r="O343" t="str">
        <f>IF($I343=业绩披露日期!H$7,ROW(),"")</f>
        <v/>
      </c>
      <c r="P343" t="str">
        <f>IF($I343=业绩披露日期!I$7,ROW(),"")</f>
        <v/>
      </c>
    </row>
    <row r="344" spans="1:16" x14ac:dyDescent="0.35">
      <c r="A344" s="23">
        <f t="shared" ca="1" si="26"/>
        <v>0</v>
      </c>
      <c r="B344" s="23">
        <f t="shared" si="27"/>
        <v>0</v>
      </c>
      <c r="C344" s="23">
        <f t="shared" si="28"/>
        <v>0</v>
      </c>
      <c r="D344" s="23">
        <f t="shared" si="29"/>
        <v>0</v>
      </c>
      <c r="E344" s="23">
        <f t="shared" si="30"/>
        <v>0</v>
      </c>
      <c r="F344" s="23">
        <f t="shared" si="30"/>
        <v>0</v>
      </c>
      <c r="G344" s="2" t="str">
        <f>IF('证券列表 '!B347="","",'证券列表 '!B347)</f>
        <v/>
      </c>
      <c r="H344" s="2" t="s">
        <v>699</v>
      </c>
      <c r="I344" s="3">
        <v>45497</v>
      </c>
      <c r="J344" s="6">
        <v>171241620000</v>
      </c>
      <c r="K344" t="str">
        <f ca="1">IF($I344=业绩披露日期!D$7,ROW(),"")</f>
        <v/>
      </c>
      <c r="L344" t="str">
        <f>IF($I344=业绩披露日期!E$7,ROW(),"")</f>
        <v/>
      </c>
      <c r="M344" t="str">
        <f>IF($I344=业绩披露日期!F$7,ROW(),"")</f>
        <v/>
      </c>
      <c r="N344" t="str">
        <f>IF($I344=业绩披露日期!G$7,ROW(),"")</f>
        <v/>
      </c>
      <c r="O344" t="str">
        <f>IF($I344=业绩披露日期!H$7,ROW(),"")</f>
        <v/>
      </c>
      <c r="P344" t="str">
        <f>IF($I344=业绩披露日期!I$7,ROW(),"")</f>
        <v/>
      </c>
    </row>
    <row r="345" spans="1:16" x14ac:dyDescent="0.35">
      <c r="A345" s="23">
        <f t="shared" ca="1" si="26"/>
        <v>0</v>
      </c>
      <c r="B345" s="23">
        <f t="shared" si="27"/>
        <v>0</v>
      </c>
      <c r="C345" s="23">
        <f t="shared" si="28"/>
        <v>0</v>
      </c>
      <c r="D345" s="23">
        <f t="shared" si="29"/>
        <v>0</v>
      </c>
      <c r="E345" s="23">
        <f t="shared" si="30"/>
        <v>0</v>
      </c>
      <c r="F345" s="23">
        <f t="shared" si="30"/>
        <v>0</v>
      </c>
      <c r="G345" s="2" t="str">
        <f>IF('证券列表 '!B348="","",'证券列表 '!B348)</f>
        <v/>
      </c>
      <c r="H345" s="2" t="s">
        <v>700</v>
      </c>
      <c r="I345" s="3">
        <v>45512</v>
      </c>
      <c r="J345" s="6">
        <v>17051101719.84</v>
      </c>
      <c r="K345" t="str">
        <f ca="1">IF($I345=业绩披露日期!D$7,ROW(),"")</f>
        <v/>
      </c>
      <c r="L345" t="str">
        <f>IF($I345=业绩披露日期!E$7,ROW(),"")</f>
        <v/>
      </c>
      <c r="M345" t="str">
        <f>IF($I345=业绩披露日期!F$7,ROW(),"")</f>
        <v/>
      </c>
      <c r="N345" t="str">
        <f>IF($I345=业绩披露日期!G$7,ROW(),"")</f>
        <v/>
      </c>
      <c r="O345" t="str">
        <f>IF($I345=业绩披露日期!H$7,ROW(),"")</f>
        <v/>
      </c>
      <c r="P345" t="str">
        <f>IF($I345=业绩披露日期!I$7,ROW(),"")</f>
        <v/>
      </c>
    </row>
    <row r="346" spans="1:16" x14ac:dyDescent="0.35">
      <c r="A346" s="23">
        <f t="shared" ca="1" si="26"/>
        <v>0</v>
      </c>
      <c r="B346" s="23">
        <f t="shared" si="27"/>
        <v>0</v>
      </c>
      <c r="C346" s="23">
        <f t="shared" si="28"/>
        <v>0</v>
      </c>
      <c r="D346" s="23">
        <f t="shared" si="29"/>
        <v>0</v>
      </c>
      <c r="E346" s="23">
        <f t="shared" si="30"/>
        <v>0</v>
      </c>
      <c r="F346" s="23">
        <f t="shared" si="30"/>
        <v>0</v>
      </c>
      <c r="G346" s="2" t="str">
        <f>IF('证券列表 '!B349="","",'证券列表 '!B349)</f>
        <v/>
      </c>
      <c r="H346" s="2" t="s">
        <v>701</v>
      </c>
      <c r="I346" s="3">
        <v>45498</v>
      </c>
      <c r="J346" s="6">
        <v>56980823044.660004</v>
      </c>
      <c r="K346" t="str">
        <f ca="1">IF($I346=业绩披露日期!D$7,ROW(),"")</f>
        <v/>
      </c>
      <c r="L346" t="str">
        <f>IF($I346=业绩披露日期!E$7,ROW(),"")</f>
        <v/>
      </c>
      <c r="M346" t="str">
        <f>IF($I346=业绩披露日期!F$7,ROW(),"")</f>
        <v/>
      </c>
      <c r="N346" t="str">
        <f>IF($I346=业绩披露日期!G$7,ROW(),"")</f>
        <v/>
      </c>
      <c r="O346" t="str">
        <f>IF($I346=业绩披露日期!H$7,ROW(),"")</f>
        <v/>
      </c>
      <c r="P346" t="str">
        <f>IF($I346=业绩披露日期!I$7,ROW(),"")</f>
        <v/>
      </c>
    </row>
    <row r="347" spans="1:16" x14ac:dyDescent="0.35">
      <c r="A347" s="23">
        <f t="shared" ca="1" si="26"/>
        <v>0</v>
      </c>
      <c r="B347" s="23">
        <f t="shared" si="27"/>
        <v>0</v>
      </c>
      <c r="C347" s="23">
        <f t="shared" si="28"/>
        <v>0</v>
      </c>
      <c r="D347" s="23">
        <f t="shared" si="29"/>
        <v>0</v>
      </c>
      <c r="E347" s="23">
        <f t="shared" si="30"/>
        <v>0</v>
      </c>
      <c r="F347" s="23">
        <f t="shared" si="30"/>
        <v>0</v>
      </c>
      <c r="G347" s="2" t="str">
        <f>IF('证券列表 '!B350="","",'证券列表 '!B350)</f>
        <v/>
      </c>
      <c r="H347" s="2" t="s">
        <v>702</v>
      </c>
      <c r="I347" s="3">
        <v>45258</v>
      </c>
      <c r="J347" s="6">
        <v>24410096528.799999</v>
      </c>
      <c r="K347" t="str">
        <f ca="1">IF($I347=业绩披露日期!D$7,ROW(),"")</f>
        <v/>
      </c>
      <c r="L347" t="str">
        <f>IF($I347=业绩披露日期!E$7,ROW(),"")</f>
        <v/>
      </c>
      <c r="M347" t="str">
        <f>IF($I347=业绩披露日期!F$7,ROW(),"")</f>
        <v/>
      </c>
      <c r="N347" t="str">
        <f>IF($I347=业绩披露日期!G$7,ROW(),"")</f>
        <v/>
      </c>
      <c r="O347" t="str">
        <f>IF($I347=业绩披露日期!H$7,ROW(),"")</f>
        <v/>
      </c>
      <c r="P347" t="str">
        <f>IF($I347=业绩披露日期!I$7,ROW(),"")</f>
        <v/>
      </c>
    </row>
    <row r="348" spans="1:16" x14ac:dyDescent="0.35">
      <c r="A348" s="23">
        <f t="shared" ca="1" si="26"/>
        <v>0</v>
      </c>
      <c r="B348" s="23">
        <f t="shared" si="27"/>
        <v>0</v>
      </c>
      <c r="C348" s="23">
        <f t="shared" si="28"/>
        <v>0</v>
      </c>
      <c r="D348" s="23">
        <f t="shared" si="29"/>
        <v>0</v>
      </c>
      <c r="E348" s="23">
        <f t="shared" si="30"/>
        <v>0</v>
      </c>
      <c r="F348" s="23">
        <f t="shared" si="30"/>
        <v>0</v>
      </c>
      <c r="G348" s="2" t="str">
        <f>IF('证券列表 '!B351="","",'证券列表 '!B351)</f>
        <v/>
      </c>
      <c r="H348" s="2" t="s">
        <v>703</v>
      </c>
      <c r="I348" s="3">
        <v>45490</v>
      </c>
      <c r="J348" s="6">
        <v>18044571643.950001</v>
      </c>
      <c r="K348" t="str">
        <f ca="1">IF($I348=业绩披露日期!D$7,ROW(),"")</f>
        <v/>
      </c>
      <c r="L348" t="str">
        <f>IF($I348=业绩披露日期!E$7,ROW(),"")</f>
        <v/>
      </c>
      <c r="M348" t="str">
        <f>IF($I348=业绩披露日期!F$7,ROW(),"")</f>
        <v/>
      </c>
      <c r="N348" t="str">
        <f>IF($I348=业绩披露日期!G$7,ROW(),"")</f>
        <v/>
      </c>
      <c r="O348" t="str">
        <f>IF($I348=业绩披露日期!H$7,ROW(),"")</f>
        <v/>
      </c>
      <c r="P348" t="str">
        <f>IF($I348=业绩披露日期!I$7,ROW(),"")</f>
        <v/>
      </c>
    </row>
    <row r="349" spans="1:16" x14ac:dyDescent="0.35">
      <c r="A349" s="23">
        <f t="shared" ca="1" si="26"/>
        <v>0</v>
      </c>
      <c r="B349" s="23">
        <f t="shared" si="27"/>
        <v>0</v>
      </c>
      <c r="C349" s="23">
        <f t="shared" si="28"/>
        <v>0</v>
      </c>
      <c r="D349" s="23">
        <f t="shared" si="29"/>
        <v>0</v>
      </c>
      <c r="E349" s="23">
        <f t="shared" si="30"/>
        <v>0</v>
      </c>
      <c r="F349" s="23">
        <f t="shared" si="30"/>
        <v>0</v>
      </c>
      <c r="G349" s="2" t="str">
        <f>IF('证券列表 '!B352="","",'证券列表 '!B352)</f>
        <v/>
      </c>
      <c r="H349" s="2" t="s">
        <v>704</v>
      </c>
      <c r="I349" s="3">
        <v>45495</v>
      </c>
      <c r="J349" s="6">
        <v>35605447960.160004</v>
      </c>
      <c r="K349" t="str">
        <f ca="1">IF($I349=业绩披露日期!D$7,ROW(),"")</f>
        <v/>
      </c>
      <c r="L349" t="str">
        <f>IF($I349=业绩披露日期!E$7,ROW(),"")</f>
        <v/>
      </c>
      <c r="M349" t="str">
        <f>IF($I349=业绩披露日期!F$7,ROW(),"")</f>
        <v/>
      </c>
      <c r="N349" t="str">
        <f>IF($I349=业绩披露日期!G$7,ROW(),"")</f>
        <v/>
      </c>
      <c r="O349" t="str">
        <f>IF($I349=业绩披露日期!H$7,ROW(),"")</f>
        <v/>
      </c>
      <c r="P349" t="str">
        <f>IF($I349=业绩披露日期!I$7,ROW(),"")</f>
        <v/>
      </c>
    </row>
    <row r="350" spans="1:16" x14ac:dyDescent="0.35">
      <c r="A350" s="23">
        <f t="shared" ca="1" si="26"/>
        <v>0</v>
      </c>
      <c r="B350" s="23">
        <f t="shared" si="27"/>
        <v>0</v>
      </c>
      <c r="C350" s="23">
        <f t="shared" si="28"/>
        <v>0</v>
      </c>
      <c r="D350" s="23">
        <f t="shared" si="29"/>
        <v>0</v>
      </c>
      <c r="E350" s="23">
        <f t="shared" si="30"/>
        <v>0</v>
      </c>
      <c r="F350" s="23">
        <f t="shared" si="30"/>
        <v>0</v>
      </c>
      <c r="G350" s="2" t="str">
        <f>IF('证券列表 '!B353="","",'证券列表 '!B353)</f>
        <v/>
      </c>
      <c r="H350" s="2" t="s">
        <v>705</v>
      </c>
      <c r="I350" s="3">
        <v>45161</v>
      </c>
      <c r="J350" s="6">
        <v>2884482700000</v>
      </c>
      <c r="K350" t="str">
        <f ca="1">IF($I350=业绩披露日期!D$7,ROW(),"")</f>
        <v/>
      </c>
      <c r="L350" t="str">
        <f>IF($I350=业绩披露日期!E$7,ROW(),"")</f>
        <v/>
      </c>
      <c r="M350" t="str">
        <f>IF($I350=业绩披露日期!F$7,ROW(),"")</f>
        <v/>
      </c>
      <c r="N350" t="str">
        <f>IF($I350=业绩披露日期!G$7,ROW(),"")</f>
        <v/>
      </c>
      <c r="O350" t="str">
        <f>IF($I350=业绩披露日期!H$7,ROW(),"")</f>
        <v/>
      </c>
      <c r="P350" t="str">
        <f>IF($I350=业绩披露日期!I$7,ROW(),"")</f>
        <v/>
      </c>
    </row>
    <row r="351" spans="1:16" x14ac:dyDescent="0.35">
      <c r="A351" s="23">
        <f t="shared" ca="1" si="26"/>
        <v>0</v>
      </c>
      <c r="B351" s="23">
        <f t="shared" si="27"/>
        <v>0</v>
      </c>
      <c r="C351" s="23">
        <f t="shared" si="28"/>
        <v>0</v>
      </c>
      <c r="D351" s="23">
        <f t="shared" si="29"/>
        <v>0</v>
      </c>
      <c r="E351" s="23">
        <f t="shared" si="30"/>
        <v>0</v>
      </c>
      <c r="F351" s="23">
        <f t="shared" si="30"/>
        <v>0</v>
      </c>
      <c r="G351" s="2" t="str">
        <f>IF('证券列表 '!B354="","",'证券列表 '!B354)</f>
        <v/>
      </c>
      <c r="H351" s="2" t="s">
        <v>706</v>
      </c>
      <c r="I351" s="3">
        <v>45496</v>
      </c>
      <c r="J351" s="6">
        <v>27842983871</v>
      </c>
      <c r="K351" t="str">
        <f ca="1">IF($I351=业绩披露日期!D$7,ROW(),"")</f>
        <v/>
      </c>
      <c r="L351" t="str">
        <f>IF($I351=业绩披露日期!E$7,ROW(),"")</f>
        <v/>
      </c>
      <c r="M351" t="str">
        <f>IF($I351=业绩披露日期!F$7,ROW(),"")</f>
        <v/>
      </c>
      <c r="N351" t="str">
        <f>IF($I351=业绩披露日期!G$7,ROW(),"")</f>
        <v/>
      </c>
      <c r="O351" t="str">
        <f>IF($I351=业绩披露日期!H$7,ROW(),"")</f>
        <v/>
      </c>
      <c r="P351" t="str">
        <f>IF($I351=业绩披露日期!I$7,ROW(),"")</f>
        <v/>
      </c>
    </row>
    <row r="352" spans="1:16" x14ac:dyDescent="0.35">
      <c r="A352" s="23">
        <f t="shared" ca="1" si="26"/>
        <v>0</v>
      </c>
      <c r="B352" s="23">
        <f t="shared" si="27"/>
        <v>0</v>
      </c>
      <c r="C352" s="23">
        <f t="shared" si="28"/>
        <v>0</v>
      </c>
      <c r="D352" s="23">
        <f t="shared" si="29"/>
        <v>0</v>
      </c>
      <c r="E352" s="23">
        <f t="shared" si="30"/>
        <v>0</v>
      </c>
      <c r="F352" s="23">
        <f t="shared" si="30"/>
        <v>0</v>
      </c>
      <c r="G352" s="2" t="str">
        <f>IF('证券列表 '!B355="","",'证券列表 '!B355)</f>
        <v/>
      </c>
      <c r="H352" s="2" t="s">
        <v>707</v>
      </c>
      <c r="I352" s="3">
        <v>45329</v>
      </c>
      <c r="J352" s="6">
        <v>16042467279.27</v>
      </c>
      <c r="K352" t="str">
        <f ca="1">IF($I352=业绩披露日期!D$7,ROW(),"")</f>
        <v/>
      </c>
      <c r="L352" t="str">
        <f>IF($I352=业绩披露日期!E$7,ROW(),"")</f>
        <v/>
      </c>
      <c r="M352" t="str">
        <f>IF($I352=业绩披露日期!F$7,ROW(),"")</f>
        <v/>
      </c>
      <c r="N352" t="str">
        <f>IF($I352=业绩披露日期!G$7,ROW(),"")</f>
        <v/>
      </c>
      <c r="O352" t="str">
        <f>IF($I352=业绩披露日期!H$7,ROW(),"")</f>
        <v/>
      </c>
      <c r="P352" t="str">
        <f>IF($I352=业绩披露日期!I$7,ROW(),"")</f>
        <v/>
      </c>
    </row>
    <row r="353" spans="1:16" x14ac:dyDescent="0.35">
      <c r="A353" s="23">
        <f t="shared" ca="1" si="26"/>
        <v>0</v>
      </c>
      <c r="B353" s="23">
        <f t="shared" si="27"/>
        <v>0</v>
      </c>
      <c r="C353" s="23">
        <f t="shared" si="28"/>
        <v>0</v>
      </c>
      <c r="D353" s="23">
        <f t="shared" si="29"/>
        <v>0</v>
      </c>
      <c r="E353" s="23">
        <f t="shared" si="30"/>
        <v>0</v>
      </c>
      <c r="F353" s="23">
        <f t="shared" si="30"/>
        <v>0</v>
      </c>
      <c r="G353" s="2" t="str">
        <f>IF('证券列表 '!B356="","",'证券列表 '!B356)</f>
        <v/>
      </c>
      <c r="H353" s="2" t="s">
        <v>708</v>
      </c>
      <c r="I353" s="3">
        <v>45329</v>
      </c>
      <c r="J353" s="6">
        <v>16042467279.27</v>
      </c>
      <c r="K353" t="str">
        <f ca="1">IF($I353=业绩披露日期!D$7,ROW(),"")</f>
        <v/>
      </c>
      <c r="L353" t="str">
        <f>IF($I353=业绩披露日期!E$7,ROW(),"")</f>
        <v/>
      </c>
      <c r="M353" t="str">
        <f>IF($I353=业绩披露日期!F$7,ROW(),"")</f>
        <v/>
      </c>
      <c r="N353" t="str">
        <f>IF($I353=业绩披露日期!G$7,ROW(),"")</f>
        <v/>
      </c>
      <c r="O353" t="str">
        <f>IF($I353=业绩披露日期!H$7,ROW(),"")</f>
        <v/>
      </c>
      <c r="P353" t="str">
        <f>IF($I353=业绩披露日期!I$7,ROW(),"")</f>
        <v/>
      </c>
    </row>
    <row r="354" spans="1:16" x14ac:dyDescent="0.35">
      <c r="A354" s="23">
        <f t="shared" ca="1" si="26"/>
        <v>0</v>
      </c>
      <c r="B354" s="23">
        <f t="shared" si="27"/>
        <v>0</v>
      </c>
      <c r="C354" s="23">
        <f t="shared" si="28"/>
        <v>0</v>
      </c>
      <c r="D354" s="23">
        <f t="shared" si="29"/>
        <v>0</v>
      </c>
      <c r="E354" s="23">
        <f t="shared" si="30"/>
        <v>0</v>
      </c>
      <c r="F354" s="23">
        <f t="shared" si="30"/>
        <v>0</v>
      </c>
      <c r="G354" s="2" t="str">
        <f>IF('证券列表 '!B357="","",'证券列表 '!B357)</f>
        <v/>
      </c>
      <c r="H354" s="2" t="s">
        <v>709</v>
      </c>
      <c r="I354" s="3">
        <v>45495</v>
      </c>
      <c r="J354" s="6">
        <v>63372458325.400002</v>
      </c>
      <c r="K354" t="str">
        <f ca="1">IF($I354=业绩披露日期!D$7,ROW(),"")</f>
        <v/>
      </c>
      <c r="L354" t="str">
        <f>IF($I354=业绩披露日期!E$7,ROW(),"")</f>
        <v/>
      </c>
      <c r="M354" t="str">
        <f>IF($I354=业绩披露日期!F$7,ROW(),"")</f>
        <v/>
      </c>
      <c r="N354" t="str">
        <f>IF($I354=业绩披露日期!G$7,ROW(),"")</f>
        <v/>
      </c>
      <c r="O354" t="str">
        <f>IF($I354=业绩披露日期!H$7,ROW(),"")</f>
        <v/>
      </c>
      <c r="P354" t="str">
        <f>IF($I354=业绩披露日期!I$7,ROW(),"")</f>
        <v/>
      </c>
    </row>
    <row r="355" spans="1:16" x14ac:dyDescent="0.35">
      <c r="A355" s="23">
        <f t="shared" ca="1" si="26"/>
        <v>0</v>
      </c>
      <c r="B355" s="23">
        <f t="shared" si="27"/>
        <v>0</v>
      </c>
      <c r="C355" s="23">
        <f t="shared" si="28"/>
        <v>0</v>
      </c>
      <c r="D355" s="23">
        <f t="shared" si="29"/>
        <v>0</v>
      </c>
      <c r="E355" s="23">
        <f t="shared" si="30"/>
        <v>0</v>
      </c>
      <c r="F355" s="23">
        <f t="shared" si="30"/>
        <v>0</v>
      </c>
      <c r="G355" s="2" t="str">
        <f>IF('证券列表 '!B358="","",'证券列表 '!B358)</f>
        <v/>
      </c>
      <c r="H355" s="2" t="s">
        <v>710</v>
      </c>
      <c r="I355" s="3">
        <v>45509</v>
      </c>
      <c r="J355" s="6">
        <v>53471271131.199997</v>
      </c>
      <c r="K355" t="str">
        <f ca="1">IF($I355=业绩披露日期!D$7,ROW(),"")</f>
        <v/>
      </c>
      <c r="L355" t="str">
        <f>IF($I355=业绩披露日期!E$7,ROW(),"")</f>
        <v/>
      </c>
      <c r="M355" t="str">
        <f>IF($I355=业绩披露日期!F$7,ROW(),"")</f>
        <v/>
      </c>
      <c r="N355" t="str">
        <f>IF($I355=业绩披露日期!G$7,ROW(),"")</f>
        <v/>
      </c>
      <c r="O355" t="str">
        <f>IF($I355=业绩披露日期!H$7,ROW(),"")</f>
        <v/>
      </c>
      <c r="P355" t="str">
        <f>IF($I355=业绩披露日期!I$7,ROW(),"")</f>
        <v/>
      </c>
    </row>
    <row r="356" spans="1:16" x14ac:dyDescent="0.35">
      <c r="A356" s="23">
        <f t="shared" ca="1" si="26"/>
        <v>0</v>
      </c>
      <c r="B356" s="23">
        <f t="shared" si="27"/>
        <v>0</v>
      </c>
      <c r="C356" s="23">
        <f t="shared" si="28"/>
        <v>0</v>
      </c>
      <c r="D356" s="23">
        <f t="shared" si="29"/>
        <v>0</v>
      </c>
      <c r="E356" s="23">
        <f t="shared" si="30"/>
        <v>0</v>
      </c>
      <c r="F356" s="23">
        <f t="shared" si="30"/>
        <v>0</v>
      </c>
      <c r="G356" s="2" t="str">
        <f>IF('证券列表 '!B359="","",'证券列表 '!B359)</f>
        <v/>
      </c>
      <c r="H356" s="2" t="s">
        <v>711</v>
      </c>
      <c r="I356" s="3">
        <v>45497</v>
      </c>
      <c r="J356" s="6">
        <v>41170653570.239998</v>
      </c>
      <c r="K356" t="str">
        <f ca="1">IF($I356=业绩披露日期!D$7,ROW(),"")</f>
        <v/>
      </c>
      <c r="L356" t="str">
        <f>IF($I356=业绩披露日期!E$7,ROW(),"")</f>
        <v/>
      </c>
      <c r="M356" t="str">
        <f>IF($I356=业绩披露日期!F$7,ROW(),"")</f>
        <v/>
      </c>
      <c r="N356" t="str">
        <f>IF($I356=业绩披露日期!G$7,ROW(),"")</f>
        <v/>
      </c>
      <c r="O356" t="str">
        <f>IF($I356=业绩披露日期!H$7,ROW(),"")</f>
        <v/>
      </c>
      <c r="P356" t="str">
        <f>IF($I356=业绩披露日期!I$7,ROW(),"")</f>
        <v/>
      </c>
    </row>
    <row r="357" spans="1:16" x14ac:dyDescent="0.35">
      <c r="A357" s="23">
        <f t="shared" ca="1" si="26"/>
        <v>0</v>
      </c>
      <c r="B357" s="23">
        <f t="shared" si="27"/>
        <v>0</v>
      </c>
      <c r="C357" s="23">
        <f t="shared" si="28"/>
        <v>0</v>
      </c>
      <c r="D357" s="23">
        <f t="shared" si="29"/>
        <v>0</v>
      </c>
      <c r="E357" s="23">
        <f t="shared" si="30"/>
        <v>0</v>
      </c>
      <c r="F357" s="23">
        <f t="shared" si="30"/>
        <v>0</v>
      </c>
      <c r="G357" s="2" t="str">
        <f>IF('证券列表 '!B360="","",'证券列表 '!B360)</f>
        <v/>
      </c>
      <c r="H357" s="2" t="s">
        <v>712</v>
      </c>
      <c r="I357" s="3">
        <v>45509</v>
      </c>
      <c r="J357" s="6">
        <v>52654264248.600006</v>
      </c>
      <c r="K357" t="str">
        <f ca="1">IF($I357=业绩披露日期!D$7,ROW(),"")</f>
        <v/>
      </c>
      <c r="L357" t="str">
        <f>IF($I357=业绩披露日期!E$7,ROW(),"")</f>
        <v/>
      </c>
      <c r="M357" t="str">
        <f>IF($I357=业绩披露日期!F$7,ROW(),"")</f>
        <v/>
      </c>
      <c r="N357" t="str">
        <f>IF($I357=业绩披露日期!G$7,ROW(),"")</f>
        <v/>
      </c>
      <c r="O357" t="str">
        <f>IF($I357=业绩披露日期!H$7,ROW(),"")</f>
        <v/>
      </c>
      <c r="P357" t="str">
        <f>IF($I357=业绩披露日期!I$7,ROW(),"")</f>
        <v/>
      </c>
    </row>
    <row r="358" spans="1:16" x14ac:dyDescent="0.35">
      <c r="A358" s="23">
        <f t="shared" ca="1" si="26"/>
        <v>0</v>
      </c>
      <c r="B358" s="23">
        <f t="shared" si="27"/>
        <v>0</v>
      </c>
      <c r="C358" s="23">
        <f t="shared" si="28"/>
        <v>0</v>
      </c>
      <c r="D358" s="23">
        <f t="shared" si="29"/>
        <v>0</v>
      </c>
      <c r="E358" s="23">
        <f t="shared" si="30"/>
        <v>0</v>
      </c>
      <c r="F358" s="23">
        <f t="shared" si="30"/>
        <v>0</v>
      </c>
      <c r="G358" s="2" t="str">
        <f>IF('证券列表 '!B361="","",'证券列表 '!B361)</f>
        <v/>
      </c>
      <c r="H358" s="2" t="s">
        <v>713</v>
      </c>
      <c r="I358" s="3">
        <v>45489</v>
      </c>
      <c r="J358" s="6">
        <v>19296845385.09</v>
      </c>
      <c r="K358" t="str">
        <f ca="1">IF($I358=业绩披露日期!D$7,ROW(),"")</f>
        <v/>
      </c>
      <c r="L358" t="str">
        <f>IF($I358=业绩披露日期!E$7,ROW(),"")</f>
        <v/>
      </c>
      <c r="M358" t="str">
        <f>IF($I358=业绩披露日期!F$7,ROW(),"")</f>
        <v/>
      </c>
      <c r="N358" t="str">
        <f>IF($I358=业绩披露日期!G$7,ROW(),"")</f>
        <v/>
      </c>
      <c r="O358" t="str">
        <f>IF($I358=业绩披露日期!H$7,ROW(),"")</f>
        <v/>
      </c>
      <c r="P358" t="str">
        <f>IF($I358=业绩披露日期!I$7,ROW(),"")</f>
        <v/>
      </c>
    </row>
    <row r="359" spans="1:16" x14ac:dyDescent="0.35">
      <c r="A359" s="23">
        <f t="shared" ca="1" si="26"/>
        <v>0</v>
      </c>
      <c r="B359" s="23">
        <f t="shared" si="27"/>
        <v>0</v>
      </c>
      <c r="C359" s="23">
        <f t="shared" si="28"/>
        <v>0</v>
      </c>
      <c r="D359" s="23">
        <f t="shared" si="29"/>
        <v>0</v>
      </c>
      <c r="E359" s="23">
        <f t="shared" si="30"/>
        <v>0</v>
      </c>
      <c r="F359" s="23">
        <f t="shared" si="30"/>
        <v>0</v>
      </c>
      <c r="G359" s="2" t="str">
        <f>IF('证券列表 '!B362="","",'证券列表 '!B362)</f>
        <v/>
      </c>
      <c r="H359" s="2" t="s">
        <v>714</v>
      </c>
      <c r="I359" s="3">
        <v>45502</v>
      </c>
      <c r="J359" s="6">
        <v>32683571727.099998</v>
      </c>
      <c r="K359" t="str">
        <f ca="1">IF($I359=业绩披露日期!D$7,ROW(),"")</f>
        <v/>
      </c>
      <c r="L359" t="str">
        <f>IF($I359=业绩披露日期!E$7,ROW(),"")</f>
        <v/>
      </c>
      <c r="M359" t="str">
        <f>IF($I359=业绩披露日期!F$7,ROW(),"")</f>
        <v/>
      </c>
      <c r="N359" t="str">
        <f>IF($I359=业绩披露日期!G$7,ROW(),"")</f>
        <v/>
      </c>
      <c r="O359" t="str">
        <f>IF($I359=业绩披露日期!H$7,ROW(),"")</f>
        <v/>
      </c>
      <c r="P359" t="str">
        <f>IF($I359=业绩披露日期!I$7,ROW(),"")</f>
        <v/>
      </c>
    </row>
    <row r="360" spans="1:16" x14ac:dyDescent="0.35">
      <c r="A360" s="23">
        <f t="shared" ca="1" si="26"/>
        <v>0</v>
      </c>
      <c r="B360" s="23">
        <f t="shared" si="27"/>
        <v>0</v>
      </c>
      <c r="C360" s="23">
        <f t="shared" si="28"/>
        <v>0</v>
      </c>
      <c r="D360" s="23">
        <f t="shared" si="29"/>
        <v>0</v>
      </c>
      <c r="E360" s="23">
        <f t="shared" si="30"/>
        <v>0</v>
      </c>
      <c r="F360" s="23">
        <f t="shared" si="30"/>
        <v>0</v>
      </c>
      <c r="G360" s="2" t="str">
        <f>IF('证券列表 '!B363="","",'证券列表 '!B363)</f>
        <v/>
      </c>
      <c r="H360" s="2" t="s">
        <v>715</v>
      </c>
      <c r="I360" s="3">
        <v>45271</v>
      </c>
      <c r="J360" s="6">
        <v>384222001199.99994</v>
      </c>
      <c r="K360" t="str">
        <f ca="1">IF($I360=业绩披露日期!D$7,ROW(),"")</f>
        <v/>
      </c>
      <c r="L360" t="str">
        <f>IF($I360=业绩披露日期!E$7,ROW(),"")</f>
        <v/>
      </c>
      <c r="M360" t="str">
        <f>IF($I360=业绩披露日期!F$7,ROW(),"")</f>
        <v/>
      </c>
      <c r="N360" t="str">
        <f>IF($I360=业绩披露日期!G$7,ROW(),"")</f>
        <v/>
      </c>
      <c r="O360" t="str">
        <f>IF($I360=业绩披露日期!H$7,ROW(),"")</f>
        <v/>
      </c>
      <c r="P360" t="str">
        <f>IF($I360=业绩披露日期!I$7,ROW(),"")</f>
        <v/>
      </c>
    </row>
    <row r="361" spans="1:16" x14ac:dyDescent="0.35">
      <c r="A361" s="23">
        <f t="shared" ca="1" si="26"/>
        <v>0</v>
      </c>
      <c r="B361" s="23">
        <f t="shared" si="27"/>
        <v>0</v>
      </c>
      <c r="C361" s="23">
        <f t="shared" si="28"/>
        <v>0</v>
      </c>
      <c r="D361" s="23">
        <f t="shared" si="29"/>
        <v>0</v>
      </c>
      <c r="E361" s="23">
        <f t="shared" si="30"/>
        <v>0</v>
      </c>
      <c r="F361" s="23">
        <f t="shared" si="30"/>
        <v>0</v>
      </c>
      <c r="G361" s="2" t="str">
        <f>IF('证券列表 '!B364="","",'证券列表 '!B364)</f>
        <v/>
      </c>
      <c r="H361" s="2" t="s">
        <v>716</v>
      </c>
      <c r="I361" s="3">
        <v>45497</v>
      </c>
      <c r="J361" s="6">
        <v>66037708294.080002</v>
      </c>
      <c r="K361" t="str">
        <f ca="1">IF($I361=业绩披露日期!D$7,ROW(),"")</f>
        <v/>
      </c>
      <c r="L361" t="str">
        <f>IF($I361=业绩披露日期!E$7,ROW(),"")</f>
        <v/>
      </c>
      <c r="M361" t="str">
        <f>IF($I361=业绩披露日期!F$7,ROW(),"")</f>
        <v/>
      </c>
      <c r="N361" t="str">
        <f>IF($I361=业绩披露日期!G$7,ROW(),"")</f>
        <v/>
      </c>
      <c r="O361" t="str">
        <f>IF($I361=业绩披露日期!H$7,ROW(),"")</f>
        <v/>
      </c>
      <c r="P361" t="str">
        <f>IF($I361=业绩披露日期!I$7,ROW(),"")</f>
        <v/>
      </c>
    </row>
    <row r="362" spans="1:16" x14ac:dyDescent="0.35">
      <c r="A362" s="23">
        <f t="shared" ca="1" si="26"/>
        <v>0</v>
      </c>
      <c r="B362" s="23">
        <f t="shared" si="27"/>
        <v>0</v>
      </c>
      <c r="C362" s="23">
        <f t="shared" si="28"/>
        <v>0</v>
      </c>
      <c r="D362" s="23">
        <f t="shared" si="29"/>
        <v>0</v>
      </c>
      <c r="E362" s="23">
        <f t="shared" si="30"/>
        <v>0</v>
      </c>
      <c r="F362" s="23">
        <f t="shared" si="30"/>
        <v>0</v>
      </c>
      <c r="G362" s="2" t="str">
        <f>IF('证券列表 '!B365="","",'证券列表 '!B365)</f>
        <v/>
      </c>
      <c r="H362" s="2" t="s">
        <v>717</v>
      </c>
      <c r="I362" s="3">
        <v>45497</v>
      </c>
      <c r="J362" s="6">
        <v>37584053787.610001</v>
      </c>
      <c r="K362" t="str">
        <f ca="1">IF($I362=业绩披露日期!D$7,ROW(),"")</f>
        <v/>
      </c>
      <c r="L362" t="str">
        <f>IF($I362=业绩披露日期!E$7,ROW(),"")</f>
        <v/>
      </c>
      <c r="M362" t="str">
        <f>IF($I362=业绩披露日期!F$7,ROW(),"")</f>
        <v/>
      </c>
      <c r="N362" t="str">
        <f>IF($I362=业绩披露日期!G$7,ROW(),"")</f>
        <v/>
      </c>
      <c r="O362" t="str">
        <f>IF($I362=业绩披露日期!H$7,ROW(),"")</f>
        <v/>
      </c>
      <c r="P362" t="str">
        <f>IF($I362=业绩披露日期!I$7,ROW(),"")</f>
        <v/>
      </c>
    </row>
    <row r="363" spans="1:16" x14ac:dyDescent="0.35">
      <c r="A363" s="23">
        <f t="shared" ca="1" si="26"/>
        <v>0</v>
      </c>
      <c r="B363" s="23">
        <f t="shared" si="27"/>
        <v>0</v>
      </c>
      <c r="C363" s="23">
        <f t="shared" si="28"/>
        <v>0</v>
      </c>
      <c r="D363" s="23">
        <f t="shared" si="29"/>
        <v>0</v>
      </c>
      <c r="E363" s="23">
        <f t="shared" si="30"/>
        <v>0</v>
      </c>
      <c r="F363" s="23">
        <f t="shared" si="30"/>
        <v>0</v>
      </c>
      <c r="G363" s="2" t="str">
        <f>IF('证券列表 '!B366="","",'证券列表 '!B366)</f>
        <v/>
      </c>
      <c r="H363" s="2" t="s">
        <v>718</v>
      </c>
      <c r="I363" s="3">
        <v>45511</v>
      </c>
      <c r="J363" s="6">
        <v>51810275341.200005</v>
      </c>
      <c r="K363" t="str">
        <f ca="1">IF($I363=业绩披露日期!D$7,ROW(),"")</f>
        <v/>
      </c>
      <c r="L363" t="str">
        <f>IF($I363=业绩披露日期!E$7,ROW(),"")</f>
        <v/>
      </c>
      <c r="M363" t="str">
        <f>IF($I363=业绩披露日期!F$7,ROW(),"")</f>
        <v/>
      </c>
      <c r="N363" t="str">
        <f>IF($I363=业绩披露日期!G$7,ROW(),"")</f>
        <v/>
      </c>
      <c r="O363" t="str">
        <f>IF($I363=业绩披露日期!H$7,ROW(),"")</f>
        <v/>
      </c>
      <c r="P363" t="str">
        <f>IF($I363=业绩披露日期!I$7,ROW(),"")</f>
        <v/>
      </c>
    </row>
    <row r="364" spans="1:16" x14ac:dyDescent="0.35">
      <c r="A364" s="23">
        <f t="shared" ca="1" si="26"/>
        <v>0</v>
      </c>
      <c r="B364" s="23">
        <f t="shared" si="27"/>
        <v>0</v>
      </c>
      <c r="C364" s="23">
        <f t="shared" si="28"/>
        <v>0</v>
      </c>
      <c r="D364" s="23">
        <f t="shared" si="29"/>
        <v>0</v>
      </c>
      <c r="E364" s="23">
        <f t="shared" si="30"/>
        <v>0</v>
      </c>
      <c r="F364" s="23">
        <f t="shared" si="30"/>
        <v>0</v>
      </c>
      <c r="G364" s="2" t="str">
        <f>IF('证券列表 '!B367="","",'证券列表 '!B367)</f>
        <v/>
      </c>
      <c r="H364" s="2" t="s">
        <v>719</v>
      </c>
      <c r="I364" s="3">
        <v>45342</v>
      </c>
      <c r="J364" s="6">
        <v>115988398000</v>
      </c>
      <c r="K364" t="str">
        <f ca="1">IF($I364=业绩披露日期!D$7,ROW(),"")</f>
        <v/>
      </c>
      <c r="L364" t="str">
        <f>IF($I364=业绩披露日期!E$7,ROW(),"")</f>
        <v/>
      </c>
      <c r="M364" t="str">
        <f>IF($I364=业绩披露日期!F$7,ROW(),"")</f>
        <v/>
      </c>
      <c r="N364" t="str">
        <f>IF($I364=业绩披露日期!G$7,ROW(),"")</f>
        <v/>
      </c>
      <c r="O364" t="str">
        <f>IF($I364=业绩披露日期!H$7,ROW(),"")</f>
        <v/>
      </c>
      <c r="P364" t="str">
        <f>IF($I364=业绩披露日期!I$7,ROW(),"")</f>
        <v/>
      </c>
    </row>
    <row r="365" spans="1:16" x14ac:dyDescent="0.35">
      <c r="A365" s="23">
        <f t="shared" ca="1" si="26"/>
        <v>0</v>
      </c>
      <c r="B365" s="23">
        <f t="shared" si="27"/>
        <v>0</v>
      </c>
      <c r="C365" s="23">
        <f t="shared" si="28"/>
        <v>0</v>
      </c>
      <c r="D365" s="23">
        <f t="shared" si="29"/>
        <v>0</v>
      </c>
      <c r="E365" s="23">
        <f t="shared" si="30"/>
        <v>0</v>
      </c>
      <c r="F365" s="23">
        <f t="shared" si="30"/>
        <v>0</v>
      </c>
      <c r="G365" s="2" t="str">
        <f>IF('证券列表 '!B368="","",'证券列表 '!B368)</f>
        <v/>
      </c>
      <c r="H365" s="2" t="s">
        <v>720</v>
      </c>
      <c r="I365" s="3">
        <v>45512</v>
      </c>
      <c r="J365" s="6">
        <v>7451682800.1200008</v>
      </c>
      <c r="K365" t="str">
        <f ca="1">IF($I365=业绩披露日期!D$7,ROW(),"")</f>
        <v/>
      </c>
      <c r="L365" t="str">
        <f>IF($I365=业绩披露日期!E$7,ROW(),"")</f>
        <v/>
      </c>
      <c r="M365" t="str">
        <f>IF($I365=业绩披露日期!F$7,ROW(),"")</f>
        <v/>
      </c>
      <c r="N365" t="str">
        <f>IF($I365=业绩披露日期!G$7,ROW(),"")</f>
        <v/>
      </c>
      <c r="O365" t="str">
        <f>IF($I365=业绩披露日期!H$7,ROW(),"")</f>
        <v/>
      </c>
      <c r="P365" t="str">
        <f>IF($I365=业绩披露日期!I$7,ROW(),"")</f>
        <v/>
      </c>
    </row>
    <row r="366" spans="1:16" x14ac:dyDescent="0.35">
      <c r="A366" s="23">
        <f t="shared" ca="1" si="26"/>
        <v>0</v>
      </c>
      <c r="B366" s="23">
        <f t="shared" si="27"/>
        <v>0</v>
      </c>
      <c r="C366" s="23">
        <f t="shared" si="28"/>
        <v>0</v>
      </c>
      <c r="D366" s="23">
        <f t="shared" si="29"/>
        <v>0</v>
      </c>
      <c r="E366" s="23">
        <f t="shared" si="30"/>
        <v>0</v>
      </c>
      <c r="F366" s="23">
        <f t="shared" si="30"/>
        <v>0</v>
      </c>
      <c r="G366" s="2" t="str">
        <f>IF('证券列表 '!B369="","",'证券列表 '!B369)</f>
        <v/>
      </c>
      <c r="H366" s="2" t="s">
        <v>721</v>
      </c>
      <c r="I366" s="3">
        <v>45504</v>
      </c>
      <c r="J366" s="6">
        <v>9393075889.1000004</v>
      </c>
      <c r="K366" t="str">
        <f ca="1">IF($I366=业绩披露日期!D$7,ROW(),"")</f>
        <v/>
      </c>
      <c r="L366" t="str">
        <f>IF($I366=业绩披露日期!E$7,ROW(),"")</f>
        <v/>
      </c>
      <c r="M366" t="str">
        <f>IF($I366=业绩披露日期!F$7,ROW(),"")</f>
        <v/>
      </c>
      <c r="N366" t="str">
        <f>IF($I366=业绩披露日期!G$7,ROW(),"")</f>
        <v/>
      </c>
      <c r="O366" t="str">
        <f>IF($I366=业绩披露日期!H$7,ROW(),"")</f>
        <v/>
      </c>
      <c r="P366" t="str">
        <f>IF($I366=业绩披露日期!I$7,ROW(),"")</f>
        <v/>
      </c>
    </row>
    <row r="367" spans="1:16" x14ac:dyDescent="0.35">
      <c r="A367" s="23">
        <f t="shared" ca="1" si="26"/>
        <v>0</v>
      </c>
      <c r="B367" s="23">
        <f t="shared" si="27"/>
        <v>0</v>
      </c>
      <c r="C367" s="23">
        <f t="shared" si="28"/>
        <v>0</v>
      </c>
      <c r="D367" s="23">
        <f t="shared" si="29"/>
        <v>0</v>
      </c>
      <c r="E367" s="23">
        <f t="shared" si="30"/>
        <v>0</v>
      </c>
      <c r="F367" s="23">
        <f t="shared" si="30"/>
        <v>0</v>
      </c>
      <c r="G367" s="2" t="str">
        <f>IF('证券列表 '!B370="","",'证券列表 '!B370)</f>
        <v/>
      </c>
      <c r="H367" s="2" t="s">
        <v>722</v>
      </c>
      <c r="I367" s="3">
        <v>45281</v>
      </c>
      <c r="J367" s="6">
        <v>46654441320.050003</v>
      </c>
      <c r="K367" t="str">
        <f ca="1">IF($I367=业绩披露日期!D$7,ROW(),"")</f>
        <v/>
      </c>
      <c r="L367" t="str">
        <f>IF($I367=业绩披露日期!E$7,ROW(),"")</f>
        <v/>
      </c>
      <c r="M367" t="str">
        <f>IF($I367=业绩披露日期!F$7,ROW(),"")</f>
        <v/>
      </c>
      <c r="N367" t="str">
        <f>IF($I367=业绩披露日期!G$7,ROW(),"")</f>
        <v/>
      </c>
      <c r="O367" t="str">
        <f>IF($I367=业绩披露日期!H$7,ROW(),"")</f>
        <v/>
      </c>
      <c r="P367" t="str">
        <f>IF($I367=业绩披露日期!I$7,ROW(),"")</f>
        <v/>
      </c>
    </row>
    <row r="368" spans="1:16" x14ac:dyDescent="0.35">
      <c r="A368" s="23">
        <f t="shared" ca="1" si="26"/>
        <v>0</v>
      </c>
      <c r="B368" s="23">
        <f t="shared" si="27"/>
        <v>0</v>
      </c>
      <c r="C368" s="23">
        <f t="shared" si="28"/>
        <v>0</v>
      </c>
      <c r="D368" s="23">
        <f t="shared" si="29"/>
        <v>0</v>
      </c>
      <c r="E368" s="23">
        <f t="shared" si="30"/>
        <v>0</v>
      </c>
      <c r="F368" s="23">
        <f t="shared" si="30"/>
        <v>0</v>
      </c>
      <c r="G368" s="2" t="str">
        <f>IF('证券列表 '!B371="","",'证券列表 '!B371)</f>
        <v/>
      </c>
      <c r="H368" s="2" t="s">
        <v>723</v>
      </c>
      <c r="I368" s="3">
        <v>45496</v>
      </c>
      <c r="J368" s="6">
        <v>49617595830.900002</v>
      </c>
      <c r="K368" t="str">
        <f ca="1">IF($I368=业绩披露日期!D$7,ROW(),"")</f>
        <v/>
      </c>
      <c r="L368" t="str">
        <f>IF($I368=业绩披露日期!E$7,ROW(),"")</f>
        <v/>
      </c>
      <c r="M368" t="str">
        <f>IF($I368=业绩披露日期!F$7,ROW(),"")</f>
        <v/>
      </c>
      <c r="N368" t="str">
        <f>IF($I368=业绩披露日期!G$7,ROW(),"")</f>
        <v/>
      </c>
      <c r="O368" t="str">
        <f>IF($I368=业绩披露日期!H$7,ROW(),"")</f>
        <v/>
      </c>
      <c r="P368" t="str">
        <f>IF($I368=业绩披露日期!I$7,ROW(),"")</f>
        <v/>
      </c>
    </row>
    <row r="369" spans="1:16" x14ac:dyDescent="0.35">
      <c r="A369" s="23">
        <f t="shared" ca="1" si="26"/>
        <v>0</v>
      </c>
      <c r="B369" s="23">
        <f t="shared" si="27"/>
        <v>0</v>
      </c>
      <c r="C369" s="23">
        <f t="shared" si="28"/>
        <v>0</v>
      </c>
      <c r="D369" s="23">
        <f t="shared" si="29"/>
        <v>0</v>
      </c>
      <c r="E369" s="23">
        <f t="shared" si="30"/>
        <v>0</v>
      </c>
      <c r="F369" s="23">
        <f t="shared" si="30"/>
        <v>0</v>
      </c>
      <c r="G369" s="2" t="str">
        <f>IF('证券列表 '!B372="","",'证券列表 '!B372)</f>
        <v/>
      </c>
      <c r="H369" s="2" t="s">
        <v>724</v>
      </c>
      <c r="I369" s="3">
        <v>45498</v>
      </c>
      <c r="J369" s="6">
        <v>51258013139.200005</v>
      </c>
      <c r="K369" t="str">
        <f ca="1">IF($I369=业绩披露日期!D$7,ROW(),"")</f>
        <v/>
      </c>
      <c r="L369" t="str">
        <f>IF($I369=业绩披露日期!E$7,ROW(),"")</f>
        <v/>
      </c>
      <c r="M369" t="str">
        <f>IF($I369=业绩披露日期!F$7,ROW(),"")</f>
        <v/>
      </c>
      <c r="N369" t="str">
        <f>IF($I369=业绩披露日期!G$7,ROW(),"")</f>
        <v/>
      </c>
      <c r="O369" t="str">
        <f>IF($I369=业绩披露日期!H$7,ROW(),"")</f>
        <v/>
      </c>
      <c r="P369" t="str">
        <f>IF($I369=业绩披露日期!I$7,ROW(),"")</f>
        <v/>
      </c>
    </row>
    <row r="370" spans="1:16" x14ac:dyDescent="0.35">
      <c r="A370" s="23">
        <f t="shared" ca="1" si="26"/>
        <v>0</v>
      </c>
      <c r="B370" s="23">
        <f t="shared" si="27"/>
        <v>0</v>
      </c>
      <c r="C370" s="23">
        <f t="shared" si="28"/>
        <v>0</v>
      </c>
      <c r="D370" s="23">
        <f t="shared" si="29"/>
        <v>0</v>
      </c>
      <c r="E370" s="23">
        <f t="shared" si="30"/>
        <v>0</v>
      </c>
      <c r="F370" s="23">
        <f t="shared" si="30"/>
        <v>0</v>
      </c>
      <c r="G370" s="2" t="str">
        <f>IF('证券列表 '!B373="","",'证券列表 '!B373)</f>
        <v/>
      </c>
      <c r="H370" s="2" t="s">
        <v>725</v>
      </c>
      <c r="I370" s="3">
        <v>45503</v>
      </c>
      <c r="J370" s="6">
        <v>40057179723.879997</v>
      </c>
      <c r="K370" t="str">
        <f ca="1">IF($I370=业绩披露日期!D$7,ROW(),"")</f>
        <v/>
      </c>
      <c r="L370" t="str">
        <f>IF($I370=业绩披露日期!E$7,ROW(),"")</f>
        <v/>
      </c>
      <c r="M370" t="str">
        <f>IF($I370=业绩披露日期!F$7,ROW(),"")</f>
        <v/>
      </c>
      <c r="N370" t="str">
        <f>IF($I370=业绩披露日期!G$7,ROW(),"")</f>
        <v/>
      </c>
      <c r="O370" t="str">
        <f>IF($I370=业绩披露日期!H$7,ROW(),"")</f>
        <v/>
      </c>
      <c r="P370" t="str">
        <f>IF($I370=业绩披露日期!I$7,ROW(),"")</f>
        <v/>
      </c>
    </row>
    <row r="371" spans="1:16" x14ac:dyDescent="0.35">
      <c r="A371" s="23">
        <f t="shared" ca="1" si="26"/>
        <v>0</v>
      </c>
      <c r="B371" s="23">
        <f t="shared" si="27"/>
        <v>0</v>
      </c>
      <c r="C371" s="23">
        <f t="shared" si="28"/>
        <v>0</v>
      </c>
      <c r="D371" s="23">
        <f t="shared" si="29"/>
        <v>0</v>
      </c>
      <c r="E371" s="23">
        <f t="shared" si="30"/>
        <v>0</v>
      </c>
      <c r="F371" s="23">
        <f t="shared" si="30"/>
        <v>0</v>
      </c>
      <c r="G371" s="2" t="str">
        <f>IF('证券列表 '!B374="","",'证券列表 '!B374)</f>
        <v/>
      </c>
      <c r="H371" s="2" t="s">
        <v>726</v>
      </c>
      <c r="I371" s="3">
        <v>45484</v>
      </c>
      <c r="J371" s="6">
        <v>236378074316</v>
      </c>
      <c r="K371" t="str">
        <f ca="1">IF($I371=业绩披露日期!D$7,ROW(),"")</f>
        <v/>
      </c>
      <c r="L371" t="str">
        <f>IF($I371=业绩披露日期!E$7,ROW(),"")</f>
        <v/>
      </c>
      <c r="M371" t="str">
        <f>IF($I371=业绩披露日期!F$7,ROW(),"")</f>
        <v/>
      </c>
      <c r="N371" t="str">
        <f>IF($I371=业绩披露日期!G$7,ROW(),"")</f>
        <v/>
      </c>
      <c r="O371" t="str">
        <f>IF($I371=业绩披露日期!H$7,ROW(),"")</f>
        <v/>
      </c>
      <c r="P371" t="str">
        <f>IF($I371=业绩披露日期!I$7,ROW(),"")</f>
        <v/>
      </c>
    </row>
    <row r="372" spans="1:16" x14ac:dyDescent="0.35">
      <c r="A372" s="23">
        <f t="shared" ca="1" si="26"/>
        <v>0</v>
      </c>
      <c r="B372" s="23">
        <f t="shared" si="27"/>
        <v>0</v>
      </c>
      <c r="C372" s="23">
        <f t="shared" si="28"/>
        <v>0</v>
      </c>
      <c r="D372" s="23">
        <f t="shared" si="29"/>
        <v>0</v>
      </c>
      <c r="E372" s="23">
        <f t="shared" si="30"/>
        <v>0</v>
      </c>
      <c r="F372" s="23">
        <f t="shared" si="30"/>
        <v>0</v>
      </c>
      <c r="G372" s="2" t="str">
        <f>IF('证券列表 '!B375="","",'证券列表 '!B375)</f>
        <v/>
      </c>
      <c r="H372" s="2" t="s">
        <v>727</v>
      </c>
      <c r="I372" s="3">
        <v>45503</v>
      </c>
      <c r="J372" s="6">
        <v>162747482238.07999</v>
      </c>
      <c r="K372" t="str">
        <f ca="1">IF($I372=业绩披露日期!D$7,ROW(),"")</f>
        <v/>
      </c>
      <c r="L372" t="str">
        <f>IF($I372=业绩披露日期!E$7,ROW(),"")</f>
        <v/>
      </c>
      <c r="M372" t="str">
        <f>IF($I372=业绩披露日期!F$7,ROW(),"")</f>
        <v/>
      </c>
      <c r="N372" t="str">
        <f>IF($I372=业绩披露日期!G$7,ROW(),"")</f>
        <v/>
      </c>
      <c r="O372" t="str">
        <f>IF($I372=业绩披露日期!H$7,ROW(),"")</f>
        <v/>
      </c>
      <c r="P372" t="str">
        <f>IF($I372=业绩披露日期!I$7,ROW(),"")</f>
        <v/>
      </c>
    </row>
    <row r="373" spans="1:16" x14ac:dyDescent="0.35">
      <c r="A373" s="23">
        <f t="shared" ca="1" si="26"/>
        <v>0</v>
      </c>
      <c r="B373" s="23">
        <f t="shared" si="27"/>
        <v>0</v>
      </c>
      <c r="C373" s="23">
        <f t="shared" si="28"/>
        <v>0</v>
      </c>
      <c r="D373" s="23">
        <f t="shared" si="29"/>
        <v>0</v>
      </c>
      <c r="E373" s="23">
        <f t="shared" si="30"/>
        <v>0</v>
      </c>
      <c r="F373" s="23">
        <f t="shared" si="30"/>
        <v>0</v>
      </c>
      <c r="G373" s="2" t="str">
        <f>IF('证券列表 '!B376="","",'证券列表 '!B376)</f>
        <v/>
      </c>
      <c r="H373" s="2" t="s">
        <v>728</v>
      </c>
      <c r="I373" s="3">
        <v>45498</v>
      </c>
      <c r="J373" s="6">
        <v>18688805881.200001</v>
      </c>
      <c r="K373" t="str">
        <f ca="1">IF($I373=业绩披露日期!D$7,ROW(),"")</f>
        <v/>
      </c>
      <c r="L373" t="str">
        <f>IF($I373=业绩披露日期!E$7,ROW(),"")</f>
        <v/>
      </c>
      <c r="M373" t="str">
        <f>IF($I373=业绩披露日期!F$7,ROW(),"")</f>
        <v/>
      </c>
      <c r="N373" t="str">
        <f>IF($I373=业绩披露日期!G$7,ROW(),"")</f>
        <v/>
      </c>
      <c r="O373" t="str">
        <f>IF($I373=业绩披露日期!H$7,ROW(),"")</f>
        <v/>
      </c>
      <c r="P373" t="str">
        <f>IF($I373=业绩披露日期!I$7,ROW(),"")</f>
        <v/>
      </c>
    </row>
    <row r="374" spans="1:16" x14ac:dyDescent="0.35">
      <c r="A374" s="23">
        <f t="shared" ca="1" si="26"/>
        <v>0</v>
      </c>
      <c r="B374" s="23">
        <f t="shared" si="27"/>
        <v>0</v>
      </c>
      <c r="C374" s="23">
        <f t="shared" si="28"/>
        <v>0</v>
      </c>
      <c r="D374" s="23">
        <f t="shared" si="29"/>
        <v>0</v>
      </c>
      <c r="E374" s="23">
        <f t="shared" si="30"/>
        <v>0</v>
      </c>
      <c r="F374" s="23">
        <f t="shared" si="30"/>
        <v>0</v>
      </c>
      <c r="G374" s="2" t="str">
        <f>IF('证券列表 '!B377="","",'证券列表 '!B377)</f>
        <v/>
      </c>
      <c r="H374" s="2" t="s">
        <v>729</v>
      </c>
      <c r="I374" s="3">
        <v>45314</v>
      </c>
      <c r="J374" s="6">
        <v>400259289319.60999</v>
      </c>
      <c r="K374" t="str">
        <f ca="1">IF($I374=业绩披露日期!D$7,ROW(),"")</f>
        <v/>
      </c>
      <c r="L374" t="str">
        <f>IF($I374=业绩披露日期!E$7,ROW(),"")</f>
        <v/>
      </c>
      <c r="M374" t="str">
        <f>IF($I374=业绩披露日期!F$7,ROW(),"")</f>
        <v/>
      </c>
      <c r="N374" t="str">
        <f>IF($I374=业绩披露日期!G$7,ROW(),"")</f>
        <v/>
      </c>
      <c r="O374" t="str">
        <f>IF($I374=业绩披露日期!H$7,ROW(),"")</f>
        <v/>
      </c>
      <c r="P374" t="str">
        <f>IF($I374=业绩披露日期!I$7,ROW(),"")</f>
        <v/>
      </c>
    </row>
    <row r="375" spans="1:16" x14ac:dyDescent="0.35">
      <c r="A375" s="23">
        <f t="shared" ca="1" si="26"/>
        <v>0</v>
      </c>
      <c r="B375" s="23">
        <f t="shared" si="27"/>
        <v>0</v>
      </c>
      <c r="C375" s="23">
        <f t="shared" si="28"/>
        <v>0</v>
      </c>
      <c r="D375" s="23">
        <f t="shared" si="29"/>
        <v>0</v>
      </c>
      <c r="E375" s="23">
        <f t="shared" si="30"/>
        <v>0</v>
      </c>
      <c r="F375" s="23">
        <f t="shared" si="30"/>
        <v>0</v>
      </c>
      <c r="G375" s="2" t="str">
        <f>IF('证券列表 '!B378="","",'证券列表 '!B378)</f>
        <v/>
      </c>
      <c r="H375" s="2" t="s">
        <v>730</v>
      </c>
      <c r="I375" s="3">
        <v>45491</v>
      </c>
      <c r="J375" s="6">
        <v>146422522916.64999</v>
      </c>
      <c r="K375" t="str">
        <f ca="1">IF($I375=业绩披露日期!D$7,ROW(),"")</f>
        <v/>
      </c>
      <c r="L375" t="str">
        <f>IF($I375=业绩披露日期!E$7,ROW(),"")</f>
        <v/>
      </c>
      <c r="M375" t="str">
        <f>IF($I375=业绩披露日期!F$7,ROW(),"")</f>
        <v/>
      </c>
      <c r="N375" t="str">
        <f>IF($I375=业绩披露日期!G$7,ROW(),"")</f>
        <v/>
      </c>
      <c r="O375" t="str">
        <f>IF($I375=业绩披露日期!H$7,ROW(),"")</f>
        <v/>
      </c>
      <c r="P375" t="str">
        <f>IF($I375=业绩披露日期!I$7,ROW(),"")</f>
        <v/>
      </c>
    </row>
    <row r="376" spans="1:16" x14ac:dyDescent="0.35">
      <c r="A376" s="23">
        <f t="shared" ca="1" si="26"/>
        <v>0</v>
      </c>
      <c r="B376" s="23">
        <f t="shared" si="27"/>
        <v>0</v>
      </c>
      <c r="C376" s="23">
        <f t="shared" si="28"/>
        <v>0</v>
      </c>
      <c r="D376" s="23">
        <f t="shared" si="29"/>
        <v>0</v>
      </c>
      <c r="E376" s="23">
        <f t="shared" si="30"/>
        <v>0</v>
      </c>
      <c r="F376" s="23">
        <f t="shared" si="30"/>
        <v>0</v>
      </c>
      <c r="G376" s="2" t="str">
        <f>IF('证券列表 '!B379="","",'证券列表 '!B379)</f>
        <v/>
      </c>
      <c r="H376" s="2" t="s">
        <v>731</v>
      </c>
      <c r="I376" s="3">
        <v>45323</v>
      </c>
      <c r="J376" s="6">
        <v>75996004107.800003</v>
      </c>
      <c r="K376" t="str">
        <f ca="1">IF($I376=业绩披露日期!D$7,ROW(),"")</f>
        <v/>
      </c>
      <c r="L376" t="str">
        <f>IF($I376=业绩披露日期!E$7,ROW(),"")</f>
        <v/>
      </c>
      <c r="M376" t="str">
        <f>IF($I376=业绩披露日期!F$7,ROW(),"")</f>
        <v/>
      </c>
      <c r="N376" t="str">
        <f>IF($I376=业绩披露日期!G$7,ROW(),"")</f>
        <v/>
      </c>
      <c r="O376" t="str">
        <f>IF($I376=业绩披露日期!H$7,ROW(),"")</f>
        <v/>
      </c>
      <c r="P376" t="str">
        <f>IF($I376=业绩披露日期!I$7,ROW(),"")</f>
        <v/>
      </c>
    </row>
    <row r="377" spans="1:16" x14ac:dyDescent="0.35">
      <c r="A377" s="23">
        <f t="shared" ca="1" si="26"/>
        <v>0</v>
      </c>
      <c r="B377" s="23">
        <f t="shared" si="27"/>
        <v>0</v>
      </c>
      <c r="C377" s="23">
        <f t="shared" si="28"/>
        <v>0</v>
      </c>
      <c r="D377" s="23">
        <f t="shared" si="29"/>
        <v>0</v>
      </c>
      <c r="E377" s="23">
        <f t="shared" si="30"/>
        <v>0</v>
      </c>
      <c r="F377" s="23">
        <f t="shared" si="30"/>
        <v>0</v>
      </c>
      <c r="G377" s="2" t="str">
        <f>IF('证券列表 '!B380="","",'证券列表 '!B380)</f>
        <v/>
      </c>
      <c r="H377" s="2" t="s">
        <v>732</v>
      </c>
      <c r="I377" s="3">
        <v>45496</v>
      </c>
      <c r="J377" s="6">
        <v>27005102414.290001</v>
      </c>
      <c r="K377" t="str">
        <f ca="1">IF($I377=业绩披露日期!D$7,ROW(),"")</f>
        <v/>
      </c>
      <c r="L377" t="str">
        <f>IF($I377=业绩披露日期!E$7,ROW(),"")</f>
        <v/>
      </c>
      <c r="M377" t="str">
        <f>IF($I377=业绩披露日期!F$7,ROW(),"")</f>
        <v/>
      </c>
      <c r="N377" t="str">
        <f>IF($I377=业绩披露日期!G$7,ROW(),"")</f>
        <v/>
      </c>
      <c r="O377" t="str">
        <f>IF($I377=业绩披露日期!H$7,ROW(),"")</f>
        <v/>
      </c>
      <c r="P377" t="str">
        <f>IF($I377=业绩披露日期!I$7,ROW(),"")</f>
        <v/>
      </c>
    </row>
    <row r="378" spans="1:16" x14ac:dyDescent="0.35">
      <c r="A378" s="23">
        <f t="shared" ca="1" si="26"/>
        <v>0</v>
      </c>
      <c r="B378" s="23">
        <f t="shared" si="27"/>
        <v>0</v>
      </c>
      <c r="C378" s="23">
        <f t="shared" si="28"/>
        <v>0</v>
      </c>
      <c r="D378" s="23">
        <f t="shared" si="29"/>
        <v>0</v>
      </c>
      <c r="E378" s="23">
        <f t="shared" si="30"/>
        <v>0</v>
      </c>
      <c r="F378" s="23">
        <f t="shared" si="30"/>
        <v>0</v>
      </c>
      <c r="G378" s="2" t="str">
        <f>IF('证券列表 '!B381="","",'证券列表 '!B381)</f>
        <v/>
      </c>
      <c r="H378" s="2" t="s">
        <v>733</v>
      </c>
      <c r="I378" s="3">
        <v>45496</v>
      </c>
      <c r="J378" s="6">
        <v>18559610536.5</v>
      </c>
      <c r="K378" t="str">
        <f ca="1">IF($I378=业绩披露日期!D$7,ROW(),"")</f>
        <v/>
      </c>
      <c r="L378" t="str">
        <f>IF($I378=业绩披露日期!E$7,ROW(),"")</f>
        <v/>
      </c>
      <c r="M378" t="str">
        <f>IF($I378=业绩披露日期!F$7,ROW(),"")</f>
        <v/>
      </c>
      <c r="N378" t="str">
        <f>IF($I378=业绩披露日期!G$7,ROW(),"")</f>
        <v/>
      </c>
      <c r="O378" t="str">
        <f>IF($I378=业绩披露日期!H$7,ROW(),"")</f>
        <v/>
      </c>
      <c r="P378" t="str">
        <f>IF($I378=业绩披露日期!I$7,ROW(),"")</f>
        <v/>
      </c>
    </row>
    <row r="379" spans="1:16" x14ac:dyDescent="0.35">
      <c r="A379" s="23">
        <f t="shared" ca="1" si="26"/>
        <v>0</v>
      </c>
      <c r="B379" s="23">
        <f t="shared" si="27"/>
        <v>0</v>
      </c>
      <c r="C379" s="23">
        <f t="shared" si="28"/>
        <v>0</v>
      </c>
      <c r="D379" s="23">
        <f t="shared" si="29"/>
        <v>0</v>
      </c>
      <c r="E379" s="23">
        <f t="shared" si="30"/>
        <v>0</v>
      </c>
      <c r="F379" s="23">
        <f t="shared" si="30"/>
        <v>0</v>
      </c>
      <c r="G379" s="2" t="str">
        <f>IF('证券列表 '!B382="","",'证券列表 '!B382)</f>
        <v/>
      </c>
      <c r="H379" s="2" t="s">
        <v>734</v>
      </c>
      <c r="I379" s="3">
        <v>45490</v>
      </c>
      <c r="J379" s="6">
        <v>116044425630</v>
      </c>
      <c r="K379" t="str">
        <f ca="1">IF($I379=业绩披露日期!D$7,ROW(),"")</f>
        <v/>
      </c>
      <c r="L379" t="str">
        <f>IF($I379=业绩披露日期!E$7,ROW(),"")</f>
        <v/>
      </c>
      <c r="M379" t="str">
        <f>IF($I379=业绩披露日期!F$7,ROW(),"")</f>
        <v/>
      </c>
      <c r="N379" t="str">
        <f>IF($I379=业绩披露日期!G$7,ROW(),"")</f>
        <v/>
      </c>
      <c r="O379" t="str">
        <f>IF($I379=业绩披露日期!H$7,ROW(),"")</f>
        <v/>
      </c>
      <c r="P379" t="str">
        <f>IF($I379=业绩披露日期!I$7,ROW(),"")</f>
        <v/>
      </c>
    </row>
    <row r="380" spans="1:16" x14ac:dyDescent="0.35">
      <c r="A380" s="23">
        <f t="shared" ca="1" si="26"/>
        <v>0</v>
      </c>
      <c r="B380" s="23">
        <f t="shared" si="27"/>
        <v>0</v>
      </c>
      <c r="C380" s="23">
        <f t="shared" si="28"/>
        <v>0</v>
      </c>
      <c r="D380" s="23">
        <f t="shared" si="29"/>
        <v>0</v>
      </c>
      <c r="E380" s="23">
        <f t="shared" si="30"/>
        <v>0</v>
      </c>
      <c r="F380" s="23">
        <f t="shared" si="30"/>
        <v>0</v>
      </c>
      <c r="G380" s="2" t="str">
        <f>IF('证券列表 '!B383="","",'证券列表 '!B383)</f>
        <v/>
      </c>
      <c r="H380" s="2" t="s">
        <v>735</v>
      </c>
      <c r="I380" s="3">
        <v>45496</v>
      </c>
      <c r="J380" s="6">
        <v>190540927991.69998</v>
      </c>
      <c r="K380" t="str">
        <f ca="1">IF($I380=业绩披露日期!D$7,ROW(),"")</f>
        <v/>
      </c>
      <c r="L380" t="str">
        <f>IF($I380=业绩披露日期!E$7,ROW(),"")</f>
        <v/>
      </c>
      <c r="M380" t="str">
        <f>IF($I380=业绩披露日期!F$7,ROW(),"")</f>
        <v/>
      </c>
      <c r="N380" t="str">
        <f>IF($I380=业绩披露日期!G$7,ROW(),"")</f>
        <v/>
      </c>
      <c r="O380" t="str">
        <f>IF($I380=业绩披露日期!H$7,ROW(),"")</f>
        <v/>
      </c>
      <c r="P380" t="str">
        <f>IF($I380=业绩披露日期!I$7,ROW(),"")</f>
        <v/>
      </c>
    </row>
    <row r="381" spans="1:16" x14ac:dyDescent="0.35">
      <c r="A381" s="23">
        <f t="shared" ca="1" si="26"/>
        <v>0</v>
      </c>
      <c r="B381" s="23">
        <f t="shared" si="27"/>
        <v>0</v>
      </c>
      <c r="C381" s="23">
        <f t="shared" si="28"/>
        <v>0</v>
      </c>
      <c r="D381" s="23">
        <f t="shared" si="29"/>
        <v>0</v>
      </c>
      <c r="E381" s="23">
        <f t="shared" si="30"/>
        <v>0</v>
      </c>
      <c r="F381" s="23">
        <f t="shared" si="30"/>
        <v>0</v>
      </c>
      <c r="G381" s="2" t="str">
        <f>IF('证券列表 '!B384="","",'证券列表 '!B384)</f>
        <v/>
      </c>
      <c r="H381" s="2" t="s">
        <v>736</v>
      </c>
      <c r="I381" s="3">
        <v>45489</v>
      </c>
      <c r="J381" s="6">
        <v>72757716345.599991</v>
      </c>
      <c r="K381" t="str">
        <f ca="1">IF($I381=业绩披露日期!D$7,ROW(),"")</f>
        <v/>
      </c>
      <c r="L381" t="str">
        <f>IF($I381=业绩披露日期!E$7,ROW(),"")</f>
        <v/>
      </c>
      <c r="M381" t="str">
        <f>IF($I381=业绩披露日期!F$7,ROW(),"")</f>
        <v/>
      </c>
      <c r="N381" t="str">
        <f>IF($I381=业绩披露日期!G$7,ROW(),"")</f>
        <v/>
      </c>
      <c r="O381" t="str">
        <f>IF($I381=业绩披露日期!H$7,ROW(),"")</f>
        <v/>
      </c>
      <c r="P381" t="str">
        <f>IF($I381=业绩披露日期!I$7,ROW(),"")</f>
        <v/>
      </c>
    </row>
    <row r="382" spans="1:16" x14ac:dyDescent="0.35">
      <c r="A382" s="23">
        <f t="shared" ca="1" si="26"/>
        <v>0</v>
      </c>
      <c r="B382" s="23">
        <f t="shared" si="27"/>
        <v>0</v>
      </c>
      <c r="C382" s="23">
        <f t="shared" si="28"/>
        <v>0</v>
      </c>
      <c r="D382" s="23">
        <f t="shared" si="29"/>
        <v>0</v>
      </c>
      <c r="E382" s="23">
        <f t="shared" si="30"/>
        <v>0</v>
      </c>
      <c r="F382" s="23">
        <f t="shared" si="30"/>
        <v>0</v>
      </c>
      <c r="G382" s="2" t="str">
        <f>IF('证券列表 '!B385="","",'证券列表 '!B385)</f>
        <v/>
      </c>
      <c r="H382" s="2" t="s">
        <v>737</v>
      </c>
      <c r="I382" s="3">
        <v>45496</v>
      </c>
      <c r="J382" s="6">
        <v>14396648054.639999</v>
      </c>
      <c r="K382" t="str">
        <f ca="1">IF($I382=业绩披露日期!D$7,ROW(),"")</f>
        <v/>
      </c>
      <c r="L382" t="str">
        <f>IF($I382=业绩披露日期!E$7,ROW(),"")</f>
        <v/>
      </c>
      <c r="M382" t="str">
        <f>IF($I382=业绩披露日期!F$7,ROW(),"")</f>
        <v/>
      </c>
      <c r="N382" t="str">
        <f>IF($I382=业绩披露日期!G$7,ROW(),"")</f>
        <v/>
      </c>
      <c r="O382" t="str">
        <f>IF($I382=业绩披露日期!H$7,ROW(),"")</f>
        <v/>
      </c>
      <c r="P382" t="str">
        <f>IF($I382=业绩披露日期!I$7,ROW(),"")</f>
        <v/>
      </c>
    </row>
    <row r="383" spans="1:16" x14ac:dyDescent="0.35">
      <c r="A383" s="23">
        <f t="shared" ca="1" si="26"/>
        <v>0</v>
      </c>
      <c r="B383" s="23">
        <f t="shared" si="27"/>
        <v>0</v>
      </c>
      <c r="C383" s="23">
        <f t="shared" si="28"/>
        <v>0</v>
      </c>
      <c r="D383" s="23">
        <f t="shared" si="29"/>
        <v>0</v>
      </c>
      <c r="E383" s="23">
        <f t="shared" si="30"/>
        <v>0</v>
      </c>
      <c r="F383" s="23">
        <f t="shared" si="30"/>
        <v>0</v>
      </c>
      <c r="G383" s="2" t="str">
        <f>IF('证券列表 '!B386="","",'证券列表 '!B386)</f>
        <v/>
      </c>
      <c r="H383" s="2" t="s">
        <v>738</v>
      </c>
      <c r="I383" s="3">
        <v>45505</v>
      </c>
      <c r="J383" s="6">
        <v>9901242747.9000015</v>
      </c>
      <c r="K383" t="str">
        <f ca="1">IF($I383=业绩披露日期!D$7,ROW(),"")</f>
        <v/>
      </c>
      <c r="L383" t="str">
        <f>IF($I383=业绩披露日期!E$7,ROW(),"")</f>
        <v/>
      </c>
      <c r="M383" t="str">
        <f>IF($I383=业绩披露日期!F$7,ROW(),"")</f>
        <v/>
      </c>
      <c r="N383" t="str">
        <f>IF($I383=业绩披露日期!G$7,ROW(),"")</f>
        <v/>
      </c>
      <c r="O383" t="str">
        <f>IF($I383=业绩披露日期!H$7,ROW(),"")</f>
        <v/>
      </c>
      <c r="P383" t="str">
        <f>IF($I383=业绩披露日期!I$7,ROW(),"")</f>
        <v/>
      </c>
    </row>
    <row r="384" spans="1:16" x14ac:dyDescent="0.35">
      <c r="A384" s="23">
        <f t="shared" ca="1" si="26"/>
        <v>0</v>
      </c>
      <c r="B384" s="23">
        <f t="shared" si="27"/>
        <v>0</v>
      </c>
      <c r="C384" s="23">
        <f t="shared" si="28"/>
        <v>0</v>
      </c>
      <c r="D384" s="23">
        <f t="shared" si="29"/>
        <v>0</v>
      </c>
      <c r="E384" s="23">
        <f t="shared" si="30"/>
        <v>0</v>
      </c>
      <c r="F384" s="23">
        <f t="shared" si="30"/>
        <v>0</v>
      </c>
      <c r="G384" s="2" t="str">
        <f>IF('证券列表 '!B387="","",'证券列表 '!B387)</f>
        <v/>
      </c>
      <c r="H384" s="2" t="s">
        <v>739</v>
      </c>
      <c r="I384" s="3">
        <v>45512</v>
      </c>
      <c r="J384" s="6">
        <v>14384191132.300001</v>
      </c>
      <c r="K384" t="str">
        <f ca="1">IF($I384=业绩披露日期!D$7,ROW(),"")</f>
        <v/>
      </c>
      <c r="L384" t="str">
        <f>IF($I384=业绩披露日期!E$7,ROW(),"")</f>
        <v/>
      </c>
      <c r="M384" t="str">
        <f>IF($I384=业绩披露日期!F$7,ROW(),"")</f>
        <v/>
      </c>
      <c r="N384" t="str">
        <f>IF($I384=业绩披露日期!G$7,ROW(),"")</f>
        <v/>
      </c>
      <c r="O384" t="str">
        <f>IF($I384=业绩披露日期!H$7,ROW(),"")</f>
        <v/>
      </c>
      <c r="P384" t="str">
        <f>IF($I384=业绩披露日期!I$7,ROW(),"")</f>
        <v/>
      </c>
    </row>
    <row r="385" spans="1:16" x14ac:dyDescent="0.35">
      <c r="A385" s="23">
        <f t="shared" ca="1" si="26"/>
        <v>0</v>
      </c>
      <c r="B385" s="23">
        <f t="shared" si="27"/>
        <v>0</v>
      </c>
      <c r="C385" s="23">
        <f t="shared" si="28"/>
        <v>0</v>
      </c>
      <c r="D385" s="23">
        <f t="shared" si="29"/>
        <v>0</v>
      </c>
      <c r="E385" s="23">
        <f t="shared" si="30"/>
        <v>0</v>
      </c>
      <c r="F385" s="23">
        <f t="shared" si="30"/>
        <v>0</v>
      </c>
      <c r="G385" s="2" t="str">
        <f>IF('证券列表 '!B388="","",'证券列表 '!B388)</f>
        <v/>
      </c>
      <c r="H385" s="2" t="s">
        <v>740</v>
      </c>
      <c r="I385" s="3">
        <v>45498</v>
      </c>
      <c r="J385" s="6">
        <v>13421646300.959999</v>
      </c>
      <c r="K385" t="str">
        <f ca="1">IF($I385=业绩披露日期!D$7,ROW(),"")</f>
        <v/>
      </c>
      <c r="L385" t="str">
        <f>IF($I385=业绩披露日期!E$7,ROW(),"")</f>
        <v/>
      </c>
      <c r="M385" t="str">
        <f>IF($I385=业绩披露日期!F$7,ROW(),"")</f>
        <v/>
      </c>
      <c r="N385" t="str">
        <f>IF($I385=业绩披露日期!G$7,ROW(),"")</f>
        <v/>
      </c>
      <c r="O385" t="str">
        <f>IF($I385=业绩披露日期!H$7,ROW(),"")</f>
        <v/>
      </c>
      <c r="P385" t="str">
        <f>IF($I385=业绩披露日期!I$7,ROW(),"")</f>
        <v/>
      </c>
    </row>
    <row r="386" spans="1:16" x14ac:dyDescent="0.35">
      <c r="A386" s="23">
        <f t="shared" ca="1" si="26"/>
        <v>0</v>
      </c>
      <c r="B386" s="23">
        <f t="shared" si="27"/>
        <v>0</v>
      </c>
      <c r="C386" s="23">
        <f t="shared" si="28"/>
        <v>0</v>
      </c>
      <c r="D386" s="23">
        <f t="shared" si="29"/>
        <v>0</v>
      </c>
      <c r="E386" s="23">
        <f t="shared" si="30"/>
        <v>0</v>
      </c>
      <c r="F386" s="23">
        <f t="shared" si="30"/>
        <v>0</v>
      </c>
      <c r="G386" s="2" t="str">
        <f>IF('证券列表 '!B389="","",'证券列表 '!B389)</f>
        <v/>
      </c>
      <c r="H386" s="2" t="s">
        <v>741</v>
      </c>
      <c r="I386" s="3">
        <v>45491</v>
      </c>
      <c r="J386" s="6">
        <v>30058372000</v>
      </c>
      <c r="K386" t="str">
        <f ca="1">IF($I386=业绩披露日期!D$7,ROW(),"")</f>
        <v/>
      </c>
      <c r="L386" t="str">
        <f>IF($I386=业绩披露日期!E$7,ROW(),"")</f>
        <v/>
      </c>
      <c r="M386" t="str">
        <f>IF($I386=业绩披露日期!F$7,ROW(),"")</f>
        <v/>
      </c>
      <c r="N386" t="str">
        <f>IF($I386=业绩披露日期!G$7,ROW(),"")</f>
        <v/>
      </c>
      <c r="O386" t="str">
        <f>IF($I386=业绩披露日期!H$7,ROW(),"")</f>
        <v/>
      </c>
      <c r="P386" t="str">
        <f>IF($I386=业绩披露日期!I$7,ROW(),"")</f>
        <v/>
      </c>
    </row>
    <row r="387" spans="1:16" x14ac:dyDescent="0.35">
      <c r="A387" s="23">
        <f t="shared" ca="1" si="26"/>
        <v>0</v>
      </c>
      <c r="B387" s="23">
        <f t="shared" si="27"/>
        <v>0</v>
      </c>
      <c r="C387" s="23">
        <f t="shared" si="28"/>
        <v>0</v>
      </c>
      <c r="D387" s="23">
        <f t="shared" si="29"/>
        <v>0</v>
      </c>
      <c r="E387" s="23">
        <f t="shared" si="30"/>
        <v>0</v>
      </c>
      <c r="F387" s="23">
        <f t="shared" si="30"/>
        <v>0</v>
      </c>
      <c r="G387" s="2" t="str">
        <f>IF('证券列表 '!B390="","",'证券列表 '!B390)</f>
        <v/>
      </c>
      <c r="H387" s="2" t="s">
        <v>742</v>
      </c>
      <c r="I387" s="3">
        <v>45506</v>
      </c>
      <c r="J387" s="6">
        <v>23424302402</v>
      </c>
      <c r="K387" t="str">
        <f ca="1">IF($I387=业绩披露日期!D$7,ROW(),"")</f>
        <v/>
      </c>
      <c r="L387" t="str">
        <f>IF($I387=业绩披露日期!E$7,ROW(),"")</f>
        <v/>
      </c>
      <c r="M387" t="str">
        <f>IF($I387=业绩披露日期!F$7,ROW(),"")</f>
        <v/>
      </c>
      <c r="N387" t="str">
        <f>IF($I387=业绩披露日期!G$7,ROW(),"")</f>
        <v/>
      </c>
      <c r="O387" t="str">
        <f>IF($I387=业绩披露日期!H$7,ROW(),"")</f>
        <v/>
      </c>
      <c r="P387" t="str">
        <f>IF($I387=业绩披露日期!I$7,ROW(),"")</f>
        <v/>
      </c>
    </row>
    <row r="388" spans="1:16" x14ac:dyDescent="0.35">
      <c r="A388" s="23">
        <f t="shared" ref="A388:A451" ca="1" si="31">IF(K388="",0,RANK(K388,K:K,1))</f>
        <v>0</v>
      </c>
      <c r="B388" s="23">
        <f t="shared" ref="B388:B451" si="32">IF(L388="",0,RANK(L388,L:L,1))</f>
        <v>0</v>
      </c>
      <c r="C388" s="23">
        <f t="shared" ref="C388:C451" si="33">IF(M388="",0,RANK(M388,M:M,1))</f>
        <v>0</v>
      </c>
      <c r="D388" s="23">
        <f t="shared" ref="D388:D451" si="34">IF(N388="",0,RANK(N388,N:N,1))</f>
        <v>0</v>
      </c>
      <c r="E388" s="23">
        <f t="shared" ref="E388:F451" si="35">IF(O388="",0,RANK(O388,O:O,1))</f>
        <v>0</v>
      </c>
      <c r="F388" s="23">
        <f t="shared" si="35"/>
        <v>0</v>
      </c>
      <c r="G388" s="2" t="str">
        <f>IF('证券列表 '!B391="","",'证券列表 '!B391)</f>
        <v/>
      </c>
      <c r="H388" s="2" t="s">
        <v>743</v>
      </c>
      <c r="I388" s="3">
        <v>45505</v>
      </c>
      <c r="J388" s="6">
        <v>42768600000</v>
      </c>
      <c r="K388" t="str">
        <f ca="1">IF($I388=业绩披露日期!D$7,ROW(),"")</f>
        <v/>
      </c>
      <c r="L388" t="str">
        <f>IF($I388=业绩披露日期!E$7,ROW(),"")</f>
        <v/>
      </c>
      <c r="M388" t="str">
        <f>IF($I388=业绩披露日期!F$7,ROW(),"")</f>
        <v/>
      </c>
      <c r="N388" t="str">
        <f>IF($I388=业绩披露日期!G$7,ROW(),"")</f>
        <v/>
      </c>
      <c r="O388" t="str">
        <f>IF($I388=业绩披露日期!H$7,ROW(),"")</f>
        <v/>
      </c>
      <c r="P388" t="str">
        <f>IF($I388=业绩披露日期!I$7,ROW(),"")</f>
        <v/>
      </c>
    </row>
    <row r="389" spans="1:16" x14ac:dyDescent="0.35">
      <c r="A389" s="23">
        <f t="shared" ca="1" si="31"/>
        <v>0</v>
      </c>
      <c r="B389" s="23">
        <f t="shared" si="32"/>
        <v>0</v>
      </c>
      <c r="C389" s="23">
        <f t="shared" si="33"/>
        <v>0</v>
      </c>
      <c r="D389" s="23">
        <f t="shared" si="34"/>
        <v>0</v>
      </c>
      <c r="E389" s="23">
        <f t="shared" si="35"/>
        <v>0</v>
      </c>
      <c r="F389" s="23">
        <f t="shared" si="35"/>
        <v>0</v>
      </c>
      <c r="G389" s="2" t="str">
        <f>IF('证券列表 '!B392="","",'证券列表 '!B392)</f>
        <v/>
      </c>
      <c r="H389" s="2" t="s">
        <v>744</v>
      </c>
      <c r="I389" s="3">
        <v>45503</v>
      </c>
      <c r="J389" s="6">
        <v>59807296191.000008</v>
      </c>
      <c r="K389" t="str">
        <f ca="1">IF($I389=业绩披露日期!D$7,ROW(),"")</f>
        <v/>
      </c>
      <c r="L389" t="str">
        <f>IF($I389=业绩披露日期!E$7,ROW(),"")</f>
        <v/>
      </c>
      <c r="M389" t="str">
        <f>IF($I389=业绩披露日期!F$7,ROW(),"")</f>
        <v/>
      </c>
      <c r="N389" t="str">
        <f>IF($I389=业绩披露日期!G$7,ROW(),"")</f>
        <v/>
      </c>
      <c r="O389" t="str">
        <f>IF($I389=业绩披露日期!H$7,ROW(),"")</f>
        <v/>
      </c>
      <c r="P389" t="str">
        <f>IF($I389=业绩披露日期!I$7,ROW(),"")</f>
        <v/>
      </c>
    </row>
    <row r="390" spans="1:16" x14ac:dyDescent="0.35">
      <c r="A390" s="23">
        <f t="shared" ca="1" si="31"/>
        <v>0</v>
      </c>
      <c r="B390" s="23">
        <f t="shared" si="32"/>
        <v>0</v>
      </c>
      <c r="C390" s="23">
        <f t="shared" si="33"/>
        <v>0</v>
      </c>
      <c r="D390" s="23">
        <f t="shared" si="34"/>
        <v>0</v>
      </c>
      <c r="E390" s="23">
        <f t="shared" si="35"/>
        <v>0</v>
      </c>
      <c r="F390" s="23">
        <f t="shared" si="35"/>
        <v>0</v>
      </c>
      <c r="G390" s="2" t="str">
        <f>IF('证券列表 '!B393="","",'证券列表 '!B393)</f>
        <v/>
      </c>
      <c r="H390" s="2" t="s">
        <v>745</v>
      </c>
      <c r="I390" s="3">
        <v>45503</v>
      </c>
      <c r="J390" s="6">
        <v>57134693479.5</v>
      </c>
      <c r="K390" t="str">
        <f ca="1">IF($I390=业绩披露日期!D$7,ROW(),"")</f>
        <v/>
      </c>
      <c r="L390" t="str">
        <f>IF($I390=业绩披露日期!E$7,ROW(),"")</f>
        <v/>
      </c>
      <c r="M390" t="str">
        <f>IF($I390=业绩披露日期!F$7,ROW(),"")</f>
        <v/>
      </c>
      <c r="N390" t="str">
        <f>IF($I390=业绩披露日期!G$7,ROW(),"")</f>
        <v/>
      </c>
      <c r="O390" t="str">
        <f>IF($I390=业绩披露日期!H$7,ROW(),"")</f>
        <v/>
      </c>
      <c r="P390" t="str">
        <f>IF($I390=业绩披露日期!I$7,ROW(),"")</f>
        <v/>
      </c>
    </row>
    <row r="391" spans="1:16" x14ac:dyDescent="0.35">
      <c r="A391" s="23">
        <f t="shared" ca="1" si="31"/>
        <v>0</v>
      </c>
      <c r="B391" s="23">
        <f t="shared" si="32"/>
        <v>0</v>
      </c>
      <c r="C391" s="23">
        <f t="shared" si="33"/>
        <v>0</v>
      </c>
      <c r="D391" s="23">
        <f t="shared" si="34"/>
        <v>0</v>
      </c>
      <c r="E391" s="23">
        <f t="shared" si="35"/>
        <v>0</v>
      </c>
      <c r="F391" s="23">
        <f t="shared" si="35"/>
        <v>0</v>
      </c>
      <c r="G391" s="2" t="str">
        <f>IF('证券列表 '!B394="","",'证券列表 '!B394)</f>
        <v/>
      </c>
      <c r="H391" s="2" t="s">
        <v>746</v>
      </c>
      <c r="I391" s="3">
        <v>45413</v>
      </c>
      <c r="J391" s="6">
        <v>21277150762.41</v>
      </c>
      <c r="K391" t="str">
        <f ca="1">IF($I391=业绩披露日期!D$7,ROW(),"")</f>
        <v/>
      </c>
      <c r="L391" t="str">
        <f>IF($I391=业绩披露日期!E$7,ROW(),"")</f>
        <v/>
      </c>
      <c r="M391" t="str">
        <f>IF($I391=业绩披露日期!F$7,ROW(),"")</f>
        <v/>
      </c>
      <c r="N391" t="str">
        <f>IF($I391=业绩披露日期!G$7,ROW(),"")</f>
        <v/>
      </c>
      <c r="O391" t="str">
        <f>IF($I391=业绩披露日期!H$7,ROW(),"")</f>
        <v/>
      </c>
      <c r="P391" t="str">
        <f>IF($I391=业绩披露日期!I$7,ROW(),"")</f>
        <v/>
      </c>
    </row>
    <row r="392" spans="1:16" x14ac:dyDescent="0.35">
      <c r="A392" s="23">
        <f t="shared" ca="1" si="31"/>
        <v>0</v>
      </c>
      <c r="B392" s="23">
        <f t="shared" si="32"/>
        <v>0</v>
      </c>
      <c r="C392" s="23">
        <f t="shared" si="33"/>
        <v>0</v>
      </c>
      <c r="D392" s="23">
        <f t="shared" si="34"/>
        <v>0</v>
      </c>
      <c r="E392" s="23">
        <f t="shared" si="35"/>
        <v>0</v>
      </c>
      <c r="F392" s="23">
        <f t="shared" si="35"/>
        <v>0</v>
      </c>
      <c r="G392" s="2" t="str">
        <f>IF('证券列表 '!B395="","",'证券列表 '!B395)</f>
        <v/>
      </c>
      <c r="H392" s="2" t="s">
        <v>747</v>
      </c>
      <c r="I392" s="3">
        <v>45505</v>
      </c>
      <c r="J392" s="6">
        <v>39933736597.950005</v>
      </c>
      <c r="K392" t="str">
        <f ca="1">IF($I392=业绩披露日期!D$7,ROW(),"")</f>
        <v/>
      </c>
      <c r="L392" t="str">
        <f>IF($I392=业绩披露日期!E$7,ROW(),"")</f>
        <v/>
      </c>
      <c r="M392" t="str">
        <f>IF($I392=业绩披露日期!F$7,ROW(),"")</f>
        <v/>
      </c>
      <c r="N392" t="str">
        <f>IF($I392=业绩披露日期!G$7,ROW(),"")</f>
        <v/>
      </c>
      <c r="O392" t="str">
        <f>IF($I392=业绩披露日期!H$7,ROW(),"")</f>
        <v/>
      </c>
      <c r="P392" t="str">
        <f>IF($I392=业绩披露日期!I$7,ROW(),"")</f>
        <v/>
      </c>
    </row>
    <row r="393" spans="1:16" x14ac:dyDescent="0.35">
      <c r="A393" s="23">
        <f t="shared" ca="1" si="31"/>
        <v>0</v>
      </c>
      <c r="B393" s="23">
        <f t="shared" si="32"/>
        <v>0</v>
      </c>
      <c r="C393" s="23">
        <f t="shared" si="33"/>
        <v>0</v>
      </c>
      <c r="D393" s="23">
        <f t="shared" si="34"/>
        <v>0</v>
      </c>
      <c r="E393" s="23">
        <f t="shared" si="35"/>
        <v>0</v>
      </c>
      <c r="F393" s="23">
        <f t="shared" si="35"/>
        <v>0</v>
      </c>
      <c r="G393" s="2" t="str">
        <f>IF('证券列表 '!B396="","",'证券列表 '!B396)</f>
        <v/>
      </c>
      <c r="H393" s="2" t="s">
        <v>748</v>
      </c>
      <c r="I393" s="3">
        <v>45503</v>
      </c>
      <c r="J393" s="6">
        <v>74793911031.87999</v>
      </c>
      <c r="K393" t="str">
        <f ca="1">IF($I393=业绩披露日期!D$7,ROW(),"")</f>
        <v/>
      </c>
      <c r="L393" t="str">
        <f>IF($I393=业绩披露日期!E$7,ROW(),"")</f>
        <v/>
      </c>
      <c r="M393" t="str">
        <f>IF($I393=业绩披露日期!F$7,ROW(),"")</f>
        <v/>
      </c>
      <c r="N393" t="str">
        <f>IF($I393=业绩披露日期!G$7,ROW(),"")</f>
        <v/>
      </c>
      <c r="O393" t="str">
        <f>IF($I393=业绩披露日期!H$7,ROW(),"")</f>
        <v/>
      </c>
      <c r="P393" t="str">
        <f>IF($I393=业绩披露日期!I$7,ROW(),"")</f>
        <v/>
      </c>
    </row>
    <row r="394" spans="1:16" x14ac:dyDescent="0.35">
      <c r="A394" s="23">
        <f t="shared" ca="1" si="31"/>
        <v>0</v>
      </c>
      <c r="B394" s="23">
        <f t="shared" si="32"/>
        <v>0</v>
      </c>
      <c r="C394" s="23">
        <f t="shared" si="33"/>
        <v>0</v>
      </c>
      <c r="D394" s="23">
        <f t="shared" si="34"/>
        <v>0</v>
      </c>
      <c r="E394" s="23">
        <f t="shared" si="35"/>
        <v>0</v>
      </c>
      <c r="F394" s="23">
        <f t="shared" si="35"/>
        <v>0</v>
      </c>
      <c r="G394" s="2" t="str">
        <f>IF('证券列表 '!B397="","",'证券列表 '!B397)</f>
        <v/>
      </c>
      <c r="H394" s="2" t="s">
        <v>749</v>
      </c>
      <c r="I394" s="3">
        <v>45413</v>
      </c>
      <c r="J394" s="6">
        <v>188811860000</v>
      </c>
      <c r="K394" t="str">
        <f ca="1">IF($I394=业绩披露日期!D$7,ROW(),"")</f>
        <v/>
      </c>
      <c r="L394" t="str">
        <f>IF($I394=业绩披露日期!E$7,ROW(),"")</f>
        <v/>
      </c>
      <c r="M394" t="str">
        <f>IF($I394=业绩披露日期!F$7,ROW(),"")</f>
        <v/>
      </c>
      <c r="N394" t="str">
        <f>IF($I394=业绩披露日期!G$7,ROW(),"")</f>
        <v/>
      </c>
      <c r="O394" t="str">
        <f>IF($I394=业绩披露日期!H$7,ROW(),"")</f>
        <v/>
      </c>
      <c r="P394" t="str">
        <f>IF($I394=业绩披露日期!I$7,ROW(),"")</f>
        <v/>
      </c>
    </row>
    <row r="395" spans="1:16" x14ac:dyDescent="0.35">
      <c r="A395" s="23">
        <f t="shared" ca="1" si="31"/>
        <v>0</v>
      </c>
      <c r="B395" s="23">
        <f t="shared" si="32"/>
        <v>0</v>
      </c>
      <c r="C395" s="23">
        <f t="shared" si="33"/>
        <v>0</v>
      </c>
      <c r="D395" s="23">
        <f t="shared" si="34"/>
        <v>0</v>
      </c>
      <c r="E395" s="23">
        <f t="shared" si="35"/>
        <v>0</v>
      </c>
      <c r="F395" s="23">
        <f t="shared" si="35"/>
        <v>0</v>
      </c>
      <c r="G395" s="2" t="str">
        <f>IF('证券列表 '!B398="","",'证券列表 '!B398)</f>
        <v/>
      </c>
      <c r="H395" s="2" t="s">
        <v>750</v>
      </c>
      <c r="I395" s="3">
        <v>45231</v>
      </c>
      <c r="J395" s="6">
        <v>10801861469.02</v>
      </c>
      <c r="K395" t="str">
        <f ca="1">IF($I395=业绩披露日期!D$7,ROW(),"")</f>
        <v/>
      </c>
      <c r="L395" t="str">
        <f>IF($I395=业绩披露日期!E$7,ROW(),"")</f>
        <v/>
      </c>
      <c r="M395" t="str">
        <f>IF($I395=业绩披露日期!F$7,ROW(),"")</f>
        <v/>
      </c>
      <c r="N395" t="str">
        <f>IF($I395=业绩披露日期!G$7,ROW(),"")</f>
        <v/>
      </c>
      <c r="O395" t="str">
        <f>IF($I395=业绩披露日期!H$7,ROW(),"")</f>
        <v/>
      </c>
      <c r="P395" t="str">
        <f>IF($I395=业绩披露日期!I$7,ROW(),"")</f>
        <v/>
      </c>
    </row>
    <row r="396" spans="1:16" x14ac:dyDescent="0.35">
      <c r="A396" s="23">
        <f t="shared" ca="1" si="31"/>
        <v>0</v>
      </c>
      <c r="B396" s="23">
        <f t="shared" si="32"/>
        <v>0</v>
      </c>
      <c r="C396" s="23">
        <f t="shared" si="33"/>
        <v>0</v>
      </c>
      <c r="D396" s="23">
        <f t="shared" si="34"/>
        <v>0</v>
      </c>
      <c r="E396" s="23">
        <f t="shared" si="35"/>
        <v>0</v>
      </c>
      <c r="F396" s="23">
        <f t="shared" si="35"/>
        <v>0</v>
      </c>
      <c r="G396" s="2" t="str">
        <f>IF('证券列表 '!B399="","",'证券列表 '!B399)</f>
        <v/>
      </c>
      <c r="H396" s="2" t="s">
        <v>751</v>
      </c>
      <c r="I396" s="3">
        <v>45498</v>
      </c>
      <c r="J396" s="6">
        <v>42948009692.440002</v>
      </c>
      <c r="K396" t="str">
        <f ca="1">IF($I396=业绩披露日期!D$7,ROW(),"")</f>
        <v/>
      </c>
      <c r="L396" t="str">
        <f>IF($I396=业绩披露日期!E$7,ROW(),"")</f>
        <v/>
      </c>
      <c r="M396" t="str">
        <f>IF($I396=业绩披露日期!F$7,ROW(),"")</f>
        <v/>
      </c>
      <c r="N396" t="str">
        <f>IF($I396=业绩披露日期!G$7,ROW(),"")</f>
        <v/>
      </c>
      <c r="O396" t="str">
        <f>IF($I396=业绩披露日期!H$7,ROW(),"")</f>
        <v/>
      </c>
      <c r="P396" t="str">
        <f>IF($I396=业绩披露日期!I$7,ROW(),"")</f>
        <v/>
      </c>
    </row>
    <row r="397" spans="1:16" x14ac:dyDescent="0.35">
      <c r="A397" s="23">
        <f t="shared" ca="1" si="31"/>
        <v>0</v>
      </c>
      <c r="B397" s="23">
        <f t="shared" si="32"/>
        <v>0</v>
      </c>
      <c r="C397" s="23">
        <f t="shared" si="33"/>
        <v>0</v>
      </c>
      <c r="D397" s="23">
        <f t="shared" si="34"/>
        <v>0</v>
      </c>
      <c r="E397" s="23">
        <f t="shared" si="35"/>
        <v>0</v>
      </c>
      <c r="F397" s="23">
        <f t="shared" si="35"/>
        <v>0</v>
      </c>
      <c r="G397" s="2" t="str">
        <f>IF('证券列表 '!B400="","",'证券列表 '!B400)</f>
        <v/>
      </c>
      <c r="H397" s="2" t="s">
        <v>752</v>
      </c>
      <c r="I397" s="3">
        <v>45505</v>
      </c>
      <c r="J397" s="6">
        <v>13007868058.98</v>
      </c>
      <c r="K397" t="str">
        <f ca="1">IF($I397=业绩披露日期!D$7,ROW(),"")</f>
        <v/>
      </c>
      <c r="L397" t="str">
        <f>IF($I397=业绩披露日期!E$7,ROW(),"")</f>
        <v/>
      </c>
      <c r="M397" t="str">
        <f>IF($I397=业绩披露日期!F$7,ROW(),"")</f>
        <v/>
      </c>
      <c r="N397" t="str">
        <f>IF($I397=业绩披露日期!G$7,ROW(),"")</f>
        <v/>
      </c>
      <c r="O397" t="str">
        <f>IF($I397=业绩披露日期!H$7,ROW(),"")</f>
        <v/>
      </c>
      <c r="P397" t="str">
        <f>IF($I397=业绩披露日期!I$7,ROW(),"")</f>
        <v/>
      </c>
    </row>
    <row r="398" spans="1:16" x14ac:dyDescent="0.35">
      <c r="A398" s="23">
        <f t="shared" ca="1" si="31"/>
        <v>0</v>
      </c>
      <c r="B398" s="23">
        <f t="shared" si="32"/>
        <v>0</v>
      </c>
      <c r="C398" s="23">
        <f t="shared" si="33"/>
        <v>0</v>
      </c>
      <c r="D398" s="23">
        <f t="shared" si="34"/>
        <v>0</v>
      </c>
      <c r="E398" s="23">
        <f t="shared" si="35"/>
        <v>0</v>
      </c>
      <c r="F398" s="23">
        <f t="shared" si="35"/>
        <v>0</v>
      </c>
      <c r="G398" s="2" t="str">
        <f>IF('证券列表 '!B401="","",'证券列表 '!B401)</f>
        <v/>
      </c>
      <c r="H398" s="2" t="s">
        <v>753</v>
      </c>
      <c r="I398" s="3">
        <v>45505</v>
      </c>
      <c r="J398" s="6">
        <v>129958793273.97</v>
      </c>
      <c r="K398" t="str">
        <f ca="1">IF($I398=业绩披露日期!D$7,ROW(),"")</f>
        <v/>
      </c>
      <c r="L398" t="str">
        <f>IF($I398=业绩披露日期!E$7,ROW(),"")</f>
        <v/>
      </c>
      <c r="M398" t="str">
        <f>IF($I398=业绩披露日期!F$7,ROW(),"")</f>
        <v/>
      </c>
      <c r="N398" t="str">
        <f>IF($I398=业绩披露日期!G$7,ROW(),"")</f>
        <v/>
      </c>
      <c r="O398" t="str">
        <f>IF($I398=业绩披露日期!H$7,ROW(),"")</f>
        <v/>
      </c>
      <c r="P398" t="str">
        <f>IF($I398=业绩披露日期!I$7,ROW(),"")</f>
        <v/>
      </c>
    </row>
    <row r="399" spans="1:16" x14ac:dyDescent="0.35">
      <c r="A399" s="23">
        <f t="shared" ca="1" si="31"/>
        <v>0</v>
      </c>
      <c r="B399" s="23">
        <f t="shared" si="32"/>
        <v>0</v>
      </c>
      <c r="C399" s="23">
        <f t="shared" si="33"/>
        <v>0</v>
      </c>
      <c r="D399" s="23">
        <f t="shared" si="34"/>
        <v>0</v>
      </c>
      <c r="E399" s="23">
        <f t="shared" si="35"/>
        <v>0</v>
      </c>
      <c r="F399" s="23">
        <f t="shared" si="35"/>
        <v>0</v>
      </c>
      <c r="G399" s="2" t="str">
        <f>IF('证券列表 '!B402="","",'证券列表 '!B402)</f>
        <v/>
      </c>
      <c r="H399" s="2" t="s">
        <v>754</v>
      </c>
      <c r="I399" s="3">
        <v>45492</v>
      </c>
      <c r="J399" s="6">
        <v>21240048418.380001</v>
      </c>
      <c r="K399" t="str">
        <f ca="1">IF($I399=业绩披露日期!D$7,ROW(),"")</f>
        <v/>
      </c>
      <c r="L399" t="str">
        <f>IF($I399=业绩披露日期!E$7,ROW(),"")</f>
        <v/>
      </c>
      <c r="M399" t="str">
        <f>IF($I399=业绩披露日期!F$7,ROW(),"")</f>
        <v/>
      </c>
      <c r="N399" t="str">
        <f>IF($I399=业绩披露日期!G$7,ROW(),"")</f>
        <v/>
      </c>
      <c r="O399" t="str">
        <f>IF($I399=业绩披露日期!H$7,ROW(),"")</f>
        <v/>
      </c>
      <c r="P399" t="str">
        <f>IF($I399=业绩披露日期!I$7,ROW(),"")</f>
        <v/>
      </c>
    </row>
    <row r="400" spans="1:16" x14ac:dyDescent="0.35">
      <c r="A400" s="23">
        <f t="shared" ca="1" si="31"/>
        <v>0</v>
      </c>
      <c r="B400" s="23">
        <f t="shared" si="32"/>
        <v>0</v>
      </c>
      <c r="C400" s="23">
        <f t="shared" si="33"/>
        <v>0</v>
      </c>
      <c r="D400" s="23">
        <f t="shared" si="34"/>
        <v>0</v>
      </c>
      <c r="E400" s="23">
        <f t="shared" si="35"/>
        <v>0</v>
      </c>
      <c r="F400" s="23">
        <f t="shared" si="35"/>
        <v>0</v>
      </c>
      <c r="G400" s="2" t="str">
        <f>IF('证券列表 '!B403="","",'证券列表 '!B403)</f>
        <v/>
      </c>
      <c r="H400" s="2" t="s">
        <v>755</v>
      </c>
      <c r="I400" s="3">
        <v>45406</v>
      </c>
      <c r="J400" s="6">
        <v>24377524992.799999</v>
      </c>
      <c r="K400" t="str">
        <f ca="1">IF($I400=业绩披露日期!D$7,ROW(),"")</f>
        <v/>
      </c>
      <c r="L400" t="str">
        <f>IF($I400=业绩披露日期!E$7,ROW(),"")</f>
        <v/>
      </c>
      <c r="M400" t="str">
        <f>IF($I400=业绩披露日期!F$7,ROW(),"")</f>
        <v/>
      </c>
      <c r="N400" t="str">
        <f>IF($I400=业绩披露日期!G$7,ROW(),"")</f>
        <v/>
      </c>
      <c r="O400" t="str">
        <f>IF($I400=业绩披露日期!H$7,ROW(),"")</f>
        <v/>
      </c>
      <c r="P400" t="str">
        <f>IF($I400=业绩披露日期!I$7,ROW(),"")</f>
        <v/>
      </c>
    </row>
    <row r="401" spans="1:16" x14ac:dyDescent="0.35">
      <c r="A401" s="23">
        <f t="shared" ca="1" si="31"/>
        <v>0</v>
      </c>
      <c r="B401" s="23">
        <f t="shared" si="32"/>
        <v>0</v>
      </c>
      <c r="C401" s="23">
        <f t="shared" si="33"/>
        <v>0</v>
      </c>
      <c r="D401" s="23">
        <f t="shared" si="34"/>
        <v>0</v>
      </c>
      <c r="E401" s="23">
        <f t="shared" si="35"/>
        <v>0</v>
      </c>
      <c r="F401" s="23">
        <f t="shared" si="35"/>
        <v>0</v>
      </c>
      <c r="G401" s="2" t="str">
        <f>IF('证券列表 '!B404="","",'证券列表 '!B404)</f>
        <v/>
      </c>
      <c r="H401" s="2" t="s">
        <v>756</v>
      </c>
      <c r="I401" s="3">
        <v>45238</v>
      </c>
      <c r="J401" s="6">
        <v>10571193643.259998</v>
      </c>
      <c r="K401" t="str">
        <f ca="1">IF($I401=业绩披露日期!D$7,ROW(),"")</f>
        <v/>
      </c>
      <c r="L401" t="str">
        <f>IF($I401=业绩披露日期!E$7,ROW(),"")</f>
        <v/>
      </c>
      <c r="M401" t="str">
        <f>IF($I401=业绩披露日期!F$7,ROW(),"")</f>
        <v/>
      </c>
      <c r="N401" t="str">
        <f>IF($I401=业绩披露日期!G$7,ROW(),"")</f>
        <v/>
      </c>
      <c r="O401" t="str">
        <f>IF($I401=业绩披露日期!H$7,ROW(),"")</f>
        <v/>
      </c>
      <c r="P401" t="str">
        <f>IF($I401=业绩披露日期!I$7,ROW(),"")</f>
        <v/>
      </c>
    </row>
    <row r="402" spans="1:16" x14ac:dyDescent="0.35">
      <c r="A402" s="23">
        <f t="shared" ca="1" si="31"/>
        <v>0</v>
      </c>
      <c r="B402" s="23">
        <f t="shared" si="32"/>
        <v>0</v>
      </c>
      <c r="C402" s="23">
        <f t="shared" si="33"/>
        <v>0</v>
      </c>
      <c r="D402" s="23">
        <f t="shared" si="34"/>
        <v>0</v>
      </c>
      <c r="E402" s="23">
        <f t="shared" si="35"/>
        <v>0</v>
      </c>
      <c r="F402" s="23">
        <f t="shared" si="35"/>
        <v>0</v>
      </c>
      <c r="G402" s="2" t="str">
        <f>IF('证券列表 '!B405="","",'证券列表 '!B405)</f>
        <v/>
      </c>
      <c r="H402" s="2" t="s">
        <v>757</v>
      </c>
      <c r="I402" s="3">
        <v>45315</v>
      </c>
      <c r="J402" s="6">
        <v>35728014056.040001</v>
      </c>
      <c r="K402" t="str">
        <f ca="1">IF($I402=业绩披露日期!D$7,ROW(),"")</f>
        <v/>
      </c>
      <c r="L402" t="str">
        <f>IF($I402=业绩披露日期!E$7,ROW(),"")</f>
        <v/>
      </c>
      <c r="M402" t="str">
        <f>IF($I402=业绩披露日期!F$7,ROW(),"")</f>
        <v/>
      </c>
      <c r="N402" t="str">
        <f>IF($I402=业绩披露日期!G$7,ROW(),"")</f>
        <v/>
      </c>
      <c r="O402" t="str">
        <f>IF($I402=业绩披露日期!H$7,ROW(),"")</f>
        <v/>
      </c>
      <c r="P402" t="str">
        <f>IF($I402=业绩披露日期!I$7,ROW(),"")</f>
        <v/>
      </c>
    </row>
    <row r="403" spans="1:16" x14ac:dyDescent="0.35">
      <c r="A403" s="23">
        <f t="shared" ca="1" si="31"/>
        <v>0</v>
      </c>
      <c r="B403" s="23">
        <f t="shared" si="32"/>
        <v>0</v>
      </c>
      <c r="C403" s="23">
        <f t="shared" si="33"/>
        <v>0</v>
      </c>
      <c r="D403" s="23">
        <f t="shared" si="34"/>
        <v>0</v>
      </c>
      <c r="E403" s="23">
        <f t="shared" si="35"/>
        <v>0</v>
      </c>
      <c r="F403" s="23">
        <f t="shared" si="35"/>
        <v>0</v>
      </c>
      <c r="G403" s="2" t="str">
        <f>IF('证券列表 '!B406="","",'证券列表 '!B406)</f>
        <v/>
      </c>
      <c r="H403" s="2" t="s">
        <v>758</v>
      </c>
      <c r="I403" s="3">
        <v>45419</v>
      </c>
      <c r="J403" s="6">
        <v>30241326917.159996</v>
      </c>
      <c r="K403" t="str">
        <f ca="1">IF($I403=业绩披露日期!D$7,ROW(),"")</f>
        <v/>
      </c>
      <c r="L403" t="str">
        <f>IF($I403=业绩披露日期!E$7,ROW(),"")</f>
        <v/>
      </c>
      <c r="M403" t="str">
        <f>IF($I403=业绩披露日期!F$7,ROW(),"")</f>
        <v/>
      </c>
      <c r="N403" t="str">
        <f>IF($I403=业绩披露日期!G$7,ROW(),"")</f>
        <v/>
      </c>
      <c r="O403" t="str">
        <f>IF($I403=业绩披露日期!H$7,ROW(),"")</f>
        <v/>
      </c>
      <c r="P403" t="str">
        <f>IF($I403=业绩披露日期!I$7,ROW(),"")</f>
        <v/>
      </c>
    </row>
    <row r="404" spans="1:16" x14ac:dyDescent="0.35">
      <c r="A404" s="23">
        <f t="shared" ca="1" si="31"/>
        <v>0</v>
      </c>
      <c r="B404" s="23">
        <f t="shared" si="32"/>
        <v>0</v>
      </c>
      <c r="C404" s="23">
        <f t="shared" si="33"/>
        <v>0</v>
      </c>
      <c r="D404" s="23">
        <f t="shared" si="34"/>
        <v>0</v>
      </c>
      <c r="E404" s="23">
        <f t="shared" si="35"/>
        <v>0</v>
      </c>
      <c r="F404" s="23">
        <f t="shared" si="35"/>
        <v>0</v>
      </c>
      <c r="G404" s="2" t="str">
        <f>IF('证券列表 '!B407="","",'证券列表 '!B407)</f>
        <v/>
      </c>
      <c r="H404" s="2" t="s">
        <v>759</v>
      </c>
      <c r="I404" s="3">
        <v>45497</v>
      </c>
      <c r="J404" s="6">
        <v>24264123384</v>
      </c>
      <c r="K404" t="str">
        <f ca="1">IF($I404=业绩披露日期!D$7,ROW(),"")</f>
        <v/>
      </c>
      <c r="L404" t="str">
        <f>IF($I404=业绩披露日期!E$7,ROW(),"")</f>
        <v/>
      </c>
      <c r="M404" t="str">
        <f>IF($I404=业绩披露日期!F$7,ROW(),"")</f>
        <v/>
      </c>
      <c r="N404" t="str">
        <f>IF($I404=业绩披露日期!G$7,ROW(),"")</f>
        <v/>
      </c>
      <c r="O404" t="str">
        <f>IF($I404=业绩披露日期!H$7,ROW(),"")</f>
        <v/>
      </c>
      <c r="P404" t="str">
        <f>IF($I404=业绩披露日期!I$7,ROW(),"")</f>
        <v/>
      </c>
    </row>
    <row r="405" spans="1:16" x14ac:dyDescent="0.35">
      <c r="A405" s="23">
        <f t="shared" ca="1" si="31"/>
        <v>0</v>
      </c>
      <c r="B405" s="23">
        <f t="shared" si="32"/>
        <v>0</v>
      </c>
      <c r="C405" s="23">
        <f t="shared" si="33"/>
        <v>0</v>
      </c>
      <c r="D405" s="23">
        <f t="shared" si="34"/>
        <v>0</v>
      </c>
      <c r="E405" s="23">
        <f t="shared" si="35"/>
        <v>0</v>
      </c>
      <c r="F405" s="23">
        <f t="shared" si="35"/>
        <v>0</v>
      </c>
      <c r="G405" s="2" t="str">
        <f>IF('证券列表 '!B408="","",'证券列表 '!B408)</f>
        <v/>
      </c>
      <c r="H405" s="2" t="s">
        <v>760</v>
      </c>
      <c r="I405" s="3">
        <v>45497</v>
      </c>
      <c r="J405" s="6">
        <v>59368764650.300003</v>
      </c>
      <c r="K405" t="str">
        <f ca="1">IF($I405=业绩披露日期!D$7,ROW(),"")</f>
        <v/>
      </c>
      <c r="L405" t="str">
        <f>IF($I405=业绩披露日期!E$7,ROW(),"")</f>
        <v/>
      </c>
      <c r="M405" t="str">
        <f>IF($I405=业绩披露日期!F$7,ROW(),"")</f>
        <v/>
      </c>
      <c r="N405" t="str">
        <f>IF($I405=业绩披露日期!G$7,ROW(),"")</f>
        <v/>
      </c>
      <c r="O405" t="str">
        <f>IF($I405=业绩披露日期!H$7,ROW(),"")</f>
        <v/>
      </c>
      <c r="P405" t="str">
        <f>IF($I405=业绩披露日期!I$7,ROW(),"")</f>
        <v/>
      </c>
    </row>
    <row r="406" spans="1:16" x14ac:dyDescent="0.35">
      <c r="A406" s="23">
        <f t="shared" ca="1" si="31"/>
        <v>0</v>
      </c>
      <c r="B406" s="23">
        <f t="shared" si="32"/>
        <v>0</v>
      </c>
      <c r="C406" s="23">
        <f t="shared" si="33"/>
        <v>0</v>
      </c>
      <c r="D406" s="23">
        <f t="shared" si="34"/>
        <v>0</v>
      </c>
      <c r="E406" s="23">
        <f t="shared" si="35"/>
        <v>0</v>
      </c>
      <c r="F406" s="23">
        <f t="shared" si="35"/>
        <v>0</v>
      </c>
      <c r="G406" s="2" t="str">
        <f>IF('证券列表 '!B409="","",'证券列表 '!B409)</f>
        <v/>
      </c>
      <c r="H406" s="2" t="s">
        <v>761</v>
      </c>
      <c r="I406" s="3">
        <v>45155</v>
      </c>
      <c r="J406" s="6">
        <v>50636670730.800003</v>
      </c>
      <c r="K406" t="str">
        <f ca="1">IF($I406=业绩披露日期!D$7,ROW(),"")</f>
        <v/>
      </c>
      <c r="L406" t="str">
        <f>IF($I406=业绩披露日期!E$7,ROW(),"")</f>
        <v/>
      </c>
      <c r="M406" t="str">
        <f>IF($I406=业绩披露日期!F$7,ROW(),"")</f>
        <v/>
      </c>
      <c r="N406" t="str">
        <f>IF($I406=业绩披露日期!G$7,ROW(),"")</f>
        <v/>
      </c>
      <c r="O406" t="str">
        <f>IF($I406=业绩披露日期!H$7,ROW(),"")</f>
        <v/>
      </c>
      <c r="P406" t="str">
        <f>IF($I406=业绩披露日期!I$7,ROW(),"")</f>
        <v/>
      </c>
    </row>
    <row r="407" spans="1:16" x14ac:dyDescent="0.35">
      <c r="A407" s="23">
        <f t="shared" ca="1" si="31"/>
        <v>0</v>
      </c>
      <c r="B407" s="23">
        <f t="shared" si="32"/>
        <v>0</v>
      </c>
      <c r="C407" s="23">
        <f t="shared" si="33"/>
        <v>0</v>
      </c>
      <c r="D407" s="23">
        <f t="shared" si="34"/>
        <v>0</v>
      </c>
      <c r="E407" s="23">
        <f t="shared" si="35"/>
        <v>0</v>
      </c>
      <c r="F407" s="23">
        <f t="shared" si="35"/>
        <v>0</v>
      </c>
      <c r="G407" s="2" t="str">
        <f>IF('证券列表 '!B410="","",'证券列表 '!B410)</f>
        <v/>
      </c>
      <c r="H407" s="2" t="s">
        <v>762</v>
      </c>
      <c r="I407" s="3">
        <v>45497</v>
      </c>
      <c r="J407" s="6">
        <v>64679223024.779999</v>
      </c>
      <c r="K407" t="str">
        <f ca="1">IF($I407=业绩披露日期!D$7,ROW(),"")</f>
        <v/>
      </c>
      <c r="L407" t="str">
        <f>IF($I407=业绩披露日期!E$7,ROW(),"")</f>
        <v/>
      </c>
      <c r="M407" t="str">
        <f>IF($I407=业绩披露日期!F$7,ROW(),"")</f>
        <v/>
      </c>
      <c r="N407" t="str">
        <f>IF($I407=业绩披露日期!G$7,ROW(),"")</f>
        <v/>
      </c>
      <c r="O407" t="str">
        <f>IF($I407=业绩披露日期!H$7,ROW(),"")</f>
        <v/>
      </c>
      <c r="P407" t="str">
        <f>IF($I407=业绩披露日期!I$7,ROW(),"")</f>
        <v/>
      </c>
    </row>
    <row r="408" spans="1:16" x14ac:dyDescent="0.35">
      <c r="A408" s="23">
        <f t="shared" ca="1" si="31"/>
        <v>0</v>
      </c>
      <c r="B408" s="23">
        <f t="shared" si="32"/>
        <v>0</v>
      </c>
      <c r="C408" s="23">
        <f t="shared" si="33"/>
        <v>0</v>
      </c>
      <c r="D408" s="23">
        <f t="shared" si="34"/>
        <v>0</v>
      </c>
      <c r="E408" s="23">
        <f t="shared" si="35"/>
        <v>0</v>
      </c>
      <c r="F408" s="23">
        <f t="shared" si="35"/>
        <v>0</v>
      </c>
      <c r="G408" s="2" t="str">
        <f>IF('证券列表 '!B411="","",'证券列表 '!B411)</f>
        <v/>
      </c>
      <c r="H408" s="2" t="s">
        <v>763</v>
      </c>
      <c r="I408" s="3">
        <v>45498</v>
      </c>
      <c r="J408" s="6">
        <v>162674972068.14001</v>
      </c>
      <c r="K408" t="str">
        <f ca="1">IF($I408=业绩披露日期!D$7,ROW(),"")</f>
        <v/>
      </c>
      <c r="L408" t="str">
        <f>IF($I408=业绩披露日期!E$7,ROW(),"")</f>
        <v/>
      </c>
      <c r="M408" t="str">
        <f>IF($I408=业绩披露日期!F$7,ROW(),"")</f>
        <v/>
      </c>
      <c r="N408" t="str">
        <f>IF($I408=业绩披露日期!G$7,ROW(),"")</f>
        <v/>
      </c>
      <c r="O408" t="str">
        <f>IF($I408=业绩披露日期!H$7,ROW(),"")</f>
        <v/>
      </c>
      <c r="P408" t="str">
        <f>IF($I408=业绩披露日期!I$7,ROW(),"")</f>
        <v/>
      </c>
    </row>
    <row r="409" spans="1:16" x14ac:dyDescent="0.35">
      <c r="A409" s="23">
        <f t="shared" ca="1" si="31"/>
        <v>0</v>
      </c>
      <c r="B409" s="23">
        <f t="shared" si="32"/>
        <v>0</v>
      </c>
      <c r="C409" s="23">
        <f t="shared" si="33"/>
        <v>0</v>
      </c>
      <c r="D409" s="23">
        <f t="shared" si="34"/>
        <v>0</v>
      </c>
      <c r="E409" s="23">
        <f t="shared" si="35"/>
        <v>0</v>
      </c>
      <c r="F409" s="23">
        <f t="shared" si="35"/>
        <v>0</v>
      </c>
      <c r="G409" s="2" t="str">
        <f>IF('证券列表 '!B412="","",'证券列表 '!B412)</f>
        <v/>
      </c>
      <c r="H409" s="2" t="s">
        <v>764</v>
      </c>
      <c r="I409" s="3">
        <v>45502</v>
      </c>
      <c r="J409" s="6">
        <v>15069278983.440001</v>
      </c>
      <c r="K409" t="str">
        <f ca="1">IF($I409=业绩披露日期!D$7,ROW(),"")</f>
        <v/>
      </c>
      <c r="L409" t="str">
        <f>IF($I409=业绩披露日期!E$7,ROW(),"")</f>
        <v/>
      </c>
      <c r="M409" t="str">
        <f>IF($I409=业绩披露日期!F$7,ROW(),"")</f>
        <v/>
      </c>
      <c r="N409" t="str">
        <f>IF($I409=业绩披露日期!G$7,ROW(),"")</f>
        <v/>
      </c>
      <c r="O409" t="str">
        <f>IF($I409=业绩披露日期!H$7,ROW(),"")</f>
        <v/>
      </c>
      <c r="P409" t="str">
        <f>IF($I409=业绩披露日期!I$7,ROW(),"")</f>
        <v/>
      </c>
    </row>
    <row r="410" spans="1:16" x14ac:dyDescent="0.35">
      <c r="A410" s="23">
        <f t="shared" ca="1" si="31"/>
        <v>0</v>
      </c>
      <c r="B410" s="23">
        <f t="shared" si="32"/>
        <v>0</v>
      </c>
      <c r="C410" s="23">
        <f t="shared" si="33"/>
        <v>0</v>
      </c>
      <c r="D410" s="23">
        <f t="shared" si="34"/>
        <v>0</v>
      </c>
      <c r="E410" s="23">
        <f t="shared" si="35"/>
        <v>0</v>
      </c>
      <c r="F410" s="23">
        <f t="shared" si="35"/>
        <v>0</v>
      </c>
      <c r="G410" s="2" t="str">
        <f>IF('证券列表 '!B413="","",'证券列表 '!B413)</f>
        <v/>
      </c>
      <c r="H410" s="2" t="s">
        <v>765</v>
      </c>
      <c r="I410" s="3">
        <v>45502</v>
      </c>
      <c r="J410" s="6">
        <v>24346811768.02</v>
      </c>
      <c r="K410" t="str">
        <f ca="1">IF($I410=业绩披露日期!D$7,ROW(),"")</f>
        <v/>
      </c>
      <c r="L410" t="str">
        <f>IF($I410=业绩披露日期!E$7,ROW(),"")</f>
        <v/>
      </c>
      <c r="M410" t="str">
        <f>IF($I410=业绩披露日期!F$7,ROW(),"")</f>
        <v/>
      </c>
      <c r="N410" t="str">
        <f>IF($I410=业绩披露日期!G$7,ROW(),"")</f>
        <v/>
      </c>
      <c r="O410" t="str">
        <f>IF($I410=业绩披露日期!H$7,ROW(),"")</f>
        <v/>
      </c>
      <c r="P410" t="str">
        <f>IF($I410=业绩披露日期!I$7,ROW(),"")</f>
        <v/>
      </c>
    </row>
    <row r="411" spans="1:16" x14ac:dyDescent="0.35">
      <c r="A411" s="23">
        <f t="shared" ca="1" si="31"/>
        <v>0</v>
      </c>
      <c r="B411" s="23">
        <f t="shared" si="32"/>
        <v>0</v>
      </c>
      <c r="C411" s="23">
        <f t="shared" si="33"/>
        <v>0</v>
      </c>
      <c r="D411" s="23">
        <f t="shared" si="34"/>
        <v>0</v>
      </c>
      <c r="E411" s="23">
        <f t="shared" si="35"/>
        <v>0</v>
      </c>
      <c r="F411" s="23">
        <f t="shared" si="35"/>
        <v>0</v>
      </c>
      <c r="G411" s="2" t="str">
        <f>IF('证券列表 '!B414="","",'证券列表 '!B414)</f>
        <v/>
      </c>
      <c r="H411" s="2" t="s">
        <v>766</v>
      </c>
      <c r="I411" s="3">
        <v>45412</v>
      </c>
      <c r="J411" s="6">
        <v>107495352000</v>
      </c>
      <c r="K411" t="str">
        <f ca="1">IF($I411=业绩披露日期!D$7,ROW(),"")</f>
        <v/>
      </c>
      <c r="L411" t="str">
        <f>IF($I411=业绩披露日期!E$7,ROW(),"")</f>
        <v/>
      </c>
      <c r="M411" t="str">
        <f>IF($I411=业绩披露日期!F$7,ROW(),"")</f>
        <v/>
      </c>
      <c r="N411" t="str">
        <f>IF($I411=业绩披露日期!G$7,ROW(),"")</f>
        <v/>
      </c>
      <c r="O411" t="str">
        <f>IF($I411=业绩披露日期!H$7,ROW(),"")</f>
        <v/>
      </c>
      <c r="P411" t="str">
        <f>IF($I411=业绩披露日期!I$7,ROW(),"")</f>
        <v/>
      </c>
    </row>
    <row r="412" spans="1:16" x14ac:dyDescent="0.35">
      <c r="A412" s="23">
        <f t="shared" ca="1" si="31"/>
        <v>0</v>
      </c>
      <c r="B412" s="23">
        <f t="shared" si="32"/>
        <v>0</v>
      </c>
      <c r="C412" s="23">
        <f t="shared" si="33"/>
        <v>0</v>
      </c>
      <c r="D412" s="23">
        <f t="shared" si="34"/>
        <v>0</v>
      </c>
      <c r="E412" s="23">
        <f t="shared" si="35"/>
        <v>0</v>
      </c>
      <c r="F412" s="23">
        <f t="shared" si="35"/>
        <v>0</v>
      </c>
      <c r="G412" s="2" t="str">
        <f>IF('证券列表 '!B415="","",'证券列表 '!B415)</f>
        <v/>
      </c>
      <c r="H412" s="2" t="s">
        <v>767</v>
      </c>
      <c r="I412" s="3">
        <v>45489</v>
      </c>
      <c r="J412" s="6">
        <v>115474430473.64001</v>
      </c>
      <c r="K412" t="str">
        <f ca="1">IF($I412=业绩披露日期!D$7,ROW(),"")</f>
        <v/>
      </c>
      <c r="L412" t="str">
        <f>IF($I412=业绩披露日期!E$7,ROW(),"")</f>
        <v/>
      </c>
      <c r="M412" t="str">
        <f>IF($I412=业绩披露日期!F$7,ROW(),"")</f>
        <v/>
      </c>
      <c r="N412" t="str">
        <f>IF($I412=业绩披露日期!G$7,ROW(),"")</f>
        <v/>
      </c>
      <c r="O412" t="str">
        <f>IF($I412=业绩披露日期!H$7,ROW(),"")</f>
        <v/>
      </c>
      <c r="P412" t="str">
        <f>IF($I412=业绩披露日期!I$7,ROW(),"")</f>
        <v/>
      </c>
    </row>
    <row r="413" spans="1:16" x14ac:dyDescent="0.35">
      <c r="A413" s="23">
        <f t="shared" ca="1" si="31"/>
        <v>0</v>
      </c>
      <c r="B413" s="23">
        <f t="shared" si="32"/>
        <v>0</v>
      </c>
      <c r="C413" s="23">
        <f t="shared" si="33"/>
        <v>0</v>
      </c>
      <c r="D413" s="23">
        <f t="shared" si="34"/>
        <v>0</v>
      </c>
      <c r="E413" s="23">
        <f t="shared" si="35"/>
        <v>0</v>
      </c>
      <c r="F413" s="23">
        <f t="shared" si="35"/>
        <v>0</v>
      </c>
      <c r="G413" s="2" t="str">
        <f>IF('证券列表 '!B416="","",'证券列表 '!B416)</f>
        <v/>
      </c>
      <c r="H413" s="2" t="s">
        <v>768</v>
      </c>
      <c r="I413" s="3">
        <v>45496</v>
      </c>
      <c r="J413" s="6">
        <v>90966623954.300003</v>
      </c>
      <c r="K413" t="str">
        <f ca="1">IF($I413=业绩披露日期!D$7,ROW(),"")</f>
        <v/>
      </c>
      <c r="L413" t="str">
        <f>IF($I413=业绩披露日期!E$7,ROW(),"")</f>
        <v/>
      </c>
      <c r="M413" t="str">
        <f>IF($I413=业绩披露日期!F$7,ROW(),"")</f>
        <v/>
      </c>
      <c r="N413" t="str">
        <f>IF($I413=业绩披露日期!G$7,ROW(),"")</f>
        <v/>
      </c>
      <c r="O413" t="str">
        <f>IF($I413=业绩披露日期!H$7,ROW(),"")</f>
        <v/>
      </c>
      <c r="P413" t="str">
        <f>IF($I413=业绩披露日期!I$7,ROW(),"")</f>
        <v/>
      </c>
    </row>
    <row r="414" spans="1:16" x14ac:dyDescent="0.35">
      <c r="A414" s="23">
        <f t="shared" ca="1" si="31"/>
        <v>0</v>
      </c>
      <c r="B414" s="23">
        <f t="shared" si="32"/>
        <v>0</v>
      </c>
      <c r="C414" s="23">
        <f t="shared" si="33"/>
        <v>0</v>
      </c>
      <c r="D414" s="23">
        <f t="shared" si="34"/>
        <v>0</v>
      </c>
      <c r="E414" s="23">
        <f t="shared" si="35"/>
        <v>0</v>
      </c>
      <c r="F414" s="23">
        <f t="shared" si="35"/>
        <v>0</v>
      </c>
      <c r="G414" s="2" t="str">
        <f>IF('证券列表 '!B417="","",'证券列表 '!B417)</f>
        <v/>
      </c>
      <c r="H414" s="2" t="s">
        <v>769</v>
      </c>
      <c r="I414" s="3">
        <v>45265</v>
      </c>
      <c r="J414" s="6">
        <v>12107964001.380001</v>
      </c>
      <c r="K414" t="str">
        <f ca="1">IF($I414=业绩披露日期!D$7,ROW(),"")</f>
        <v/>
      </c>
      <c r="L414" t="str">
        <f>IF($I414=业绩披露日期!E$7,ROW(),"")</f>
        <v/>
      </c>
      <c r="M414" t="str">
        <f>IF($I414=业绩披露日期!F$7,ROW(),"")</f>
        <v/>
      </c>
      <c r="N414" t="str">
        <f>IF($I414=业绩披露日期!G$7,ROW(),"")</f>
        <v/>
      </c>
      <c r="O414" t="str">
        <f>IF($I414=业绩披露日期!H$7,ROW(),"")</f>
        <v/>
      </c>
      <c r="P414" t="str">
        <f>IF($I414=业绩披露日期!I$7,ROW(),"")</f>
        <v/>
      </c>
    </row>
    <row r="415" spans="1:16" x14ac:dyDescent="0.35">
      <c r="A415" s="23">
        <f t="shared" ca="1" si="31"/>
        <v>0</v>
      </c>
      <c r="B415" s="23">
        <f t="shared" si="32"/>
        <v>0</v>
      </c>
      <c r="C415" s="23">
        <f t="shared" si="33"/>
        <v>0</v>
      </c>
      <c r="D415" s="23">
        <f t="shared" si="34"/>
        <v>0</v>
      </c>
      <c r="E415" s="23">
        <f t="shared" si="35"/>
        <v>0</v>
      </c>
      <c r="F415" s="23">
        <f t="shared" si="35"/>
        <v>0</v>
      </c>
      <c r="G415" s="2" t="str">
        <f>IF('证券列表 '!B418="","",'证券列表 '!B418)</f>
        <v/>
      </c>
      <c r="H415" s="2" t="s">
        <v>770</v>
      </c>
      <c r="I415" s="3">
        <v>45492</v>
      </c>
      <c r="J415" s="6">
        <v>62728585497.220001</v>
      </c>
      <c r="K415" t="str">
        <f ca="1">IF($I415=业绩披露日期!D$7,ROW(),"")</f>
        <v/>
      </c>
      <c r="L415" t="str">
        <f>IF($I415=业绩披露日期!E$7,ROW(),"")</f>
        <v/>
      </c>
      <c r="M415" t="str">
        <f>IF($I415=业绩披露日期!F$7,ROW(),"")</f>
        <v/>
      </c>
      <c r="N415" t="str">
        <f>IF($I415=业绩披露日期!G$7,ROW(),"")</f>
        <v/>
      </c>
      <c r="O415" t="str">
        <f>IF($I415=业绩披露日期!H$7,ROW(),"")</f>
        <v/>
      </c>
      <c r="P415" t="str">
        <f>IF($I415=业绩披露日期!I$7,ROW(),"")</f>
        <v/>
      </c>
    </row>
    <row r="416" spans="1:16" x14ac:dyDescent="0.35">
      <c r="A416" s="23">
        <f t="shared" ca="1" si="31"/>
        <v>0</v>
      </c>
      <c r="B416" s="23">
        <f t="shared" si="32"/>
        <v>0</v>
      </c>
      <c r="C416" s="23">
        <f t="shared" si="33"/>
        <v>0</v>
      </c>
      <c r="D416" s="23">
        <f t="shared" si="34"/>
        <v>0</v>
      </c>
      <c r="E416" s="23">
        <f t="shared" si="35"/>
        <v>0</v>
      </c>
      <c r="F416" s="23">
        <f t="shared" si="35"/>
        <v>0</v>
      </c>
      <c r="G416" s="2" t="str">
        <f>IF('证券列表 '!B419="","",'证券列表 '!B419)</f>
        <v/>
      </c>
      <c r="H416" s="2" t="s">
        <v>771</v>
      </c>
      <c r="I416" s="3">
        <v>45320</v>
      </c>
      <c r="J416" s="6">
        <v>26281340448.139999</v>
      </c>
      <c r="K416" t="str">
        <f ca="1">IF($I416=业绩披露日期!D$7,ROW(),"")</f>
        <v/>
      </c>
      <c r="L416" t="str">
        <f>IF($I416=业绩披露日期!E$7,ROW(),"")</f>
        <v/>
      </c>
      <c r="M416" t="str">
        <f>IF($I416=业绩披露日期!F$7,ROW(),"")</f>
        <v/>
      </c>
      <c r="N416" t="str">
        <f>IF($I416=业绩披露日期!G$7,ROW(),"")</f>
        <v/>
      </c>
      <c r="O416" t="str">
        <f>IF($I416=业绩披露日期!H$7,ROW(),"")</f>
        <v/>
      </c>
      <c r="P416" t="str">
        <f>IF($I416=业绩披露日期!I$7,ROW(),"")</f>
        <v/>
      </c>
    </row>
    <row r="417" spans="1:16" x14ac:dyDescent="0.35">
      <c r="A417" s="23">
        <f t="shared" ca="1" si="31"/>
        <v>0</v>
      </c>
      <c r="B417" s="23">
        <f t="shared" si="32"/>
        <v>0</v>
      </c>
      <c r="C417" s="23">
        <f t="shared" si="33"/>
        <v>0</v>
      </c>
      <c r="D417" s="23">
        <f t="shared" si="34"/>
        <v>0</v>
      </c>
      <c r="E417" s="23">
        <f t="shared" si="35"/>
        <v>0</v>
      </c>
      <c r="F417" s="23">
        <f t="shared" si="35"/>
        <v>0</v>
      </c>
      <c r="G417" s="2" t="str">
        <f>IF('证券列表 '!B420="","",'证券列表 '!B420)</f>
        <v/>
      </c>
      <c r="H417" s="2" t="s">
        <v>772</v>
      </c>
      <c r="I417" s="3">
        <v>45491</v>
      </c>
      <c r="J417" s="6">
        <v>14811202188.98</v>
      </c>
      <c r="K417" t="str">
        <f ca="1">IF($I417=业绩披露日期!D$7,ROW(),"")</f>
        <v/>
      </c>
      <c r="L417" t="str">
        <f>IF($I417=业绩披露日期!E$7,ROW(),"")</f>
        <v/>
      </c>
      <c r="M417" t="str">
        <f>IF($I417=业绩披露日期!F$7,ROW(),"")</f>
        <v/>
      </c>
      <c r="N417" t="str">
        <f>IF($I417=业绩披露日期!G$7,ROW(),"")</f>
        <v/>
      </c>
      <c r="O417" t="str">
        <f>IF($I417=业绩披露日期!H$7,ROW(),"")</f>
        <v/>
      </c>
      <c r="P417" t="str">
        <f>IF($I417=业绩披露日期!I$7,ROW(),"")</f>
        <v/>
      </c>
    </row>
    <row r="418" spans="1:16" x14ac:dyDescent="0.35">
      <c r="A418" s="23">
        <f t="shared" ca="1" si="31"/>
        <v>0</v>
      </c>
      <c r="B418" s="23">
        <f t="shared" si="32"/>
        <v>0</v>
      </c>
      <c r="C418" s="23">
        <f t="shared" si="33"/>
        <v>0</v>
      </c>
      <c r="D418" s="23">
        <f t="shared" si="34"/>
        <v>0</v>
      </c>
      <c r="E418" s="23">
        <f t="shared" si="35"/>
        <v>0</v>
      </c>
      <c r="F418" s="23">
        <f t="shared" si="35"/>
        <v>0</v>
      </c>
      <c r="G418" s="2" t="str">
        <f>IF('证券列表 '!B421="","",'证券列表 '!B421)</f>
        <v/>
      </c>
      <c r="H418" s="2" t="s">
        <v>773</v>
      </c>
      <c r="I418" s="3">
        <v>45434</v>
      </c>
      <c r="J418" s="6">
        <v>79421377922.87999</v>
      </c>
      <c r="K418" t="str">
        <f ca="1">IF($I418=业绩披露日期!D$7,ROW(),"")</f>
        <v/>
      </c>
      <c r="L418" t="str">
        <f>IF($I418=业绩披露日期!E$7,ROW(),"")</f>
        <v/>
      </c>
      <c r="M418" t="str">
        <f>IF($I418=业绩披露日期!F$7,ROW(),"")</f>
        <v/>
      </c>
      <c r="N418" t="str">
        <f>IF($I418=业绩披露日期!G$7,ROW(),"")</f>
        <v/>
      </c>
      <c r="O418" t="str">
        <f>IF($I418=业绩披露日期!H$7,ROW(),"")</f>
        <v/>
      </c>
      <c r="P418" t="str">
        <f>IF($I418=业绩披露日期!I$7,ROW(),"")</f>
        <v/>
      </c>
    </row>
    <row r="419" spans="1:16" x14ac:dyDescent="0.35">
      <c r="A419" s="23">
        <f t="shared" ca="1" si="31"/>
        <v>0</v>
      </c>
      <c r="B419" s="23">
        <f t="shared" si="32"/>
        <v>0</v>
      </c>
      <c r="C419" s="23">
        <f t="shared" si="33"/>
        <v>0</v>
      </c>
      <c r="D419" s="23">
        <f t="shared" si="34"/>
        <v>0</v>
      </c>
      <c r="E419" s="23">
        <f t="shared" si="35"/>
        <v>0</v>
      </c>
      <c r="F419" s="23">
        <f t="shared" si="35"/>
        <v>0</v>
      </c>
      <c r="G419" s="2" t="str">
        <f>IF('证券列表 '!B422="","",'证券列表 '!B422)</f>
        <v/>
      </c>
      <c r="H419" s="2" t="s">
        <v>774</v>
      </c>
      <c r="I419" s="3">
        <v>45505</v>
      </c>
      <c r="J419" s="6">
        <v>93913740234.599991</v>
      </c>
      <c r="K419" t="str">
        <f ca="1">IF($I419=业绩披露日期!D$7,ROW(),"")</f>
        <v/>
      </c>
      <c r="L419" t="str">
        <f>IF($I419=业绩披露日期!E$7,ROW(),"")</f>
        <v/>
      </c>
      <c r="M419" t="str">
        <f>IF($I419=业绩披露日期!F$7,ROW(),"")</f>
        <v/>
      </c>
      <c r="N419" t="str">
        <f>IF($I419=业绩披露日期!G$7,ROW(),"")</f>
        <v/>
      </c>
      <c r="O419" t="str">
        <f>IF($I419=业绩披露日期!H$7,ROW(),"")</f>
        <v/>
      </c>
      <c r="P419" t="str">
        <f>IF($I419=业绩披露日期!I$7,ROW(),"")</f>
        <v/>
      </c>
    </row>
    <row r="420" spans="1:16" x14ac:dyDescent="0.35">
      <c r="A420" s="23">
        <f t="shared" ca="1" si="31"/>
        <v>0</v>
      </c>
      <c r="B420" s="23">
        <f t="shared" si="32"/>
        <v>0</v>
      </c>
      <c r="C420" s="23">
        <f t="shared" si="33"/>
        <v>0</v>
      </c>
      <c r="D420" s="23">
        <f t="shared" si="34"/>
        <v>0</v>
      </c>
      <c r="E420" s="23">
        <f t="shared" si="35"/>
        <v>0</v>
      </c>
      <c r="F420" s="23">
        <f t="shared" si="35"/>
        <v>0</v>
      </c>
      <c r="G420" s="2" t="str">
        <f>IF('证券列表 '!B423="","",'证券列表 '!B423)</f>
        <v/>
      </c>
      <c r="H420" s="2" t="s">
        <v>775</v>
      </c>
      <c r="I420" s="3">
        <v>45512</v>
      </c>
      <c r="J420" s="6">
        <v>10866950511.559999</v>
      </c>
      <c r="K420" t="str">
        <f ca="1">IF($I420=业绩披露日期!D$7,ROW(),"")</f>
        <v/>
      </c>
      <c r="L420" t="str">
        <f>IF($I420=业绩披露日期!E$7,ROW(),"")</f>
        <v/>
      </c>
      <c r="M420" t="str">
        <f>IF($I420=业绩披露日期!F$7,ROW(),"")</f>
        <v/>
      </c>
      <c r="N420" t="str">
        <f>IF($I420=业绩披露日期!G$7,ROW(),"")</f>
        <v/>
      </c>
      <c r="O420" t="str">
        <f>IF($I420=业绩披露日期!H$7,ROW(),"")</f>
        <v/>
      </c>
      <c r="P420" t="str">
        <f>IF($I420=业绩披露日期!I$7,ROW(),"")</f>
        <v/>
      </c>
    </row>
    <row r="421" spans="1:16" x14ac:dyDescent="0.35">
      <c r="A421" s="23">
        <f t="shared" ca="1" si="31"/>
        <v>0</v>
      </c>
      <c r="B421" s="23">
        <f t="shared" si="32"/>
        <v>0</v>
      </c>
      <c r="C421" s="23">
        <f t="shared" si="33"/>
        <v>0</v>
      </c>
      <c r="D421" s="23">
        <f t="shared" si="34"/>
        <v>0</v>
      </c>
      <c r="E421" s="23">
        <f t="shared" si="35"/>
        <v>0</v>
      </c>
      <c r="F421" s="23">
        <f t="shared" si="35"/>
        <v>0</v>
      </c>
      <c r="G421" s="2" t="str">
        <f>IF('证券列表 '!B424="","",'证券列表 '!B424)</f>
        <v/>
      </c>
      <c r="H421" s="2" t="s">
        <v>776</v>
      </c>
      <c r="I421" s="3">
        <v>45509</v>
      </c>
      <c r="J421" s="6">
        <v>56751081854.5</v>
      </c>
      <c r="K421" t="str">
        <f ca="1">IF($I421=业绩披露日期!D$7,ROW(),"")</f>
        <v/>
      </c>
      <c r="L421" t="str">
        <f>IF($I421=业绩披露日期!E$7,ROW(),"")</f>
        <v/>
      </c>
      <c r="M421" t="str">
        <f>IF($I421=业绩披露日期!F$7,ROW(),"")</f>
        <v/>
      </c>
      <c r="N421" t="str">
        <f>IF($I421=业绩披露日期!G$7,ROW(),"")</f>
        <v/>
      </c>
      <c r="O421" t="str">
        <f>IF($I421=业绩披露日期!H$7,ROW(),"")</f>
        <v/>
      </c>
      <c r="P421" t="str">
        <f>IF($I421=业绩披露日期!I$7,ROW(),"")</f>
        <v/>
      </c>
    </row>
    <row r="422" spans="1:16" x14ac:dyDescent="0.35">
      <c r="A422" s="23">
        <f t="shared" ca="1" si="31"/>
        <v>0</v>
      </c>
      <c r="B422" s="23">
        <f t="shared" si="32"/>
        <v>0</v>
      </c>
      <c r="C422" s="23">
        <f t="shared" si="33"/>
        <v>0</v>
      </c>
      <c r="D422" s="23">
        <f t="shared" si="34"/>
        <v>0</v>
      </c>
      <c r="E422" s="23">
        <f t="shared" si="35"/>
        <v>0</v>
      </c>
      <c r="F422" s="23">
        <f t="shared" si="35"/>
        <v>0</v>
      </c>
      <c r="G422" s="2" t="str">
        <f>IF('证券列表 '!B425="","",'证券列表 '!B425)</f>
        <v/>
      </c>
      <c r="H422" s="2" t="s">
        <v>777</v>
      </c>
      <c r="I422" s="3">
        <v>45503</v>
      </c>
      <c r="J422" s="6">
        <v>159019650000</v>
      </c>
      <c r="K422" t="str">
        <f ca="1">IF($I422=业绩披露日期!D$7,ROW(),"")</f>
        <v/>
      </c>
      <c r="L422" t="str">
        <f>IF($I422=业绩披露日期!E$7,ROW(),"")</f>
        <v/>
      </c>
      <c r="M422" t="str">
        <f>IF($I422=业绩披露日期!F$7,ROW(),"")</f>
        <v/>
      </c>
      <c r="N422" t="str">
        <f>IF($I422=业绩披露日期!G$7,ROW(),"")</f>
        <v/>
      </c>
      <c r="O422" t="str">
        <f>IF($I422=业绩披露日期!H$7,ROW(),"")</f>
        <v/>
      </c>
      <c r="P422" t="str">
        <f>IF($I422=业绩披露日期!I$7,ROW(),"")</f>
        <v/>
      </c>
    </row>
    <row r="423" spans="1:16" x14ac:dyDescent="0.35">
      <c r="A423" s="23">
        <f t="shared" ca="1" si="31"/>
        <v>0</v>
      </c>
      <c r="B423" s="23">
        <f t="shared" si="32"/>
        <v>0</v>
      </c>
      <c r="C423" s="23">
        <f t="shared" si="33"/>
        <v>0</v>
      </c>
      <c r="D423" s="23">
        <f t="shared" si="34"/>
        <v>0</v>
      </c>
      <c r="E423" s="23">
        <f t="shared" si="35"/>
        <v>0</v>
      </c>
      <c r="F423" s="23">
        <f t="shared" si="35"/>
        <v>0</v>
      </c>
      <c r="G423" s="2" t="str">
        <f>IF('证券列表 '!B426="","",'证券列表 '!B426)</f>
        <v/>
      </c>
      <c r="H423" s="2" t="s">
        <v>778</v>
      </c>
      <c r="I423" s="3">
        <v>45510</v>
      </c>
      <c r="J423" s="6">
        <v>51677366317.5</v>
      </c>
      <c r="K423" t="str">
        <f ca="1">IF($I423=业绩披露日期!D$7,ROW(),"")</f>
        <v/>
      </c>
      <c r="L423" t="str">
        <f>IF($I423=业绩披露日期!E$7,ROW(),"")</f>
        <v/>
      </c>
      <c r="M423" t="str">
        <f>IF($I423=业绩披露日期!F$7,ROW(),"")</f>
        <v/>
      </c>
      <c r="N423" t="str">
        <f>IF($I423=业绩披露日期!G$7,ROW(),"")</f>
        <v/>
      </c>
      <c r="O423" t="str">
        <f>IF($I423=业绩披露日期!H$7,ROW(),"")</f>
        <v/>
      </c>
      <c r="P423" t="str">
        <f>IF($I423=业绩披露日期!I$7,ROW(),"")</f>
        <v/>
      </c>
    </row>
    <row r="424" spans="1:16" x14ac:dyDescent="0.35">
      <c r="A424" s="23">
        <f t="shared" ca="1" si="31"/>
        <v>0</v>
      </c>
      <c r="B424" s="23">
        <f t="shared" si="32"/>
        <v>0</v>
      </c>
      <c r="C424" s="23">
        <f t="shared" si="33"/>
        <v>0</v>
      </c>
      <c r="D424" s="23">
        <f t="shared" si="34"/>
        <v>0</v>
      </c>
      <c r="E424" s="23">
        <f t="shared" si="35"/>
        <v>0</v>
      </c>
      <c r="F424" s="23">
        <f t="shared" si="35"/>
        <v>0</v>
      </c>
      <c r="G424" s="2" t="str">
        <f>IF('证券列表 '!B427="","",'证券列表 '!B427)</f>
        <v/>
      </c>
      <c r="H424" s="2" t="s">
        <v>779</v>
      </c>
      <c r="I424" s="3">
        <v>45237</v>
      </c>
      <c r="J424" s="6">
        <v>23442185978.530003</v>
      </c>
      <c r="K424" t="str">
        <f ca="1">IF($I424=业绩披露日期!D$7,ROW(),"")</f>
        <v/>
      </c>
      <c r="L424" t="str">
        <f>IF($I424=业绩披露日期!E$7,ROW(),"")</f>
        <v/>
      </c>
      <c r="M424" t="str">
        <f>IF($I424=业绩披露日期!F$7,ROW(),"")</f>
        <v/>
      </c>
      <c r="N424" t="str">
        <f>IF($I424=业绩披露日期!G$7,ROW(),"")</f>
        <v/>
      </c>
      <c r="O424" t="str">
        <f>IF($I424=业绩披露日期!H$7,ROW(),"")</f>
        <v/>
      </c>
      <c r="P424" t="str">
        <f>IF($I424=业绩披露日期!I$7,ROW(),"")</f>
        <v/>
      </c>
    </row>
    <row r="425" spans="1:16" x14ac:dyDescent="0.35">
      <c r="A425" s="23">
        <f t="shared" ca="1" si="31"/>
        <v>0</v>
      </c>
      <c r="B425" s="23">
        <f t="shared" si="32"/>
        <v>0</v>
      </c>
      <c r="C425" s="23">
        <f t="shared" si="33"/>
        <v>0</v>
      </c>
      <c r="D425" s="23">
        <f t="shared" si="34"/>
        <v>0</v>
      </c>
      <c r="E425" s="23">
        <f t="shared" si="35"/>
        <v>0</v>
      </c>
      <c r="F425" s="23">
        <f t="shared" si="35"/>
        <v>0</v>
      </c>
      <c r="G425" s="2" t="str">
        <f>IF('证券列表 '!B428="","",'证券列表 '!B428)</f>
        <v/>
      </c>
      <c r="H425" s="2" t="s">
        <v>780</v>
      </c>
      <c r="I425" s="3">
        <v>45490</v>
      </c>
      <c r="J425" s="6">
        <v>18331140326.399998</v>
      </c>
      <c r="K425" t="str">
        <f ca="1">IF($I425=业绩披露日期!D$7,ROW(),"")</f>
        <v/>
      </c>
      <c r="L425" t="str">
        <f>IF($I425=业绩披露日期!E$7,ROW(),"")</f>
        <v/>
      </c>
      <c r="M425" t="str">
        <f>IF($I425=业绩披露日期!F$7,ROW(),"")</f>
        <v/>
      </c>
      <c r="N425" t="str">
        <f>IF($I425=业绩披露日期!G$7,ROW(),"")</f>
        <v/>
      </c>
      <c r="O425" t="str">
        <f>IF($I425=业绩披露日期!H$7,ROW(),"")</f>
        <v/>
      </c>
      <c r="P425" t="str">
        <f>IF($I425=业绩披露日期!I$7,ROW(),"")</f>
        <v/>
      </c>
    </row>
    <row r="426" spans="1:16" x14ac:dyDescent="0.35">
      <c r="A426" s="23">
        <f t="shared" ca="1" si="31"/>
        <v>0</v>
      </c>
      <c r="B426" s="23">
        <f t="shared" si="32"/>
        <v>0</v>
      </c>
      <c r="C426" s="23">
        <f t="shared" si="33"/>
        <v>0</v>
      </c>
      <c r="D426" s="23">
        <f t="shared" si="34"/>
        <v>0</v>
      </c>
      <c r="E426" s="23">
        <f t="shared" si="35"/>
        <v>0</v>
      </c>
      <c r="F426" s="23">
        <f t="shared" si="35"/>
        <v>0</v>
      </c>
      <c r="G426" s="2" t="str">
        <f>IF('证券列表 '!B429="","",'证券列表 '!B429)</f>
        <v/>
      </c>
      <c r="H426" s="2" t="s">
        <v>781</v>
      </c>
      <c r="I426" s="3">
        <v>45489</v>
      </c>
      <c r="J426" s="6">
        <v>25651459030.800003</v>
      </c>
      <c r="K426" t="str">
        <f ca="1">IF($I426=业绩披露日期!D$7,ROW(),"")</f>
        <v/>
      </c>
      <c r="L426" t="str">
        <f>IF($I426=业绩披露日期!E$7,ROW(),"")</f>
        <v/>
      </c>
      <c r="M426" t="str">
        <f>IF($I426=业绩披露日期!F$7,ROW(),"")</f>
        <v/>
      </c>
      <c r="N426" t="str">
        <f>IF($I426=业绩披露日期!G$7,ROW(),"")</f>
        <v/>
      </c>
      <c r="O426" t="str">
        <f>IF($I426=业绩披露日期!H$7,ROW(),"")</f>
        <v/>
      </c>
      <c r="P426" t="str">
        <f>IF($I426=业绩披露日期!I$7,ROW(),"")</f>
        <v/>
      </c>
    </row>
    <row r="427" spans="1:16" x14ac:dyDescent="0.35">
      <c r="A427" s="23">
        <f t="shared" ca="1" si="31"/>
        <v>0</v>
      </c>
      <c r="B427" s="23">
        <f t="shared" si="32"/>
        <v>0</v>
      </c>
      <c r="C427" s="23">
        <f t="shared" si="33"/>
        <v>0</v>
      </c>
      <c r="D427" s="23">
        <f t="shared" si="34"/>
        <v>0</v>
      </c>
      <c r="E427" s="23">
        <f t="shared" si="35"/>
        <v>0</v>
      </c>
      <c r="F427" s="23">
        <f t="shared" si="35"/>
        <v>0</v>
      </c>
      <c r="G427" s="2" t="str">
        <f>IF('证券列表 '!B430="","",'证券列表 '!B430)</f>
        <v/>
      </c>
      <c r="H427" s="2" t="s">
        <v>782</v>
      </c>
      <c r="I427" s="3">
        <v>45315</v>
      </c>
      <c r="J427" s="6">
        <v>20502443612.060001</v>
      </c>
      <c r="K427" t="str">
        <f ca="1">IF($I427=业绩披露日期!D$7,ROW(),"")</f>
        <v/>
      </c>
      <c r="L427" t="str">
        <f>IF($I427=业绩披露日期!E$7,ROW(),"")</f>
        <v/>
      </c>
      <c r="M427" t="str">
        <f>IF($I427=业绩披露日期!F$7,ROW(),"")</f>
        <v/>
      </c>
      <c r="N427" t="str">
        <f>IF($I427=业绩披露日期!G$7,ROW(),"")</f>
        <v/>
      </c>
      <c r="O427" t="str">
        <f>IF($I427=业绩披露日期!H$7,ROW(),"")</f>
        <v/>
      </c>
      <c r="P427" t="str">
        <f>IF($I427=业绩披露日期!I$7,ROW(),"")</f>
        <v/>
      </c>
    </row>
    <row r="428" spans="1:16" x14ac:dyDescent="0.35">
      <c r="A428" s="23">
        <f t="shared" ca="1" si="31"/>
        <v>0</v>
      </c>
      <c r="B428" s="23">
        <f t="shared" si="32"/>
        <v>0</v>
      </c>
      <c r="C428" s="23">
        <f t="shared" si="33"/>
        <v>0</v>
      </c>
      <c r="D428" s="23">
        <f t="shared" si="34"/>
        <v>0</v>
      </c>
      <c r="E428" s="23">
        <f t="shared" si="35"/>
        <v>0</v>
      </c>
      <c r="F428" s="23">
        <f t="shared" si="35"/>
        <v>0</v>
      </c>
      <c r="G428" s="2" t="str">
        <f>IF('证券列表 '!B431="","",'证券列表 '!B431)</f>
        <v/>
      </c>
      <c r="H428" s="2" t="s">
        <v>783</v>
      </c>
      <c r="I428" s="3">
        <v>45204</v>
      </c>
      <c r="J428" s="6">
        <v>43362410796.839996</v>
      </c>
      <c r="K428" t="str">
        <f ca="1">IF($I428=业绩披露日期!D$7,ROW(),"")</f>
        <v/>
      </c>
      <c r="L428" t="str">
        <f>IF($I428=业绩披露日期!E$7,ROW(),"")</f>
        <v/>
      </c>
      <c r="M428" t="str">
        <f>IF($I428=业绩披露日期!F$7,ROW(),"")</f>
        <v/>
      </c>
      <c r="N428" t="str">
        <f>IF($I428=业绩披露日期!G$7,ROW(),"")</f>
        <v/>
      </c>
      <c r="O428" t="str">
        <f>IF($I428=业绩披露日期!H$7,ROW(),"")</f>
        <v/>
      </c>
      <c r="P428" t="str">
        <f>IF($I428=业绩披露日期!I$7,ROW(),"")</f>
        <v/>
      </c>
    </row>
    <row r="429" spans="1:16" x14ac:dyDescent="0.35">
      <c r="A429" s="23">
        <f t="shared" ca="1" si="31"/>
        <v>0</v>
      </c>
      <c r="B429" s="23">
        <f t="shared" si="32"/>
        <v>0</v>
      </c>
      <c r="C429" s="23">
        <f t="shared" si="33"/>
        <v>0</v>
      </c>
      <c r="D429" s="23">
        <f t="shared" si="34"/>
        <v>0</v>
      </c>
      <c r="E429" s="23">
        <f t="shared" si="35"/>
        <v>0</v>
      </c>
      <c r="F429" s="23">
        <f t="shared" si="35"/>
        <v>0</v>
      </c>
      <c r="G429" s="2" t="str">
        <f>IF('证券列表 '!B432="","",'证券列表 '!B432)</f>
        <v/>
      </c>
      <c r="H429" s="2" t="s">
        <v>784</v>
      </c>
      <c r="I429" s="3">
        <v>45414</v>
      </c>
      <c r="J429" s="6">
        <v>24498132095.91</v>
      </c>
      <c r="K429" t="str">
        <f ca="1">IF($I429=业绩披露日期!D$7,ROW(),"")</f>
        <v/>
      </c>
      <c r="L429" t="str">
        <f>IF($I429=业绩披露日期!E$7,ROW(),"")</f>
        <v/>
      </c>
      <c r="M429" t="str">
        <f>IF($I429=业绩披露日期!F$7,ROW(),"")</f>
        <v/>
      </c>
      <c r="N429" t="str">
        <f>IF($I429=业绩披露日期!G$7,ROW(),"")</f>
        <v/>
      </c>
      <c r="O429" t="str">
        <f>IF($I429=业绩披露日期!H$7,ROW(),"")</f>
        <v/>
      </c>
      <c r="P429" t="str">
        <f>IF($I429=业绩披露日期!I$7,ROW(),"")</f>
        <v/>
      </c>
    </row>
    <row r="430" spans="1:16" x14ac:dyDescent="0.35">
      <c r="A430" s="23">
        <f t="shared" ca="1" si="31"/>
        <v>0</v>
      </c>
      <c r="B430" s="23">
        <f t="shared" si="32"/>
        <v>0</v>
      </c>
      <c r="C430" s="23">
        <f t="shared" si="33"/>
        <v>0</v>
      </c>
      <c r="D430" s="23">
        <f t="shared" si="34"/>
        <v>0</v>
      </c>
      <c r="E430" s="23">
        <f t="shared" si="35"/>
        <v>0</v>
      </c>
      <c r="F430" s="23">
        <f t="shared" si="35"/>
        <v>0</v>
      </c>
      <c r="G430" s="2" t="str">
        <f>IF('证券列表 '!B433="","",'证券列表 '!B433)</f>
        <v/>
      </c>
      <c r="H430" s="2" t="s">
        <v>785</v>
      </c>
      <c r="I430" s="3">
        <v>45503</v>
      </c>
      <c r="J430" s="6">
        <v>15688471419.6</v>
      </c>
      <c r="K430" t="str">
        <f ca="1">IF($I430=业绩披露日期!D$7,ROW(),"")</f>
        <v/>
      </c>
      <c r="L430" t="str">
        <f>IF($I430=业绩披露日期!E$7,ROW(),"")</f>
        <v/>
      </c>
      <c r="M430" t="str">
        <f>IF($I430=业绩披露日期!F$7,ROW(),"")</f>
        <v/>
      </c>
      <c r="N430" t="str">
        <f>IF($I430=业绩披露日期!G$7,ROW(),"")</f>
        <v/>
      </c>
      <c r="O430" t="str">
        <f>IF($I430=业绩披露日期!H$7,ROW(),"")</f>
        <v/>
      </c>
      <c r="P430" t="str">
        <f>IF($I430=业绩披露日期!I$7,ROW(),"")</f>
        <v/>
      </c>
    </row>
    <row r="431" spans="1:16" x14ac:dyDescent="0.35">
      <c r="A431" s="23">
        <f t="shared" ca="1" si="31"/>
        <v>0</v>
      </c>
      <c r="B431" s="23">
        <f t="shared" si="32"/>
        <v>0</v>
      </c>
      <c r="C431" s="23">
        <f t="shared" si="33"/>
        <v>0</v>
      </c>
      <c r="D431" s="23">
        <f t="shared" si="34"/>
        <v>0</v>
      </c>
      <c r="E431" s="23">
        <f t="shared" si="35"/>
        <v>0</v>
      </c>
      <c r="F431" s="23">
        <f t="shared" si="35"/>
        <v>0</v>
      </c>
      <c r="G431" s="2" t="str">
        <f>IF('证券列表 '!B434="","",'证券列表 '!B434)</f>
        <v/>
      </c>
      <c r="H431" s="2" t="s">
        <v>786</v>
      </c>
      <c r="I431" s="3">
        <v>45412</v>
      </c>
      <c r="J431" s="6">
        <v>17201453156.700001</v>
      </c>
      <c r="K431" t="str">
        <f ca="1">IF($I431=业绩披露日期!D$7,ROW(),"")</f>
        <v/>
      </c>
      <c r="L431" t="str">
        <f>IF($I431=业绩披露日期!E$7,ROW(),"")</f>
        <v/>
      </c>
      <c r="M431" t="str">
        <f>IF($I431=业绩披露日期!F$7,ROW(),"")</f>
        <v/>
      </c>
      <c r="N431" t="str">
        <f>IF($I431=业绩披露日期!G$7,ROW(),"")</f>
        <v/>
      </c>
      <c r="O431" t="str">
        <f>IF($I431=业绩披露日期!H$7,ROW(),"")</f>
        <v/>
      </c>
      <c r="P431" t="str">
        <f>IF($I431=业绩披露日期!I$7,ROW(),"")</f>
        <v/>
      </c>
    </row>
    <row r="432" spans="1:16" x14ac:dyDescent="0.35">
      <c r="A432" s="23">
        <f t="shared" ca="1" si="31"/>
        <v>0</v>
      </c>
      <c r="B432" s="23">
        <f t="shared" si="32"/>
        <v>0</v>
      </c>
      <c r="C432" s="23">
        <f t="shared" si="33"/>
        <v>0</v>
      </c>
      <c r="D432" s="23">
        <f t="shared" si="34"/>
        <v>0</v>
      </c>
      <c r="E432" s="23">
        <f t="shared" si="35"/>
        <v>0</v>
      </c>
      <c r="F432" s="23">
        <f t="shared" si="35"/>
        <v>0</v>
      </c>
      <c r="G432" s="2" t="str">
        <f>IF('证券列表 '!B435="","",'证券列表 '!B435)</f>
        <v/>
      </c>
      <c r="H432" s="2" t="s">
        <v>787</v>
      </c>
      <c r="I432" s="3">
        <v>45490</v>
      </c>
      <c r="J432" s="6">
        <v>19674385175.779999</v>
      </c>
      <c r="K432" t="str">
        <f ca="1">IF($I432=业绩披露日期!D$7,ROW(),"")</f>
        <v/>
      </c>
      <c r="L432" t="str">
        <f>IF($I432=业绩披露日期!E$7,ROW(),"")</f>
        <v/>
      </c>
      <c r="M432" t="str">
        <f>IF($I432=业绩披露日期!F$7,ROW(),"")</f>
        <v/>
      </c>
      <c r="N432" t="str">
        <f>IF($I432=业绩披露日期!G$7,ROW(),"")</f>
        <v/>
      </c>
      <c r="O432" t="str">
        <f>IF($I432=业绩披露日期!H$7,ROW(),"")</f>
        <v/>
      </c>
      <c r="P432" t="str">
        <f>IF($I432=业绩披露日期!I$7,ROW(),"")</f>
        <v/>
      </c>
    </row>
    <row r="433" spans="1:16" x14ac:dyDescent="0.35">
      <c r="A433" s="23">
        <f t="shared" ca="1" si="31"/>
        <v>0</v>
      </c>
      <c r="B433" s="23">
        <f t="shared" si="32"/>
        <v>0</v>
      </c>
      <c r="C433" s="23">
        <f t="shared" si="33"/>
        <v>0</v>
      </c>
      <c r="D433" s="23">
        <f t="shared" si="34"/>
        <v>0</v>
      </c>
      <c r="E433" s="23">
        <f t="shared" si="35"/>
        <v>0</v>
      </c>
      <c r="F433" s="23">
        <f t="shared" si="35"/>
        <v>0</v>
      </c>
      <c r="G433" s="2" t="str">
        <f>IF('证券列表 '!B436="","",'证券列表 '!B436)</f>
        <v/>
      </c>
      <c r="H433" s="2" t="s">
        <v>788</v>
      </c>
      <c r="I433" s="3">
        <v>45503</v>
      </c>
      <c r="J433" s="6">
        <v>136398305036.52</v>
      </c>
      <c r="K433" t="str">
        <f ca="1">IF($I433=业绩披露日期!D$7,ROW(),"")</f>
        <v/>
      </c>
      <c r="L433" t="str">
        <f>IF($I433=业绩披露日期!E$7,ROW(),"")</f>
        <v/>
      </c>
      <c r="M433" t="str">
        <f>IF($I433=业绩披露日期!F$7,ROW(),"")</f>
        <v/>
      </c>
      <c r="N433" t="str">
        <f>IF($I433=业绩披露日期!G$7,ROW(),"")</f>
        <v/>
      </c>
      <c r="O433" t="str">
        <f>IF($I433=业绩披露日期!H$7,ROW(),"")</f>
        <v/>
      </c>
      <c r="P433" t="str">
        <f>IF($I433=业绩披露日期!I$7,ROW(),"")</f>
        <v/>
      </c>
    </row>
    <row r="434" spans="1:16" x14ac:dyDescent="0.35">
      <c r="A434" s="23">
        <f t="shared" ca="1" si="31"/>
        <v>0</v>
      </c>
      <c r="B434" s="23">
        <f t="shared" si="32"/>
        <v>0</v>
      </c>
      <c r="C434" s="23">
        <f t="shared" si="33"/>
        <v>0</v>
      </c>
      <c r="D434" s="23">
        <f t="shared" si="34"/>
        <v>0</v>
      </c>
      <c r="E434" s="23">
        <f t="shared" si="35"/>
        <v>0</v>
      </c>
      <c r="F434" s="23">
        <f t="shared" si="35"/>
        <v>0</v>
      </c>
      <c r="G434" s="2" t="str">
        <f>IF('证券列表 '!B437="","",'证券列表 '!B437)</f>
        <v/>
      </c>
      <c r="H434" s="2" t="s">
        <v>789</v>
      </c>
      <c r="I434" s="3">
        <v>45321</v>
      </c>
      <c r="J434" s="6">
        <v>38126014408.949997</v>
      </c>
      <c r="K434" t="str">
        <f ca="1">IF($I434=业绩披露日期!D$7,ROW(),"")</f>
        <v/>
      </c>
      <c r="L434" t="str">
        <f>IF($I434=业绩披露日期!E$7,ROW(),"")</f>
        <v/>
      </c>
      <c r="M434" t="str">
        <f>IF($I434=业绩披露日期!F$7,ROW(),"")</f>
        <v/>
      </c>
      <c r="N434" t="str">
        <f>IF($I434=业绩披露日期!G$7,ROW(),"")</f>
        <v/>
      </c>
      <c r="O434" t="str">
        <f>IF($I434=业绩披露日期!H$7,ROW(),"")</f>
        <v/>
      </c>
      <c r="P434" t="str">
        <f>IF($I434=业绩披露日期!I$7,ROW(),"")</f>
        <v/>
      </c>
    </row>
    <row r="435" spans="1:16" x14ac:dyDescent="0.35">
      <c r="A435" s="23">
        <f t="shared" ca="1" si="31"/>
        <v>0</v>
      </c>
      <c r="B435" s="23">
        <f t="shared" si="32"/>
        <v>0</v>
      </c>
      <c r="C435" s="23">
        <f t="shared" si="33"/>
        <v>0</v>
      </c>
      <c r="D435" s="23">
        <f t="shared" si="34"/>
        <v>0</v>
      </c>
      <c r="E435" s="23">
        <f t="shared" si="35"/>
        <v>0</v>
      </c>
      <c r="F435" s="23">
        <f t="shared" si="35"/>
        <v>0</v>
      </c>
      <c r="G435" s="2" t="str">
        <f>IF('证券列表 '!B438="","",'证券列表 '!B438)</f>
        <v/>
      </c>
      <c r="H435" s="2" t="s">
        <v>790</v>
      </c>
      <c r="I435" s="3">
        <v>45497</v>
      </c>
      <c r="J435" s="6">
        <v>141684019009.52002</v>
      </c>
      <c r="K435" t="str">
        <f ca="1">IF($I435=业绩披露日期!D$7,ROW(),"")</f>
        <v/>
      </c>
      <c r="L435" t="str">
        <f>IF($I435=业绩披露日期!E$7,ROW(),"")</f>
        <v/>
      </c>
      <c r="M435" t="str">
        <f>IF($I435=业绩披露日期!F$7,ROW(),"")</f>
        <v/>
      </c>
      <c r="N435" t="str">
        <f>IF($I435=业绩披露日期!G$7,ROW(),"")</f>
        <v/>
      </c>
      <c r="O435" t="str">
        <f>IF($I435=业绩披露日期!H$7,ROW(),"")</f>
        <v/>
      </c>
      <c r="P435" t="str">
        <f>IF($I435=业绩披露日期!I$7,ROW(),"")</f>
        <v/>
      </c>
    </row>
    <row r="436" spans="1:16" x14ac:dyDescent="0.35">
      <c r="A436" s="23">
        <f t="shared" ca="1" si="31"/>
        <v>0</v>
      </c>
      <c r="B436" s="23">
        <f t="shared" si="32"/>
        <v>0</v>
      </c>
      <c r="C436" s="23">
        <f t="shared" si="33"/>
        <v>0</v>
      </c>
      <c r="D436" s="23">
        <f t="shared" si="34"/>
        <v>0</v>
      </c>
      <c r="E436" s="23">
        <f t="shared" si="35"/>
        <v>0</v>
      </c>
      <c r="F436" s="23">
        <f t="shared" si="35"/>
        <v>0</v>
      </c>
      <c r="G436" s="2" t="str">
        <f>IF('证券列表 '!B439="","",'证券列表 '!B439)</f>
        <v/>
      </c>
      <c r="H436" s="2" t="s">
        <v>791</v>
      </c>
      <c r="I436" s="3">
        <v>45510</v>
      </c>
      <c r="J436" s="6">
        <v>10473483555.34</v>
      </c>
      <c r="K436" t="str">
        <f ca="1">IF($I436=业绩披露日期!D$7,ROW(),"")</f>
        <v/>
      </c>
      <c r="L436" t="str">
        <f>IF($I436=业绩披露日期!E$7,ROW(),"")</f>
        <v/>
      </c>
      <c r="M436" t="str">
        <f>IF($I436=业绩披露日期!F$7,ROW(),"")</f>
        <v/>
      </c>
      <c r="N436" t="str">
        <f>IF($I436=业绩披露日期!G$7,ROW(),"")</f>
        <v/>
      </c>
      <c r="O436" t="str">
        <f>IF($I436=业绩披露日期!H$7,ROW(),"")</f>
        <v/>
      </c>
      <c r="P436" t="str">
        <f>IF($I436=业绩披露日期!I$7,ROW(),"")</f>
        <v/>
      </c>
    </row>
    <row r="437" spans="1:16" x14ac:dyDescent="0.35">
      <c r="A437" s="23">
        <f t="shared" ca="1" si="31"/>
        <v>0</v>
      </c>
      <c r="B437" s="23">
        <f t="shared" si="32"/>
        <v>0</v>
      </c>
      <c r="C437" s="23">
        <f t="shared" si="33"/>
        <v>0</v>
      </c>
      <c r="D437" s="23">
        <f t="shared" si="34"/>
        <v>0</v>
      </c>
      <c r="E437" s="23">
        <f t="shared" si="35"/>
        <v>0</v>
      </c>
      <c r="F437" s="23">
        <f t="shared" si="35"/>
        <v>0</v>
      </c>
      <c r="G437" s="2" t="str">
        <f>IF('证券列表 '!B440="","",'证券列表 '!B440)</f>
        <v/>
      </c>
      <c r="H437" s="2" t="s">
        <v>792</v>
      </c>
      <c r="I437" s="3">
        <v>45419</v>
      </c>
      <c r="J437" s="6">
        <v>76556701267.409988</v>
      </c>
      <c r="K437" t="str">
        <f ca="1">IF($I437=业绩披露日期!D$7,ROW(),"")</f>
        <v/>
      </c>
      <c r="L437" t="str">
        <f>IF($I437=业绩披露日期!E$7,ROW(),"")</f>
        <v/>
      </c>
      <c r="M437" t="str">
        <f>IF($I437=业绩披露日期!F$7,ROW(),"")</f>
        <v/>
      </c>
      <c r="N437" t="str">
        <f>IF($I437=业绩披露日期!G$7,ROW(),"")</f>
        <v/>
      </c>
      <c r="O437" t="str">
        <f>IF($I437=业绩披露日期!H$7,ROW(),"")</f>
        <v/>
      </c>
      <c r="P437" t="str">
        <f>IF($I437=业绩披露日期!I$7,ROW(),"")</f>
        <v/>
      </c>
    </row>
    <row r="438" spans="1:16" x14ac:dyDescent="0.35">
      <c r="A438" s="23">
        <f t="shared" ca="1" si="31"/>
        <v>0</v>
      </c>
      <c r="B438" s="23">
        <f t="shared" si="32"/>
        <v>0</v>
      </c>
      <c r="C438" s="23">
        <f t="shared" si="33"/>
        <v>0</v>
      </c>
      <c r="D438" s="23">
        <f t="shared" si="34"/>
        <v>0</v>
      </c>
      <c r="E438" s="23">
        <f t="shared" si="35"/>
        <v>0</v>
      </c>
      <c r="F438" s="23">
        <f t="shared" si="35"/>
        <v>0</v>
      </c>
      <c r="G438" s="2" t="str">
        <f>IF('证券列表 '!B441="","",'证券列表 '!B441)</f>
        <v/>
      </c>
      <c r="H438" s="2" t="s">
        <v>793</v>
      </c>
      <c r="I438" s="3">
        <v>45497</v>
      </c>
      <c r="J438" s="6">
        <v>19958613107.93</v>
      </c>
      <c r="K438" t="str">
        <f ca="1">IF($I438=业绩披露日期!D$7,ROW(),"")</f>
        <v/>
      </c>
      <c r="L438" t="str">
        <f>IF($I438=业绩披露日期!E$7,ROW(),"")</f>
        <v/>
      </c>
      <c r="M438" t="str">
        <f>IF($I438=业绩披露日期!F$7,ROW(),"")</f>
        <v/>
      </c>
      <c r="N438" t="str">
        <f>IF($I438=业绩披露日期!G$7,ROW(),"")</f>
        <v/>
      </c>
      <c r="O438" t="str">
        <f>IF($I438=业绩披露日期!H$7,ROW(),"")</f>
        <v/>
      </c>
      <c r="P438" t="str">
        <f>IF($I438=业绩披露日期!I$7,ROW(),"")</f>
        <v/>
      </c>
    </row>
    <row r="439" spans="1:16" x14ac:dyDescent="0.35">
      <c r="A439" s="23">
        <f t="shared" ca="1" si="31"/>
        <v>0</v>
      </c>
      <c r="B439" s="23">
        <f t="shared" si="32"/>
        <v>0</v>
      </c>
      <c r="C439" s="23">
        <f t="shared" si="33"/>
        <v>0</v>
      </c>
      <c r="D439" s="23">
        <f t="shared" si="34"/>
        <v>0</v>
      </c>
      <c r="E439" s="23">
        <f t="shared" si="35"/>
        <v>0</v>
      </c>
      <c r="F439" s="23">
        <f t="shared" si="35"/>
        <v>0</v>
      </c>
      <c r="G439" s="2" t="str">
        <f>IF('证券列表 '!B442="","",'证券列表 '!B442)</f>
        <v/>
      </c>
      <c r="H439" s="2" t="s">
        <v>794</v>
      </c>
      <c r="I439" s="3">
        <v>45323</v>
      </c>
      <c r="J439" s="6">
        <v>11743207149.24</v>
      </c>
      <c r="K439" t="str">
        <f ca="1">IF($I439=业绩披露日期!D$7,ROW(),"")</f>
        <v/>
      </c>
      <c r="L439" t="str">
        <f>IF($I439=业绩披露日期!E$7,ROW(),"")</f>
        <v/>
      </c>
      <c r="M439" t="str">
        <f>IF($I439=业绩披露日期!F$7,ROW(),"")</f>
        <v/>
      </c>
      <c r="N439" t="str">
        <f>IF($I439=业绩披露日期!G$7,ROW(),"")</f>
        <v/>
      </c>
      <c r="O439" t="str">
        <f>IF($I439=业绩披露日期!H$7,ROW(),"")</f>
        <v/>
      </c>
      <c r="P439" t="str">
        <f>IF($I439=业绩披露日期!I$7,ROW(),"")</f>
        <v/>
      </c>
    </row>
    <row r="440" spans="1:16" x14ac:dyDescent="0.35">
      <c r="A440" s="23">
        <f t="shared" ca="1" si="31"/>
        <v>0</v>
      </c>
      <c r="B440" s="23">
        <f t="shared" si="32"/>
        <v>0</v>
      </c>
      <c r="C440" s="23">
        <f t="shared" si="33"/>
        <v>0</v>
      </c>
      <c r="D440" s="23">
        <f t="shared" si="34"/>
        <v>0</v>
      </c>
      <c r="E440" s="23">
        <f t="shared" si="35"/>
        <v>0</v>
      </c>
      <c r="F440" s="23">
        <f t="shared" si="35"/>
        <v>0</v>
      </c>
      <c r="G440" s="2" t="str">
        <f>IF('证券列表 '!B443="","",'证券列表 '!B443)</f>
        <v/>
      </c>
      <c r="H440" s="2" t="s">
        <v>795</v>
      </c>
      <c r="I440" s="3">
        <v>45406</v>
      </c>
      <c r="J440" s="6">
        <v>46040638106.380005</v>
      </c>
      <c r="K440" t="str">
        <f ca="1">IF($I440=业绩披露日期!D$7,ROW(),"")</f>
        <v/>
      </c>
      <c r="L440" t="str">
        <f>IF($I440=业绩披露日期!E$7,ROW(),"")</f>
        <v/>
      </c>
      <c r="M440" t="str">
        <f>IF($I440=业绩披露日期!F$7,ROW(),"")</f>
        <v/>
      </c>
      <c r="N440" t="str">
        <f>IF($I440=业绩披露日期!G$7,ROW(),"")</f>
        <v/>
      </c>
      <c r="O440" t="str">
        <f>IF($I440=业绩披露日期!H$7,ROW(),"")</f>
        <v/>
      </c>
      <c r="P440" t="str">
        <f>IF($I440=业绩披露日期!I$7,ROW(),"")</f>
        <v/>
      </c>
    </row>
    <row r="441" spans="1:16" x14ac:dyDescent="0.35">
      <c r="A441" s="23">
        <f t="shared" ca="1" si="31"/>
        <v>0</v>
      </c>
      <c r="B441" s="23">
        <f t="shared" si="32"/>
        <v>0</v>
      </c>
      <c r="C441" s="23">
        <f t="shared" si="33"/>
        <v>0</v>
      </c>
      <c r="D441" s="23">
        <f t="shared" si="34"/>
        <v>0</v>
      </c>
      <c r="E441" s="23">
        <f t="shared" si="35"/>
        <v>0</v>
      </c>
      <c r="F441" s="23">
        <f t="shared" si="35"/>
        <v>0</v>
      </c>
      <c r="G441" s="2" t="str">
        <f>IF('证券列表 '!B444="","",'证券列表 '!B444)</f>
        <v/>
      </c>
      <c r="H441" s="2" t="s">
        <v>796</v>
      </c>
      <c r="I441" s="3">
        <v>45497</v>
      </c>
      <c r="J441" s="6">
        <v>21859069150.360001</v>
      </c>
      <c r="K441" t="str">
        <f ca="1">IF($I441=业绩披露日期!D$7,ROW(),"")</f>
        <v/>
      </c>
      <c r="L441" t="str">
        <f>IF($I441=业绩披露日期!E$7,ROW(),"")</f>
        <v/>
      </c>
      <c r="M441" t="str">
        <f>IF($I441=业绩披露日期!F$7,ROW(),"")</f>
        <v/>
      </c>
      <c r="N441" t="str">
        <f>IF($I441=业绩披露日期!G$7,ROW(),"")</f>
        <v/>
      </c>
      <c r="O441" t="str">
        <f>IF($I441=业绩披露日期!H$7,ROW(),"")</f>
        <v/>
      </c>
      <c r="P441" t="str">
        <f>IF($I441=业绩披露日期!I$7,ROW(),"")</f>
        <v/>
      </c>
    </row>
    <row r="442" spans="1:16" x14ac:dyDescent="0.35">
      <c r="A442" s="23">
        <f t="shared" ca="1" si="31"/>
        <v>0</v>
      </c>
      <c r="B442" s="23">
        <f t="shared" si="32"/>
        <v>0</v>
      </c>
      <c r="C442" s="23">
        <f t="shared" si="33"/>
        <v>0</v>
      </c>
      <c r="D442" s="23">
        <f t="shared" si="34"/>
        <v>0</v>
      </c>
      <c r="E442" s="23">
        <f t="shared" si="35"/>
        <v>0</v>
      </c>
      <c r="F442" s="23">
        <f t="shared" si="35"/>
        <v>0</v>
      </c>
      <c r="G442" s="2" t="str">
        <f>IF('证券列表 '!B445="","",'证券列表 '!B445)</f>
        <v/>
      </c>
      <c r="H442" s="2" t="s">
        <v>797</v>
      </c>
      <c r="I442" s="3">
        <v>45495</v>
      </c>
      <c r="J442" s="6">
        <v>58801788406.489998</v>
      </c>
      <c r="K442" t="str">
        <f ca="1">IF($I442=业绩披露日期!D$7,ROW(),"")</f>
        <v/>
      </c>
      <c r="L442" t="str">
        <f>IF($I442=业绩披露日期!E$7,ROW(),"")</f>
        <v/>
      </c>
      <c r="M442" t="str">
        <f>IF($I442=业绩披露日期!F$7,ROW(),"")</f>
        <v/>
      </c>
      <c r="N442" t="str">
        <f>IF($I442=业绩披露日期!G$7,ROW(),"")</f>
        <v/>
      </c>
      <c r="O442" t="str">
        <f>IF($I442=业绩披露日期!H$7,ROW(),"")</f>
        <v/>
      </c>
      <c r="P442" t="str">
        <f>IF($I442=业绩披露日期!I$7,ROW(),"")</f>
        <v/>
      </c>
    </row>
    <row r="443" spans="1:16" x14ac:dyDescent="0.35">
      <c r="A443" s="23">
        <f t="shared" ca="1" si="31"/>
        <v>0</v>
      </c>
      <c r="B443" s="23">
        <f t="shared" si="32"/>
        <v>0</v>
      </c>
      <c r="C443" s="23">
        <f t="shared" si="33"/>
        <v>0</v>
      </c>
      <c r="D443" s="23">
        <f t="shared" si="34"/>
        <v>0</v>
      </c>
      <c r="E443" s="23">
        <f t="shared" si="35"/>
        <v>0</v>
      </c>
      <c r="F443" s="23">
        <f t="shared" si="35"/>
        <v>0</v>
      </c>
      <c r="G443" s="2" t="str">
        <f>IF('证券列表 '!B446="","",'证券列表 '!B446)</f>
        <v/>
      </c>
      <c r="H443" s="2" t="s">
        <v>798</v>
      </c>
      <c r="I443" s="3">
        <v>45505</v>
      </c>
      <c r="J443" s="6">
        <v>11474993271.059999</v>
      </c>
      <c r="K443" t="str">
        <f ca="1">IF($I443=业绩披露日期!D$7,ROW(),"")</f>
        <v/>
      </c>
      <c r="L443" t="str">
        <f>IF($I443=业绩披露日期!E$7,ROW(),"")</f>
        <v/>
      </c>
      <c r="M443" t="str">
        <f>IF($I443=业绩披露日期!F$7,ROW(),"")</f>
        <v/>
      </c>
      <c r="N443" t="str">
        <f>IF($I443=业绩披露日期!G$7,ROW(),"")</f>
        <v/>
      </c>
      <c r="O443" t="str">
        <f>IF($I443=业绩披露日期!H$7,ROW(),"")</f>
        <v/>
      </c>
      <c r="P443" t="str">
        <f>IF($I443=业绩披露日期!I$7,ROW(),"")</f>
        <v/>
      </c>
    </row>
    <row r="444" spans="1:16" x14ac:dyDescent="0.35">
      <c r="A444" s="23">
        <f t="shared" ca="1" si="31"/>
        <v>0</v>
      </c>
      <c r="B444" s="23">
        <f t="shared" si="32"/>
        <v>0</v>
      </c>
      <c r="C444" s="23">
        <f t="shared" si="33"/>
        <v>0</v>
      </c>
      <c r="D444" s="23">
        <f t="shared" si="34"/>
        <v>0</v>
      </c>
      <c r="E444" s="23">
        <f t="shared" si="35"/>
        <v>0</v>
      </c>
      <c r="F444" s="23">
        <f t="shared" si="35"/>
        <v>0</v>
      </c>
      <c r="G444" s="2" t="str">
        <f>IF('证券列表 '!B447="","",'证券列表 '!B447)</f>
        <v/>
      </c>
      <c r="H444" s="2" t="s">
        <v>799</v>
      </c>
      <c r="I444" s="3">
        <v>45154</v>
      </c>
      <c r="J444" s="6">
        <v>70818704985.299988</v>
      </c>
      <c r="K444" t="str">
        <f ca="1">IF($I444=业绩披露日期!D$7,ROW(),"")</f>
        <v/>
      </c>
      <c r="L444" t="str">
        <f>IF($I444=业绩披露日期!E$7,ROW(),"")</f>
        <v/>
      </c>
      <c r="M444" t="str">
        <f>IF($I444=业绩披露日期!F$7,ROW(),"")</f>
        <v/>
      </c>
      <c r="N444" t="str">
        <f>IF($I444=业绩披露日期!G$7,ROW(),"")</f>
        <v/>
      </c>
      <c r="O444" t="str">
        <f>IF($I444=业绩披露日期!H$7,ROW(),"")</f>
        <v/>
      </c>
      <c r="P444" t="str">
        <f>IF($I444=业绩披露日期!I$7,ROW(),"")</f>
        <v/>
      </c>
    </row>
    <row r="445" spans="1:16" x14ac:dyDescent="0.35">
      <c r="A445" s="23">
        <f t="shared" ca="1" si="31"/>
        <v>0</v>
      </c>
      <c r="B445" s="23">
        <f t="shared" si="32"/>
        <v>0</v>
      </c>
      <c r="C445" s="23">
        <f t="shared" si="33"/>
        <v>0</v>
      </c>
      <c r="D445" s="23">
        <f t="shared" si="34"/>
        <v>0</v>
      </c>
      <c r="E445" s="23">
        <f t="shared" si="35"/>
        <v>0</v>
      </c>
      <c r="F445" s="23">
        <f t="shared" si="35"/>
        <v>0</v>
      </c>
      <c r="G445" s="2" t="str">
        <f>IF('证券列表 '!B448="","",'证券列表 '!B448)</f>
        <v/>
      </c>
      <c r="H445" s="2" t="s">
        <v>800</v>
      </c>
      <c r="I445" s="3">
        <v>45154</v>
      </c>
      <c r="J445" s="6">
        <v>132645606439.72</v>
      </c>
      <c r="K445" t="str">
        <f ca="1">IF($I445=业绩披露日期!D$7,ROW(),"")</f>
        <v/>
      </c>
      <c r="L445" t="str">
        <f>IF($I445=业绩披露日期!E$7,ROW(),"")</f>
        <v/>
      </c>
      <c r="M445" t="str">
        <f>IF($I445=业绩披露日期!F$7,ROW(),"")</f>
        <v/>
      </c>
      <c r="N445" t="str">
        <f>IF($I445=业绩披露日期!G$7,ROW(),"")</f>
        <v/>
      </c>
      <c r="O445" t="str">
        <f>IF($I445=业绩披露日期!H$7,ROW(),"")</f>
        <v/>
      </c>
      <c r="P445" t="str">
        <f>IF($I445=业绩披露日期!I$7,ROW(),"")</f>
        <v/>
      </c>
    </row>
    <row r="446" spans="1:16" x14ac:dyDescent="0.35">
      <c r="A446" s="23">
        <f t="shared" ca="1" si="31"/>
        <v>0</v>
      </c>
      <c r="B446" s="23">
        <f t="shared" si="32"/>
        <v>0</v>
      </c>
      <c r="C446" s="23">
        <f t="shared" si="33"/>
        <v>0</v>
      </c>
      <c r="D446" s="23">
        <f t="shared" si="34"/>
        <v>0</v>
      </c>
      <c r="E446" s="23">
        <f t="shared" si="35"/>
        <v>0</v>
      </c>
      <c r="F446" s="23">
        <f t="shared" si="35"/>
        <v>0</v>
      </c>
      <c r="G446" s="2" t="str">
        <f>IF('证券列表 '!B449="","",'证券列表 '!B449)</f>
        <v/>
      </c>
      <c r="H446" s="2" t="s">
        <v>801</v>
      </c>
      <c r="I446" s="3">
        <v>45497</v>
      </c>
      <c r="J446" s="6">
        <v>233659047810.87997</v>
      </c>
      <c r="K446" t="str">
        <f ca="1">IF($I446=业绩披露日期!D$7,ROW(),"")</f>
        <v/>
      </c>
      <c r="L446" t="str">
        <f>IF($I446=业绩披露日期!E$7,ROW(),"")</f>
        <v/>
      </c>
      <c r="M446" t="str">
        <f>IF($I446=业绩披露日期!F$7,ROW(),"")</f>
        <v/>
      </c>
      <c r="N446" t="str">
        <f>IF($I446=业绩披露日期!G$7,ROW(),"")</f>
        <v/>
      </c>
      <c r="O446" t="str">
        <f>IF($I446=业绩披露日期!H$7,ROW(),"")</f>
        <v/>
      </c>
      <c r="P446" t="str">
        <f>IF($I446=业绩披露日期!I$7,ROW(),"")</f>
        <v/>
      </c>
    </row>
    <row r="447" spans="1:16" x14ac:dyDescent="0.35">
      <c r="A447" s="23">
        <f t="shared" ca="1" si="31"/>
        <v>0</v>
      </c>
      <c r="B447" s="23">
        <f t="shared" si="32"/>
        <v>0</v>
      </c>
      <c r="C447" s="23">
        <f t="shared" si="33"/>
        <v>0</v>
      </c>
      <c r="D447" s="23">
        <f t="shared" si="34"/>
        <v>0</v>
      </c>
      <c r="E447" s="23">
        <f t="shared" si="35"/>
        <v>0</v>
      </c>
      <c r="F447" s="23">
        <f t="shared" si="35"/>
        <v>0</v>
      </c>
      <c r="G447" s="2" t="str">
        <f>IF('证券列表 '!B450="","",'证券列表 '!B450)</f>
        <v/>
      </c>
      <c r="H447" s="2" t="s">
        <v>802</v>
      </c>
      <c r="I447" s="3">
        <v>45504</v>
      </c>
      <c r="J447" s="6">
        <v>233450149322.64001</v>
      </c>
      <c r="K447" t="str">
        <f ca="1">IF($I447=业绩披露日期!D$7,ROW(),"")</f>
        <v/>
      </c>
      <c r="L447" t="str">
        <f>IF($I447=业绩披露日期!E$7,ROW(),"")</f>
        <v/>
      </c>
      <c r="M447" t="str">
        <f>IF($I447=业绩披露日期!F$7,ROW(),"")</f>
        <v/>
      </c>
      <c r="N447" t="str">
        <f>IF($I447=业绩披露日期!G$7,ROW(),"")</f>
        <v/>
      </c>
      <c r="O447" t="str">
        <f>IF($I447=业绩披露日期!H$7,ROW(),"")</f>
        <v/>
      </c>
      <c r="P447" t="str">
        <f>IF($I447=业绩披露日期!I$7,ROW(),"")</f>
        <v/>
      </c>
    </row>
    <row r="448" spans="1:16" x14ac:dyDescent="0.35">
      <c r="A448" s="23">
        <f t="shared" ca="1" si="31"/>
        <v>0</v>
      </c>
      <c r="B448" s="23">
        <f t="shared" si="32"/>
        <v>0</v>
      </c>
      <c r="C448" s="23">
        <f t="shared" si="33"/>
        <v>0</v>
      </c>
      <c r="D448" s="23">
        <f t="shared" si="34"/>
        <v>0</v>
      </c>
      <c r="E448" s="23">
        <f t="shared" si="35"/>
        <v>0</v>
      </c>
      <c r="F448" s="23">
        <f t="shared" si="35"/>
        <v>0</v>
      </c>
      <c r="G448" s="2" t="str">
        <f>IF('证券列表 '!B451="","",'证券列表 '!B451)</f>
        <v/>
      </c>
      <c r="H448" s="2" t="s">
        <v>803</v>
      </c>
      <c r="I448" s="3">
        <v>45330</v>
      </c>
      <c r="J448" s="6">
        <v>9328543614.9200001</v>
      </c>
      <c r="K448" t="str">
        <f ca="1">IF($I448=业绩披露日期!D$7,ROW(),"")</f>
        <v/>
      </c>
      <c r="L448" t="str">
        <f>IF($I448=业绩披露日期!E$7,ROW(),"")</f>
        <v/>
      </c>
      <c r="M448" t="str">
        <f>IF($I448=业绩披露日期!F$7,ROW(),"")</f>
        <v/>
      </c>
      <c r="N448" t="str">
        <f>IF($I448=业绩披露日期!G$7,ROW(),"")</f>
        <v/>
      </c>
      <c r="O448" t="str">
        <f>IF($I448=业绩披露日期!H$7,ROW(),"")</f>
        <v/>
      </c>
      <c r="P448" t="str">
        <f>IF($I448=业绩披露日期!I$7,ROW(),"")</f>
        <v/>
      </c>
    </row>
    <row r="449" spans="1:16" x14ac:dyDescent="0.35">
      <c r="A449" s="23">
        <f t="shared" ca="1" si="31"/>
        <v>0</v>
      </c>
      <c r="B449" s="23">
        <f t="shared" si="32"/>
        <v>0</v>
      </c>
      <c r="C449" s="23">
        <f t="shared" si="33"/>
        <v>0</v>
      </c>
      <c r="D449" s="23">
        <f t="shared" si="34"/>
        <v>0</v>
      </c>
      <c r="E449" s="23">
        <f t="shared" si="35"/>
        <v>0</v>
      </c>
      <c r="F449" s="23">
        <f t="shared" si="35"/>
        <v>0</v>
      </c>
      <c r="G449" s="2" t="str">
        <f>IF('证券列表 '!B452="","",'证券列表 '!B452)</f>
        <v/>
      </c>
      <c r="H449" s="2" t="s">
        <v>804</v>
      </c>
      <c r="I449" s="3">
        <v>45505</v>
      </c>
      <c r="J449" s="6">
        <v>32049171361.059998</v>
      </c>
      <c r="K449" t="str">
        <f ca="1">IF($I449=业绩披露日期!D$7,ROW(),"")</f>
        <v/>
      </c>
      <c r="L449" t="str">
        <f>IF($I449=业绩披露日期!E$7,ROW(),"")</f>
        <v/>
      </c>
      <c r="M449" t="str">
        <f>IF($I449=业绩披露日期!F$7,ROW(),"")</f>
        <v/>
      </c>
      <c r="N449" t="str">
        <f>IF($I449=业绩披露日期!G$7,ROW(),"")</f>
        <v/>
      </c>
      <c r="O449" t="str">
        <f>IF($I449=业绩披露日期!H$7,ROW(),"")</f>
        <v/>
      </c>
      <c r="P449" t="str">
        <f>IF($I449=业绩披露日期!I$7,ROW(),"")</f>
        <v/>
      </c>
    </row>
    <row r="450" spans="1:16" x14ac:dyDescent="0.35">
      <c r="A450" s="23">
        <f t="shared" ca="1" si="31"/>
        <v>0</v>
      </c>
      <c r="B450" s="23">
        <f t="shared" si="32"/>
        <v>0</v>
      </c>
      <c r="C450" s="23">
        <f t="shared" si="33"/>
        <v>0</v>
      </c>
      <c r="D450" s="23">
        <f t="shared" si="34"/>
        <v>0</v>
      </c>
      <c r="E450" s="23">
        <f t="shared" si="35"/>
        <v>0</v>
      </c>
      <c r="F450" s="23">
        <f t="shared" si="35"/>
        <v>0</v>
      </c>
      <c r="G450" s="2" t="str">
        <f>IF('证券列表 '!B453="","",'证券列表 '!B453)</f>
        <v/>
      </c>
      <c r="H450" s="2" t="s">
        <v>805</v>
      </c>
      <c r="I450" s="3">
        <v>45510</v>
      </c>
      <c r="J450" s="6">
        <v>13761098879.85</v>
      </c>
      <c r="K450" t="str">
        <f ca="1">IF($I450=业绩披露日期!D$7,ROW(),"")</f>
        <v/>
      </c>
      <c r="L450" t="str">
        <f>IF($I450=业绩披露日期!E$7,ROW(),"")</f>
        <v/>
      </c>
      <c r="M450" t="str">
        <f>IF($I450=业绩披露日期!F$7,ROW(),"")</f>
        <v/>
      </c>
      <c r="N450" t="str">
        <f>IF($I450=业绩披露日期!G$7,ROW(),"")</f>
        <v/>
      </c>
      <c r="O450" t="str">
        <f>IF($I450=业绩披露日期!H$7,ROW(),"")</f>
        <v/>
      </c>
      <c r="P450" t="str">
        <f>IF($I450=业绩披露日期!I$7,ROW(),"")</f>
        <v/>
      </c>
    </row>
    <row r="451" spans="1:16" x14ac:dyDescent="0.35">
      <c r="A451" s="23">
        <f t="shared" ca="1" si="31"/>
        <v>0</v>
      </c>
      <c r="B451" s="23">
        <f t="shared" si="32"/>
        <v>0</v>
      </c>
      <c r="C451" s="23">
        <f t="shared" si="33"/>
        <v>0</v>
      </c>
      <c r="D451" s="23">
        <f t="shared" si="34"/>
        <v>0</v>
      </c>
      <c r="E451" s="23">
        <f t="shared" si="35"/>
        <v>0</v>
      </c>
      <c r="F451" s="23">
        <f t="shared" si="35"/>
        <v>0</v>
      </c>
      <c r="G451" s="2" t="str">
        <f>IF('证券列表 '!B454="","",'证券列表 '!B454)</f>
        <v/>
      </c>
      <c r="H451" s="2" t="s">
        <v>806</v>
      </c>
      <c r="I451" s="3">
        <v>45499</v>
      </c>
      <c r="J451" s="6">
        <v>23363866767.359997</v>
      </c>
      <c r="K451" t="str">
        <f ca="1">IF($I451=业绩披露日期!D$7,ROW(),"")</f>
        <v/>
      </c>
      <c r="L451" t="str">
        <f>IF($I451=业绩披露日期!E$7,ROW(),"")</f>
        <v/>
      </c>
      <c r="M451" t="str">
        <f>IF($I451=业绩披露日期!F$7,ROW(),"")</f>
        <v/>
      </c>
      <c r="N451" t="str">
        <f>IF($I451=业绩披露日期!G$7,ROW(),"")</f>
        <v/>
      </c>
      <c r="O451" t="str">
        <f>IF($I451=业绩披露日期!H$7,ROW(),"")</f>
        <v/>
      </c>
      <c r="P451" t="str">
        <f>IF($I451=业绩披露日期!I$7,ROW(),"")</f>
        <v/>
      </c>
    </row>
    <row r="452" spans="1:16" x14ac:dyDescent="0.35">
      <c r="A452" s="23">
        <f t="shared" ref="A452:A500" ca="1" si="36">IF(K452="",0,RANK(K452,K:K,1))</f>
        <v>0</v>
      </c>
      <c r="B452" s="23">
        <f t="shared" ref="B452:B500" si="37">IF(L452="",0,RANK(L452,L:L,1))</f>
        <v>0</v>
      </c>
      <c r="C452" s="23">
        <f t="shared" ref="C452:C500" si="38">IF(M452="",0,RANK(M452,M:M,1))</f>
        <v>0</v>
      </c>
      <c r="D452" s="23">
        <f t="shared" ref="D452:D500" si="39">IF(N452="",0,RANK(N452,N:N,1))</f>
        <v>0</v>
      </c>
      <c r="E452" s="23">
        <f t="shared" ref="E452:F500" si="40">IF(O452="",0,RANK(O452,O:O,1))</f>
        <v>0</v>
      </c>
      <c r="F452" s="23">
        <f t="shared" si="40"/>
        <v>0</v>
      </c>
      <c r="G452" s="2" t="str">
        <f>IF('证券列表 '!B455="","",'证券列表 '!B455)</f>
        <v/>
      </c>
      <c r="H452" s="2" t="s">
        <v>807</v>
      </c>
      <c r="I452" s="3">
        <v>45492</v>
      </c>
      <c r="J452" s="6">
        <v>51587721457.220001</v>
      </c>
      <c r="K452" t="str">
        <f ca="1">IF($I452=业绩披露日期!D$7,ROW(),"")</f>
        <v/>
      </c>
      <c r="L452" t="str">
        <f>IF($I452=业绩披露日期!E$7,ROW(),"")</f>
        <v/>
      </c>
      <c r="M452" t="str">
        <f>IF($I452=业绩披露日期!F$7,ROW(),"")</f>
        <v/>
      </c>
      <c r="N452" t="str">
        <f>IF($I452=业绩披露日期!G$7,ROW(),"")</f>
        <v/>
      </c>
      <c r="O452" t="str">
        <f>IF($I452=业绩披露日期!H$7,ROW(),"")</f>
        <v/>
      </c>
      <c r="P452" t="str">
        <f>IF($I452=业绩披露日期!I$7,ROW(),"")</f>
        <v/>
      </c>
    </row>
    <row r="453" spans="1:16" x14ac:dyDescent="0.35">
      <c r="A453" s="23">
        <f t="shared" ca="1" si="36"/>
        <v>0</v>
      </c>
      <c r="B453" s="23">
        <f t="shared" si="37"/>
        <v>0</v>
      </c>
      <c r="C453" s="23">
        <f t="shared" si="38"/>
        <v>0</v>
      </c>
      <c r="D453" s="23">
        <f t="shared" si="39"/>
        <v>0</v>
      </c>
      <c r="E453" s="23">
        <f t="shared" si="40"/>
        <v>0</v>
      </c>
      <c r="F453" s="23">
        <f t="shared" si="40"/>
        <v>0</v>
      </c>
      <c r="G453" s="2" t="str">
        <f>IF('证券列表 '!B456="","",'证券列表 '!B456)</f>
        <v/>
      </c>
      <c r="H453" s="2" t="s">
        <v>808</v>
      </c>
      <c r="I453" s="3">
        <v>45498</v>
      </c>
      <c r="J453" s="6">
        <v>29524789502.539997</v>
      </c>
      <c r="K453" t="str">
        <f ca="1">IF($I453=业绩披露日期!D$7,ROW(),"")</f>
        <v/>
      </c>
      <c r="L453" t="str">
        <f>IF($I453=业绩披露日期!E$7,ROW(),"")</f>
        <v/>
      </c>
      <c r="M453" t="str">
        <f>IF($I453=业绩披露日期!F$7,ROW(),"")</f>
        <v/>
      </c>
      <c r="N453" t="str">
        <f>IF($I453=业绩披露日期!G$7,ROW(),"")</f>
        <v/>
      </c>
      <c r="O453" t="str">
        <f>IF($I453=业绩披露日期!H$7,ROW(),"")</f>
        <v/>
      </c>
      <c r="P453" t="str">
        <f>IF($I453=业绩披露日期!I$7,ROW(),"")</f>
        <v/>
      </c>
    </row>
    <row r="454" spans="1:16" x14ac:dyDescent="0.35">
      <c r="A454" s="23">
        <f t="shared" ca="1" si="36"/>
        <v>0</v>
      </c>
      <c r="B454" s="23">
        <f t="shared" si="37"/>
        <v>0</v>
      </c>
      <c r="C454" s="23">
        <f t="shared" si="38"/>
        <v>0</v>
      </c>
      <c r="D454" s="23">
        <f t="shared" si="39"/>
        <v>0</v>
      </c>
      <c r="E454" s="23">
        <f t="shared" si="40"/>
        <v>0</v>
      </c>
      <c r="F454" s="23">
        <f t="shared" si="40"/>
        <v>0</v>
      </c>
      <c r="G454" s="2" t="str">
        <f>IF('证券列表 '!B457="","",'证券列表 '!B457)</f>
        <v/>
      </c>
      <c r="H454" s="2" t="s">
        <v>809</v>
      </c>
      <c r="I454" s="3">
        <v>45496</v>
      </c>
      <c r="J454" s="6">
        <v>658990424806.19995</v>
      </c>
      <c r="K454" t="str">
        <f ca="1">IF($I454=业绩披露日期!D$7,ROW(),"")</f>
        <v/>
      </c>
      <c r="L454" t="str">
        <f>IF($I454=业绩披露日期!E$7,ROW(),"")</f>
        <v/>
      </c>
      <c r="M454" t="str">
        <f>IF($I454=业绩披露日期!F$7,ROW(),"")</f>
        <v/>
      </c>
      <c r="N454" t="str">
        <f>IF($I454=业绩披露日期!G$7,ROW(),"")</f>
        <v/>
      </c>
      <c r="O454" t="str">
        <f>IF($I454=业绩披露日期!H$7,ROW(),"")</f>
        <v/>
      </c>
      <c r="P454" t="str">
        <f>IF($I454=业绩披露日期!I$7,ROW(),"")</f>
        <v/>
      </c>
    </row>
    <row r="455" spans="1:16" x14ac:dyDescent="0.35">
      <c r="A455" s="23">
        <f t="shared" ca="1" si="36"/>
        <v>0</v>
      </c>
      <c r="B455" s="23">
        <f t="shared" si="37"/>
        <v>0</v>
      </c>
      <c r="C455" s="23">
        <f t="shared" si="38"/>
        <v>0</v>
      </c>
      <c r="D455" s="23">
        <f t="shared" si="39"/>
        <v>0</v>
      </c>
      <c r="E455" s="23">
        <f t="shared" si="40"/>
        <v>0</v>
      </c>
      <c r="F455" s="23">
        <f t="shared" si="40"/>
        <v>0</v>
      </c>
      <c r="G455" s="2" t="str">
        <f>IF('证券列表 '!B458="","",'证券列表 '!B458)</f>
        <v/>
      </c>
      <c r="H455" s="2" t="s">
        <v>810</v>
      </c>
      <c r="I455" s="3">
        <v>45418</v>
      </c>
      <c r="J455" s="6">
        <v>23004389975.700001</v>
      </c>
      <c r="K455" t="str">
        <f ca="1">IF($I455=业绩披露日期!D$7,ROW(),"")</f>
        <v/>
      </c>
      <c r="L455" t="str">
        <f>IF($I455=业绩披露日期!E$7,ROW(),"")</f>
        <v/>
      </c>
      <c r="M455" t="str">
        <f>IF($I455=业绩披露日期!F$7,ROW(),"")</f>
        <v/>
      </c>
      <c r="N455" t="str">
        <f>IF($I455=业绩披露日期!G$7,ROW(),"")</f>
        <v/>
      </c>
      <c r="O455" t="str">
        <f>IF($I455=业绩披露日期!H$7,ROW(),"")</f>
        <v/>
      </c>
      <c r="P455" t="str">
        <f>IF($I455=业绩披露日期!I$7,ROW(),"")</f>
        <v/>
      </c>
    </row>
    <row r="456" spans="1:16" x14ac:dyDescent="0.35">
      <c r="A456" s="23">
        <f t="shared" ca="1" si="36"/>
        <v>0</v>
      </c>
      <c r="B456" s="23">
        <f t="shared" si="37"/>
        <v>0</v>
      </c>
      <c r="C456" s="23">
        <f t="shared" si="38"/>
        <v>0</v>
      </c>
      <c r="D456" s="23">
        <f t="shared" si="39"/>
        <v>0</v>
      </c>
      <c r="E456" s="23">
        <f t="shared" si="40"/>
        <v>0</v>
      </c>
      <c r="F456" s="23">
        <f t="shared" si="40"/>
        <v>0</v>
      </c>
      <c r="G456" s="2" t="str">
        <f>IF('证券列表 '!B459="","",'证券列表 '!B459)</f>
        <v/>
      </c>
      <c r="H456" s="2" t="s">
        <v>811</v>
      </c>
      <c r="I456" s="3">
        <v>45504</v>
      </c>
      <c r="J456" s="6">
        <v>80117445409.619995</v>
      </c>
      <c r="K456" t="str">
        <f ca="1">IF($I456=业绩披露日期!D$7,ROW(),"")</f>
        <v/>
      </c>
      <c r="L456" t="str">
        <f>IF($I456=业绩披露日期!E$7,ROW(),"")</f>
        <v/>
      </c>
      <c r="M456" t="str">
        <f>IF($I456=业绩披露日期!F$7,ROW(),"")</f>
        <v/>
      </c>
      <c r="N456" t="str">
        <f>IF($I456=业绩披露日期!G$7,ROW(),"")</f>
        <v/>
      </c>
      <c r="O456" t="str">
        <f>IF($I456=业绩披露日期!H$7,ROW(),"")</f>
        <v/>
      </c>
      <c r="P456" t="str">
        <f>IF($I456=业绩披露日期!I$7,ROW(),"")</f>
        <v/>
      </c>
    </row>
    <row r="457" spans="1:16" x14ac:dyDescent="0.35">
      <c r="A457" s="23">
        <f t="shared" ca="1" si="36"/>
        <v>0</v>
      </c>
      <c r="B457" s="23">
        <f t="shared" si="37"/>
        <v>0</v>
      </c>
      <c r="C457" s="23">
        <f t="shared" si="38"/>
        <v>0</v>
      </c>
      <c r="D457" s="23">
        <f t="shared" si="39"/>
        <v>0</v>
      </c>
      <c r="E457" s="23">
        <f t="shared" si="40"/>
        <v>0</v>
      </c>
      <c r="F457" s="23">
        <f t="shared" si="40"/>
        <v>0</v>
      </c>
      <c r="G457" s="2" t="str">
        <f>IF('证券列表 '!B460="","",'证券列表 '!B460)</f>
        <v/>
      </c>
      <c r="H457" s="2" t="s">
        <v>812</v>
      </c>
      <c r="I457" s="3">
        <v>45238</v>
      </c>
      <c r="J457" s="6">
        <v>28132885227</v>
      </c>
      <c r="K457" t="str">
        <f ca="1">IF($I457=业绩披露日期!D$7,ROW(),"")</f>
        <v/>
      </c>
      <c r="L457" t="str">
        <f>IF($I457=业绩披露日期!E$7,ROW(),"")</f>
        <v/>
      </c>
      <c r="M457" t="str">
        <f>IF($I457=业绩披露日期!F$7,ROW(),"")</f>
        <v/>
      </c>
      <c r="N457" t="str">
        <f>IF($I457=业绩披露日期!G$7,ROW(),"")</f>
        <v/>
      </c>
      <c r="O457" t="str">
        <f>IF($I457=业绩披露日期!H$7,ROW(),"")</f>
        <v/>
      </c>
      <c r="P457" t="str">
        <f>IF($I457=业绩披露日期!I$7,ROW(),"")</f>
        <v/>
      </c>
    </row>
    <row r="458" spans="1:16" x14ac:dyDescent="0.35">
      <c r="A458" s="23">
        <f t="shared" ca="1" si="36"/>
        <v>0</v>
      </c>
      <c r="B458" s="23">
        <f t="shared" si="37"/>
        <v>0</v>
      </c>
      <c r="C458" s="23">
        <f t="shared" si="38"/>
        <v>0</v>
      </c>
      <c r="D458" s="23">
        <f t="shared" si="39"/>
        <v>0</v>
      </c>
      <c r="E458" s="23">
        <f t="shared" si="40"/>
        <v>0</v>
      </c>
      <c r="F458" s="23">
        <f t="shared" si="40"/>
        <v>0</v>
      </c>
      <c r="G458" s="2" t="str">
        <f>IF('证券列表 '!B461="","",'证券列表 '!B461)</f>
        <v/>
      </c>
      <c r="H458" s="2" t="s">
        <v>813</v>
      </c>
      <c r="I458" s="3">
        <v>45496</v>
      </c>
      <c r="J458" s="6">
        <v>192734872329.67001</v>
      </c>
      <c r="K458" t="str">
        <f ca="1">IF($I458=业绩披露日期!D$7,ROW(),"")</f>
        <v/>
      </c>
      <c r="L458" t="str">
        <f>IF($I458=业绩披露日期!E$7,ROW(),"")</f>
        <v/>
      </c>
      <c r="M458" t="str">
        <f>IF($I458=业绩披露日期!F$7,ROW(),"")</f>
        <v/>
      </c>
      <c r="N458" t="str">
        <f>IF($I458=业绩披露日期!G$7,ROW(),"")</f>
        <v/>
      </c>
      <c r="O458" t="str">
        <f>IF($I458=业绩披露日期!H$7,ROW(),"")</f>
        <v/>
      </c>
      <c r="P458" t="str">
        <f>IF($I458=业绩披露日期!I$7,ROW(),"")</f>
        <v/>
      </c>
    </row>
    <row r="459" spans="1:16" x14ac:dyDescent="0.35">
      <c r="A459" s="23">
        <f t="shared" ca="1" si="36"/>
        <v>0</v>
      </c>
      <c r="B459" s="23">
        <f t="shared" si="37"/>
        <v>0</v>
      </c>
      <c r="C459" s="23">
        <f t="shared" si="38"/>
        <v>0</v>
      </c>
      <c r="D459" s="23">
        <f t="shared" si="39"/>
        <v>0</v>
      </c>
      <c r="E459" s="23">
        <f t="shared" si="40"/>
        <v>0</v>
      </c>
      <c r="F459" s="23">
        <f t="shared" si="40"/>
        <v>0</v>
      </c>
      <c r="G459" s="2" t="str">
        <f>IF('证券列表 '!B462="","",'证券列表 '!B462)</f>
        <v/>
      </c>
      <c r="H459" s="2" t="s">
        <v>814</v>
      </c>
      <c r="I459" s="3">
        <v>45491</v>
      </c>
      <c r="J459" s="6">
        <v>16900102010</v>
      </c>
      <c r="K459" t="str">
        <f ca="1">IF($I459=业绩披露日期!D$7,ROW(),"")</f>
        <v/>
      </c>
      <c r="L459" t="str">
        <f>IF($I459=业绩披露日期!E$7,ROW(),"")</f>
        <v/>
      </c>
      <c r="M459" t="str">
        <f>IF($I459=业绩披露日期!F$7,ROW(),"")</f>
        <v/>
      </c>
      <c r="N459" t="str">
        <f>IF($I459=业绩披露日期!G$7,ROW(),"")</f>
        <v/>
      </c>
      <c r="O459" t="str">
        <f>IF($I459=业绩披露日期!H$7,ROW(),"")</f>
        <v/>
      </c>
      <c r="P459" t="str">
        <f>IF($I459=业绩披露日期!I$7,ROW(),"")</f>
        <v/>
      </c>
    </row>
    <row r="460" spans="1:16" x14ac:dyDescent="0.35">
      <c r="A460" s="23">
        <f t="shared" ca="1" si="36"/>
        <v>0</v>
      </c>
      <c r="B460" s="23">
        <f t="shared" si="37"/>
        <v>0</v>
      </c>
      <c r="C460" s="23">
        <f t="shared" si="38"/>
        <v>0</v>
      </c>
      <c r="D460" s="23">
        <f t="shared" si="39"/>
        <v>0</v>
      </c>
      <c r="E460" s="23">
        <f t="shared" si="40"/>
        <v>0</v>
      </c>
      <c r="F460" s="23">
        <f t="shared" si="40"/>
        <v>0</v>
      </c>
      <c r="G460" s="2" t="str">
        <f>IF('证券列表 '!B463="","",'证券列表 '!B463)</f>
        <v/>
      </c>
      <c r="H460" s="2" t="s">
        <v>815</v>
      </c>
      <c r="I460" s="3">
        <v>45497</v>
      </c>
      <c r="J460" s="6">
        <v>25075737546.32</v>
      </c>
      <c r="K460" t="str">
        <f ca="1">IF($I460=业绩披露日期!D$7,ROW(),"")</f>
        <v/>
      </c>
      <c r="L460" t="str">
        <f>IF($I460=业绩披露日期!E$7,ROW(),"")</f>
        <v/>
      </c>
      <c r="M460" t="str">
        <f>IF($I460=业绩披露日期!F$7,ROW(),"")</f>
        <v/>
      </c>
      <c r="N460" t="str">
        <f>IF($I460=业绩披露日期!G$7,ROW(),"")</f>
        <v/>
      </c>
      <c r="O460" t="str">
        <f>IF($I460=业绩披露日期!H$7,ROW(),"")</f>
        <v/>
      </c>
      <c r="P460" t="str">
        <f>IF($I460=业绩披露日期!I$7,ROW(),"")</f>
        <v/>
      </c>
    </row>
    <row r="461" spans="1:16" x14ac:dyDescent="0.35">
      <c r="A461" s="23">
        <f t="shared" ca="1" si="36"/>
        <v>0</v>
      </c>
      <c r="B461" s="23">
        <f t="shared" si="37"/>
        <v>0</v>
      </c>
      <c r="C461" s="23">
        <f t="shared" si="38"/>
        <v>0</v>
      </c>
      <c r="D461" s="23">
        <f t="shared" si="39"/>
        <v>0</v>
      </c>
      <c r="E461" s="23">
        <f t="shared" si="40"/>
        <v>0</v>
      </c>
      <c r="F461" s="23">
        <f t="shared" si="40"/>
        <v>0</v>
      </c>
      <c r="G461" s="2" t="str">
        <f>IF('证券列表 '!B464="","",'证券列表 '!B464)</f>
        <v/>
      </c>
      <c r="H461" s="2" t="s">
        <v>816</v>
      </c>
      <c r="I461" s="3">
        <v>45490</v>
      </c>
      <c r="J461" s="6">
        <v>14021477794.48</v>
      </c>
      <c r="K461" t="str">
        <f ca="1">IF($I461=业绩披露日期!D$7,ROW(),"")</f>
        <v/>
      </c>
      <c r="L461" t="str">
        <f>IF($I461=业绩披露日期!E$7,ROW(),"")</f>
        <v/>
      </c>
      <c r="M461" t="str">
        <f>IF($I461=业绩披露日期!F$7,ROW(),"")</f>
        <v/>
      </c>
      <c r="N461" t="str">
        <f>IF($I461=业绩披露日期!G$7,ROW(),"")</f>
        <v/>
      </c>
      <c r="O461" t="str">
        <f>IF($I461=业绩披露日期!H$7,ROW(),"")</f>
        <v/>
      </c>
      <c r="P461" t="str">
        <f>IF($I461=业绩披露日期!I$7,ROW(),"")</f>
        <v/>
      </c>
    </row>
    <row r="462" spans="1:16" x14ac:dyDescent="0.35">
      <c r="A462" s="23">
        <f t="shared" ca="1" si="36"/>
        <v>0</v>
      </c>
      <c r="B462" s="23">
        <f t="shared" si="37"/>
        <v>0</v>
      </c>
      <c r="C462" s="23">
        <f t="shared" si="38"/>
        <v>0</v>
      </c>
      <c r="D462" s="23">
        <f t="shared" si="39"/>
        <v>0</v>
      </c>
      <c r="E462" s="23">
        <f t="shared" si="40"/>
        <v>0</v>
      </c>
      <c r="F462" s="23">
        <f t="shared" si="40"/>
        <v>0</v>
      </c>
      <c r="G462" s="2" t="str">
        <f>IF('证券列表 '!B465="","",'证券列表 '!B465)</f>
        <v/>
      </c>
      <c r="H462" s="2" t="s">
        <v>817</v>
      </c>
      <c r="I462" s="3">
        <v>45510</v>
      </c>
      <c r="J462" s="6">
        <v>151771705422.95999</v>
      </c>
      <c r="K462" t="str">
        <f ca="1">IF($I462=业绩披露日期!D$7,ROW(),"")</f>
        <v/>
      </c>
      <c r="L462" t="str">
        <f>IF($I462=业绩披露日期!E$7,ROW(),"")</f>
        <v/>
      </c>
      <c r="M462" t="str">
        <f>IF($I462=业绩披露日期!F$7,ROW(),"")</f>
        <v/>
      </c>
      <c r="N462" t="str">
        <f>IF($I462=业绩披露日期!G$7,ROW(),"")</f>
        <v/>
      </c>
      <c r="O462" t="str">
        <f>IF($I462=业绩披露日期!H$7,ROW(),"")</f>
        <v/>
      </c>
      <c r="P462" t="str">
        <f>IF($I462=业绩披露日期!I$7,ROW(),"")</f>
        <v/>
      </c>
    </row>
    <row r="463" spans="1:16" x14ac:dyDescent="0.35">
      <c r="A463" s="23">
        <f t="shared" ca="1" si="36"/>
        <v>0</v>
      </c>
      <c r="B463" s="23">
        <f t="shared" si="37"/>
        <v>0</v>
      </c>
      <c r="C463" s="23">
        <f t="shared" si="38"/>
        <v>0</v>
      </c>
      <c r="D463" s="23">
        <f t="shared" si="39"/>
        <v>0</v>
      </c>
      <c r="E463" s="23">
        <f t="shared" si="40"/>
        <v>0</v>
      </c>
      <c r="F463" s="23">
        <f t="shared" si="40"/>
        <v>0</v>
      </c>
      <c r="G463" s="2" t="str">
        <f>IF('证券列表 '!B466="","",'证券列表 '!B466)</f>
        <v/>
      </c>
      <c r="H463" s="2" t="s">
        <v>818</v>
      </c>
      <c r="I463" s="3">
        <v>45503</v>
      </c>
      <c r="J463" s="6">
        <v>14548517275.709999</v>
      </c>
      <c r="K463" t="str">
        <f ca="1">IF($I463=业绩披露日期!D$7,ROW(),"")</f>
        <v/>
      </c>
      <c r="L463" t="str">
        <f>IF($I463=业绩披露日期!E$7,ROW(),"")</f>
        <v/>
      </c>
      <c r="M463" t="str">
        <f>IF($I463=业绩披露日期!F$7,ROW(),"")</f>
        <v/>
      </c>
      <c r="N463" t="str">
        <f>IF($I463=业绩披露日期!G$7,ROW(),"")</f>
        <v/>
      </c>
      <c r="O463" t="str">
        <f>IF($I463=业绩披露日期!H$7,ROW(),"")</f>
        <v/>
      </c>
      <c r="P463" t="str">
        <f>IF($I463=业绩披露日期!I$7,ROW(),"")</f>
        <v/>
      </c>
    </row>
    <row r="464" spans="1:16" x14ac:dyDescent="0.35">
      <c r="A464" s="23">
        <f t="shared" ca="1" si="36"/>
        <v>0</v>
      </c>
      <c r="B464" s="23">
        <f t="shared" si="37"/>
        <v>0</v>
      </c>
      <c r="C464" s="23">
        <f t="shared" si="38"/>
        <v>0</v>
      </c>
      <c r="D464" s="23">
        <f t="shared" si="39"/>
        <v>0</v>
      </c>
      <c r="E464" s="23">
        <f t="shared" si="40"/>
        <v>0</v>
      </c>
      <c r="F464" s="23">
        <f t="shared" si="40"/>
        <v>0</v>
      </c>
      <c r="G464" s="2" t="str">
        <f>IF('证券列表 '!B467="","",'证券列表 '!B467)</f>
        <v/>
      </c>
      <c r="H464" s="2" t="s">
        <v>819</v>
      </c>
      <c r="I464" s="3">
        <v>45497</v>
      </c>
      <c r="J464" s="6">
        <v>15723623737.639999</v>
      </c>
      <c r="K464" t="str">
        <f ca="1">IF($I464=业绩披露日期!D$7,ROW(),"")</f>
        <v/>
      </c>
      <c r="L464" t="str">
        <f>IF($I464=业绩披露日期!E$7,ROW(),"")</f>
        <v/>
      </c>
      <c r="M464" t="str">
        <f>IF($I464=业绩披露日期!F$7,ROW(),"")</f>
        <v/>
      </c>
      <c r="N464" t="str">
        <f>IF($I464=业绩披露日期!G$7,ROW(),"")</f>
        <v/>
      </c>
      <c r="O464" t="str">
        <f>IF($I464=业绩披露日期!H$7,ROW(),"")</f>
        <v/>
      </c>
      <c r="P464" t="str">
        <f>IF($I464=业绩披露日期!I$7,ROW(),"")</f>
        <v/>
      </c>
    </row>
    <row r="465" spans="1:16" x14ac:dyDescent="0.35">
      <c r="A465" s="23">
        <f t="shared" ca="1" si="36"/>
        <v>0</v>
      </c>
      <c r="B465" s="23">
        <f t="shared" si="37"/>
        <v>0</v>
      </c>
      <c r="C465" s="23">
        <f t="shared" si="38"/>
        <v>0</v>
      </c>
      <c r="D465" s="23">
        <f t="shared" si="39"/>
        <v>0</v>
      </c>
      <c r="E465" s="23">
        <f t="shared" si="40"/>
        <v>0</v>
      </c>
      <c r="F465" s="23">
        <f t="shared" si="40"/>
        <v>0</v>
      </c>
      <c r="G465" s="2" t="str">
        <f>IF('证券列表 '!B468="","",'证券列表 '!B468)</f>
        <v/>
      </c>
      <c r="H465" s="2" t="s">
        <v>820</v>
      </c>
      <c r="I465" s="3">
        <v>45162</v>
      </c>
      <c r="J465" s="6">
        <v>17318431350.66</v>
      </c>
      <c r="K465" t="str">
        <f ca="1">IF($I465=业绩披露日期!D$7,ROW(),"")</f>
        <v/>
      </c>
      <c r="L465" t="str">
        <f>IF($I465=业绩披露日期!E$7,ROW(),"")</f>
        <v/>
      </c>
      <c r="M465" t="str">
        <f>IF($I465=业绩披露日期!F$7,ROW(),"")</f>
        <v/>
      </c>
      <c r="N465" t="str">
        <f>IF($I465=业绩披露日期!G$7,ROW(),"")</f>
        <v/>
      </c>
      <c r="O465" t="str">
        <f>IF($I465=业绩披露日期!H$7,ROW(),"")</f>
        <v/>
      </c>
      <c r="P465" t="str">
        <f>IF($I465=业绩披露日期!I$7,ROW(),"")</f>
        <v/>
      </c>
    </row>
    <row r="466" spans="1:16" x14ac:dyDescent="0.35">
      <c r="A466" s="23">
        <f t="shared" ca="1" si="36"/>
        <v>0</v>
      </c>
      <c r="B466" s="23">
        <f t="shared" si="37"/>
        <v>0</v>
      </c>
      <c r="C466" s="23">
        <f t="shared" si="38"/>
        <v>0</v>
      </c>
      <c r="D466" s="23">
        <f t="shared" si="39"/>
        <v>0</v>
      </c>
      <c r="E466" s="23">
        <f t="shared" si="40"/>
        <v>0</v>
      </c>
      <c r="F466" s="23">
        <f t="shared" si="40"/>
        <v>0</v>
      </c>
      <c r="G466" s="2" t="str">
        <f>IF('证券列表 '!B469="","",'证券列表 '!B469)</f>
        <v/>
      </c>
      <c r="H466" s="2" t="s">
        <v>821</v>
      </c>
      <c r="I466" s="3">
        <v>45489</v>
      </c>
      <c r="J466" s="6">
        <v>546266474995.50006</v>
      </c>
      <c r="K466" t="str">
        <f ca="1">IF($I466=业绩披露日期!D$7,ROW(),"")</f>
        <v/>
      </c>
      <c r="L466" t="str">
        <f>IF($I466=业绩披露日期!E$7,ROW(),"")</f>
        <v/>
      </c>
      <c r="M466" t="str">
        <f>IF($I466=业绩披露日期!F$7,ROW(),"")</f>
        <v/>
      </c>
      <c r="N466" t="str">
        <f>IF($I466=业绩披露日期!G$7,ROW(),"")</f>
        <v/>
      </c>
      <c r="O466" t="str">
        <f>IF($I466=业绩披露日期!H$7,ROW(),"")</f>
        <v/>
      </c>
      <c r="P466" t="str">
        <f>IF($I466=业绩披露日期!I$7,ROW(),"")</f>
        <v/>
      </c>
    </row>
    <row r="467" spans="1:16" x14ac:dyDescent="0.35">
      <c r="A467" s="23">
        <f t="shared" ca="1" si="36"/>
        <v>0</v>
      </c>
      <c r="B467" s="23">
        <f t="shared" si="37"/>
        <v>0</v>
      </c>
      <c r="C467" s="23">
        <f t="shared" si="38"/>
        <v>0</v>
      </c>
      <c r="D467" s="23">
        <f t="shared" si="39"/>
        <v>0</v>
      </c>
      <c r="E467" s="23">
        <f t="shared" si="40"/>
        <v>0</v>
      </c>
      <c r="F467" s="23">
        <f t="shared" si="40"/>
        <v>0</v>
      </c>
      <c r="G467" s="2" t="str">
        <f>IF('证券列表 '!B470="","",'证券列表 '!B470)</f>
        <v/>
      </c>
      <c r="H467" s="2" t="s">
        <v>822</v>
      </c>
      <c r="I467" s="3">
        <v>45498</v>
      </c>
      <c r="J467" s="6">
        <v>154248839409.60001</v>
      </c>
      <c r="K467" t="str">
        <f ca="1">IF($I467=业绩披露日期!D$7,ROW(),"")</f>
        <v/>
      </c>
      <c r="L467" t="str">
        <f>IF($I467=业绩披露日期!E$7,ROW(),"")</f>
        <v/>
      </c>
      <c r="M467" t="str">
        <f>IF($I467=业绩披露日期!F$7,ROW(),"")</f>
        <v/>
      </c>
      <c r="N467" t="str">
        <f>IF($I467=业绩披露日期!G$7,ROW(),"")</f>
        <v/>
      </c>
      <c r="O467" t="str">
        <f>IF($I467=业绩披露日期!H$7,ROW(),"")</f>
        <v/>
      </c>
      <c r="P467" t="str">
        <f>IF($I467=业绩披露日期!I$7,ROW(),"")</f>
        <v/>
      </c>
    </row>
    <row r="468" spans="1:16" x14ac:dyDescent="0.35">
      <c r="A468" s="23">
        <f t="shared" ca="1" si="36"/>
        <v>0</v>
      </c>
      <c r="B468" s="23">
        <f t="shared" si="37"/>
        <v>0</v>
      </c>
      <c r="C468" s="23">
        <f t="shared" si="38"/>
        <v>0</v>
      </c>
      <c r="D468" s="23">
        <f t="shared" si="39"/>
        <v>0</v>
      </c>
      <c r="E468" s="23">
        <f t="shared" si="40"/>
        <v>0</v>
      </c>
      <c r="F468" s="23">
        <f t="shared" si="40"/>
        <v>0</v>
      </c>
      <c r="G468" s="2" t="str">
        <f>IF('证券列表 '!B471="","",'证券列表 '!B471)</f>
        <v/>
      </c>
      <c r="H468" s="2" t="s">
        <v>823</v>
      </c>
      <c r="I468" s="3">
        <v>45496</v>
      </c>
      <c r="J468" s="6">
        <v>108768252091.52</v>
      </c>
      <c r="K468" t="str">
        <f ca="1">IF($I468=业绩披露日期!D$7,ROW(),"")</f>
        <v/>
      </c>
      <c r="L468" t="str">
        <f>IF($I468=业绩披露日期!E$7,ROW(),"")</f>
        <v/>
      </c>
      <c r="M468" t="str">
        <f>IF($I468=业绩披露日期!F$7,ROW(),"")</f>
        <v/>
      </c>
      <c r="N468" t="str">
        <f>IF($I468=业绩披露日期!G$7,ROW(),"")</f>
        <v/>
      </c>
      <c r="O468" t="str">
        <f>IF($I468=业绩披露日期!H$7,ROW(),"")</f>
        <v/>
      </c>
      <c r="P468" t="str">
        <f>IF($I468=业绩披露日期!I$7,ROW(),"")</f>
        <v/>
      </c>
    </row>
    <row r="469" spans="1:16" x14ac:dyDescent="0.35">
      <c r="A469" s="23">
        <f t="shared" ca="1" si="36"/>
        <v>0</v>
      </c>
      <c r="B469" s="23">
        <f t="shared" si="37"/>
        <v>0</v>
      </c>
      <c r="C469" s="23">
        <f t="shared" si="38"/>
        <v>0</v>
      </c>
      <c r="D469" s="23">
        <f t="shared" si="39"/>
        <v>0</v>
      </c>
      <c r="E469" s="23">
        <f t="shared" si="40"/>
        <v>0</v>
      </c>
      <c r="F469" s="23">
        <f t="shared" si="40"/>
        <v>0</v>
      </c>
      <c r="G469" s="2" t="str">
        <f>IF('证券列表 '!B472="","",'证券列表 '!B472)</f>
        <v/>
      </c>
      <c r="H469" s="2" t="s">
        <v>824</v>
      </c>
      <c r="I469" s="3">
        <v>45497</v>
      </c>
      <c r="J469" s="6">
        <v>48526742673.239998</v>
      </c>
      <c r="K469" t="str">
        <f ca="1">IF($I469=业绩披露日期!D$7,ROW(),"")</f>
        <v/>
      </c>
      <c r="L469" t="str">
        <f>IF($I469=业绩披露日期!E$7,ROW(),"")</f>
        <v/>
      </c>
      <c r="M469" t="str">
        <f>IF($I469=业绩披露日期!F$7,ROW(),"")</f>
        <v/>
      </c>
      <c r="N469" t="str">
        <f>IF($I469=业绩披露日期!G$7,ROW(),"")</f>
        <v/>
      </c>
      <c r="O469" t="str">
        <f>IF($I469=业绩披露日期!H$7,ROW(),"")</f>
        <v/>
      </c>
      <c r="P469" t="str">
        <f>IF($I469=业绩披露日期!I$7,ROW(),"")</f>
        <v/>
      </c>
    </row>
    <row r="470" spans="1:16" x14ac:dyDescent="0.35">
      <c r="A470" s="23">
        <f t="shared" ca="1" si="36"/>
        <v>0</v>
      </c>
      <c r="B470" s="23">
        <f t="shared" si="37"/>
        <v>0</v>
      </c>
      <c r="C470" s="23">
        <f t="shared" si="38"/>
        <v>0</v>
      </c>
      <c r="D470" s="23">
        <f t="shared" si="39"/>
        <v>0</v>
      </c>
      <c r="E470" s="23">
        <f t="shared" si="40"/>
        <v>0</v>
      </c>
      <c r="F470" s="23">
        <f t="shared" si="40"/>
        <v>0</v>
      </c>
      <c r="G470" s="2" t="str">
        <f>IF('证券列表 '!B473="","",'证券列表 '!B473)</f>
        <v/>
      </c>
      <c r="H470" s="2" t="s">
        <v>825</v>
      </c>
      <c r="I470" s="3">
        <v>45490</v>
      </c>
      <c r="J470" s="6">
        <v>72610717955.490005</v>
      </c>
      <c r="K470" t="str">
        <f ca="1">IF($I470=业绩披露日期!D$7,ROW(),"")</f>
        <v/>
      </c>
      <c r="L470" t="str">
        <f>IF($I470=业绩披露日期!E$7,ROW(),"")</f>
        <v/>
      </c>
      <c r="M470" t="str">
        <f>IF($I470=业绩披露日期!F$7,ROW(),"")</f>
        <v/>
      </c>
      <c r="N470" t="str">
        <f>IF($I470=业绩披露日期!G$7,ROW(),"")</f>
        <v/>
      </c>
      <c r="O470" t="str">
        <f>IF($I470=业绩披露日期!H$7,ROW(),"")</f>
        <v/>
      </c>
      <c r="P470" t="str">
        <f>IF($I470=业绩披露日期!I$7,ROW(),"")</f>
        <v/>
      </c>
    </row>
    <row r="471" spans="1:16" x14ac:dyDescent="0.35">
      <c r="A471" s="23">
        <f t="shared" ca="1" si="36"/>
        <v>0</v>
      </c>
      <c r="B471" s="23">
        <f t="shared" si="37"/>
        <v>0</v>
      </c>
      <c r="C471" s="23">
        <f t="shared" si="38"/>
        <v>0</v>
      </c>
      <c r="D471" s="23">
        <f t="shared" si="39"/>
        <v>0</v>
      </c>
      <c r="E471" s="23">
        <f t="shared" si="40"/>
        <v>0</v>
      </c>
      <c r="F471" s="23">
        <f t="shared" si="40"/>
        <v>0</v>
      </c>
      <c r="G471" s="2" t="str">
        <f>IF('证券列表 '!B474="","",'证券列表 '!B474)</f>
        <v/>
      </c>
      <c r="H471" s="2" t="s">
        <v>826</v>
      </c>
      <c r="I471" s="3">
        <v>45405</v>
      </c>
      <c r="J471" s="6">
        <v>499895043093.35999</v>
      </c>
      <c r="K471" t="str">
        <f ca="1">IF($I471=业绩披露日期!D$7,ROW(),"")</f>
        <v/>
      </c>
      <c r="L471" t="str">
        <f>IF($I471=业绩披露日期!E$7,ROW(),"")</f>
        <v/>
      </c>
      <c r="M471" t="str">
        <f>IF($I471=业绩披露日期!F$7,ROW(),"")</f>
        <v/>
      </c>
      <c r="N471" t="str">
        <f>IF($I471=业绩披露日期!G$7,ROW(),"")</f>
        <v/>
      </c>
      <c r="O471" t="str">
        <f>IF($I471=业绩披露日期!H$7,ROW(),"")</f>
        <v/>
      </c>
      <c r="P471" t="str">
        <f>IF($I471=业绩披露日期!I$7,ROW(),"")</f>
        <v/>
      </c>
    </row>
    <row r="472" spans="1:16" x14ac:dyDescent="0.35">
      <c r="A472" s="23">
        <f t="shared" ca="1" si="36"/>
        <v>0</v>
      </c>
      <c r="B472" s="23">
        <f t="shared" si="37"/>
        <v>0</v>
      </c>
      <c r="C472" s="23">
        <f t="shared" si="38"/>
        <v>0</v>
      </c>
      <c r="D472" s="23">
        <f t="shared" si="39"/>
        <v>0</v>
      </c>
      <c r="E472" s="23">
        <f t="shared" si="40"/>
        <v>0</v>
      </c>
      <c r="F472" s="23">
        <f t="shared" si="40"/>
        <v>0</v>
      </c>
      <c r="G472" s="2" t="str">
        <f>IF('证券列表 '!B475="","",'证券列表 '!B475)</f>
        <v/>
      </c>
      <c r="H472" s="2" t="s">
        <v>827</v>
      </c>
      <c r="I472" s="3">
        <v>45504</v>
      </c>
      <c r="J472" s="6">
        <v>34619531048.880005</v>
      </c>
      <c r="K472" t="str">
        <f ca="1">IF($I472=业绩披露日期!D$7,ROW(),"")</f>
        <v/>
      </c>
      <c r="L472" t="str">
        <f>IF($I472=业绩披露日期!E$7,ROW(),"")</f>
        <v/>
      </c>
      <c r="M472" t="str">
        <f>IF($I472=业绩披露日期!F$7,ROW(),"")</f>
        <v/>
      </c>
      <c r="N472" t="str">
        <f>IF($I472=业绩披露日期!G$7,ROW(),"")</f>
        <v/>
      </c>
      <c r="O472" t="str">
        <f>IF($I472=业绩披露日期!H$7,ROW(),"")</f>
        <v/>
      </c>
      <c r="P472" t="str">
        <f>IF($I472=业绩披露日期!I$7,ROW(),"")</f>
        <v/>
      </c>
    </row>
    <row r="473" spans="1:16" x14ac:dyDescent="0.35">
      <c r="A473" s="23">
        <f t="shared" ca="1" si="36"/>
        <v>0</v>
      </c>
      <c r="B473" s="23">
        <f t="shared" si="37"/>
        <v>0</v>
      </c>
      <c r="C473" s="23">
        <f t="shared" si="38"/>
        <v>0</v>
      </c>
      <c r="D473" s="23">
        <f t="shared" si="39"/>
        <v>0</v>
      </c>
      <c r="E473" s="23">
        <f t="shared" si="40"/>
        <v>0</v>
      </c>
      <c r="F473" s="23">
        <f t="shared" si="40"/>
        <v>0</v>
      </c>
      <c r="G473" s="2" t="str">
        <f>IF('证券列表 '!B476="","",'证券列表 '!B476)</f>
        <v/>
      </c>
      <c r="H473" s="2" t="s">
        <v>828</v>
      </c>
      <c r="I473" s="3">
        <v>45498</v>
      </c>
      <c r="J473" s="6">
        <v>45433157145.090004</v>
      </c>
      <c r="K473" t="str">
        <f ca="1">IF($I473=业绩披露日期!D$7,ROW(),"")</f>
        <v/>
      </c>
      <c r="L473" t="str">
        <f>IF($I473=业绩披露日期!E$7,ROW(),"")</f>
        <v/>
      </c>
      <c r="M473" t="str">
        <f>IF($I473=业绩披露日期!F$7,ROW(),"")</f>
        <v/>
      </c>
      <c r="N473" t="str">
        <f>IF($I473=业绩披露日期!G$7,ROW(),"")</f>
        <v/>
      </c>
      <c r="O473" t="str">
        <f>IF($I473=业绩披露日期!H$7,ROW(),"")</f>
        <v/>
      </c>
      <c r="P473" t="str">
        <f>IF($I473=业绩披露日期!I$7,ROW(),"")</f>
        <v/>
      </c>
    </row>
    <row r="474" spans="1:16" x14ac:dyDescent="0.35">
      <c r="A474" s="23">
        <f t="shared" ca="1" si="36"/>
        <v>0</v>
      </c>
      <c r="B474" s="23">
        <f t="shared" si="37"/>
        <v>0</v>
      </c>
      <c r="C474" s="23">
        <f t="shared" si="38"/>
        <v>0</v>
      </c>
      <c r="D474" s="23">
        <f t="shared" si="39"/>
        <v>0</v>
      </c>
      <c r="E474" s="23">
        <f t="shared" si="40"/>
        <v>0</v>
      </c>
      <c r="F474" s="23">
        <f t="shared" si="40"/>
        <v>0</v>
      </c>
      <c r="G474" s="2" t="str">
        <f>IF('证券列表 '!B477="","",'证券列表 '!B477)</f>
        <v/>
      </c>
      <c r="H474" s="2" t="s">
        <v>829</v>
      </c>
      <c r="I474" s="3">
        <v>45498</v>
      </c>
      <c r="J474" s="6">
        <v>27628966584</v>
      </c>
      <c r="K474" t="str">
        <f ca="1">IF($I474=业绩披露日期!D$7,ROW(),"")</f>
        <v/>
      </c>
      <c r="L474" t="str">
        <f>IF($I474=业绩披露日期!E$7,ROW(),"")</f>
        <v/>
      </c>
      <c r="M474" t="str">
        <f>IF($I474=业绩披露日期!F$7,ROW(),"")</f>
        <v/>
      </c>
      <c r="N474" t="str">
        <f>IF($I474=业绩披露日期!G$7,ROW(),"")</f>
        <v/>
      </c>
      <c r="O474" t="str">
        <f>IF($I474=业绩披露日期!H$7,ROW(),"")</f>
        <v/>
      </c>
      <c r="P474" t="str">
        <f>IF($I474=业绩披露日期!I$7,ROW(),"")</f>
        <v/>
      </c>
    </row>
    <row r="475" spans="1:16" x14ac:dyDescent="0.35">
      <c r="A475" s="23">
        <f t="shared" ca="1" si="36"/>
        <v>0</v>
      </c>
      <c r="B475" s="23">
        <f t="shared" si="37"/>
        <v>0</v>
      </c>
      <c r="C475" s="23">
        <f t="shared" si="38"/>
        <v>0</v>
      </c>
      <c r="D475" s="23">
        <f t="shared" si="39"/>
        <v>0</v>
      </c>
      <c r="E475" s="23">
        <f t="shared" si="40"/>
        <v>0</v>
      </c>
      <c r="F475" s="23">
        <f t="shared" si="40"/>
        <v>0</v>
      </c>
      <c r="G475" s="2" t="str">
        <f>IF('证券列表 '!B478="","",'证券列表 '!B478)</f>
        <v/>
      </c>
      <c r="H475" s="2" t="s">
        <v>830</v>
      </c>
      <c r="I475" s="3">
        <v>45510</v>
      </c>
      <c r="J475" s="6">
        <v>31863440660.48</v>
      </c>
      <c r="K475" t="str">
        <f ca="1">IF($I475=业绩披露日期!D$7,ROW(),"")</f>
        <v/>
      </c>
      <c r="L475" t="str">
        <f>IF($I475=业绩披露日期!E$7,ROW(),"")</f>
        <v/>
      </c>
      <c r="M475" t="str">
        <f>IF($I475=业绩披露日期!F$7,ROW(),"")</f>
        <v/>
      </c>
      <c r="N475" t="str">
        <f>IF($I475=业绩披露日期!G$7,ROW(),"")</f>
        <v/>
      </c>
      <c r="O475" t="str">
        <f>IF($I475=业绩披露日期!H$7,ROW(),"")</f>
        <v/>
      </c>
      <c r="P475" t="str">
        <f>IF($I475=业绩披露日期!I$7,ROW(),"")</f>
        <v/>
      </c>
    </row>
    <row r="476" spans="1:16" x14ac:dyDescent="0.35">
      <c r="A476" s="23">
        <f t="shared" ca="1" si="36"/>
        <v>0</v>
      </c>
      <c r="B476" s="23">
        <f t="shared" si="37"/>
        <v>0</v>
      </c>
      <c r="C476" s="23">
        <f t="shared" si="38"/>
        <v>0</v>
      </c>
      <c r="D476" s="23">
        <f t="shared" si="39"/>
        <v>0</v>
      </c>
      <c r="E476" s="23">
        <f t="shared" si="40"/>
        <v>0</v>
      </c>
      <c r="F476" s="23">
        <f t="shared" si="40"/>
        <v>0</v>
      </c>
      <c r="G476" s="2" t="str">
        <f>IF('证券列表 '!B479="","",'证券列表 '!B479)</f>
        <v/>
      </c>
      <c r="H476" s="2" t="s">
        <v>831</v>
      </c>
      <c r="I476" s="3">
        <v>45504</v>
      </c>
      <c r="J476" s="6">
        <v>38697975045.360001</v>
      </c>
      <c r="K476" t="str">
        <f ca="1">IF($I476=业绩披露日期!D$7,ROW(),"")</f>
        <v/>
      </c>
      <c r="L476" t="str">
        <f>IF($I476=业绩披露日期!E$7,ROW(),"")</f>
        <v/>
      </c>
      <c r="M476" t="str">
        <f>IF($I476=业绩披露日期!F$7,ROW(),"")</f>
        <v/>
      </c>
      <c r="N476" t="str">
        <f>IF($I476=业绩披露日期!G$7,ROW(),"")</f>
        <v/>
      </c>
      <c r="O476" t="str">
        <f>IF($I476=业绩披露日期!H$7,ROW(),"")</f>
        <v/>
      </c>
      <c r="P476" t="str">
        <f>IF($I476=业绩披露日期!I$7,ROW(),"")</f>
        <v/>
      </c>
    </row>
    <row r="477" spans="1:16" x14ac:dyDescent="0.35">
      <c r="A477" s="23">
        <f t="shared" ca="1" si="36"/>
        <v>0</v>
      </c>
      <c r="B477" s="23">
        <f t="shared" si="37"/>
        <v>0</v>
      </c>
      <c r="C477" s="23">
        <f t="shared" si="38"/>
        <v>0</v>
      </c>
      <c r="D477" s="23">
        <f t="shared" si="39"/>
        <v>0</v>
      </c>
      <c r="E477" s="23">
        <f t="shared" si="40"/>
        <v>0</v>
      </c>
      <c r="F477" s="23">
        <f t="shared" si="40"/>
        <v>0</v>
      </c>
      <c r="G477" s="2" t="str">
        <f>IF('证券列表 '!B480="","",'证券列表 '!B480)</f>
        <v/>
      </c>
      <c r="H477" s="2" t="s">
        <v>832</v>
      </c>
      <c r="I477" s="3">
        <v>45498</v>
      </c>
      <c r="J477" s="6">
        <v>17763200000</v>
      </c>
      <c r="K477" t="str">
        <f ca="1">IF($I477=业绩披露日期!D$7,ROW(),"")</f>
        <v/>
      </c>
      <c r="L477" t="str">
        <f>IF($I477=业绩披露日期!E$7,ROW(),"")</f>
        <v/>
      </c>
      <c r="M477" t="str">
        <f>IF($I477=业绩披露日期!F$7,ROW(),"")</f>
        <v/>
      </c>
      <c r="N477" t="str">
        <f>IF($I477=业绩披露日期!G$7,ROW(),"")</f>
        <v/>
      </c>
      <c r="O477" t="str">
        <f>IF($I477=业绩披露日期!H$7,ROW(),"")</f>
        <v/>
      </c>
      <c r="P477" t="str">
        <f>IF($I477=业绩披露日期!I$7,ROW(),"")</f>
        <v/>
      </c>
    </row>
    <row r="478" spans="1:16" x14ac:dyDescent="0.35">
      <c r="A478" s="23">
        <f t="shared" ca="1" si="36"/>
        <v>0</v>
      </c>
      <c r="B478" s="23">
        <f t="shared" si="37"/>
        <v>0</v>
      </c>
      <c r="C478" s="23">
        <f t="shared" si="38"/>
        <v>0</v>
      </c>
      <c r="D478" s="23">
        <f t="shared" si="39"/>
        <v>0</v>
      </c>
      <c r="E478" s="23">
        <f t="shared" si="40"/>
        <v>0</v>
      </c>
      <c r="F478" s="23">
        <f t="shared" si="40"/>
        <v>0</v>
      </c>
      <c r="G478" s="2" t="str">
        <f>IF('证券列表 '!B481="","",'证券列表 '!B481)</f>
        <v/>
      </c>
      <c r="H478" s="2" t="s">
        <v>833</v>
      </c>
      <c r="I478" s="3">
        <v>45505</v>
      </c>
      <c r="J478" s="6">
        <v>127334721850.05</v>
      </c>
      <c r="K478" t="str">
        <f ca="1">IF($I478=业绩披露日期!D$7,ROW(),"")</f>
        <v/>
      </c>
      <c r="L478" t="str">
        <f>IF($I478=业绩披露日期!E$7,ROW(),"")</f>
        <v/>
      </c>
      <c r="M478" t="str">
        <f>IF($I478=业绩披露日期!F$7,ROW(),"")</f>
        <v/>
      </c>
      <c r="N478" t="str">
        <f>IF($I478=业绩披露日期!G$7,ROW(),"")</f>
        <v/>
      </c>
      <c r="O478" t="str">
        <f>IF($I478=业绩披露日期!H$7,ROW(),"")</f>
        <v/>
      </c>
      <c r="P478" t="str">
        <f>IF($I478=业绩披露日期!I$7,ROW(),"")</f>
        <v/>
      </c>
    </row>
    <row r="479" spans="1:16" x14ac:dyDescent="0.35">
      <c r="A479" s="23">
        <f t="shared" ca="1" si="36"/>
        <v>0</v>
      </c>
      <c r="B479" s="23">
        <f t="shared" si="37"/>
        <v>0</v>
      </c>
      <c r="C479" s="23">
        <f t="shared" si="38"/>
        <v>0</v>
      </c>
      <c r="D479" s="23">
        <f t="shared" si="39"/>
        <v>0</v>
      </c>
      <c r="E479" s="23">
        <f t="shared" si="40"/>
        <v>0</v>
      </c>
      <c r="F479" s="23">
        <f t="shared" si="40"/>
        <v>0</v>
      </c>
      <c r="G479" s="2" t="str">
        <f>IF('证券列表 '!B482="","",'证券列表 '!B482)</f>
        <v/>
      </c>
      <c r="H479" s="2" t="s">
        <v>834</v>
      </c>
      <c r="I479" s="3">
        <v>45512</v>
      </c>
      <c r="J479" s="6">
        <v>29089343992.010002</v>
      </c>
      <c r="K479" t="str">
        <f ca="1">IF($I479=业绩披露日期!D$7,ROW(),"")</f>
        <v/>
      </c>
      <c r="L479" t="str">
        <f>IF($I479=业绩披露日期!E$7,ROW(),"")</f>
        <v/>
      </c>
      <c r="M479" t="str">
        <f>IF($I479=业绩披露日期!F$7,ROW(),"")</f>
        <v/>
      </c>
      <c r="N479" t="str">
        <f>IF($I479=业绩披露日期!G$7,ROW(),"")</f>
        <v/>
      </c>
      <c r="O479" t="str">
        <f>IF($I479=业绩披露日期!H$7,ROW(),"")</f>
        <v/>
      </c>
      <c r="P479" t="str">
        <f>IF($I479=业绩披露日期!I$7,ROW(),"")</f>
        <v/>
      </c>
    </row>
    <row r="480" spans="1:16" x14ac:dyDescent="0.35">
      <c r="A480" s="23">
        <f t="shared" ca="1" si="36"/>
        <v>0</v>
      </c>
      <c r="B480" s="23">
        <f t="shared" si="37"/>
        <v>0</v>
      </c>
      <c r="C480" s="23">
        <f t="shared" si="38"/>
        <v>0</v>
      </c>
      <c r="D480" s="23">
        <f t="shared" si="39"/>
        <v>0</v>
      </c>
      <c r="E480" s="23">
        <f t="shared" si="40"/>
        <v>0</v>
      </c>
      <c r="F480" s="23">
        <f t="shared" si="40"/>
        <v>0</v>
      </c>
      <c r="G480" s="2" t="str">
        <f>IF('证券列表 '!B483="","",'证券列表 '!B483)</f>
        <v/>
      </c>
      <c r="H480" s="2" t="s">
        <v>835</v>
      </c>
      <c r="I480" s="3">
        <v>45505</v>
      </c>
      <c r="J480" s="6">
        <v>25251959461.439999</v>
      </c>
      <c r="K480" t="str">
        <f ca="1">IF($I480=业绩披露日期!D$7,ROW(),"")</f>
        <v/>
      </c>
      <c r="L480" t="str">
        <f>IF($I480=业绩披露日期!E$7,ROW(),"")</f>
        <v/>
      </c>
      <c r="M480" t="str">
        <f>IF($I480=业绩披露日期!F$7,ROW(),"")</f>
        <v/>
      </c>
      <c r="N480" t="str">
        <f>IF($I480=业绩披露日期!G$7,ROW(),"")</f>
        <v/>
      </c>
      <c r="O480" t="str">
        <f>IF($I480=业绩披露日期!H$7,ROW(),"")</f>
        <v/>
      </c>
      <c r="P480" t="str">
        <f>IF($I480=业绩披露日期!I$7,ROW(),"")</f>
        <v/>
      </c>
    </row>
    <row r="481" spans="1:16" x14ac:dyDescent="0.35">
      <c r="A481" s="23">
        <f t="shared" ca="1" si="36"/>
        <v>0</v>
      </c>
      <c r="B481" s="23">
        <f t="shared" si="37"/>
        <v>0</v>
      </c>
      <c r="C481" s="23">
        <f t="shared" si="38"/>
        <v>0</v>
      </c>
      <c r="D481" s="23">
        <f t="shared" si="39"/>
        <v>0</v>
      </c>
      <c r="E481" s="23">
        <f t="shared" si="40"/>
        <v>0</v>
      </c>
      <c r="F481" s="23">
        <f t="shared" si="40"/>
        <v>0</v>
      </c>
      <c r="G481" s="2" t="str">
        <f>IF('证券列表 '!B484="","",'证券列表 '!B484)</f>
        <v/>
      </c>
      <c r="H481" s="2" t="s">
        <v>836</v>
      </c>
      <c r="I481" s="3">
        <v>45512</v>
      </c>
      <c r="J481" s="6">
        <v>14190958305.070002</v>
      </c>
      <c r="K481" t="str">
        <f ca="1">IF($I481=业绩披露日期!D$7,ROW(),"")</f>
        <v/>
      </c>
      <c r="L481" t="str">
        <f>IF($I481=业绩披露日期!E$7,ROW(),"")</f>
        <v/>
      </c>
      <c r="M481" t="str">
        <f>IF($I481=业绩披露日期!F$7,ROW(),"")</f>
        <v/>
      </c>
      <c r="N481" t="str">
        <f>IF($I481=业绩披露日期!G$7,ROW(),"")</f>
        <v/>
      </c>
      <c r="O481" t="str">
        <f>IF($I481=业绩披露日期!H$7,ROW(),"")</f>
        <v/>
      </c>
      <c r="P481" t="str">
        <f>IF($I481=业绩披露日期!I$7,ROW(),"")</f>
        <v/>
      </c>
    </row>
    <row r="482" spans="1:16" x14ac:dyDescent="0.35">
      <c r="A482" s="23">
        <f t="shared" ca="1" si="36"/>
        <v>0</v>
      </c>
      <c r="B482" s="23">
        <f t="shared" si="37"/>
        <v>0</v>
      </c>
      <c r="C482" s="23">
        <f t="shared" si="38"/>
        <v>0</v>
      </c>
      <c r="D482" s="23">
        <f t="shared" si="39"/>
        <v>0</v>
      </c>
      <c r="E482" s="23">
        <f t="shared" si="40"/>
        <v>0</v>
      </c>
      <c r="F482" s="23">
        <f t="shared" si="40"/>
        <v>0</v>
      </c>
      <c r="G482" s="2" t="str">
        <f>IF('证券列表 '!B485="","",'证券列表 '!B485)</f>
        <v/>
      </c>
      <c r="H482" s="2" t="s">
        <v>837</v>
      </c>
      <c r="I482" s="3">
        <v>45495</v>
      </c>
      <c r="J482" s="6">
        <v>173642699835</v>
      </c>
      <c r="K482" t="str">
        <f ca="1">IF($I482=业绩披露日期!D$7,ROW(),"")</f>
        <v/>
      </c>
      <c r="L482" t="str">
        <f>IF($I482=业绩披露日期!E$7,ROW(),"")</f>
        <v/>
      </c>
      <c r="M482" t="str">
        <f>IF($I482=业绩披露日期!F$7,ROW(),"")</f>
        <v/>
      </c>
      <c r="N482" t="str">
        <f>IF($I482=业绩披露日期!G$7,ROW(),"")</f>
        <v/>
      </c>
      <c r="O482" t="str">
        <f>IF($I482=业绩披露日期!H$7,ROW(),"")</f>
        <v/>
      </c>
      <c r="P482" t="str">
        <f>IF($I482=业绩披露日期!I$7,ROW(),"")</f>
        <v/>
      </c>
    </row>
    <row r="483" spans="1:16" x14ac:dyDescent="0.35">
      <c r="A483" s="23">
        <f t="shared" ca="1" si="36"/>
        <v>0</v>
      </c>
      <c r="B483" s="23">
        <f t="shared" si="37"/>
        <v>0</v>
      </c>
      <c r="C483" s="23">
        <f t="shared" si="38"/>
        <v>0</v>
      </c>
      <c r="D483" s="23">
        <f t="shared" si="39"/>
        <v>0</v>
      </c>
      <c r="E483" s="23">
        <f t="shared" si="40"/>
        <v>0</v>
      </c>
      <c r="F483" s="23">
        <f t="shared" si="40"/>
        <v>0</v>
      </c>
      <c r="G483" s="2" t="str">
        <f>IF('证券列表 '!B486="","",'证券列表 '!B486)</f>
        <v/>
      </c>
      <c r="H483" s="2" t="s">
        <v>838</v>
      </c>
      <c r="I483" s="3">
        <v>45497</v>
      </c>
      <c r="J483" s="6">
        <v>29408009155.84</v>
      </c>
      <c r="K483" t="str">
        <f ca="1">IF($I483=业绩披露日期!D$7,ROW(),"")</f>
        <v/>
      </c>
      <c r="L483" t="str">
        <f>IF($I483=业绩披露日期!E$7,ROW(),"")</f>
        <v/>
      </c>
      <c r="M483" t="str">
        <f>IF($I483=业绩披露日期!F$7,ROW(),"")</f>
        <v/>
      </c>
      <c r="N483" t="str">
        <f>IF($I483=业绩披露日期!G$7,ROW(),"")</f>
        <v/>
      </c>
      <c r="O483" t="str">
        <f>IF($I483=业绩披露日期!H$7,ROW(),"")</f>
        <v/>
      </c>
      <c r="P483" t="str">
        <f>IF($I483=业绩披露日期!I$7,ROW(),"")</f>
        <v/>
      </c>
    </row>
    <row r="484" spans="1:16" x14ac:dyDescent="0.35">
      <c r="A484" s="23">
        <f t="shared" ca="1" si="36"/>
        <v>0</v>
      </c>
      <c r="B484" s="23">
        <f t="shared" si="37"/>
        <v>0</v>
      </c>
      <c r="C484" s="23">
        <f t="shared" si="38"/>
        <v>0</v>
      </c>
      <c r="D484" s="23">
        <f t="shared" si="39"/>
        <v>0</v>
      </c>
      <c r="E484" s="23">
        <f t="shared" si="40"/>
        <v>0</v>
      </c>
      <c r="F484" s="23">
        <f t="shared" si="40"/>
        <v>0</v>
      </c>
      <c r="G484" s="2" t="str">
        <f>IF('证券列表 '!B487="","",'证券列表 '!B487)</f>
        <v/>
      </c>
      <c r="H484" s="2" t="s">
        <v>839</v>
      </c>
      <c r="I484" s="3">
        <v>45504</v>
      </c>
      <c r="J484" s="6">
        <v>20462649856.169998</v>
      </c>
      <c r="K484" t="str">
        <f ca="1">IF($I484=业绩披露日期!D$7,ROW(),"")</f>
        <v/>
      </c>
      <c r="L484" t="str">
        <f>IF($I484=业绩披露日期!E$7,ROW(),"")</f>
        <v/>
      </c>
      <c r="M484" t="str">
        <f>IF($I484=业绩披露日期!F$7,ROW(),"")</f>
        <v/>
      </c>
      <c r="N484" t="str">
        <f>IF($I484=业绩披露日期!G$7,ROW(),"")</f>
        <v/>
      </c>
      <c r="O484" t="str">
        <f>IF($I484=业绩披露日期!H$7,ROW(),"")</f>
        <v/>
      </c>
      <c r="P484" t="str">
        <f>IF($I484=业绩披露日期!I$7,ROW(),"")</f>
        <v/>
      </c>
    </row>
    <row r="485" spans="1:16" x14ac:dyDescent="0.35">
      <c r="A485" s="23">
        <f t="shared" ca="1" si="36"/>
        <v>0</v>
      </c>
      <c r="B485" s="23">
        <f t="shared" si="37"/>
        <v>0</v>
      </c>
      <c r="C485" s="23">
        <f t="shared" si="38"/>
        <v>0</v>
      </c>
      <c r="D485" s="23">
        <f t="shared" si="39"/>
        <v>0</v>
      </c>
      <c r="E485" s="23">
        <f t="shared" si="40"/>
        <v>0</v>
      </c>
      <c r="F485" s="23">
        <f t="shared" si="40"/>
        <v>0</v>
      </c>
      <c r="G485" s="2" t="str">
        <f>IF('证券列表 '!B488="","",'证券列表 '!B488)</f>
        <v/>
      </c>
      <c r="H485" s="2" t="s">
        <v>840</v>
      </c>
      <c r="I485" s="3">
        <v>45379</v>
      </c>
      <c r="J485" s="6">
        <v>7985294092.25</v>
      </c>
      <c r="K485" t="str">
        <f ca="1">IF($I485=业绩披露日期!D$7,ROW(),"")</f>
        <v/>
      </c>
      <c r="L485" t="str">
        <f>IF($I485=业绩披露日期!E$7,ROW(),"")</f>
        <v/>
      </c>
      <c r="M485" t="str">
        <f>IF($I485=业绩披露日期!F$7,ROW(),"")</f>
        <v/>
      </c>
      <c r="N485" t="str">
        <f>IF($I485=业绩披露日期!G$7,ROW(),"")</f>
        <v/>
      </c>
      <c r="O485" t="str">
        <f>IF($I485=业绩披露日期!H$7,ROW(),"")</f>
        <v/>
      </c>
      <c r="P485" t="str">
        <f>IF($I485=业绩披露日期!I$7,ROW(),"")</f>
        <v/>
      </c>
    </row>
    <row r="486" spans="1:16" x14ac:dyDescent="0.35">
      <c r="A486" s="23">
        <f t="shared" ca="1" si="36"/>
        <v>0</v>
      </c>
      <c r="B486" s="23">
        <f t="shared" si="37"/>
        <v>0</v>
      </c>
      <c r="C486" s="23">
        <f t="shared" si="38"/>
        <v>0</v>
      </c>
      <c r="D486" s="23">
        <f t="shared" si="39"/>
        <v>0</v>
      </c>
      <c r="E486" s="23">
        <f t="shared" si="40"/>
        <v>0</v>
      </c>
      <c r="F486" s="23">
        <f t="shared" si="40"/>
        <v>0</v>
      </c>
      <c r="G486" s="2" t="str">
        <f>IF('证券列表 '!B489="","",'证券列表 '!B489)</f>
        <v/>
      </c>
      <c r="H486" s="2" t="s">
        <v>841</v>
      </c>
      <c r="I486" s="3">
        <v>45316</v>
      </c>
      <c r="J486" s="6">
        <v>21647753276.490002</v>
      </c>
      <c r="K486" t="str">
        <f ca="1">IF($I486=业绩披露日期!D$7,ROW(),"")</f>
        <v/>
      </c>
      <c r="L486" t="str">
        <f>IF($I486=业绩披露日期!E$7,ROW(),"")</f>
        <v/>
      </c>
      <c r="M486" t="str">
        <f>IF($I486=业绩披露日期!F$7,ROW(),"")</f>
        <v/>
      </c>
      <c r="N486" t="str">
        <f>IF($I486=业绩披露日期!G$7,ROW(),"")</f>
        <v/>
      </c>
      <c r="O486" t="str">
        <f>IF($I486=业绩披露日期!H$7,ROW(),"")</f>
        <v/>
      </c>
      <c r="P486" t="str">
        <f>IF($I486=业绩披露日期!I$7,ROW(),"")</f>
        <v/>
      </c>
    </row>
    <row r="487" spans="1:16" x14ac:dyDescent="0.35">
      <c r="A487" s="23">
        <f t="shared" ca="1" si="36"/>
        <v>0</v>
      </c>
      <c r="B487" s="23">
        <f t="shared" si="37"/>
        <v>0</v>
      </c>
      <c r="C487" s="23">
        <f t="shared" si="38"/>
        <v>0</v>
      </c>
      <c r="D487" s="23">
        <f t="shared" si="39"/>
        <v>0</v>
      </c>
      <c r="E487" s="23">
        <f t="shared" si="40"/>
        <v>0</v>
      </c>
      <c r="F487" s="23">
        <f t="shared" si="40"/>
        <v>0</v>
      </c>
      <c r="G487" s="2" t="str">
        <f>IF('证券列表 '!B490="","",'证券列表 '!B490)</f>
        <v/>
      </c>
      <c r="H487" s="2" t="s">
        <v>842</v>
      </c>
      <c r="I487" s="3">
        <v>45504</v>
      </c>
      <c r="J487" s="6">
        <v>29322686030.77</v>
      </c>
      <c r="K487" t="str">
        <f ca="1">IF($I487=业绩披露日期!D$7,ROW(),"")</f>
        <v/>
      </c>
      <c r="L487" t="str">
        <f>IF($I487=业绩披露日期!E$7,ROW(),"")</f>
        <v/>
      </c>
      <c r="M487" t="str">
        <f>IF($I487=业绩披露日期!F$7,ROW(),"")</f>
        <v/>
      </c>
      <c r="N487" t="str">
        <f>IF($I487=业绩披露日期!G$7,ROW(),"")</f>
        <v/>
      </c>
      <c r="O487" t="str">
        <f>IF($I487=业绩披露日期!H$7,ROW(),"")</f>
        <v/>
      </c>
      <c r="P487" t="str">
        <f>IF($I487=业绩披露日期!I$7,ROW(),"")</f>
        <v/>
      </c>
    </row>
    <row r="488" spans="1:16" x14ac:dyDescent="0.35">
      <c r="A488" s="23">
        <f t="shared" ca="1" si="36"/>
        <v>0</v>
      </c>
      <c r="B488" s="23">
        <f t="shared" si="37"/>
        <v>0</v>
      </c>
      <c r="C488" s="23">
        <f t="shared" si="38"/>
        <v>0</v>
      </c>
      <c r="D488" s="23">
        <f t="shared" si="39"/>
        <v>0</v>
      </c>
      <c r="E488" s="23">
        <f t="shared" si="40"/>
        <v>0</v>
      </c>
      <c r="F488" s="23">
        <f t="shared" si="40"/>
        <v>0</v>
      </c>
      <c r="G488" s="2" t="str">
        <f>IF('证券列表 '!B491="","",'证券列表 '!B491)</f>
        <v/>
      </c>
      <c r="H488" s="2" t="s">
        <v>843</v>
      </c>
      <c r="I488" s="3">
        <v>45502</v>
      </c>
      <c r="J488" s="6">
        <v>73432734862.050003</v>
      </c>
      <c r="K488" t="str">
        <f ca="1">IF($I488=业绩披露日期!D$7,ROW(),"")</f>
        <v/>
      </c>
      <c r="L488" t="str">
        <f>IF($I488=业绩披露日期!E$7,ROW(),"")</f>
        <v/>
      </c>
      <c r="M488" t="str">
        <f>IF($I488=业绩披露日期!F$7,ROW(),"")</f>
        <v/>
      </c>
      <c r="N488" t="str">
        <f>IF($I488=业绩披露日期!G$7,ROW(),"")</f>
        <v/>
      </c>
      <c r="O488" t="str">
        <f>IF($I488=业绩披露日期!H$7,ROW(),"")</f>
        <v/>
      </c>
      <c r="P488" t="str">
        <f>IF($I488=业绩披露日期!I$7,ROW(),"")</f>
        <v/>
      </c>
    </row>
    <row r="489" spans="1:16" x14ac:dyDescent="0.35">
      <c r="A489" s="23">
        <f t="shared" ca="1" si="36"/>
        <v>0</v>
      </c>
      <c r="B489" s="23">
        <f t="shared" si="37"/>
        <v>0</v>
      </c>
      <c r="C489" s="23">
        <f t="shared" si="38"/>
        <v>0</v>
      </c>
      <c r="D489" s="23">
        <f t="shared" si="39"/>
        <v>0</v>
      </c>
      <c r="E489" s="23">
        <f t="shared" si="40"/>
        <v>0</v>
      </c>
      <c r="F489" s="23">
        <f t="shared" si="40"/>
        <v>0</v>
      </c>
      <c r="G489" s="2" t="str">
        <f>IF('证券列表 '!B492="","",'证券列表 '!B492)</f>
        <v/>
      </c>
      <c r="H489" s="2" t="s">
        <v>844</v>
      </c>
      <c r="I489" s="3">
        <v>45485</v>
      </c>
      <c r="J489" s="6">
        <v>195206223608.10001</v>
      </c>
      <c r="K489" t="str">
        <f ca="1">IF($I489=业绩披露日期!D$7,ROW(),"")</f>
        <v/>
      </c>
      <c r="L489" t="str">
        <f>IF($I489=业绩披露日期!E$7,ROW(),"")</f>
        <v/>
      </c>
      <c r="M489" t="str">
        <f>IF($I489=业绩披露日期!F$7,ROW(),"")</f>
        <v/>
      </c>
      <c r="N489" t="str">
        <f>IF($I489=业绩披露日期!G$7,ROW(),"")</f>
        <v/>
      </c>
      <c r="O489" t="str">
        <f>IF($I489=业绩披露日期!H$7,ROW(),"")</f>
        <v/>
      </c>
      <c r="P489" t="str">
        <f>IF($I489=业绩披露日期!I$7,ROW(),"")</f>
        <v/>
      </c>
    </row>
    <row r="490" spans="1:16" x14ac:dyDescent="0.35">
      <c r="A490" s="23">
        <f t="shared" ca="1" si="36"/>
        <v>0</v>
      </c>
      <c r="B490" s="23">
        <f t="shared" si="37"/>
        <v>0</v>
      </c>
      <c r="C490" s="23">
        <f t="shared" si="38"/>
        <v>0</v>
      </c>
      <c r="D490" s="23">
        <f t="shared" si="39"/>
        <v>0</v>
      </c>
      <c r="E490" s="23">
        <f t="shared" si="40"/>
        <v>0</v>
      </c>
      <c r="F490" s="23">
        <f t="shared" si="40"/>
        <v>0</v>
      </c>
      <c r="G490" s="2" t="str">
        <f>IF('证券列表 '!B493="","",'证券列表 '!B493)</f>
        <v/>
      </c>
      <c r="H490" s="2" t="s">
        <v>845</v>
      </c>
      <c r="I490" s="3">
        <v>45497</v>
      </c>
      <c r="J490" s="6">
        <v>84227955890.759995</v>
      </c>
      <c r="K490" t="str">
        <f ca="1">IF($I490=业绩披露日期!D$7,ROW(),"")</f>
        <v/>
      </c>
      <c r="L490" t="str">
        <f>IF($I490=业绩披露日期!E$7,ROW(),"")</f>
        <v/>
      </c>
      <c r="M490" t="str">
        <f>IF($I490=业绩披露日期!F$7,ROW(),"")</f>
        <v/>
      </c>
      <c r="N490" t="str">
        <f>IF($I490=业绩披露日期!G$7,ROW(),"")</f>
        <v/>
      </c>
      <c r="O490" t="str">
        <f>IF($I490=业绩披露日期!H$7,ROW(),"")</f>
        <v/>
      </c>
      <c r="P490" t="str">
        <f>IF($I490=业绩披露日期!I$7,ROW(),"")</f>
        <v/>
      </c>
    </row>
    <row r="491" spans="1:16" x14ac:dyDescent="0.35">
      <c r="A491" s="23">
        <f t="shared" ca="1" si="36"/>
        <v>0</v>
      </c>
      <c r="B491" s="23">
        <f t="shared" si="37"/>
        <v>0</v>
      </c>
      <c r="C491" s="23">
        <f t="shared" si="38"/>
        <v>0</v>
      </c>
      <c r="D491" s="23">
        <f t="shared" si="39"/>
        <v>0</v>
      </c>
      <c r="E491" s="23">
        <f t="shared" si="40"/>
        <v>0</v>
      </c>
      <c r="F491" s="23">
        <f t="shared" si="40"/>
        <v>0</v>
      </c>
      <c r="G491" s="2" t="str">
        <f>IF('证券列表 '!B494="","",'证券列表 '!B494)</f>
        <v/>
      </c>
      <c r="H491" s="2" t="s">
        <v>846</v>
      </c>
      <c r="I491" s="3">
        <v>45509</v>
      </c>
      <c r="J491" s="6">
        <v>55449179878.590004</v>
      </c>
      <c r="K491" t="str">
        <f ca="1">IF($I491=业绩披露日期!D$7,ROW(),"")</f>
        <v/>
      </c>
      <c r="L491" t="str">
        <f>IF($I491=业绩披露日期!E$7,ROW(),"")</f>
        <v/>
      </c>
      <c r="M491" t="str">
        <f>IF($I491=业绩披露日期!F$7,ROW(),"")</f>
        <v/>
      </c>
      <c r="N491" t="str">
        <f>IF($I491=业绩披露日期!G$7,ROW(),"")</f>
        <v/>
      </c>
      <c r="O491" t="str">
        <f>IF($I491=业绩披露日期!H$7,ROW(),"")</f>
        <v/>
      </c>
      <c r="P491" t="str">
        <f>IF($I491=业绩披露日期!I$7,ROW(),"")</f>
        <v/>
      </c>
    </row>
    <row r="492" spans="1:16" x14ac:dyDescent="0.35">
      <c r="A492" s="23">
        <f t="shared" ca="1" si="36"/>
        <v>0</v>
      </c>
      <c r="B492" s="23">
        <f t="shared" si="37"/>
        <v>0</v>
      </c>
      <c r="C492" s="23">
        <f t="shared" si="38"/>
        <v>0</v>
      </c>
      <c r="D492" s="23">
        <f t="shared" si="39"/>
        <v>0</v>
      </c>
      <c r="E492" s="23">
        <f t="shared" si="40"/>
        <v>0</v>
      </c>
      <c r="F492" s="23">
        <f t="shared" si="40"/>
        <v>0</v>
      </c>
      <c r="G492" s="2" t="str">
        <f>IF('证券列表 '!B495="","",'证券列表 '!B495)</f>
        <v/>
      </c>
      <c r="H492" s="2" t="s">
        <v>847</v>
      </c>
      <c r="I492" s="3">
        <v>45155</v>
      </c>
      <c r="J492" s="6">
        <v>614687581278.59998</v>
      </c>
      <c r="K492" t="str">
        <f ca="1">IF($I492=业绩披露日期!D$7,ROW(),"")</f>
        <v/>
      </c>
      <c r="L492" t="str">
        <f>IF($I492=业绩披露日期!E$7,ROW(),"")</f>
        <v/>
      </c>
      <c r="M492" t="str">
        <f>IF($I492=业绩披露日期!F$7,ROW(),"")</f>
        <v/>
      </c>
      <c r="N492" t="str">
        <f>IF($I492=业绩披露日期!G$7,ROW(),"")</f>
        <v/>
      </c>
      <c r="O492" t="str">
        <f>IF($I492=业绩披露日期!H$7,ROW(),"")</f>
        <v/>
      </c>
      <c r="P492" t="str">
        <f>IF($I492=业绩披露日期!I$7,ROW(),"")</f>
        <v/>
      </c>
    </row>
    <row r="493" spans="1:16" x14ac:dyDescent="0.35">
      <c r="A493" s="23">
        <f t="shared" ca="1" si="36"/>
        <v>0</v>
      </c>
      <c r="B493" s="23">
        <f t="shared" si="37"/>
        <v>0</v>
      </c>
      <c r="C493" s="23">
        <f t="shared" si="38"/>
        <v>0</v>
      </c>
      <c r="D493" s="23">
        <f t="shared" si="39"/>
        <v>0</v>
      </c>
      <c r="E493" s="23">
        <f t="shared" si="40"/>
        <v>0</v>
      </c>
      <c r="F493" s="23">
        <f t="shared" si="40"/>
        <v>0</v>
      </c>
      <c r="G493" s="2" t="str">
        <f>IF('证券列表 '!B496="","",'证券列表 '!B496)</f>
        <v/>
      </c>
      <c r="H493" s="2" t="s">
        <v>848</v>
      </c>
      <c r="I493" s="3">
        <v>45495</v>
      </c>
      <c r="J493" s="6">
        <v>22574261592</v>
      </c>
      <c r="K493" t="str">
        <f ca="1">IF($I493=业绩披露日期!D$7,ROW(),"")</f>
        <v/>
      </c>
      <c r="L493" t="str">
        <f>IF($I493=业绩披露日期!E$7,ROW(),"")</f>
        <v/>
      </c>
      <c r="M493" t="str">
        <f>IF($I493=业绩披露日期!F$7,ROW(),"")</f>
        <v/>
      </c>
      <c r="N493" t="str">
        <f>IF($I493=业绩披露日期!G$7,ROW(),"")</f>
        <v/>
      </c>
      <c r="O493" t="str">
        <f>IF($I493=业绩披露日期!H$7,ROW(),"")</f>
        <v/>
      </c>
      <c r="P493" t="str">
        <f>IF($I493=业绩披露日期!I$7,ROW(),"")</f>
        <v/>
      </c>
    </row>
    <row r="494" spans="1:16" x14ac:dyDescent="0.35">
      <c r="A494" s="23">
        <f t="shared" ca="1" si="36"/>
        <v>0</v>
      </c>
      <c r="B494" s="23">
        <f t="shared" si="37"/>
        <v>0</v>
      </c>
      <c r="C494" s="23">
        <f t="shared" si="38"/>
        <v>0</v>
      </c>
      <c r="D494" s="23">
        <f t="shared" si="39"/>
        <v>0</v>
      </c>
      <c r="E494" s="23">
        <f t="shared" si="40"/>
        <v>0</v>
      </c>
      <c r="F494" s="23">
        <f t="shared" si="40"/>
        <v>0</v>
      </c>
      <c r="G494" s="2" t="str">
        <f>IF('证券列表 '!B497="","",'证券列表 '!B497)</f>
        <v/>
      </c>
      <c r="H494" s="2" t="s">
        <v>849</v>
      </c>
      <c r="I494" s="3">
        <v>45498</v>
      </c>
      <c r="J494" s="6">
        <v>22835368060.470001</v>
      </c>
      <c r="K494" t="str">
        <f ca="1">IF($I494=业绩披露日期!D$7,ROW(),"")</f>
        <v/>
      </c>
      <c r="L494" t="str">
        <f>IF($I494=业绩披露日期!E$7,ROW(),"")</f>
        <v/>
      </c>
      <c r="M494" t="str">
        <f>IF($I494=业绩披露日期!F$7,ROW(),"")</f>
        <v/>
      </c>
      <c r="N494" t="str">
        <f>IF($I494=业绩披露日期!G$7,ROW(),"")</f>
        <v/>
      </c>
      <c r="O494" t="str">
        <f>IF($I494=业绩披露日期!H$7,ROW(),"")</f>
        <v/>
      </c>
      <c r="P494" t="str">
        <f>IF($I494=业绩披露日期!I$7,ROW(),"")</f>
        <v/>
      </c>
    </row>
    <row r="495" spans="1:16" x14ac:dyDescent="0.35">
      <c r="A495" s="23">
        <f t="shared" ca="1" si="36"/>
        <v>0</v>
      </c>
      <c r="B495" s="23">
        <f t="shared" si="37"/>
        <v>0</v>
      </c>
      <c r="C495" s="23">
        <f t="shared" si="38"/>
        <v>0</v>
      </c>
      <c r="D495" s="23">
        <f t="shared" si="39"/>
        <v>0</v>
      </c>
      <c r="E495" s="23">
        <f t="shared" si="40"/>
        <v>0</v>
      </c>
      <c r="F495" s="23">
        <f t="shared" si="40"/>
        <v>0</v>
      </c>
      <c r="G495" s="2" t="str">
        <f>IF('证券列表 '!B498="","",'证券列表 '!B498)</f>
        <v/>
      </c>
      <c r="H495" s="2" t="s">
        <v>850</v>
      </c>
      <c r="I495" s="3">
        <v>45498</v>
      </c>
      <c r="J495" s="6">
        <v>29640109351.900002</v>
      </c>
      <c r="K495" t="str">
        <f ca="1">IF($I495=业绩披露日期!D$7,ROW(),"")</f>
        <v/>
      </c>
      <c r="L495" t="str">
        <f>IF($I495=业绩披露日期!E$7,ROW(),"")</f>
        <v/>
      </c>
      <c r="M495" t="str">
        <f>IF($I495=业绩披露日期!F$7,ROW(),"")</f>
        <v/>
      </c>
      <c r="N495" t="str">
        <f>IF($I495=业绩披露日期!G$7,ROW(),"")</f>
        <v/>
      </c>
      <c r="O495" t="str">
        <f>IF($I495=业绩披露日期!H$7,ROW(),"")</f>
        <v/>
      </c>
      <c r="P495" t="str">
        <f>IF($I495=业绩披露日期!I$7,ROW(),"")</f>
        <v/>
      </c>
    </row>
    <row r="496" spans="1:16" x14ac:dyDescent="0.35">
      <c r="A496" s="23">
        <f t="shared" ca="1" si="36"/>
        <v>0</v>
      </c>
      <c r="B496" s="23">
        <f t="shared" si="37"/>
        <v>0</v>
      </c>
      <c r="C496" s="23">
        <f t="shared" si="38"/>
        <v>0</v>
      </c>
      <c r="D496" s="23">
        <f t="shared" si="39"/>
        <v>0</v>
      </c>
      <c r="E496" s="23">
        <f t="shared" si="40"/>
        <v>0</v>
      </c>
      <c r="F496" s="23">
        <f t="shared" si="40"/>
        <v>0</v>
      </c>
      <c r="G496" s="2" t="str">
        <f>IF('证券列表 '!B499="","",'证券列表 '!B499)</f>
        <v/>
      </c>
      <c r="H496" s="2" t="s">
        <v>851</v>
      </c>
      <c r="I496" s="3">
        <v>45498</v>
      </c>
      <c r="J496" s="6">
        <v>22175834350</v>
      </c>
      <c r="K496" t="str">
        <f ca="1">IF($I496=业绩披露日期!D$7,ROW(),"")</f>
        <v/>
      </c>
      <c r="L496" t="str">
        <f>IF($I496=业绩披露日期!E$7,ROW(),"")</f>
        <v/>
      </c>
      <c r="M496" t="str">
        <f>IF($I496=业绩披露日期!F$7,ROW(),"")</f>
        <v/>
      </c>
      <c r="N496" t="str">
        <f>IF($I496=业绩披露日期!G$7,ROW(),"")</f>
        <v/>
      </c>
      <c r="O496" t="str">
        <f>IF($I496=业绩披露日期!H$7,ROW(),"")</f>
        <v/>
      </c>
      <c r="P496" t="str">
        <f>IF($I496=业绩披露日期!I$7,ROW(),"")</f>
        <v/>
      </c>
    </row>
    <row r="497" spans="1:16" x14ac:dyDescent="0.35">
      <c r="A497" s="23">
        <f t="shared" ca="1" si="36"/>
        <v>0</v>
      </c>
      <c r="B497" s="23">
        <f t="shared" si="37"/>
        <v>0</v>
      </c>
      <c r="C497" s="23">
        <f t="shared" si="38"/>
        <v>0</v>
      </c>
      <c r="D497" s="23">
        <f t="shared" si="39"/>
        <v>0</v>
      </c>
      <c r="E497" s="23">
        <f t="shared" si="40"/>
        <v>0</v>
      </c>
      <c r="F497" s="23">
        <f t="shared" si="40"/>
        <v>0</v>
      </c>
      <c r="G497" s="2" t="str">
        <f>IF('证券列表 '!B500="","",'证券列表 '!B500)</f>
        <v/>
      </c>
      <c r="H497" s="2" t="s">
        <v>852</v>
      </c>
      <c r="I497" s="3">
        <v>45510</v>
      </c>
      <c r="J497" s="6">
        <v>8384307503.5800009</v>
      </c>
      <c r="K497" t="str">
        <f ca="1">IF($I497=业绩披露日期!D$7,ROW(),"")</f>
        <v/>
      </c>
      <c r="L497" t="str">
        <f>IF($I497=业绩披露日期!E$7,ROW(),"")</f>
        <v/>
      </c>
      <c r="M497" t="str">
        <f>IF($I497=业绩披露日期!F$7,ROW(),"")</f>
        <v/>
      </c>
      <c r="N497" t="str">
        <f>IF($I497=业绩披露日期!G$7,ROW(),"")</f>
        <v/>
      </c>
      <c r="O497" t="str">
        <f>IF($I497=业绩披露日期!H$7,ROW(),"")</f>
        <v/>
      </c>
      <c r="P497" t="str">
        <f>IF($I497=业绩披露日期!I$7,ROW(),"")</f>
        <v/>
      </c>
    </row>
    <row r="498" spans="1:16" x14ac:dyDescent="0.35">
      <c r="A498" s="23">
        <f t="shared" ca="1" si="36"/>
        <v>0</v>
      </c>
      <c r="B498" s="23">
        <f t="shared" si="37"/>
        <v>0</v>
      </c>
      <c r="C498" s="23">
        <f t="shared" si="38"/>
        <v>0</v>
      </c>
      <c r="D498" s="23">
        <f t="shared" si="39"/>
        <v>0</v>
      </c>
      <c r="E498" s="23">
        <f t="shared" si="40"/>
        <v>0</v>
      </c>
      <c r="F498" s="23">
        <f t="shared" si="40"/>
        <v>0</v>
      </c>
      <c r="G498" s="2" t="str">
        <f>IF('证券列表 '!B501="","",'证券列表 '!B501)</f>
        <v/>
      </c>
      <c r="H498" s="2" t="s">
        <v>853</v>
      </c>
      <c r="I498" s="3">
        <v>45505</v>
      </c>
      <c r="J498" s="6">
        <v>34224966806.59</v>
      </c>
      <c r="K498" t="str">
        <f ca="1">IF($I498=业绩披露日期!D$7,ROW(),"")</f>
        <v/>
      </c>
      <c r="L498" t="str">
        <f>IF($I498=业绩披露日期!E$7,ROW(),"")</f>
        <v/>
      </c>
      <c r="M498" t="str">
        <f>IF($I498=业绩披露日期!F$7,ROW(),"")</f>
        <v/>
      </c>
      <c r="N498" t="str">
        <f>IF($I498=业绩披露日期!G$7,ROW(),"")</f>
        <v/>
      </c>
      <c r="O498" t="str">
        <f>IF($I498=业绩披露日期!H$7,ROW(),"")</f>
        <v/>
      </c>
      <c r="P498" t="str">
        <f>IF($I498=业绩披露日期!I$7,ROW(),"")</f>
        <v/>
      </c>
    </row>
    <row r="499" spans="1:16" x14ac:dyDescent="0.35">
      <c r="A499" s="23">
        <f t="shared" ca="1" si="36"/>
        <v>0</v>
      </c>
      <c r="B499" s="23">
        <f t="shared" si="37"/>
        <v>0</v>
      </c>
      <c r="C499" s="23">
        <f t="shared" si="38"/>
        <v>0</v>
      </c>
      <c r="D499" s="23">
        <f t="shared" si="39"/>
        <v>0</v>
      </c>
      <c r="E499" s="23">
        <f t="shared" si="40"/>
        <v>0</v>
      </c>
      <c r="F499" s="23">
        <f t="shared" si="40"/>
        <v>0</v>
      </c>
      <c r="G499" s="2" t="str">
        <f>IF('证券列表 '!B502="","",'证券列表 '!B502)</f>
        <v/>
      </c>
      <c r="H499" s="2" t="s">
        <v>854</v>
      </c>
      <c r="I499" s="3">
        <v>45506</v>
      </c>
      <c r="J499" s="6">
        <v>524851590000</v>
      </c>
      <c r="K499" t="str">
        <f ca="1">IF($I499=业绩披露日期!D$7,ROW(),"")</f>
        <v/>
      </c>
      <c r="L499" t="str">
        <f>IF($I499=业绩披露日期!E$7,ROW(),"")</f>
        <v/>
      </c>
      <c r="M499" t="str">
        <f>IF($I499=业绩披露日期!F$7,ROW(),"")</f>
        <v/>
      </c>
      <c r="N499" t="str">
        <f>IF($I499=业绩披露日期!G$7,ROW(),"")</f>
        <v/>
      </c>
      <c r="O499" t="str">
        <f>IF($I499=业绩披露日期!H$7,ROW(),"")</f>
        <v/>
      </c>
      <c r="P499" t="str">
        <f>IF($I499=业绩披露日期!I$7,ROW(),"")</f>
        <v/>
      </c>
    </row>
    <row r="500" spans="1:16" x14ac:dyDescent="0.35">
      <c r="A500" s="23">
        <f t="shared" ca="1" si="36"/>
        <v>0</v>
      </c>
      <c r="B500" s="23">
        <f t="shared" si="37"/>
        <v>0</v>
      </c>
      <c r="C500" s="23">
        <f t="shared" si="38"/>
        <v>0</v>
      </c>
      <c r="D500" s="23">
        <f t="shared" si="39"/>
        <v>0</v>
      </c>
      <c r="E500" s="23">
        <f t="shared" si="40"/>
        <v>0</v>
      </c>
      <c r="F500" s="23">
        <f t="shared" si="40"/>
        <v>0</v>
      </c>
      <c r="G500" s="2" t="str">
        <f>IF('证券列表 '!B503="","",'证券列表 '!B503)</f>
        <v/>
      </c>
      <c r="H500" s="2" t="s">
        <v>855</v>
      </c>
      <c r="I500" s="3">
        <v>45503</v>
      </c>
      <c r="J500" s="6">
        <v>32977566860.680004</v>
      </c>
      <c r="K500" t="str">
        <f ca="1">IF($I500=业绩披露日期!D$7,ROW(),"")</f>
        <v/>
      </c>
      <c r="L500" t="str">
        <f>IF($I500=业绩披露日期!E$7,ROW(),"")</f>
        <v/>
      </c>
      <c r="M500" t="str">
        <f>IF($I500=业绩披露日期!F$7,ROW(),"")</f>
        <v/>
      </c>
      <c r="N500" t="str">
        <f>IF($I500=业绩披露日期!G$7,ROW(),"")</f>
        <v/>
      </c>
      <c r="O500" t="str">
        <f>IF($I500=业绩披露日期!H$7,ROW(),"")</f>
        <v/>
      </c>
      <c r="P500" t="str">
        <f>IF($I500=业绩披露日期!I$7,ROW(),"")</f>
        <v/>
      </c>
    </row>
    <row r="501" spans="1:16" x14ac:dyDescent="0.35">
      <c r="A501" s="23">
        <f t="shared" ref="A501:A510" ca="1" si="41">IF(K501="",0,RANK(K501,K:K,1))</f>
        <v>0</v>
      </c>
      <c r="B501" s="23">
        <f t="shared" ref="B501:B510" si="42">IF(L501="",0,RANK(L501,L:L,1))</f>
        <v>0</v>
      </c>
      <c r="C501" s="23">
        <f t="shared" ref="C501:C510" si="43">IF(M501="",0,RANK(M501,M:M,1))</f>
        <v>0</v>
      </c>
      <c r="D501" s="23">
        <f t="shared" ref="D501:D510" si="44">IF(N501="",0,RANK(N501,N:N,1))</f>
        <v>0</v>
      </c>
      <c r="E501" s="23">
        <f t="shared" ref="E501:E510" si="45">IF(O501="",0,RANK(O501,O:O,1))</f>
        <v>0</v>
      </c>
      <c r="F501" s="23">
        <f t="shared" ref="F501:F510" si="46">IF(P501="",0,RANK(P501,P:P,1))</f>
        <v>0</v>
      </c>
      <c r="G501" s="2" t="str">
        <f>IF('证券列表 '!B504="","",'证券列表 '!B504)</f>
        <v/>
      </c>
      <c r="H501" s="2" t="s">
        <v>856</v>
      </c>
      <c r="I501" s="3">
        <v>45510</v>
      </c>
      <c r="J501" s="6">
        <v>38027566520.5</v>
      </c>
      <c r="K501" t="str">
        <f ca="1">IF($I501=业绩披露日期!D$7,ROW(),"")</f>
        <v/>
      </c>
      <c r="L501" t="str">
        <f>IF($I501=业绩披露日期!E$7,ROW(),"")</f>
        <v/>
      </c>
      <c r="M501" t="str">
        <f>IF($I501=业绩披露日期!F$7,ROW(),"")</f>
        <v/>
      </c>
      <c r="N501" t="str">
        <f>IF($I501=业绩披露日期!G$7,ROW(),"")</f>
        <v/>
      </c>
      <c r="O501" t="str">
        <f>IF($I501=业绩披露日期!H$7,ROW(),"")</f>
        <v/>
      </c>
      <c r="P501" t="str">
        <f>IF($I501=业绩披露日期!I$7,ROW(),"")</f>
        <v/>
      </c>
    </row>
    <row r="502" spans="1:16" x14ac:dyDescent="0.35">
      <c r="A502" s="23">
        <f t="shared" ca="1" si="41"/>
        <v>0</v>
      </c>
      <c r="B502" s="23">
        <f t="shared" si="42"/>
        <v>0</v>
      </c>
      <c r="C502" s="23">
        <f t="shared" si="43"/>
        <v>0</v>
      </c>
      <c r="D502" s="23">
        <f t="shared" si="44"/>
        <v>0</v>
      </c>
      <c r="E502" s="23">
        <f t="shared" si="45"/>
        <v>0</v>
      </c>
      <c r="F502" s="23">
        <f t="shared" si="46"/>
        <v>0</v>
      </c>
      <c r="G502" s="2" t="str">
        <f>IF('证券列表 '!B505="","",'证券列表 '!B505)</f>
        <v/>
      </c>
      <c r="H502" s="2" t="s">
        <v>857</v>
      </c>
      <c r="I502" s="3">
        <v>45511</v>
      </c>
      <c r="J502" s="6">
        <v>23352817841.25</v>
      </c>
      <c r="K502" t="str">
        <f ca="1">IF($I502=业绩披露日期!D$7,ROW(),"")</f>
        <v/>
      </c>
      <c r="L502" t="str">
        <f>IF($I502=业绩披露日期!E$7,ROW(),"")</f>
        <v/>
      </c>
      <c r="M502" t="str">
        <f>IF($I502=业绩披露日期!F$7,ROW(),"")</f>
        <v/>
      </c>
      <c r="N502" t="str">
        <f>IF($I502=业绩披露日期!G$7,ROW(),"")</f>
        <v/>
      </c>
      <c r="O502" t="str">
        <f>IF($I502=业绩披露日期!H$7,ROW(),"")</f>
        <v/>
      </c>
      <c r="P502" t="str">
        <f>IF($I502=业绩披露日期!I$7,ROW(),"")</f>
        <v/>
      </c>
    </row>
    <row r="503" spans="1:16" x14ac:dyDescent="0.35">
      <c r="A503" s="23">
        <f t="shared" ca="1" si="41"/>
        <v>0</v>
      </c>
      <c r="B503" s="23">
        <f t="shared" si="42"/>
        <v>0</v>
      </c>
      <c r="C503" s="23">
        <f t="shared" si="43"/>
        <v>0</v>
      </c>
      <c r="D503" s="23">
        <f t="shared" si="44"/>
        <v>0</v>
      </c>
      <c r="E503" s="23">
        <f t="shared" si="45"/>
        <v>0</v>
      </c>
      <c r="F503" s="23">
        <f t="shared" si="46"/>
        <v>0</v>
      </c>
      <c r="G503" s="2" t="str">
        <f>IF('证券列表 '!B506="","",'证券列表 '!B506)</f>
        <v/>
      </c>
      <c r="H503" s="2" t="s">
        <v>858</v>
      </c>
      <c r="I503" s="3">
        <v>45503</v>
      </c>
      <c r="J503" s="6">
        <v>17654411528.549999</v>
      </c>
      <c r="K503" t="str">
        <f ca="1">IF($I503=业绩披露日期!D$7,ROW(),"")</f>
        <v/>
      </c>
      <c r="L503" t="str">
        <f>IF($I503=业绩披露日期!E$7,ROW(),"")</f>
        <v/>
      </c>
      <c r="M503" t="str">
        <f>IF($I503=业绩披露日期!F$7,ROW(),"")</f>
        <v/>
      </c>
      <c r="N503" t="str">
        <f>IF($I503=业绩披露日期!G$7,ROW(),"")</f>
        <v/>
      </c>
      <c r="O503" t="str">
        <f>IF($I503=业绩披露日期!H$7,ROW(),"")</f>
        <v/>
      </c>
      <c r="P503" t="str">
        <f>IF($I503=业绩披露日期!I$7,ROW(),"")</f>
        <v/>
      </c>
    </row>
    <row r="504" spans="1:16" x14ac:dyDescent="0.35">
      <c r="A504" s="23">
        <f t="shared" ca="1" si="41"/>
        <v>0</v>
      </c>
      <c r="B504" s="23">
        <f t="shared" si="42"/>
        <v>0</v>
      </c>
      <c r="C504" s="23">
        <f t="shared" si="43"/>
        <v>0</v>
      </c>
      <c r="D504" s="23">
        <f t="shared" si="44"/>
        <v>0</v>
      </c>
      <c r="E504" s="23">
        <f t="shared" si="45"/>
        <v>0</v>
      </c>
      <c r="F504" s="23">
        <f t="shared" si="46"/>
        <v>0</v>
      </c>
      <c r="G504" s="2" t="str">
        <f>IF('证券列表 '!B507="","",'证券列表 '!B507)</f>
        <v/>
      </c>
      <c r="H504" s="2" t="s">
        <v>859</v>
      </c>
      <c r="I504" s="3">
        <v>45510</v>
      </c>
      <c r="J504" s="6">
        <v>82858495561.099991</v>
      </c>
      <c r="K504" t="str">
        <f ca="1">IF($I504=业绩披露日期!D$7,ROW(),"")</f>
        <v/>
      </c>
      <c r="L504" t="str">
        <f>IF($I504=业绩披露日期!E$7,ROW(),"")</f>
        <v/>
      </c>
      <c r="M504" t="str">
        <f>IF($I504=业绩披露日期!F$7,ROW(),"")</f>
        <v/>
      </c>
      <c r="N504" t="str">
        <f>IF($I504=业绩披露日期!G$7,ROW(),"")</f>
        <v/>
      </c>
      <c r="O504" t="str">
        <f>IF($I504=业绩披露日期!H$7,ROW(),"")</f>
        <v/>
      </c>
      <c r="P504" t="str">
        <f>IF($I504=业绩披露日期!I$7,ROW(),"")</f>
        <v/>
      </c>
    </row>
    <row r="505" spans="1:16" x14ac:dyDescent="0.35">
      <c r="A505" s="23">
        <f t="shared" ca="1" si="41"/>
        <v>0</v>
      </c>
      <c r="B505" s="23">
        <f t="shared" si="42"/>
        <v>0</v>
      </c>
      <c r="C505" s="23">
        <f t="shared" si="43"/>
        <v>0</v>
      </c>
      <c r="D505" s="23">
        <f t="shared" si="44"/>
        <v>0</v>
      </c>
      <c r="E505" s="23">
        <f t="shared" si="45"/>
        <v>0</v>
      </c>
      <c r="F505" s="23">
        <f t="shared" si="46"/>
        <v>0</v>
      </c>
      <c r="G505" s="2" t="str">
        <f>IF('证券列表 '!B508="","",'证券列表 '!B508)</f>
        <v/>
      </c>
      <c r="H505" s="2"/>
      <c r="I505" s="3"/>
      <c r="J505" s="6"/>
      <c r="K505" t="str">
        <f ca="1">IF($I505=业绩披露日期!D$7,ROW(),"")</f>
        <v/>
      </c>
      <c r="L505" t="str">
        <f>IF($I505=业绩披露日期!E$7,ROW(),"")</f>
        <v/>
      </c>
      <c r="M505" t="str">
        <f>IF($I505=业绩披露日期!F$7,ROW(),"")</f>
        <v/>
      </c>
      <c r="N505" t="str">
        <f>IF($I505=业绩披露日期!G$7,ROW(),"")</f>
        <v/>
      </c>
      <c r="O505" t="str">
        <f>IF($I505=业绩披露日期!H$7,ROW(),"")</f>
        <v/>
      </c>
      <c r="P505" t="str">
        <f>IF($I505=业绩披露日期!I$7,ROW(),"")</f>
        <v/>
      </c>
    </row>
    <row r="506" spans="1:16" x14ac:dyDescent="0.35">
      <c r="A506" s="23">
        <f t="shared" ca="1" si="41"/>
        <v>0</v>
      </c>
      <c r="B506" s="23">
        <f t="shared" si="42"/>
        <v>0</v>
      </c>
      <c r="C506" s="23">
        <f t="shared" si="43"/>
        <v>0</v>
      </c>
      <c r="D506" s="23">
        <f t="shared" si="44"/>
        <v>0</v>
      </c>
      <c r="E506" s="23">
        <f t="shared" si="45"/>
        <v>0</v>
      </c>
      <c r="F506" s="23">
        <f t="shared" si="46"/>
        <v>0</v>
      </c>
      <c r="G506" s="2" t="str">
        <f>IF('证券列表 '!B509="","",'证券列表 '!B509)</f>
        <v/>
      </c>
      <c r="H506" s="2"/>
      <c r="I506" s="3"/>
      <c r="J506" s="6"/>
      <c r="K506" t="str">
        <f ca="1">IF($I506=业绩披露日期!D$7,ROW(),"")</f>
        <v/>
      </c>
      <c r="L506" t="str">
        <f>IF($I506=业绩披露日期!E$7,ROW(),"")</f>
        <v/>
      </c>
      <c r="M506" t="str">
        <f>IF($I506=业绩披露日期!F$7,ROW(),"")</f>
        <v/>
      </c>
      <c r="N506" t="str">
        <f>IF($I506=业绩披露日期!G$7,ROW(),"")</f>
        <v/>
      </c>
      <c r="O506" t="str">
        <f>IF($I506=业绩披露日期!H$7,ROW(),"")</f>
        <v/>
      </c>
      <c r="P506" t="str">
        <f>IF($I506=业绩披露日期!I$7,ROW(),"")</f>
        <v/>
      </c>
    </row>
    <row r="507" spans="1:16" x14ac:dyDescent="0.35">
      <c r="A507" s="23">
        <f t="shared" ca="1" si="41"/>
        <v>0</v>
      </c>
      <c r="B507" s="23">
        <f t="shared" si="42"/>
        <v>0</v>
      </c>
      <c r="C507" s="23">
        <f t="shared" si="43"/>
        <v>0</v>
      </c>
      <c r="D507" s="23">
        <f t="shared" si="44"/>
        <v>0</v>
      </c>
      <c r="E507" s="23">
        <f t="shared" si="45"/>
        <v>0</v>
      </c>
      <c r="F507" s="23">
        <f t="shared" si="46"/>
        <v>0</v>
      </c>
      <c r="G507" s="2" t="str">
        <f>IF('证券列表 '!B510="","",'证券列表 '!B510)</f>
        <v/>
      </c>
      <c r="H507" s="2"/>
      <c r="I507" s="3"/>
      <c r="J507" s="6"/>
      <c r="K507" t="str">
        <f ca="1">IF($I507=业绩披露日期!D$7,ROW(),"")</f>
        <v/>
      </c>
      <c r="L507" t="str">
        <f>IF($I507=业绩披露日期!E$7,ROW(),"")</f>
        <v/>
      </c>
      <c r="M507" t="str">
        <f>IF($I507=业绩披露日期!F$7,ROW(),"")</f>
        <v/>
      </c>
      <c r="N507" t="str">
        <f>IF($I507=业绩披露日期!G$7,ROW(),"")</f>
        <v/>
      </c>
      <c r="O507" t="str">
        <f>IF($I507=业绩披露日期!H$7,ROW(),"")</f>
        <v/>
      </c>
      <c r="P507" t="str">
        <f>IF($I507=业绩披露日期!I$7,ROW(),"")</f>
        <v/>
      </c>
    </row>
    <row r="508" spans="1:16" x14ac:dyDescent="0.35">
      <c r="A508" s="23">
        <f t="shared" ca="1" si="41"/>
        <v>0</v>
      </c>
      <c r="B508" s="23">
        <f t="shared" si="42"/>
        <v>0</v>
      </c>
      <c r="C508" s="23">
        <f t="shared" si="43"/>
        <v>0</v>
      </c>
      <c r="D508" s="23">
        <f t="shared" si="44"/>
        <v>0</v>
      </c>
      <c r="E508" s="23">
        <f t="shared" si="45"/>
        <v>0</v>
      </c>
      <c r="F508" s="23">
        <f t="shared" si="46"/>
        <v>0</v>
      </c>
      <c r="G508" s="2" t="str">
        <f>IF('证券列表 '!B511="","",'证券列表 '!B511)</f>
        <v/>
      </c>
      <c r="H508" s="2"/>
      <c r="I508" s="3"/>
      <c r="J508" s="6"/>
      <c r="K508" t="str">
        <f ca="1">IF($I508=业绩披露日期!D$7,ROW(),"")</f>
        <v/>
      </c>
      <c r="L508" t="str">
        <f>IF($I508=业绩披露日期!E$7,ROW(),"")</f>
        <v/>
      </c>
      <c r="M508" t="str">
        <f>IF($I508=业绩披露日期!F$7,ROW(),"")</f>
        <v/>
      </c>
      <c r="N508" t="str">
        <f>IF($I508=业绩披露日期!G$7,ROW(),"")</f>
        <v/>
      </c>
      <c r="O508" t="str">
        <f>IF($I508=业绩披露日期!H$7,ROW(),"")</f>
        <v/>
      </c>
      <c r="P508" t="str">
        <f>IF($I508=业绩披露日期!I$7,ROW(),"")</f>
        <v/>
      </c>
    </row>
    <row r="509" spans="1:16" x14ac:dyDescent="0.35">
      <c r="A509" s="23">
        <f t="shared" ca="1" si="41"/>
        <v>0</v>
      </c>
      <c r="B509" s="23">
        <f t="shared" si="42"/>
        <v>0</v>
      </c>
      <c r="C509" s="23">
        <f t="shared" si="43"/>
        <v>0</v>
      </c>
      <c r="D509" s="23">
        <f t="shared" si="44"/>
        <v>0</v>
      </c>
      <c r="E509" s="23">
        <f t="shared" si="45"/>
        <v>0</v>
      </c>
      <c r="F509" s="23">
        <f t="shared" si="46"/>
        <v>0</v>
      </c>
      <c r="G509" s="2" t="str">
        <f>IF('证券列表 '!B512="","",'证券列表 '!B512)</f>
        <v/>
      </c>
      <c r="H509" s="2"/>
      <c r="I509" s="3"/>
      <c r="J509" s="6"/>
      <c r="K509" t="str">
        <f ca="1">IF($I509=业绩披露日期!D$7,ROW(),"")</f>
        <v/>
      </c>
      <c r="L509" t="str">
        <f>IF($I509=业绩披露日期!E$7,ROW(),"")</f>
        <v/>
      </c>
      <c r="M509" t="str">
        <f>IF($I509=业绩披露日期!F$7,ROW(),"")</f>
        <v/>
      </c>
      <c r="N509" t="str">
        <f>IF($I509=业绩披露日期!G$7,ROW(),"")</f>
        <v/>
      </c>
      <c r="O509" t="str">
        <f>IF($I509=业绩披露日期!H$7,ROW(),"")</f>
        <v/>
      </c>
      <c r="P509" t="str">
        <f>IF($I509=业绩披露日期!I$7,ROW(),"")</f>
        <v/>
      </c>
    </row>
    <row r="510" spans="1:16" x14ac:dyDescent="0.35">
      <c r="A510" s="23">
        <f t="shared" ca="1" si="41"/>
        <v>0</v>
      </c>
      <c r="B510" s="23">
        <f t="shared" si="42"/>
        <v>0</v>
      </c>
      <c r="C510" s="23">
        <f t="shared" si="43"/>
        <v>0</v>
      </c>
      <c r="D510" s="23">
        <f t="shared" si="44"/>
        <v>0</v>
      </c>
      <c r="E510" s="23">
        <f t="shared" si="45"/>
        <v>0</v>
      </c>
      <c r="F510" s="23">
        <f t="shared" si="46"/>
        <v>0</v>
      </c>
      <c r="G510" s="2" t="str">
        <f>IF('证券列表 '!B513="","",'证券列表 '!B513)</f>
        <v/>
      </c>
      <c r="H510" s="2"/>
      <c r="I510" s="3"/>
      <c r="J510" s="6"/>
      <c r="K510" t="str">
        <f ca="1">IF($I510=业绩披露日期!D$7,ROW(),"")</f>
        <v/>
      </c>
      <c r="L510" t="str">
        <f>IF($I510=业绩披露日期!E$7,ROW(),"")</f>
        <v/>
      </c>
      <c r="M510" t="str">
        <f>IF($I510=业绩披露日期!F$7,ROW(),"")</f>
        <v/>
      </c>
      <c r="N510" t="str">
        <f>IF($I510=业绩披露日期!G$7,ROW(),"")</f>
        <v/>
      </c>
      <c r="O510" t="str">
        <f>IF($I510=业绩披露日期!H$7,ROW(),"")</f>
        <v/>
      </c>
      <c r="P510" t="str">
        <f>IF($I510=业绩披露日期!I$7,ROW(),"")</f>
        <v/>
      </c>
    </row>
    <row r="511" spans="1:16" x14ac:dyDescent="0.35">
      <c r="G511" s="2"/>
      <c r="H511" s="2"/>
      <c r="I511" s="3"/>
      <c r="J511" s="6"/>
    </row>
    <row r="512" spans="1:16" x14ac:dyDescent="0.35">
      <c r="G512" s="2"/>
      <c r="H512" s="2"/>
      <c r="I512" s="3"/>
      <c r="J512" s="6"/>
    </row>
    <row r="513" spans="7:10" x14ac:dyDescent="0.35">
      <c r="G513" s="2"/>
      <c r="H513" s="2"/>
      <c r="I513" s="3"/>
      <c r="J513" s="6"/>
    </row>
    <row r="514" spans="7:10" x14ac:dyDescent="0.35">
      <c r="G514" s="2"/>
      <c r="H514" s="2"/>
      <c r="I514" s="3"/>
      <c r="J514" s="6"/>
    </row>
    <row r="515" spans="7:10" x14ac:dyDescent="0.35">
      <c r="G515" s="2"/>
      <c r="H515" s="2"/>
      <c r="I515" s="3"/>
      <c r="J515" s="6"/>
    </row>
    <row r="516" spans="7:10" x14ac:dyDescent="0.35">
      <c r="G516" s="2"/>
      <c r="H516" s="2"/>
      <c r="I516" s="3"/>
      <c r="J516" s="6"/>
    </row>
    <row r="517" spans="7:10" x14ac:dyDescent="0.35">
      <c r="G517" s="2"/>
      <c r="H517" s="2"/>
      <c r="I517" s="3"/>
      <c r="J517" s="6"/>
    </row>
    <row r="518" spans="7:10" x14ac:dyDescent="0.35">
      <c r="G518" s="2"/>
      <c r="H518" s="2"/>
      <c r="I518" s="3"/>
      <c r="J518" s="6"/>
    </row>
    <row r="519" spans="7:10" x14ac:dyDescent="0.35">
      <c r="G519" s="2"/>
      <c r="H519" s="2"/>
      <c r="I519" s="3"/>
      <c r="J519" s="6"/>
    </row>
    <row r="520" spans="7:10" x14ac:dyDescent="0.35">
      <c r="G520" s="2"/>
      <c r="H520" s="2"/>
      <c r="I520" s="3"/>
      <c r="J520" s="6"/>
    </row>
    <row r="521" spans="7:10" x14ac:dyDescent="0.35">
      <c r="G521" s="2"/>
      <c r="H521" s="2"/>
      <c r="I521" s="3"/>
      <c r="J521" s="6"/>
    </row>
    <row r="522" spans="7:10" x14ac:dyDescent="0.35">
      <c r="G522" s="2"/>
      <c r="H522" s="2"/>
      <c r="I522" s="3"/>
      <c r="J522" s="6"/>
    </row>
    <row r="523" spans="7:10" x14ac:dyDescent="0.35">
      <c r="G523" s="2"/>
      <c r="H523" s="2"/>
      <c r="I523" s="3"/>
      <c r="J523" s="6"/>
    </row>
    <row r="524" spans="7:10" x14ac:dyDescent="0.35">
      <c r="G524" s="2"/>
      <c r="H524" s="2"/>
      <c r="I524" s="3"/>
      <c r="J524" s="6"/>
    </row>
    <row r="525" spans="7:10" x14ac:dyDescent="0.35">
      <c r="G525" s="2"/>
      <c r="H525" s="2"/>
      <c r="I525" s="3"/>
      <c r="J525" s="6"/>
    </row>
    <row r="526" spans="7:10" x14ac:dyDescent="0.35">
      <c r="G526" s="2"/>
      <c r="H526" s="2"/>
      <c r="I526" s="3"/>
      <c r="J526" s="6"/>
    </row>
    <row r="527" spans="7:10" x14ac:dyDescent="0.35">
      <c r="G527" s="2"/>
      <c r="H527" s="2"/>
      <c r="I527" s="3"/>
      <c r="J527" s="6"/>
    </row>
    <row r="528" spans="7:10" x14ac:dyDescent="0.35">
      <c r="G528" s="2"/>
      <c r="H528" s="2"/>
      <c r="I528" s="3"/>
      <c r="J528" s="6"/>
    </row>
    <row r="529" spans="7:10" x14ac:dyDescent="0.35">
      <c r="G529" s="2"/>
      <c r="H529" s="2"/>
      <c r="I529" s="3"/>
      <c r="J529" s="6"/>
    </row>
    <row r="530" spans="7:10" x14ac:dyDescent="0.35">
      <c r="G530" s="2"/>
      <c r="H530" s="2"/>
      <c r="I530" s="3"/>
      <c r="J530" s="6"/>
    </row>
    <row r="531" spans="7:10" x14ac:dyDescent="0.35">
      <c r="G531" s="2"/>
      <c r="H531" s="2"/>
      <c r="I531" s="3"/>
      <c r="J531" s="6"/>
    </row>
    <row r="532" spans="7:10" x14ac:dyDescent="0.35">
      <c r="G532" s="2"/>
      <c r="H532" s="2"/>
      <c r="I532" s="3"/>
      <c r="J532" s="6"/>
    </row>
    <row r="533" spans="7:10" x14ac:dyDescent="0.35">
      <c r="G533" s="2"/>
      <c r="H533" s="2"/>
      <c r="I533" s="3"/>
      <c r="J533" s="6"/>
    </row>
    <row r="534" spans="7:10" x14ac:dyDescent="0.35">
      <c r="G534" s="2"/>
      <c r="H534" s="2"/>
      <c r="I534" s="3"/>
      <c r="J534" s="6"/>
    </row>
    <row r="535" spans="7:10" x14ac:dyDescent="0.35">
      <c r="G535" s="2"/>
      <c r="H535" s="2"/>
      <c r="I535" s="3"/>
      <c r="J535" s="6"/>
    </row>
    <row r="536" spans="7:10" x14ac:dyDescent="0.35">
      <c r="G536" s="2"/>
      <c r="H536" s="2"/>
      <c r="I536" s="3"/>
      <c r="J536" s="6"/>
    </row>
    <row r="537" spans="7:10" x14ac:dyDescent="0.35">
      <c r="G537" s="2"/>
      <c r="H537" s="2"/>
      <c r="I537" s="3"/>
      <c r="J537" s="6"/>
    </row>
    <row r="538" spans="7:10" x14ac:dyDescent="0.35">
      <c r="G538" s="2"/>
      <c r="H538" s="2"/>
      <c r="I538" s="3"/>
      <c r="J538" s="6"/>
    </row>
    <row r="539" spans="7:10" x14ac:dyDescent="0.35">
      <c r="G539" s="2"/>
      <c r="H539" s="2"/>
      <c r="I539" s="3"/>
      <c r="J539" s="6"/>
    </row>
    <row r="540" spans="7:10" x14ac:dyDescent="0.35">
      <c r="G540" s="2"/>
      <c r="H540" s="2"/>
      <c r="I540" s="3"/>
      <c r="J540" s="6"/>
    </row>
    <row r="541" spans="7:10" x14ac:dyDescent="0.35">
      <c r="G541" s="2"/>
      <c r="H541" s="2"/>
      <c r="I541" s="3"/>
      <c r="J541" s="6"/>
    </row>
    <row r="542" spans="7:10" x14ac:dyDescent="0.35">
      <c r="G542" s="2"/>
      <c r="H542" s="2"/>
      <c r="I542" s="3"/>
      <c r="J542" s="6"/>
    </row>
    <row r="543" spans="7:10" x14ac:dyDescent="0.35">
      <c r="G543" s="2"/>
      <c r="H543" s="2"/>
      <c r="I543" s="3"/>
      <c r="J543" s="6"/>
    </row>
    <row r="544" spans="7:10" x14ac:dyDescent="0.35">
      <c r="G544" s="2"/>
      <c r="H544" s="2"/>
      <c r="I544" s="3"/>
      <c r="J544" s="6"/>
    </row>
    <row r="545" spans="7:10" x14ac:dyDescent="0.35">
      <c r="G545" s="2"/>
      <c r="H545" s="2"/>
      <c r="I545" s="3"/>
      <c r="J545" s="6"/>
    </row>
    <row r="546" spans="7:10" x14ac:dyDescent="0.35">
      <c r="G546" s="2"/>
      <c r="H546" s="2"/>
      <c r="I546" s="3"/>
      <c r="J546" s="6"/>
    </row>
    <row r="547" spans="7:10" x14ac:dyDescent="0.35">
      <c r="G547" s="2"/>
      <c r="H547" s="2"/>
      <c r="I547" s="3"/>
      <c r="J547" s="6"/>
    </row>
    <row r="548" spans="7:10" x14ac:dyDescent="0.35">
      <c r="G548" s="2"/>
      <c r="H548" s="2"/>
      <c r="I548" s="3"/>
      <c r="J548" s="6"/>
    </row>
    <row r="549" spans="7:10" x14ac:dyDescent="0.35">
      <c r="G549" s="2"/>
      <c r="H549" s="2"/>
      <c r="I549" s="3"/>
      <c r="J549" s="6"/>
    </row>
    <row r="550" spans="7:10" x14ac:dyDescent="0.35">
      <c r="G550" s="2"/>
      <c r="H550" s="2"/>
      <c r="I550" s="3"/>
      <c r="J550" s="6"/>
    </row>
    <row r="551" spans="7:10" x14ac:dyDescent="0.35">
      <c r="G551" s="2"/>
      <c r="H551" s="2"/>
      <c r="I551" s="3"/>
      <c r="J551" s="6"/>
    </row>
    <row r="552" spans="7:10" x14ac:dyDescent="0.35">
      <c r="G552" s="2"/>
      <c r="H552" s="2"/>
      <c r="I552" s="3"/>
      <c r="J552" s="6"/>
    </row>
    <row r="553" spans="7:10" x14ac:dyDescent="0.35">
      <c r="G553" s="2"/>
      <c r="H553" s="2"/>
      <c r="I553" s="3"/>
      <c r="J553" s="6"/>
    </row>
    <row r="554" spans="7:10" x14ac:dyDescent="0.35">
      <c r="G554" s="2"/>
      <c r="H554" s="2"/>
      <c r="I554" s="3"/>
      <c r="J554" s="6"/>
    </row>
    <row r="555" spans="7:10" x14ac:dyDescent="0.35">
      <c r="G555" s="2"/>
      <c r="H555" s="2"/>
      <c r="I555" s="3"/>
      <c r="J555" s="6"/>
    </row>
    <row r="556" spans="7:10" x14ac:dyDescent="0.35">
      <c r="G556" s="2"/>
      <c r="H556" s="2"/>
      <c r="I556" s="3"/>
      <c r="J556" s="6"/>
    </row>
    <row r="557" spans="7:10" x14ac:dyDescent="0.35">
      <c r="G557" s="2"/>
      <c r="H557" s="2"/>
      <c r="I557" s="3"/>
      <c r="J557" s="6"/>
    </row>
    <row r="558" spans="7:10" x14ac:dyDescent="0.35">
      <c r="G558" s="2"/>
      <c r="H558" s="2"/>
      <c r="I558" s="3"/>
      <c r="J558" s="6"/>
    </row>
    <row r="559" spans="7:10" x14ac:dyDescent="0.35">
      <c r="G559" s="2"/>
      <c r="H559" s="2"/>
      <c r="I559" s="3"/>
      <c r="J559" s="6"/>
    </row>
    <row r="560" spans="7:10" x14ac:dyDescent="0.35">
      <c r="G560" s="2"/>
      <c r="H560" s="2"/>
      <c r="I560" s="3"/>
      <c r="J560" s="6"/>
    </row>
    <row r="561" spans="7:10" x14ac:dyDescent="0.35">
      <c r="G561" s="2"/>
      <c r="H561" s="2"/>
      <c r="I561" s="3"/>
      <c r="J561" s="6"/>
    </row>
    <row r="562" spans="7:10" x14ac:dyDescent="0.35">
      <c r="G562" s="2"/>
      <c r="H562" s="2"/>
      <c r="I562" s="3"/>
      <c r="J562" s="6"/>
    </row>
    <row r="563" spans="7:10" x14ac:dyDescent="0.35">
      <c r="G563" s="2"/>
      <c r="H563" s="2"/>
      <c r="I563" s="3"/>
      <c r="J563" s="6"/>
    </row>
    <row r="564" spans="7:10" x14ac:dyDescent="0.35">
      <c r="G564" s="2"/>
      <c r="H564" s="2"/>
      <c r="I564" s="3"/>
      <c r="J564" s="6"/>
    </row>
    <row r="565" spans="7:10" x14ac:dyDescent="0.35">
      <c r="G565" s="2"/>
      <c r="H565" s="2"/>
      <c r="I565" s="3"/>
      <c r="J565" s="6"/>
    </row>
    <row r="566" spans="7:10" x14ac:dyDescent="0.35">
      <c r="G566" s="2"/>
      <c r="H566" s="2"/>
      <c r="I566" s="3"/>
      <c r="J566" s="6"/>
    </row>
    <row r="567" spans="7:10" x14ac:dyDescent="0.35">
      <c r="G567" s="2"/>
      <c r="H567" s="2"/>
      <c r="I567" s="3"/>
      <c r="J567" s="6"/>
    </row>
    <row r="568" spans="7:10" x14ac:dyDescent="0.35">
      <c r="G568" s="2"/>
      <c r="H568" s="2"/>
      <c r="I568" s="3"/>
      <c r="J568" s="6"/>
    </row>
    <row r="569" spans="7:10" x14ac:dyDescent="0.35">
      <c r="G569" s="2"/>
      <c r="H569" s="2"/>
      <c r="I569" s="3"/>
      <c r="J569" s="6"/>
    </row>
    <row r="570" spans="7:10" x14ac:dyDescent="0.35">
      <c r="G570" s="2"/>
      <c r="H570" s="2"/>
      <c r="I570" s="3"/>
      <c r="J570" s="6"/>
    </row>
    <row r="571" spans="7:10" x14ac:dyDescent="0.35">
      <c r="G571" s="2"/>
      <c r="H571" s="2"/>
      <c r="I571" s="3"/>
      <c r="J571" s="6"/>
    </row>
    <row r="572" spans="7:10" x14ac:dyDescent="0.35">
      <c r="G572" s="2"/>
      <c r="H572" s="2"/>
      <c r="I572" s="3"/>
      <c r="J572" s="6"/>
    </row>
    <row r="573" spans="7:10" x14ac:dyDescent="0.35">
      <c r="G573" s="2"/>
      <c r="H573" s="2"/>
      <c r="I573" s="3"/>
      <c r="J573" s="6"/>
    </row>
    <row r="574" spans="7:10" x14ac:dyDescent="0.35">
      <c r="G574" s="2"/>
      <c r="H574" s="2"/>
      <c r="I574" s="3"/>
      <c r="J574" s="6"/>
    </row>
    <row r="575" spans="7:10" x14ac:dyDescent="0.35">
      <c r="G575" s="2"/>
      <c r="H575" s="2"/>
      <c r="I575" s="3"/>
      <c r="J575" s="6"/>
    </row>
    <row r="576" spans="7:10" x14ac:dyDescent="0.35">
      <c r="G576" s="2"/>
      <c r="H576" s="2"/>
      <c r="I576" s="3"/>
      <c r="J576" s="6"/>
    </row>
    <row r="577" spans="7:10" x14ac:dyDescent="0.35">
      <c r="G577" s="2"/>
      <c r="H577" s="2"/>
      <c r="I577" s="3"/>
      <c r="J577" s="6"/>
    </row>
    <row r="578" spans="7:10" x14ac:dyDescent="0.35">
      <c r="G578" s="2"/>
      <c r="H578" s="2"/>
      <c r="I578" s="3"/>
      <c r="J578" s="6"/>
    </row>
    <row r="579" spans="7:10" x14ac:dyDescent="0.35">
      <c r="G579" s="2"/>
      <c r="H579" s="2"/>
      <c r="I579" s="3"/>
      <c r="J579" s="6"/>
    </row>
    <row r="580" spans="7:10" x14ac:dyDescent="0.35">
      <c r="G580" s="2"/>
      <c r="H580" s="2"/>
      <c r="I580" s="3"/>
      <c r="J580" s="6"/>
    </row>
    <row r="581" spans="7:10" x14ac:dyDescent="0.35">
      <c r="G581" s="2"/>
      <c r="H581" s="2"/>
      <c r="I581" s="3"/>
      <c r="J581" s="6"/>
    </row>
    <row r="582" spans="7:10" x14ac:dyDescent="0.35">
      <c r="G582" s="2"/>
      <c r="H582" s="2"/>
      <c r="I582" s="3"/>
      <c r="J582" s="6"/>
    </row>
    <row r="583" spans="7:10" x14ac:dyDescent="0.35">
      <c r="G583" s="2"/>
      <c r="H583" s="2"/>
      <c r="I583" s="3"/>
      <c r="J583" s="6"/>
    </row>
    <row r="584" spans="7:10" x14ac:dyDescent="0.35">
      <c r="G584" s="2"/>
      <c r="H584" s="2"/>
      <c r="I584" s="3"/>
      <c r="J584" s="6"/>
    </row>
    <row r="585" spans="7:10" x14ac:dyDescent="0.35">
      <c r="G585" s="2"/>
      <c r="H585" s="2"/>
      <c r="I585" s="3"/>
      <c r="J585" s="6"/>
    </row>
    <row r="586" spans="7:10" x14ac:dyDescent="0.35">
      <c r="G586" s="2"/>
      <c r="H586" s="2"/>
      <c r="I586" s="3"/>
      <c r="J586" s="6"/>
    </row>
    <row r="587" spans="7:10" x14ac:dyDescent="0.35">
      <c r="G587" s="2"/>
      <c r="H587" s="2"/>
      <c r="I587" s="3"/>
      <c r="J587" s="6"/>
    </row>
    <row r="588" spans="7:10" x14ac:dyDescent="0.35">
      <c r="G588" s="2"/>
      <c r="H588" s="2"/>
      <c r="I588" s="3"/>
      <c r="J588" s="6"/>
    </row>
    <row r="589" spans="7:10" x14ac:dyDescent="0.35">
      <c r="G589" s="2"/>
      <c r="H589" s="2"/>
      <c r="I589" s="3"/>
      <c r="J589" s="6"/>
    </row>
    <row r="590" spans="7:10" x14ac:dyDescent="0.35">
      <c r="G590" s="2"/>
      <c r="H590" s="2"/>
      <c r="I590" s="3"/>
      <c r="J590" s="6"/>
    </row>
    <row r="591" spans="7:10" x14ac:dyDescent="0.35">
      <c r="G591" s="2"/>
      <c r="H591" s="2"/>
      <c r="I591" s="3"/>
      <c r="J591" s="6"/>
    </row>
    <row r="592" spans="7:10" x14ac:dyDescent="0.35">
      <c r="G592" s="2"/>
      <c r="H592" s="2"/>
      <c r="I592" s="3"/>
      <c r="J592" s="6"/>
    </row>
    <row r="593" spans="7:10" x14ac:dyDescent="0.35">
      <c r="G593" s="2"/>
      <c r="H593" s="2"/>
      <c r="I593" s="3"/>
      <c r="J593" s="6"/>
    </row>
    <row r="594" spans="7:10" x14ac:dyDescent="0.35">
      <c r="G594" s="2"/>
      <c r="H594" s="2"/>
      <c r="I594" s="3"/>
      <c r="J594" s="6"/>
    </row>
    <row r="595" spans="7:10" x14ac:dyDescent="0.35">
      <c r="G595" s="2"/>
      <c r="H595" s="2"/>
      <c r="I595" s="3"/>
      <c r="J595" s="6"/>
    </row>
    <row r="596" spans="7:10" x14ac:dyDescent="0.35">
      <c r="G596" s="2"/>
      <c r="H596" s="2"/>
      <c r="I596" s="3"/>
      <c r="J596" s="6"/>
    </row>
    <row r="597" spans="7:10" x14ac:dyDescent="0.35">
      <c r="G597" s="2"/>
      <c r="H597" s="2"/>
      <c r="I597" s="3"/>
      <c r="J597" s="6"/>
    </row>
    <row r="598" spans="7:10" x14ac:dyDescent="0.35">
      <c r="G598" s="2"/>
      <c r="H598" s="2"/>
      <c r="I598" s="3"/>
      <c r="J598" s="6"/>
    </row>
    <row r="599" spans="7:10" x14ac:dyDescent="0.35">
      <c r="G599" s="2"/>
      <c r="H599" s="2"/>
      <c r="I599" s="3"/>
      <c r="J599" s="6"/>
    </row>
    <row r="600" spans="7:10" x14ac:dyDescent="0.35">
      <c r="G600" s="2"/>
      <c r="H600" s="2"/>
      <c r="I600" s="3"/>
      <c r="J600" s="6"/>
    </row>
    <row r="601" spans="7:10" x14ac:dyDescent="0.35">
      <c r="G601" s="2"/>
      <c r="H601" s="2"/>
      <c r="I601" s="3"/>
      <c r="J601" s="6"/>
    </row>
    <row r="602" spans="7:10" x14ac:dyDescent="0.35">
      <c r="G602" s="2"/>
      <c r="H602" s="2"/>
      <c r="I602" s="3"/>
      <c r="J602" s="6"/>
    </row>
    <row r="603" spans="7:10" x14ac:dyDescent="0.35">
      <c r="G603" s="2"/>
      <c r="H603" s="2"/>
      <c r="I603" s="3"/>
      <c r="J603" s="6"/>
    </row>
    <row r="604" spans="7:10" x14ac:dyDescent="0.35">
      <c r="G604" s="2"/>
      <c r="H604" s="2"/>
      <c r="I604" s="3"/>
      <c r="J604" s="6"/>
    </row>
    <row r="605" spans="7:10" x14ac:dyDescent="0.35">
      <c r="G605" s="2"/>
      <c r="H605" s="2"/>
      <c r="I605" s="3"/>
      <c r="J605" s="6"/>
    </row>
    <row r="606" spans="7:10" x14ac:dyDescent="0.35">
      <c r="G606" s="2"/>
      <c r="H606" s="2"/>
      <c r="I606" s="3"/>
      <c r="J606" s="6"/>
    </row>
    <row r="607" spans="7:10" x14ac:dyDescent="0.35">
      <c r="G607" s="2"/>
      <c r="H607" s="2"/>
      <c r="I607" s="3"/>
      <c r="J607" s="6"/>
    </row>
    <row r="608" spans="7:10" x14ac:dyDescent="0.35">
      <c r="G608" s="2"/>
      <c r="H608" s="2"/>
      <c r="I608" s="3"/>
      <c r="J608" s="6"/>
    </row>
    <row r="609" spans="7:10" x14ac:dyDescent="0.35">
      <c r="G609" s="2"/>
      <c r="H609" s="2"/>
      <c r="I609" s="3"/>
      <c r="J609" s="6"/>
    </row>
    <row r="610" spans="7:10" x14ac:dyDescent="0.35">
      <c r="G610" s="2"/>
      <c r="H610" s="2"/>
      <c r="I610" s="3"/>
      <c r="J610" s="6"/>
    </row>
    <row r="611" spans="7:10" x14ac:dyDescent="0.35">
      <c r="G611" s="2"/>
      <c r="H611" s="2"/>
      <c r="I611" s="3"/>
      <c r="J611" s="6"/>
    </row>
    <row r="612" spans="7:10" x14ac:dyDescent="0.35">
      <c r="G612" s="2"/>
      <c r="H612" s="2"/>
      <c r="I612" s="3"/>
      <c r="J612" s="6"/>
    </row>
    <row r="613" spans="7:10" x14ac:dyDescent="0.35">
      <c r="G613" s="2"/>
      <c r="H613" s="2"/>
      <c r="I613" s="3"/>
      <c r="J613" s="6"/>
    </row>
    <row r="614" spans="7:10" x14ac:dyDescent="0.35">
      <c r="G614" s="2"/>
      <c r="H614" s="2"/>
      <c r="I614" s="3"/>
      <c r="J614" s="6"/>
    </row>
    <row r="615" spans="7:10" x14ac:dyDescent="0.35">
      <c r="G615" s="2"/>
      <c r="H615" s="2"/>
      <c r="I615" s="3"/>
      <c r="J615" s="6"/>
    </row>
    <row r="616" spans="7:10" x14ac:dyDescent="0.35">
      <c r="G616" s="2"/>
      <c r="H616" s="2"/>
      <c r="I616" s="3"/>
      <c r="J616" s="6"/>
    </row>
    <row r="617" spans="7:10" x14ac:dyDescent="0.35">
      <c r="G617" s="2"/>
      <c r="H617" s="2"/>
      <c r="I617" s="3"/>
      <c r="J617" s="6"/>
    </row>
    <row r="618" spans="7:10" x14ac:dyDescent="0.35">
      <c r="G618" s="2"/>
      <c r="H618" s="2"/>
      <c r="I618" s="3"/>
      <c r="J618" s="6"/>
    </row>
    <row r="619" spans="7:10" x14ac:dyDescent="0.35">
      <c r="G619" s="2"/>
      <c r="H619" s="2"/>
      <c r="I619" s="3"/>
      <c r="J619" s="6"/>
    </row>
    <row r="620" spans="7:10" x14ac:dyDescent="0.35">
      <c r="G620" s="2"/>
      <c r="H620" s="2"/>
      <c r="I620" s="3"/>
      <c r="J620" s="6"/>
    </row>
    <row r="621" spans="7:10" x14ac:dyDescent="0.35">
      <c r="G621" s="2"/>
      <c r="H621" s="2"/>
      <c r="I621" s="3"/>
      <c r="J621" s="6"/>
    </row>
    <row r="622" spans="7:10" x14ac:dyDescent="0.35">
      <c r="G622" s="2"/>
      <c r="H622" s="2"/>
      <c r="I622" s="3"/>
      <c r="J622" s="6"/>
    </row>
    <row r="623" spans="7:10" x14ac:dyDescent="0.35">
      <c r="G623" s="2"/>
      <c r="H623" s="2"/>
      <c r="I623" s="3"/>
      <c r="J623" s="6"/>
    </row>
    <row r="624" spans="7:10" x14ac:dyDescent="0.35">
      <c r="G624" s="2"/>
      <c r="H624" s="2"/>
      <c r="I624" s="3"/>
      <c r="J624" s="6"/>
    </row>
    <row r="625" spans="7:10" x14ac:dyDescent="0.35">
      <c r="G625" s="2"/>
      <c r="H625" s="2"/>
      <c r="I625" s="3"/>
      <c r="J625" s="6"/>
    </row>
    <row r="626" spans="7:10" x14ac:dyDescent="0.35">
      <c r="G626" s="2"/>
      <c r="H626" s="2"/>
      <c r="I626" s="3"/>
      <c r="J626" s="6"/>
    </row>
    <row r="627" spans="7:10" x14ac:dyDescent="0.35">
      <c r="G627" s="2"/>
      <c r="H627" s="2"/>
      <c r="I627" s="3"/>
      <c r="J627" s="6"/>
    </row>
    <row r="628" spans="7:10" x14ac:dyDescent="0.35">
      <c r="G628" s="2"/>
      <c r="H628" s="2"/>
      <c r="I628" s="3"/>
      <c r="J628" s="6"/>
    </row>
    <row r="629" spans="7:10" x14ac:dyDescent="0.35">
      <c r="G629" s="2"/>
      <c r="H629" s="2"/>
      <c r="I629" s="3"/>
      <c r="J629" s="6"/>
    </row>
    <row r="630" spans="7:10" x14ac:dyDescent="0.35">
      <c r="G630" s="2"/>
      <c r="H630" s="2"/>
      <c r="I630" s="3"/>
      <c r="J630" s="6"/>
    </row>
    <row r="631" spans="7:10" x14ac:dyDescent="0.35">
      <c r="G631" s="2"/>
      <c r="H631" s="2"/>
      <c r="I631" s="3"/>
      <c r="J631" s="6"/>
    </row>
    <row r="632" spans="7:10" x14ac:dyDescent="0.35">
      <c r="G632" s="2"/>
      <c r="H632" s="2"/>
      <c r="I632" s="3"/>
      <c r="J632" s="6"/>
    </row>
    <row r="633" spans="7:10" x14ac:dyDescent="0.35">
      <c r="G633" s="2"/>
      <c r="H633" s="2"/>
      <c r="I633" s="3"/>
      <c r="J633" s="6"/>
    </row>
    <row r="634" spans="7:10" x14ac:dyDescent="0.35">
      <c r="G634" s="2"/>
      <c r="H634" s="2"/>
      <c r="I634" s="3"/>
      <c r="J634" s="6"/>
    </row>
    <row r="635" spans="7:10" x14ac:dyDescent="0.35">
      <c r="G635" s="2"/>
      <c r="H635" s="2"/>
      <c r="I635" s="3"/>
      <c r="J635" s="6"/>
    </row>
    <row r="636" spans="7:10" x14ac:dyDescent="0.35">
      <c r="G636" s="2"/>
      <c r="H636" s="2"/>
      <c r="I636" s="3"/>
      <c r="J636" s="6"/>
    </row>
    <row r="637" spans="7:10" x14ac:dyDescent="0.35">
      <c r="G637" s="2"/>
      <c r="H637" s="2"/>
      <c r="I637" s="3"/>
      <c r="J637" s="6"/>
    </row>
    <row r="638" spans="7:10" x14ac:dyDescent="0.35">
      <c r="G638" s="2"/>
      <c r="H638" s="2"/>
      <c r="I638" s="3"/>
      <c r="J638" s="6"/>
    </row>
    <row r="639" spans="7:10" x14ac:dyDescent="0.35">
      <c r="G639" s="2"/>
      <c r="H639" s="2"/>
      <c r="I639" s="3"/>
      <c r="J639" s="6"/>
    </row>
    <row r="640" spans="7:10" x14ac:dyDescent="0.35">
      <c r="G640" s="2"/>
      <c r="H640" s="2"/>
      <c r="I640" s="3"/>
      <c r="J640" s="6"/>
    </row>
    <row r="641" spans="7:10" x14ac:dyDescent="0.35">
      <c r="G641" s="2"/>
      <c r="H641" s="2"/>
      <c r="I641" s="3"/>
      <c r="J641" s="6"/>
    </row>
    <row r="642" spans="7:10" x14ac:dyDescent="0.35">
      <c r="G642" s="2"/>
      <c r="H642" s="2"/>
      <c r="I642" s="3"/>
      <c r="J642" s="6"/>
    </row>
    <row r="643" spans="7:10" x14ac:dyDescent="0.35">
      <c r="G643" s="2"/>
      <c r="H643" s="2"/>
      <c r="I643" s="3"/>
      <c r="J643" s="6"/>
    </row>
    <row r="644" spans="7:10" x14ac:dyDescent="0.35">
      <c r="G644" s="2"/>
      <c r="H644" s="2"/>
      <c r="I644" s="3"/>
      <c r="J644" s="6"/>
    </row>
    <row r="645" spans="7:10" x14ac:dyDescent="0.35">
      <c r="G645" s="2"/>
      <c r="H645" s="2"/>
      <c r="I645" s="3"/>
      <c r="J645" s="6"/>
    </row>
    <row r="646" spans="7:10" x14ac:dyDescent="0.35">
      <c r="G646" s="2"/>
      <c r="H646" s="2"/>
      <c r="I646" s="3"/>
      <c r="J646" s="6"/>
    </row>
    <row r="647" spans="7:10" x14ac:dyDescent="0.35">
      <c r="G647" s="2"/>
      <c r="H647" s="2"/>
      <c r="I647" s="3"/>
      <c r="J647" s="6"/>
    </row>
    <row r="648" spans="7:10" x14ac:dyDescent="0.35">
      <c r="G648" s="2"/>
      <c r="H648" s="2"/>
      <c r="I648" s="3"/>
      <c r="J648" s="6"/>
    </row>
    <row r="649" spans="7:10" x14ac:dyDescent="0.35">
      <c r="G649" s="2"/>
      <c r="H649" s="2"/>
      <c r="I649" s="3"/>
      <c r="J649" s="6"/>
    </row>
    <row r="650" spans="7:10" x14ac:dyDescent="0.35">
      <c r="G650" s="2"/>
      <c r="H650" s="2"/>
      <c r="I650" s="3"/>
      <c r="J650" s="6"/>
    </row>
    <row r="651" spans="7:10" x14ac:dyDescent="0.35">
      <c r="G651" s="2"/>
      <c r="H651" s="2"/>
      <c r="I651" s="3"/>
      <c r="J651" s="6"/>
    </row>
    <row r="652" spans="7:10" x14ac:dyDescent="0.35">
      <c r="G652" s="2"/>
      <c r="H652" s="2"/>
      <c r="I652" s="3"/>
      <c r="J652" s="6"/>
    </row>
    <row r="653" spans="7:10" x14ac:dyDescent="0.35">
      <c r="G653" s="2"/>
      <c r="H653" s="2"/>
      <c r="I653" s="3"/>
      <c r="J653" s="6"/>
    </row>
    <row r="654" spans="7:10" x14ac:dyDescent="0.35">
      <c r="G654" s="2"/>
      <c r="H654" s="2"/>
      <c r="I654" s="3"/>
      <c r="J654" s="6"/>
    </row>
    <row r="655" spans="7:10" x14ac:dyDescent="0.35">
      <c r="G655" s="2"/>
      <c r="H655" s="2"/>
      <c r="I655" s="3"/>
      <c r="J655" s="6"/>
    </row>
    <row r="656" spans="7:10" x14ac:dyDescent="0.35">
      <c r="G656" s="2"/>
      <c r="H656" s="2"/>
      <c r="I656" s="3"/>
      <c r="J656" s="6"/>
    </row>
    <row r="657" spans="7:10" x14ac:dyDescent="0.35">
      <c r="G657" s="2"/>
      <c r="H657" s="2"/>
      <c r="I657" s="3"/>
      <c r="J657" s="6"/>
    </row>
    <row r="658" spans="7:10" x14ac:dyDescent="0.35">
      <c r="G658" s="2"/>
      <c r="H658" s="2"/>
      <c r="I658" s="3"/>
      <c r="J658" s="6"/>
    </row>
    <row r="659" spans="7:10" x14ac:dyDescent="0.35">
      <c r="G659" s="2"/>
      <c r="H659" s="2"/>
      <c r="I659" s="3"/>
      <c r="J659" s="6"/>
    </row>
    <row r="660" spans="7:10" x14ac:dyDescent="0.35">
      <c r="G660" s="2"/>
      <c r="H660" s="2"/>
      <c r="I660" s="3"/>
      <c r="J660" s="6"/>
    </row>
    <row r="661" spans="7:10" x14ac:dyDescent="0.35">
      <c r="G661" s="2"/>
      <c r="H661" s="2"/>
      <c r="I661" s="3"/>
      <c r="J661" s="6"/>
    </row>
    <row r="662" spans="7:10" x14ac:dyDescent="0.35">
      <c r="G662" s="2"/>
      <c r="H662" s="2"/>
      <c r="I662" s="3"/>
      <c r="J662" s="6"/>
    </row>
    <row r="663" spans="7:10" x14ac:dyDescent="0.35">
      <c r="G663" s="2"/>
      <c r="H663" s="2"/>
      <c r="I663" s="3"/>
      <c r="J663" s="6"/>
    </row>
    <row r="664" spans="7:10" x14ac:dyDescent="0.35">
      <c r="G664" s="2"/>
      <c r="H664" s="2"/>
      <c r="I664" s="3"/>
      <c r="J664" s="6"/>
    </row>
    <row r="665" spans="7:10" x14ac:dyDescent="0.35">
      <c r="G665" s="2"/>
      <c r="H665" s="2"/>
      <c r="I665" s="3"/>
      <c r="J665" s="6"/>
    </row>
    <row r="666" spans="7:10" x14ac:dyDescent="0.35">
      <c r="G666" s="2"/>
      <c r="H666" s="2"/>
      <c r="I666" s="3"/>
      <c r="J666" s="6"/>
    </row>
    <row r="667" spans="7:10" x14ac:dyDescent="0.35">
      <c r="G667" s="2"/>
      <c r="H667" s="2"/>
      <c r="I667" s="3"/>
      <c r="J667" s="6"/>
    </row>
    <row r="668" spans="7:10" x14ac:dyDescent="0.35">
      <c r="G668" s="2"/>
      <c r="H668" s="2"/>
      <c r="I668" s="3"/>
      <c r="J668" s="6"/>
    </row>
    <row r="669" spans="7:10" x14ac:dyDescent="0.35">
      <c r="G669" s="2"/>
      <c r="H669" s="2"/>
      <c r="I669" s="3"/>
      <c r="J669" s="6"/>
    </row>
    <row r="670" spans="7:10" x14ac:dyDescent="0.35">
      <c r="G670" s="2"/>
      <c r="H670" s="2"/>
      <c r="I670" s="3"/>
      <c r="J670" s="6"/>
    </row>
    <row r="671" spans="7:10" x14ac:dyDescent="0.35">
      <c r="G671" s="2"/>
      <c r="H671" s="2"/>
      <c r="I671" s="3"/>
      <c r="J671" s="6"/>
    </row>
    <row r="672" spans="7:10" x14ac:dyDescent="0.35">
      <c r="G672" s="2"/>
      <c r="H672" s="2"/>
      <c r="I672" s="3"/>
      <c r="J672" s="6"/>
    </row>
    <row r="673" spans="7:10" x14ac:dyDescent="0.35">
      <c r="G673" s="2"/>
      <c r="H673" s="2"/>
      <c r="I673" s="3"/>
      <c r="J673" s="6"/>
    </row>
    <row r="674" spans="7:10" x14ac:dyDescent="0.35">
      <c r="G674" s="2"/>
      <c r="H674" s="2"/>
      <c r="I674" s="3"/>
      <c r="J674" s="6"/>
    </row>
    <row r="675" spans="7:10" x14ac:dyDescent="0.35">
      <c r="G675" s="2"/>
      <c r="H675" s="2"/>
      <c r="I675" s="3"/>
      <c r="J675" s="6"/>
    </row>
    <row r="676" spans="7:10" x14ac:dyDescent="0.35">
      <c r="G676" s="2"/>
      <c r="H676" s="2"/>
      <c r="I676" s="3"/>
      <c r="J676" s="6"/>
    </row>
    <row r="677" spans="7:10" x14ac:dyDescent="0.35">
      <c r="G677" s="2"/>
      <c r="H677" s="2"/>
      <c r="I677" s="3"/>
      <c r="J677" s="6"/>
    </row>
    <row r="678" spans="7:10" x14ac:dyDescent="0.35">
      <c r="G678" s="2"/>
      <c r="H678" s="2"/>
      <c r="I678" s="3"/>
      <c r="J678" s="6"/>
    </row>
    <row r="679" spans="7:10" x14ac:dyDescent="0.35">
      <c r="G679" s="2"/>
      <c r="H679" s="2"/>
      <c r="I679" s="3"/>
      <c r="J679" s="6"/>
    </row>
    <row r="680" spans="7:10" x14ac:dyDescent="0.35">
      <c r="G680" s="2"/>
      <c r="H680" s="2"/>
      <c r="I680" s="3"/>
      <c r="J680" s="6"/>
    </row>
    <row r="681" spans="7:10" x14ac:dyDescent="0.35">
      <c r="G681" s="2"/>
      <c r="H681" s="2"/>
      <c r="I681" s="3"/>
      <c r="J681" s="6"/>
    </row>
    <row r="682" spans="7:10" x14ac:dyDescent="0.35">
      <c r="G682" s="2"/>
      <c r="H682" s="2"/>
      <c r="I682" s="3"/>
      <c r="J682" s="6"/>
    </row>
    <row r="683" spans="7:10" x14ac:dyDescent="0.35">
      <c r="G683" s="2"/>
      <c r="H683" s="2"/>
      <c r="I683" s="3"/>
      <c r="J683" s="6"/>
    </row>
    <row r="684" spans="7:10" x14ac:dyDescent="0.35">
      <c r="G684" s="2"/>
      <c r="H684" s="2"/>
      <c r="I684" s="3"/>
      <c r="J684" s="6"/>
    </row>
    <row r="685" spans="7:10" x14ac:dyDescent="0.35">
      <c r="G685" s="2"/>
      <c r="H685" s="2"/>
      <c r="I685" s="3"/>
      <c r="J685" s="6"/>
    </row>
    <row r="686" spans="7:10" x14ac:dyDescent="0.35">
      <c r="G686" s="2"/>
      <c r="H686" s="2"/>
      <c r="I686" s="3"/>
      <c r="J686" s="6"/>
    </row>
    <row r="687" spans="7:10" x14ac:dyDescent="0.35">
      <c r="G687" s="2"/>
      <c r="H687" s="2"/>
      <c r="I687" s="3"/>
      <c r="J687" s="6"/>
    </row>
    <row r="688" spans="7:10" x14ac:dyDescent="0.35">
      <c r="G688" s="2"/>
      <c r="H688" s="2"/>
      <c r="I688" s="3"/>
      <c r="J688" s="6"/>
    </row>
    <row r="689" spans="7:10" x14ac:dyDescent="0.35">
      <c r="G689" s="2"/>
      <c r="H689" s="2"/>
      <c r="I689" s="3"/>
      <c r="J689" s="6"/>
    </row>
    <row r="690" spans="7:10" x14ac:dyDescent="0.35">
      <c r="G690" s="2"/>
      <c r="H690" s="2"/>
      <c r="I690" s="3"/>
      <c r="J690" s="6"/>
    </row>
    <row r="691" spans="7:10" x14ac:dyDescent="0.35">
      <c r="G691" s="2"/>
      <c r="H691" s="2"/>
      <c r="I691" s="3"/>
      <c r="J691" s="6"/>
    </row>
    <row r="692" spans="7:10" x14ac:dyDescent="0.35">
      <c r="G692" s="2"/>
      <c r="H692" s="2"/>
      <c r="I692" s="3"/>
      <c r="J692" s="6"/>
    </row>
    <row r="693" spans="7:10" x14ac:dyDescent="0.35">
      <c r="G693" s="2"/>
      <c r="H693" s="2"/>
      <c r="I693" s="3"/>
      <c r="J693" s="6"/>
    </row>
    <row r="694" spans="7:10" x14ac:dyDescent="0.35">
      <c r="G694" s="2"/>
      <c r="H694" s="2"/>
      <c r="I694" s="3"/>
      <c r="J694" s="6"/>
    </row>
    <row r="695" spans="7:10" x14ac:dyDescent="0.35">
      <c r="G695" s="2"/>
      <c r="H695" s="2"/>
      <c r="I695" s="3"/>
      <c r="J695" s="6"/>
    </row>
    <row r="696" spans="7:10" x14ac:dyDescent="0.35">
      <c r="G696" s="2"/>
      <c r="H696" s="2"/>
      <c r="I696" s="3"/>
      <c r="J696" s="6"/>
    </row>
    <row r="697" spans="7:10" x14ac:dyDescent="0.35">
      <c r="G697" s="2"/>
      <c r="H697" s="2"/>
      <c r="I697" s="3"/>
      <c r="J697" s="6"/>
    </row>
    <row r="698" spans="7:10" x14ac:dyDescent="0.35">
      <c r="G698" s="2"/>
      <c r="H698" s="2"/>
      <c r="I698" s="3"/>
      <c r="J698" s="6"/>
    </row>
    <row r="699" spans="7:10" x14ac:dyDescent="0.35">
      <c r="G699" s="2"/>
      <c r="H699" s="2"/>
      <c r="I699" s="3"/>
      <c r="J699" s="6"/>
    </row>
    <row r="700" spans="7:10" x14ac:dyDescent="0.35">
      <c r="G700" s="2"/>
      <c r="H700" s="2"/>
      <c r="I700" s="3"/>
      <c r="J700" s="6"/>
    </row>
    <row r="701" spans="7:10" x14ac:dyDescent="0.35">
      <c r="G701" s="2"/>
      <c r="H701" s="2"/>
      <c r="I701" s="3"/>
      <c r="J701" s="6"/>
    </row>
    <row r="702" spans="7:10" x14ac:dyDescent="0.35">
      <c r="G702" s="2"/>
      <c r="H702" s="2"/>
      <c r="I702" s="3"/>
      <c r="J702" s="6"/>
    </row>
    <row r="703" spans="7:10" x14ac:dyDescent="0.35">
      <c r="G703" s="2"/>
      <c r="H703" s="2"/>
      <c r="I703" s="3"/>
      <c r="J703" s="6"/>
    </row>
    <row r="704" spans="7:10" x14ac:dyDescent="0.35">
      <c r="G704" s="2"/>
      <c r="H704" s="2"/>
      <c r="I704" s="3"/>
      <c r="J704" s="6"/>
    </row>
    <row r="705" spans="7:10" x14ac:dyDescent="0.35">
      <c r="G705" s="2"/>
      <c r="H705" s="2"/>
      <c r="I705" s="3"/>
      <c r="J705" s="6"/>
    </row>
    <row r="706" spans="7:10" x14ac:dyDescent="0.35">
      <c r="G706" s="2"/>
      <c r="H706" s="2"/>
      <c r="I706" s="3"/>
      <c r="J706" s="6"/>
    </row>
    <row r="707" spans="7:10" x14ac:dyDescent="0.35">
      <c r="G707" s="2"/>
      <c r="H707" s="2"/>
      <c r="I707" s="3"/>
      <c r="J707" s="6"/>
    </row>
    <row r="708" spans="7:10" x14ac:dyDescent="0.35">
      <c r="G708" s="2"/>
      <c r="H708" s="2"/>
      <c r="I708" s="3"/>
      <c r="J708" s="6"/>
    </row>
    <row r="709" spans="7:10" x14ac:dyDescent="0.35">
      <c r="G709" s="2"/>
      <c r="H709" s="2"/>
      <c r="I709" s="3"/>
      <c r="J709" s="6"/>
    </row>
    <row r="710" spans="7:10" x14ac:dyDescent="0.35">
      <c r="G710" s="2"/>
      <c r="H710" s="2"/>
      <c r="I710" s="3"/>
      <c r="J710" s="6"/>
    </row>
    <row r="711" spans="7:10" x14ac:dyDescent="0.35">
      <c r="G711" s="2"/>
      <c r="H711" s="2"/>
      <c r="I711" s="3"/>
      <c r="J711" s="6"/>
    </row>
    <row r="712" spans="7:10" x14ac:dyDescent="0.35">
      <c r="G712" s="2"/>
      <c r="H712" s="2"/>
      <c r="I712" s="3"/>
      <c r="J712" s="6"/>
    </row>
    <row r="713" spans="7:10" x14ac:dyDescent="0.35">
      <c r="G713" s="2"/>
      <c r="H713" s="2"/>
      <c r="I713" s="3"/>
      <c r="J713" s="6"/>
    </row>
    <row r="714" spans="7:10" x14ac:dyDescent="0.35">
      <c r="G714" s="2"/>
      <c r="H714" s="2"/>
      <c r="I714" s="3"/>
      <c r="J714" s="6"/>
    </row>
    <row r="715" spans="7:10" x14ac:dyDescent="0.35">
      <c r="G715" s="2"/>
      <c r="H715" s="2"/>
      <c r="I715" s="3"/>
      <c r="J715" s="6"/>
    </row>
    <row r="716" spans="7:10" x14ac:dyDescent="0.35">
      <c r="G716" s="2"/>
      <c r="H716" s="2"/>
      <c r="I716" s="3"/>
      <c r="J716" s="6"/>
    </row>
    <row r="717" spans="7:10" x14ac:dyDescent="0.35">
      <c r="G717" s="2"/>
      <c r="H717" s="2"/>
      <c r="I717" s="3"/>
      <c r="J717" s="6"/>
    </row>
    <row r="718" spans="7:10" x14ac:dyDescent="0.35">
      <c r="G718" s="2"/>
      <c r="H718" s="2"/>
      <c r="I718" s="3"/>
      <c r="J718" s="6"/>
    </row>
    <row r="719" spans="7:10" x14ac:dyDescent="0.35">
      <c r="G719" s="2"/>
      <c r="H719" s="2"/>
      <c r="I719" s="3"/>
      <c r="J719" s="6"/>
    </row>
    <row r="720" spans="7:10" x14ac:dyDescent="0.35">
      <c r="G720" s="2"/>
      <c r="H720" s="2"/>
      <c r="I720" s="3"/>
      <c r="J720" s="6"/>
    </row>
    <row r="721" spans="7:10" x14ac:dyDescent="0.35">
      <c r="G721" s="2"/>
      <c r="H721" s="2"/>
      <c r="I721" s="3"/>
      <c r="J721" s="6"/>
    </row>
    <row r="722" spans="7:10" x14ac:dyDescent="0.35">
      <c r="G722" s="2"/>
      <c r="H722" s="2"/>
      <c r="I722" s="3"/>
      <c r="J722" s="6"/>
    </row>
    <row r="723" spans="7:10" x14ac:dyDescent="0.35">
      <c r="G723" s="2"/>
      <c r="H723" s="2"/>
      <c r="I723" s="3"/>
      <c r="J723" s="6"/>
    </row>
    <row r="724" spans="7:10" x14ac:dyDescent="0.35">
      <c r="G724" s="2"/>
      <c r="H724" s="2"/>
      <c r="I724" s="3"/>
      <c r="J724" s="6"/>
    </row>
    <row r="725" spans="7:10" x14ac:dyDescent="0.35">
      <c r="G725" s="2"/>
      <c r="H725" s="2"/>
      <c r="I725" s="3"/>
      <c r="J725" s="6"/>
    </row>
    <row r="726" spans="7:10" x14ac:dyDescent="0.35">
      <c r="G726" s="2"/>
      <c r="H726" s="2"/>
      <c r="I726" s="3"/>
      <c r="J726" s="6"/>
    </row>
    <row r="727" spans="7:10" x14ac:dyDescent="0.35">
      <c r="G727" s="2"/>
      <c r="H727" s="2"/>
      <c r="I727" s="3"/>
      <c r="J727" s="6"/>
    </row>
    <row r="728" spans="7:10" x14ac:dyDescent="0.35">
      <c r="G728" s="2"/>
      <c r="H728" s="2"/>
      <c r="I728" s="3"/>
      <c r="J728" s="6"/>
    </row>
    <row r="729" spans="7:10" x14ac:dyDescent="0.35">
      <c r="G729" s="2"/>
      <c r="H729" s="2"/>
      <c r="I729" s="3"/>
      <c r="J729" s="6"/>
    </row>
    <row r="730" spans="7:10" x14ac:dyDescent="0.35">
      <c r="G730" s="2"/>
      <c r="H730" s="2"/>
      <c r="I730" s="3"/>
      <c r="J730" s="6"/>
    </row>
    <row r="731" spans="7:10" x14ac:dyDescent="0.35">
      <c r="G731" s="2"/>
      <c r="H731" s="2"/>
      <c r="I731" s="3"/>
      <c r="J731" s="6"/>
    </row>
    <row r="732" spans="7:10" x14ac:dyDescent="0.35">
      <c r="G732" s="2"/>
      <c r="H732" s="2"/>
      <c r="I732" s="3"/>
      <c r="J732" s="6"/>
    </row>
    <row r="733" spans="7:10" x14ac:dyDescent="0.35">
      <c r="G733" s="2"/>
      <c r="H733" s="2"/>
      <c r="I733" s="3"/>
      <c r="J733" s="6"/>
    </row>
    <row r="734" spans="7:10" x14ac:dyDescent="0.35">
      <c r="G734" s="2"/>
      <c r="H734" s="2"/>
      <c r="I734" s="3"/>
      <c r="J734" s="6"/>
    </row>
    <row r="735" spans="7:10" x14ac:dyDescent="0.35">
      <c r="G735" s="2"/>
      <c r="H735" s="2"/>
      <c r="I735" s="3"/>
      <c r="J735" s="6"/>
    </row>
    <row r="736" spans="7:10" x14ac:dyDescent="0.35">
      <c r="G736" s="2"/>
      <c r="H736" s="2"/>
      <c r="I736" s="3"/>
      <c r="J736" s="6"/>
    </row>
    <row r="737" spans="7:10" x14ac:dyDescent="0.35">
      <c r="G737" s="2"/>
      <c r="H737" s="2"/>
      <c r="I737" s="3"/>
      <c r="J737" s="6"/>
    </row>
    <row r="738" spans="7:10" x14ac:dyDescent="0.35">
      <c r="G738" s="2"/>
      <c r="H738" s="2"/>
      <c r="I738" s="3"/>
      <c r="J738" s="6"/>
    </row>
    <row r="739" spans="7:10" x14ac:dyDescent="0.35">
      <c r="G739" s="2"/>
      <c r="H739" s="2"/>
      <c r="I739" s="3"/>
      <c r="J739" s="6"/>
    </row>
    <row r="740" spans="7:10" x14ac:dyDescent="0.35">
      <c r="G740" s="2"/>
      <c r="H740" s="2"/>
      <c r="I740" s="3"/>
      <c r="J740" s="6"/>
    </row>
    <row r="741" spans="7:10" x14ac:dyDescent="0.35">
      <c r="G741" s="2"/>
      <c r="H741" s="2"/>
      <c r="I741" s="3"/>
      <c r="J741" s="6"/>
    </row>
    <row r="742" spans="7:10" x14ac:dyDescent="0.35">
      <c r="G742" s="2"/>
      <c r="H742" s="2"/>
      <c r="I742" s="3"/>
      <c r="J742" s="6"/>
    </row>
    <row r="743" spans="7:10" x14ac:dyDescent="0.35">
      <c r="G743" s="2"/>
      <c r="H743" s="2"/>
      <c r="I743" s="3"/>
      <c r="J743" s="6"/>
    </row>
    <row r="744" spans="7:10" x14ac:dyDescent="0.35">
      <c r="G744" s="2"/>
      <c r="H744" s="2"/>
      <c r="I744" s="3"/>
      <c r="J744" s="6"/>
    </row>
    <row r="745" spans="7:10" x14ac:dyDescent="0.35">
      <c r="G745" s="2"/>
      <c r="H745" s="2"/>
      <c r="I745" s="3"/>
      <c r="J745" s="6"/>
    </row>
    <row r="746" spans="7:10" x14ac:dyDescent="0.35">
      <c r="G746" s="2"/>
      <c r="H746" s="2"/>
      <c r="I746" s="3"/>
      <c r="J746" s="6"/>
    </row>
    <row r="747" spans="7:10" x14ac:dyDescent="0.35">
      <c r="G747" s="2"/>
      <c r="H747" s="2"/>
      <c r="I747" s="3"/>
      <c r="J747" s="6"/>
    </row>
    <row r="748" spans="7:10" x14ac:dyDescent="0.35">
      <c r="G748" s="2"/>
      <c r="H748" s="2"/>
      <c r="I748" s="3"/>
      <c r="J748" s="6"/>
    </row>
    <row r="749" spans="7:10" x14ac:dyDescent="0.35">
      <c r="G749" s="2"/>
      <c r="H749" s="2"/>
      <c r="I749" s="3"/>
      <c r="J749" s="6"/>
    </row>
    <row r="750" spans="7:10" x14ac:dyDescent="0.35">
      <c r="G750" s="2"/>
      <c r="H750" s="2"/>
      <c r="I750" s="3"/>
      <c r="J750" s="6"/>
    </row>
    <row r="751" spans="7:10" x14ac:dyDescent="0.35">
      <c r="G751" s="2"/>
      <c r="H751" s="2"/>
      <c r="I751" s="3"/>
      <c r="J751" s="6"/>
    </row>
    <row r="752" spans="7:10" x14ac:dyDescent="0.35">
      <c r="G752" s="2"/>
      <c r="H752" s="2"/>
      <c r="I752" s="3"/>
      <c r="J752" s="6"/>
    </row>
    <row r="753" spans="7:10" x14ac:dyDescent="0.35">
      <c r="G753" s="2"/>
      <c r="H753" s="2"/>
      <c r="I753" s="3"/>
      <c r="J753" s="6"/>
    </row>
    <row r="754" spans="7:10" x14ac:dyDescent="0.35">
      <c r="G754" s="2"/>
      <c r="H754" s="2"/>
      <c r="I754" s="3"/>
      <c r="J754" s="6"/>
    </row>
    <row r="755" spans="7:10" x14ac:dyDescent="0.35">
      <c r="G755" s="2"/>
      <c r="H755" s="2"/>
      <c r="I755" s="3"/>
      <c r="J755" s="6"/>
    </row>
    <row r="756" spans="7:10" x14ac:dyDescent="0.35">
      <c r="G756" s="2"/>
      <c r="H756" s="2"/>
      <c r="I756" s="3"/>
      <c r="J756" s="6"/>
    </row>
    <row r="757" spans="7:10" x14ac:dyDescent="0.35">
      <c r="G757" s="2"/>
      <c r="H757" s="2"/>
      <c r="I757" s="3"/>
      <c r="J757" s="6"/>
    </row>
    <row r="758" spans="7:10" x14ac:dyDescent="0.35">
      <c r="G758" s="2"/>
      <c r="H758" s="2"/>
      <c r="I758" s="3"/>
      <c r="J758" s="6"/>
    </row>
    <row r="759" spans="7:10" x14ac:dyDescent="0.35">
      <c r="G759" s="2"/>
      <c r="H759" s="2"/>
      <c r="I759" s="3"/>
      <c r="J759" s="6"/>
    </row>
    <row r="760" spans="7:10" x14ac:dyDescent="0.35">
      <c r="G760" s="2"/>
      <c r="H760" s="2"/>
      <c r="I760" s="3"/>
      <c r="J760" s="6"/>
    </row>
    <row r="761" spans="7:10" x14ac:dyDescent="0.35">
      <c r="G761" s="2"/>
      <c r="H761" s="2"/>
      <c r="I761" s="3"/>
      <c r="J761" s="6"/>
    </row>
    <row r="762" spans="7:10" x14ac:dyDescent="0.35">
      <c r="G762" s="2"/>
      <c r="H762" s="2"/>
      <c r="I762" s="3"/>
      <c r="J762" s="6"/>
    </row>
    <row r="763" spans="7:10" x14ac:dyDescent="0.35">
      <c r="G763" s="2"/>
      <c r="H763" s="2"/>
      <c r="I763" s="3"/>
      <c r="J763" s="6"/>
    </row>
    <row r="764" spans="7:10" x14ac:dyDescent="0.35">
      <c r="G764" s="2"/>
      <c r="H764" s="2"/>
      <c r="I764" s="3"/>
      <c r="J764" s="6"/>
    </row>
    <row r="765" spans="7:10" x14ac:dyDescent="0.35">
      <c r="G765" s="2"/>
      <c r="H765" s="2"/>
      <c r="I765" s="3"/>
      <c r="J765" s="6"/>
    </row>
    <row r="766" spans="7:10" x14ac:dyDescent="0.35">
      <c r="G766" s="2"/>
      <c r="H766" s="2"/>
      <c r="I766" s="3"/>
      <c r="J766" s="6"/>
    </row>
    <row r="767" spans="7:10" x14ac:dyDescent="0.35">
      <c r="G767" s="2"/>
      <c r="H767" s="2"/>
      <c r="I767" s="3"/>
      <c r="J767" s="6"/>
    </row>
    <row r="768" spans="7:10" x14ac:dyDescent="0.35">
      <c r="G768" s="2"/>
      <c r="H768" s="2"/>
      <c r="I768" s="3"/>
      <c r="J768" s="6"/>
    </row>
    <row r="769" spans="7:10" x14ac:dyDescent="0.35">
      <c r="G769" s="2"/>
      <c r="H769" s="2"/>
      <c r="I769" s="3"/>
      <c r="J769" s="6"/>
    </row>
    <row r="770" spans="7:10" x14ac:dyDescent="0.35">
      <c r="G770" s="2"/>
      <c r="H770" s="2"/>
      <c r="I770" s="3"/>
      <c r="J770" s="6"/>
    </row>
    <row r="771" spans="7:10" x14ac:dyDescent="0.35">
      <c r="G771" s="2"/>
      <c r="H771" s="2"/>
      <c r="I771" s="3"/>
      <c r="J771" s="6"/>
    </row>
    <row r="772" spans="7:10" x14ac:dyDescent="0.35">
      <c r="G772" s="2"/>
      <c r="H772" s="2"/>
      <c r="I772" s="3"/>
      <c r="J772" s="6"/>
    </row>
    <row r="773" spans="7:10" x14ac:dyDescent="0.35">
      <c r="G773" s="2"/>
      <c r="H773" s="2"/>
      <c r="I773" s="3"/>
      <c r="J773" s="6"/>
    </row>
    <row r="774" spans="7:10" x14ac:dyDescent="0.35">
      <c r="G774" s="2"/>
      <c r="H774" s="2"/>
      <c r="I774" s="3"/>
      <c r="J774" s="6"/>
    </row>
    <row r="775" spans="7:10" x14ac:dyDescent="0.35">
      <c r="G775" s="2"/>
      <c r="H775" s="2"/>
      <c r="I775" s="3"/>
      <c r="J775" s="6"/>
    </row>
    <row r="776" spans="7:10" x14ac:dyDescent="0.35">
      <c r="G776" s="2"/>
      <c r="H776" s="2"/>
      <c r="I776" s="3"/>
      <c r="J776" s="6"/>
    </row>
    <row r="777" spans="7:10" x14ac:dyDescent="0.35">
      <c r="G777" s="2"/>
      <c r="H777" s="2"/>
      <c r="I777" s="3"/>
      <c r="J777" s="6"/>
    </row>
    <row r="778" spans="7:10" x14ac:dyDescent="0.35">
      <c r="G778" s="2"/>
      <c r="H778" s="2"/>
      <c r="I778" s="3"/>
      <c r="J778" s="6"/>
    </row>
    <row r="779" spans="7:10" x14ac:dyDescent="0.35">
      <c r="G779" s="2"/>
      <c r="H779" s="2"/>
      <c r="I779" s="3"/>
      <c r="J779" s="6"/>
    </row>
    <row r="780" spans="7:10" x14ac:dyDescent="0.35">
      <c r="G780" s="2"/>
      <c r="H780" s="2"/>
      <c r="I780" s="3"/>
      <c r="J780" s="6"/>
    </row>
    <row r="781" spans="7:10" x14ac:dyDescent="0.35">
      <c r="G781" s="2"/>
      <c r="H781" s="2"/>
      <c r="I781" s="3"/>
      <c r="J781" s="6"/>
    </row>
    <row r="782" spans="7:10" x14ac:dyDescent="0.35">
      <c r="G782" s="2"/>
      <c r="H782" s="2"/>
      <c r="I782" s="3"/>
      <c r="J782" s="6"/>
    </row>
    <row r="783" spans="7:10" x14ac:dyDescent="0.35">
      <c r="G783" s="2"/>
      <c r="H783" s="2"/>
      <c r="I783" s="3"/>
      <c r="J783" s="6"/>
    </row>
    <row r="784" spans="7:10" x14ac:dyDescent="0.35">
      <c r="G784" s="2"/>
      <c r="H784" s="2"/>
      <c r="I784" s="3"/>
      <c r="J784" s="6"/>
    </row>
    <row r="785" spans="7:10" x14ac:dyDescent="0.35">
      <c r="G785" s="2"/>
      <c r="H785" s="2"/>
      <c r="I785" s="3"/>
      <c r="J785" s="6"/>
    </row>
    <row r="786" spans="7:10" x14ac:dyDescent="0.35">
      <c r="G786" s="2"/>
      <c r="H786" s="2"/>
      <c r="I786" s="3"/>
      <c r="J786" s="6"/>
    </row>
    <row r="787" spans="7:10" x14ac:dyDescent="0.35">
      <c r="G787" s="2"/>
      <c r="H787" s="2"/>
      <c r="I787" s="3"/>
      <c r="J787" s="6"/>
    </row>
    <row r="788" spans="7:10" x14ac:dyDescent="0.35">
      <c r="G788" s="2"/>
      <c r="H788" s="2"/>
      <c r="I788" s="3"/>
      <c r="J788" s="6"/>
    </row>
    <row r="789" spans="7:10" x14ac:dyDescent="0.35">
      <c r="G789" s="2"/>
      <c r="H789" s="2"/>
      <c r="I789" s="3"/>
      <c r="J789" s="6"/>
    </row>
    <row r="790" spans="7:10" x14ac:dyDescent="0.35">
      <c r="G790" s="2"/>
      <c r="H790" s="2"/>
      <c r="I790" s="3"/>
      <c r="J790" s="6"/>
    </row>
    <row r="791" spans="7:10" x14ac:dyDescent="0.35">
      <c r="G791" s="2"/>
      <c r="H791" s="2"/>
      <c r="I791" s="3"/>
      <c r="J791" s="6"/>
    </row>
    <row r="792" spans="7:10" x14ac:dyDescent="0.35">
      <c r="G792" s="2"/>
      <c r="H792" s="2"/>
      <c r="I792" s="3"/>
      <c r="J792" s="6"/>
    </row>
    <row r="793" spans="7:10" x14ac:dyDescent="0.35">
      <c r="G793" s="2"/>
      <c r="H793" s="2"/>
      <c r="I793" s="3"/>
      <c r="J793" s="6"/>
    </row>
    <row r="794" spans="7:10" x14ac:dyDescent="0.35">
      <c r="G794" s="2"/>
      <c r="H794" s="2"/>
      <c r="I794" s="3"/>
      <c r="J794" s="6"/>
    </row>
    <row r="795" spans="7:10" x14ac:dyDescent="0.35">
      <c r="G795" s="2"/>
      <c r="H795" s="2"/>
      <c r="I795" s="3"/>
      <c r="J795" s="6"/>
    </row>
    <row r="796" spans="7:10" x14ac:dyDescent="0.35">
      <c r="G796" s="2"/>
      <c r="H796" s="2"/>
      <c r="I796" s="3"/>
      <c r="J796" s="6"/>
    </row>
    <row r="797" spans="7:10" x14ac:dyDescent="0.35">
      <c r="G797" s="2"/>
      <c r="H797" s="2"/>
      <c r="I797" s="3"/>
      <c r="J797" s="6"/>
    </row>
    <row r="798" spans="7:10" x14ac:dyDescent="0.35">
      <c r="G798" s="2"/>
      <c r="H798" s="2"/>
      <c r="I798" s="3"/>
      <c r="J798" s="6"/>
    </row>
    <row r="799" spans="7:10" x14ac:dyDescent="0.35">
      <c r="G799" s="2"/>
      <c r="H799" s="2"/>
      <c r="I799" s="3"/>
      <c r="J799" s="6"/>
    </row>
    <row r="800" spans="7:10" x14ac:dyDescent="0.35">
      <c r="G800" s="2"/>
      <c r="H800" s="2"/>
      <c r="I800" s="3"/>
      <c r="J800" s="6"/>
    </row>
    <row r="801" spans="7:10" x14ac:dyDescent="0.35">
      <c r="G801" s="2"/>
      <c r="H801" s="2"/>
      <c r="I801" s="3"/>
      <c r="J801" s="6"/>
    </row>
    <row r="802" spans="7:10" x14ac:dyDescent="0.35">
      <c r="G802" s="2"/>
      <c r="H802" s="2"/>
      <c r="I802" s="3"/>
      <c r="J802" s="6"/>
    </row>
    <row r="803" spans="7:10" x14ac:dyDescent="0.35">
      <c r="G803" s="2"/>
      <c r="H803" s="2"/>
      <c r="I803" s="3"/>
      <c r="J803" s="6"/>
    </row>
    <row r="804" spans="7:10" x14ac:dyDescent="0.35">
      <c r="G804" s="2"/>
      <c r="H804" s="2"/>
      <c r="I804" s="3"/>
      <c r="J804" s="6"/>
    </row>
    <row r="805" spans="7:10" x14ac:dyDescent="0.35">
      <c r="G805" s="2"/>
      <c r="H805" s="2"/>
      <c r="I805" s="3"/>
      <c r="J805" s="6"/>
    </row>
    <row r="806" spans="7:10" x14ac:dyDescent="0.35">
      <c r="G806" s="2"/>
      <c r="H806" s="2"/>
      <c r="I806" s="3"/>
      <c r="J806" s="6"/>
    </row>
    <row r="807" spans="7:10" x14ac:dyDescent="0.35">
      <c r="G807" s="2"/>
      <c r="H807" s="2"/>
      <c r="I807" s="3"/>
      <c r="J807" s="6"/>
    </row>
    <row r="808" spans="7:10" x14ac:dyDescent="0.35">
      <c r="G808" s="2"/>
      <c r="H808" s="2"/>
      <c r="I808" s="3"/>
      <c r="J808" s="6"/>
    </row>
    <row r="809" spans="7:10" x14ac:dyDescent="0.35">
      <c r="G809" s="2"/>
      <c r="H809" s="2"/>
      <c r="I809" s="3"/>
      <c r="J809" s="6"/>
    </row>
    <row r="810" spans="7:10" x14ac:dyDescent="0.35">
      <c r="G810" s="2"/>
      <c r="H810" s="2"/>
      <c r="I810" s="3"/>
      <c r="J810" s="6"/>
    </row>
    <row r="811" spans="7:10" x14ac:dyDescent="0.35">
      <c r="G811" s="2"/>
      <c r="H811" s="2"/>
      <c r="I811" s="3"/>
      <c r="J811" s="6"/>
    </row>
    <row r="812" spans="7:10" x14ac:dyDescent="0.35">
      <c r="G812" s="2"/>
      <c r="H812" s="2"/>
      <c r="I812" s="3"/>
      <c r="J812" s="6"/>
    </row>
    <row r="813" spans="7:10" x14ac:dyDescent="0.35">
      <c r="G813" s="2"/>
      <c r="H813" s="2"/>
      <c r="I813" s="3"/>
      <c r="J813" s="6"/>
    </row>
    <row r="814" spans="7:10" x14ac:dyDescent="0.35">
      <c r="G814" s="2"/>
      <c r="H814" s="2"/>
      <c r="I814" s="3"/>
      <c r="J814" s="6"/>
    </row>
    <row r="815" spans="7:10" x14ac:dyDescent="0.35">
      <c r="G815" s="2"/>
      <c r="H815" s="2"/>
      <c r="I815" s="3"/>
      <c r="J815" s="6"/>
    </row>
    <row r="816" spans="7:10" x14ac:dyDescent="0.35">
      <c r="G816" s="2"/>
      <c r="H816" s="2"/>
      <c r="I816" s="3"/>
      <c r="J816" s="6"/>
    </row>
    <row r="817" spans="7:10" x14ac:dyDescent="0.35">
      <c r="G817" s="2"/>
      <c r="H817" s="2"/>
      <c r="I817" s="3"/>
      <c r="J817" s="6"/>
    </row>
    <row r="818" spans="7:10" x14ac:dyDescent="0.35">
      <c r="G818" s="2"/>
      <c r="H818" s="2"/>
      <c r="I818" s="3"/>
      <c r="J818" s="6"/>
    </row>
    <row r="819" spans="7:10" x14ac:dyDescent="0.35">
      <c r="G819" s="2"/>
      <c r="H819" s="2"/>
      <c r="I819" s="3"/>
      <c r="J819" s="6"/>
    </row>
    <row r="820" spans="7:10" x14ac:dyDescent="0.35">
      <c r="G820" s="2"/>
      <c r="H820" s="2"/>
      <c r="I820" s="3"/>
      <c r="J820" s="6"/>
    </row>
    <row r="821" spans="7:10" x14ac:dyDescent="0.35">
      <c r="G821" s="2"/>
      <c r="H821" s="2"/>
      <c r="I821" s="3"/>
      <c r="J821" s="6"/>
    </row>
    <row r="822" spans="7:10" x14ac:dyDescent="0.35">
      <c r="G822" s="2"/>
      <c r="H822" s="2"/>
      <c r="I822" s="3"/>
      <c r="J822" s="6"/>
    </row>
    <row r="823" spans="7:10" x14ac:dyDescent="0.35">
      <c r="G823" s="2"/>
      <c r="H823" s="2"/>
      <c r="I823" s="3"/>
      <c r="J823" s="6"/>
    </row>
    <row r="824" spans="7:10" x14ac:dyDescent="0.35">
      <c r="G824" s="2"/>
      <c r="H824" s="2"/>
      <c r="I824" s="3"/>
      <c r="J824" s="6"/>
    </row>
    <row r="825" spans="7:10" x14ac:dyDescent="0.35">
      <c r="G825" s="2"/>
      <c r="H825" s="2"/>
      <c r="I825" s="3"/>
      <c r="J825" s="6"/>
    </row>
    <row r="826" spans="7:10" x14ac:dyDescent="0.35">
      <c r="G826" s="2"/>
      <c r="H826" s="2"/>
      <c r="I826" s="3"/>
      <c r="J826" s="6"/>
    </row>
    <row r="827" spans="7:10" x14ac:dyDescent="0.35">
      <c r="G827" s="2"/>
      <c r="H827" s="2"/>
      <c r="I827" s="3"/>
      <c r="J827" s="6"/>
    </row>
    <row r="828" spans="7:10" x14ac:dyDescent="0.35">
      <c r="G828" s="2"/>
      <c r="H828" s="2"/>
      <c r="I828" s="3"/>
      <c r="J828" s="6"/>
    </row>
    <row r="829" spans="7:10" x14ac:dyDescent="0.35">
      <c r="G829" s="2"/>
      <c r="H829" s="2"/>
      <c r="I829" s="3"/>
      <c r="J829" s="6"/>
    </row>
    <row r="830" spans="7:10" x14ac:dyDescent="0.35">
      <c r="G830" s="2"/>
      <c r="H830" s="2"/>
      <c r="I830" s="3"/>
      <c r="J830" s="6"/>
    </row>
    <row r="831" spans="7:10" x14ac:dyDescent="0.35">
      <c r="G831" s="2"/>
      <c r="H831" s="2"/>
      <c r="I831" s="3"/>
      <c r="J831" s="6"/>
    </row>
    <row r="832" spans="7:10" x14ac:dyDescent="0.35">
      <c r="G832" s="2"/>
      <c r="H832" s="2"/>
      <c r="I832" s="3"/>
      <c r="J832" s="6"/>
    </row>
    <row r="833" spans="7:10" x14ac:dyDescent="0.35">
      <c r="G833" s="2"/>
      <c r="H833" s="2"/>
      <c r="I833" s="3"/>
      <c r="J833" s="6"/>
    </row>
    <row r="834" spans="7:10" x14ac:dyDescent="0.35">
      <c r="G834" s="2"/>
      <c r="H834" s="2"/>
      <c r="I834" s="3"/>
      <c r="J834" s="6"/>
    </row>
    <row r="835" spans="7:10" x14ac:dyDescent="0.35">
      <c r="G835" s="2"/>
      <c r="H835" s="2"/>
      <c r="I835" s="3"/>
      <c r="J835" s="6"/>
    </row>
    <row r="836" spans="7:10" x14ac:dyDescent="0.35">
      <c r="G836" s="2"/>
      <c r="H836" s="2"/>
      <c r="I836" s="3"/>
      <c r="J836" s="6"/>
    </row>
    <row r="837" spans="7:10" x14ac:dyDescent="0.35">
      <c r="G837" s="2"/>
      <c r="H837" s="2"/>
      <c r="I837" s="3"/>
      <c r="J837" s="6"/>
    </row>
    <row r="838" spans="7:10" x14ac:dyDescent="0.35">
      <c r="G838" s="2"/>
      <c r="H838" s="2"/>
      <c r="I838" s="3"/>
      <c r="J838" s="6"/>
    </row>
    <row r="839" spans="7:10" x14ac:dyDescent="0.35">
      <c r="G839" s="2"/>
      <c r="H839" s="2"/>
      <c r="I839" s="3"/>
      <c r="J839" s="6"/>
    </row>
    <row r="840" spans="7:10" x14ac:dyDescent="0.35">
      <c r="G840" s="2"/>
      <c r="H840" s="2"/>
      <c r="I840" s="3"/>
      <c r="J840" s="6"/>
    </row>
    <row r="841" spans="7:10" x14ac:dyDescent="0.35">
      <c r="G841" s="2"/>
      <c r="H841" s="2"/>
      <c r="I841" s="3"/>
      <c r="J841" s="6"/>
    </row>
    <row r="842" spans="7:10" x14ac:dyDescent="0.35">
      <c r="G842" s="2"/>
      <c r="H842" s="2"/>
      <c r="I842" s="3"/>
      <c r="J842" s="6"/>
    </row>
    <row r="843" spans="7:10" x14ac:dyDescent="0.35">
      <c r="G843" s="2"/>
      <c r="H843" s="2"/>
      <c r="I843" s="3"/>
      <c r="J843" s="6"/>
    </row>
    <row r="844" spans="7:10" x14ac:dyDescent="0.35">
      <c r="G844" s="2"/>
      <c r="H844" s="2"/>
      <c r="I844" s="3"/>
      <c r="J844" s="6"/>
    </row>
    <row r="845" spans="7:10" x14ac:dyDescent="0.35">
      <c r="G845" s="2"/>
      <c r="H845" s="2"/>
      <c r="I845" s="3"/>
      <c r="J845" s="6"/>
    </row>
    <row r="846" spans="7:10" x14ac:dyDescent="0.35">
      <c r="G846" s="2"/>
      <c r="H846" s="2"/>
      <c r="I846" s="3"/>
      <c r="J846" s="6"/>
    </row>
    <row r="847" spans="7:10" x14ac:dyDescent="0.35">
      <c r="G847" s="2"/>
      <c r="H847" s="2"/>
      <c r="I847" s="3"/>
      <c r="J847" s="6"/>
    </row>
    <row r="848" spans="7:10" x14ac:dyDescent="0.35">
      <c r="G848" s="2"/>
      <c r="H848" s="2"/>
      <c r="I848" s="3"/>
      <c r="J848" s="6"/>
    </row>
    <row r="849" spans="7:10" x14ac:dyDescent="0.35">
      <c r="G849" s="2"/>
      <c r="H849" s="2"/>
      <c r="I849" s="3"/>
      <c r="J849" s="6"/>
    </row>
    <row r="850" spans="7:10" x14ac:dyDescent="0.35">
      <c r="G850" s="2"/>
      <c r="H850" s="2"/>
      <c r="I850" s="3"/>
      <c r="J850" s="6"/>
    </row>
    <row r="851" spans="7:10" x14ac:dyDescent="0.35">
      <c r="G851" s="2"/>
      <c r="H851" s="2"/>
      <c r="I851" s="3"/>
      <c r="J851" s="6"/>
    </row>
    <row r="852" spans="7:10" x14ac:dyDescent="0.35">
      <c r="G852" s="2"/>
      <c r="H852" s="2"/>
      <c r="I852" s="3"/>
      <c r="J852" s="6"/>
    </row>
    <row r="853" spans="7:10" x14ac:dyDescent="0.35">
      <c r="G853" s="2"/>
      <c r="H853" s="2"/>
      <c r="I853" s="3"/>
      <c r="J853" s="6"/>
    </row>
    <row r="854" spans="7:10" x14ac:dyDescent="0.35">
      <c r="G854" s="2"/>
      <c r="H854" s="2"/>
      <c r="I854" s="3"/>
      <c r="J854" s="6"/>
    </row>
    <row r="855" spans="7:10" x14ac:dyDescent="0.35">
      <c r="G855" s="2"/>
      <c r="H855" s="2"/>
      <c r="I855" s="3"/>
      <c r="J855" s="6"/>
    </row>
    <row r="856" spans="7:10" x14ac:dyDescent="0.35">
      <c r="G856" s="2"/>
      <c r="H856" s="2"/>
      <c r="I856" s="3"/>
      <c r="J856" s="6"/>
    </row>
    <row r="857" spans="7:10" x14ac:dyDescent="0.35">
      <c r="G857" s="2"/>
      <c r="H857" s="2"/>
      <c r="I857" s="3"/>
      <c r="J857" s="6"/>
    </row>
    <row r="858" spans="7:10" x14ac:dyDescent="0.35">
      <c r="G858" s="2"/>
      <c r="H858" s="2"/>
      <c r="I858" s="3"/>
      <c r="J858" s="6"/>
    </row>
    <row r="859" spans="7:10" x14ac:dyDescent="0.35">
      <c r="G859" s="2"/>
      <c r="H859" s="2"/>
      <c r="I859" s="3"/>
      <c r="J859" s="6"/>
    </row>
    <row r="860" spans="7:10" x14ac:dyDescent="0.35">
      <c r="G860" s="2"/>
      <c r="H860" s="2"/>
      <c r="I860" s="3"/>
      <c r="J860" s="6"/>
    </row>
    <row r="861" spans="7:10" x14ac:dyDescent="0.35">
      <c r="G861" s="2"/>
      <c r="H861" s="2"/>
      <c r="I861" s="3"/>
      <c r="J861" s="6"/>
    </row>
    <row r="862" spans="7:10" x14ac:dyDescent="0.35">
      <c r="G862" s="2"/>
      <c r="H862" s="2"/>
      <c r="I862" s="3"/>
      <c r="J862" s="6"/>
    </row>
    <row r="863" spans="7:10" x14ac:dyDescent="0.35">
      <c r="G863" s="2"/>
      <c r="H863" s="2"/>
      <c r="I863" s="3"/>
      <c r="J863" s="6"/>
    </row>
    <row r="864" spans="7:10" x14ac:dyDescent="0.35">
      <c r="G864" s="2"/>
      <c r="H864" s="2"/>
      <c r="I864" s="3"/>
      <c r="J864" s="6"/>
    </row>
    <row r="865" spans="7:10" x14ac:dyDescent="0.35">
      <c r="G865" s="2"/>
      <c r="H865" s="2"/>
      <c r="I865" s="3"/>
      <c r="J865" s="6"/>
    </row>
    <row r="866" spans="7:10" x14ac:dyDescent="0.35">
      <c r="G866" s="2"/>
      <c r="H866" s="2"/>
      <c r="I866" s="3"/>
      <c r="J866" s="6"/>
    </row>
    <row r="867" spans="7:10" x14ac:dyDescent="0.35">
      <c r="G867" s="2"/>
      <c r="H867" s="2"/>
      <c r="I867" s="3"/>
      <c r="J867" s="6"/>
    </row>
    <row r="868" spans="7:10" x14ac:dyDescent="0.35">
      <c r="G868" s="2"/>
      <c r="H868" s="2"/>
      <c r="I868" s="3"/>
      <c r="J868" s="6"/>
    </row>
    <row r="869" spans="7:10" x14ac:dyDescent="0.35">
      <c r="G869" s="2"/>
      <c r="H869" s="2"/>
      <c r="I869" s="3"/>
      <c r="J869" s="6"/>
    </row>
    <row r="870" spans="7:10" x14ac:dyDescent="0.35">
      <c r="G870" s="2"/>
      <c r="H870" s="2"/>
      <c r="I870" s="3"/>
      <c r="J870" s="6"/>
    </row>
    <row r="871" spans="7:10" x14ac:dyDescent="0.35">
      <c r="G871" s="2"/>
      <c r="H871" s="2"/>
      <c r="I871" s="3"/>
      <c r="J871" s="6"/>
    </row>
    <row r="872" spans="7:10" x14ac:dyDescent="0.35">
      <c r="G872" s="2"/>
      <c r="H872" s="2"/>
      <c r="I872" s="3"/>
      <c r="J872" s="6"/>
    </row>
    <row r="873" spans="7:10" x14ac:dyDescent="0.35">
      <c r="G873" s="2"/>
      <c r="H873" s="2"/>
      <c r="I873" s="3"/>
      <c r="J873" s="6"/>
    </row>
    <row r="874" spans="7:10" x14ac:dyDescent="0.35">
      <c r="G874" s="2"/>
      <c r="H874" s="2"/>
      <c r="I874" s="3"/>
      <c r="J874" s="6"/>
    </row>
    <row r="875" spans="7:10" x14ac:dyDescent="0.35">
      <c r="G875" s="2"/>
      <c r="H875" s="2"/>
      <c r="I875" s="3"/>
      <c r="J875" s="6"/>
    </row>
    <row r="876" spans="7:10" x14ac:dyDescent="0.35">
      <c r="G876" s="2"/>
      <c r="H876" s="2"/>
      <c r="I876" s="3"/>
      <c r="J876" s="6"/>
    </row>
    <row r="877" spans="7:10" x14ac:dyDescent="0.35">
      <c r="G877" s="2"/>
      <c r="H877" s="2"/>
      <c r="I877" s="3"/>
      <c r="J877" s="6"/>
    </row>
    <row r="878" spans="7:10" x14ac:dyDescent="0.35">
      <c r="G878" s="2"/>
      <c r="H878" s="2"/>
      <c r="I878" s="3"/>
      <c r="J878" s="6"/>
    </row>
    <row r="879" spans="7:10" x14ac:dyDescent="0.35">
      <c r="G879" s="2"/>
      <c r="H879" s="2"/>
      <c r="I879" s="3"/>
      <c r="J879" s="6"/>
    </row>
    <row r="880" spans="7:10" x14ac:dyDescent="0.35">
      <c r="G880" s="2"/>
      <c r="H880" s="2"/>
      <c r="I880" s="3"/>
      <c r="J880" s="6"/>
    </row>
    <row r="881" spans="7:10" x14ac:dyDescent="0.35">
      <c r="G881" s="2"/>
      <c r="H881" s="2"/>
      <c r="I881" s="3"/>
      <c r="J881" s="6"/>
    </row>
    <row r="882" spans="7:10" x14ac:dyDescent="0.35">
      <c r="G882" s="2"/>
      <c r="H882" s="2"/>
      <c r="I882" s="3"/>
      <c r="J882" s="6"/>
    </row>
    <row r="883" spans="7:10" x14ac:dyDescent="0.35">
      <c r="G883" s="2"/>
      <c r="H883" s="2"/>
      <c r="I883" s="3"/>
      <c r="J883" s="6"/>
    </row>
    <row r="884" spans="7:10" x14ac:dyDescent="0.35">
      <c r="G884" s="2"/>
      <c r="H884" s="2"/>
      <c r="I884" s="3"/>
      <c r="J884" s="6"/>
    </row>
    <row r="885" spans="7:10" x14ac:dyDescent="0.35">
      <c r="G885" s="2"/>
      <c r="H885" s="2"/>
      <c r="I885" s="3"/>
      <c r="J885" s="6"/>
    </row>
    <row r="886" spans="7:10" x14ac:dyDescent="0.35">
      <c r="G886" s="2"/>
      <c r="H886" s="2"/>
      <c r="I886" s="3"/>
      <c r="J886" s="6"/>
    </row>
    <row r="887" spans="7:10" x14ac:dyDescent="0.35">
      <c r="G887" s="2"/>
      <c r="H887" s="2"/>
      <c r="I887" s="3"/>
      <c r="J887" s="6"/>
    </row>
    <row r="888" spans="7:10" x14ac:dyDescent="0.35">
      <c r="G888" s="2"/>
      <c r="H888" s="2"/>
      <c r="I888" s="3"/>
      <c r="J888" s="6"/>
    </row>
    <row r="889" spans="7:10" x14ac:dyDescent="0.35">
      <c r="G889" s="2"/>
      <c r="H889" s="2"/>
      <c r="I889" s="3"/>
      <c r="J889" s="6"/>
    </row>
    <row r="890" spans="7:10" x14ac:dyDescent="0.35">
      <c r="G890" s="2"/>
      <c r="H890" s="2"/>
      <c r="I890" s="3"/>
      <c r="J890" s="6"/>
    </row>
    <row r="891" spans="7:10" x14ac:dyDescent="0.35">
      <c r="G891" s="2"/>
      <c r="H891" s="2"/>
      <c r="I891" s="3"/>
      <c r="J891" s="6"/>
    </row>
    <row r="892" spans="7:10" x14ac:dyDescent="0.35">
      <c r="G892" s="2"/>
      <c r="H892" s="2"/>
      <c r="I892" s="3"/>
      <c r="J892" s="6"/>
    </row>
    <row r="893" spans="7:10" x14ac:dyDescent="0.35">
      <c r="G893" s="2"/>
      <c r="H893" s="2"/>
      <c r="I893" s="3"/>
      <c r="J893" s="6"/>
    </row>
    <row r="894" spans="7:10" x14ac:dyDescent="0.35">
      <c r="G894" s="2"/>
      <c r="H894" s="2"/>
      <c r="I894" s="3"/>
      <c r="J894" s="6"/>
    </row>
    <row r="895" spans="7:10" x14ac:dyDescent="0.35">
      <c r="G895" s="2"/>
      <c r="H895" s="2"/>
      <c r="I895" s="3"/>
      <c r="J895" s="6"/>
    </row>
    <row r="896" spans="7:10" x14ac:dyDescent="0.35">
      <c r="G896" s="2"/>
      <c r="H896" s="2"/>
      <c r="I896" s="3"/>
      <c r="J896" s="6"/>
    </row>
    <row r="897" spans="7:10" x14ac:dyDescent="0.35">
      <c r="G897" s="2"/>
      <c r="H897" s="2"/>
      <c r="I897" s="3"/>
      <c r="J897" s="6"/>
    </row>
    <row r="898" spans="7:10" x14ac:dyDescent="0.35">
      <c r="G898" s="2"/>
      <c r="H898" s="2"/>
      <c r="I898" s="3"/>
      <c r="J898" s="6"/>
    </row>
    <row r="899" spans="7:10" x14ac:dyDescent="0.35">
      <c r="G899" s="2"/>
      <c r="H899" s="2"/>
      <c r="I899" s="3"/>
      <c r="J899" s="6"/>
    </row>
    <row r="900" spans="7:10" x14ac:dyDescent="0.35">
      <c r="G900" s="2"/>
      <c r="H900" s="2"/>
      <c r="I900" s="3"/>
      <c r="J900" s="6"/>
    </row>
    <row r="901" spans="7:10" x14ac:dyDescent="0.35">
      <c r="G901" s="2"/>
      <c r="H901" s="2"/>
      <c r="I901" s="3"/>
      <c r="J901" s="6"/>
    </row>
    <row r="902" spans="7:10" x14ac:dyDescent="0.35">
      <c r="G902" s="2"/>
      <c r="H902" s="2"/>
      <c r="I902" s="3"/>
      <c r="J902" s="6"/>
    </row>
    <row r="903" spans="7:10" x14ac:dyDescent="0.35">
      <c r="G903" s="2"/>
      <c r="H903" s="2"/>
      <c r="I903" s="3"/>
      <c r="J903" s="6"/>
    </row>
    <row r="904" spans="7:10" x14ac:dyDescent="0.35">
      <c r="G904" s="2"/>
      <c r="H904" s="2"/>
      <c r="I904" s="3"/>
      <c r="J904" s="6"/>
    </row>
    <row r="905" spans="7:10" x14ac:dyDescent="0.35">
      <c r="G905" s="2"/>
      <c r="H905" s="2"/>
      <c r="I905" s="3"/>
      <c r="J905" s="6"/>
    </row>
    <row r="906" spans="7:10" x14ac:dyDescent="0.35">
      <c r="G906" s="2"/>
      <c r="H906" s="2"/>
      <c r="I906" s="3"/>
      <c r="J906" s="6"/>
    </row>
    <row r="907" spans="7:10" x14ac:dyDescent="0.35">
      <c r="G907" s="2"/>
      <c r="H907" s="2"/>
      <c r="I907" s="3"/>
      <c r="J907" s="6"/>
    </row>
    <row r="908" spans="7:10" x14ac:dyDescent="0.35">
      <c r="G908" s="2"/>
      <c r="H908" s="2"/>
      <c r="I908" s="3"/>
      <c r="J908" s="6"/>
    </row>
    <row r="909" spans="7:10" x14ac:dyDescent="0.35">
      <c r="G909" s="2"/>
      <c r="H909" s="2"/>
      <c r="I909" s="3"/>
      <c r="J909" s="6"/>
    </row>
    <row r="910" spans="7:10" x14ac:dyDescent="0.35">
      <c r="G910" s="2"/>
      <c r="H910" s="2"/>
      <c r="I910" s="3"/>
      <c r="J910" s="6"/>
    </row>
    <row r="911" spans="7:10" x14ac:dyDescent="0.35">
      <c r="G911" s="2"/>
      <c r="H911" s="2"/>
      <c r="I911" s="3"/>
      <c r="J911" s="6"/>
    </row>
    <row r="912" spans="7:10" x14ac:dyDescent="0.35">
      <c r="G912" s="2"/>
      <c r="H912" s="2"/>
      <c r="I912" s="3"/>
      <c r="J912" s="6"/>
    </row>
    <row r="913" spans="7:10" x14ac:dyDescent="0.35">
      <c r="G913" s="2"/>
      <c r="H913" s="2"/>
      <c r="I913" s="3"/>
      <c r="J913" s="6"/>
    </row>
    <row r="914" spans="7:10" x14ac:dyDescent="0.35">
      <c r="G914" s="2"/>
      <c r="H914" s="2"/>
      <c r="I914" s="3"/>
      <c r="J914" s="6"/>
    </row>
    <row r="915" spans="7:10" x14ac:dyDescent="0.35">
      <c r="G915" s="2"/>
      <c r="H915" s="2"/>
      <c r="I915" s="3"/>
      <c r="J915" s="6"/>
    </row>
    <row r="916" spans="7:10" x14ac:dyDescent="0.35">
      <c r="G916" s="2"/>
      <c r="H916" s="2"/>
      <c r="I916" s="3"/>
      <c r="J916" s="6"/>
    </row>
    <row r="917" spans="7:10" x14ac:dyDescent="0.35">
      <c r="G917" s="2"/>
      <c r="H917" s="2"/>
      <c r="I917" s="3"/>
      <c r="J917" s="6"/>
    </row>
    <row r="918" spans="7:10" x14ac:dyDescent="0.35">
      <c r="G918" s="2"/>
      <c r="H918" s="2"/>
      <c r="I918" s="3"/>
      <c r="J918" s="6"/>
    </row>
    <row r="919" spans="7:10" x14ac:dyDescent="0.35">
      <c r="G919" s="2"/>
      <c r="H919" s="2"/>
      <c r="I919" s="3"/>
      <c r="J919" s="6"/>
    </row>
    <row r="920" spans="7:10" x14ac:dyDescent="0.35">
      <c r="G920" s="2"/>
      <c r="H920" s="2"/>
      <c r="I920" s="3"/>
      <c r="J920" s="6"/>
    </row>
    <row r="921" spans="7:10" x14ac:dyDescent="0.35">
      <c r="G921" s="2"/>
      <c r="H921" s="2"/>
      <c r="I921" s="3"/>
      <c r="J921" s="6"/>
    </row>
    <row r="922" spans="7:10" x14ac:dyDescent="0.35">
      <c r="G922" s="2"/>
      <c r="H922" s="2"/>
      <c r="I922" s="3"/>
      <c r="J922" s="6"/>
    </row>
    <row r="923" spans="7:10" x14ac:dyDescent="0.35">
      <c r="G923" s="2"/>
      <c r="H923" s="2"/>
      <c r="I923" s="3"/>
      <c r="J923" s="6"/>
    </row>
    <row r="924" spans="7:10" x14ac:dyDescent="0.35">
      <c r="G924" s="2"/>
      <c r="H924" s="2"/>
      <c r="I924" s="3"/>
      <c r="J924" s="6"/>
    </row>
    <row r="925" spans="7:10" x14ac:dyDescent="0.35">
      <c r="G925" s="2"/>
      <c r="H925" s="2"/>
      <c r="I925" s="3"/>
      <c r="J925" s="6"/>
    </row>
    <row r="926" spans="7:10" x14ac:dyDescent="0.35">
      <c r="G926" s="2"/>
      <c r="H926" s="2"/>
      <c r="I926" s="3"/>
      <c r="J926" s="6"/>
    </row>
    <row r="927" spans="7:10" x14ac:dyDescent="0.35">
      <c r="G927" s="2"/>
      <c r="H927" s="2"/>
      <c r="I927" s="3"/>
      <c r="J927" s="6"/>
    </row>
    <row r="928" spans="7:10" x14ac:dyDescent="0.35">
      <c r="G928" s="2"/>
      <c r="H928" s="2"/>
      <c r="I928" s="3"/>
      <c r="J928" s="6"/>
    </row>
    <row r="929" spans="7:10" x14ac:dyDescent="0.35">
      <c r="G929" s="2"/>
      <c r="H929" s="2"/>
      <c r="I929" s="3"/>
      <c r="J929" s="6"/>
    </row>
    <row r="930" spans="7:10" x14ac:dyDescent="0.35">
      <c r="G930" s="2"/>
      <c r="H930" s="2"/>
      <c r="I930" s="3"/>
      <c r="J930" s="6"/>
    </row>
    <row r="931" spans="7:10" x14ac:dyDescent="0.35">
      <c r="G931" s="2"/>
      <c r="H931" s="2"/>
      <c r="I931" s="3"/>
      <c r="J931" s="6"/>
    </row>
    <row r="932" spans="7:10" x14ac:dyDescent="0.35">
      <c r="G932" s="2"/>
      <c r="H932" s="2"/>
      <c r="I932" s="3"/>
      <c r="J932" s="6"/>
    </row>
    <row r="933" spans="7:10" x14ac:dyDescent="0.35">
      <c r="G933" s="2"/>
      <c r="H933" s="2"/>
      <c r="I933" s="3"/>
      <c r="J933" s="6"/>
    </row>
    <row r="934" spans="7:10" x14ac:dyDescent="0.35">
      <c r="G934" s="2"/>
      <c r="H934" s="2"/>
      <c r="I934" s="3"/>
      <c r="J934" s="6"/>
    </row>
    <row r="935" spans="7:10" x14ac:dyDescent="0.35">
      <c r="G935" s="2"/>
      <c r="H935" s="2"/>
      <c r="I935" s="3"/>
      <c r="J935" s="6"/>
    </row>
    <row r="936" spans="7:10" x14ac:dyDescent="0.35">
      <c r="G936" s="2"/>
      <c r="H936" s="2"/>
      <c r="I936" s="3"/>
      <c r="J936" s="6"/>
    </row>
    <row r="937" spans="7:10" x14ac:dyDescent="0.35">
      <c r="G937" s="2"/>
      <c r="H937" s="2"/>
      <c r="I937" s="3"/>
      <c r="J937" s="6"/>
    </row>
    <row r="938" spans="7:10" x14ac:dyDescent="0.35">
      <c r="G938" s="2"/>
      <c r="H938" s="2"/>
      <c r="I938" s="3"/>
      <c r="J938" s="6"/>
    </row>
    <row r="939" spans="7:10" x14ac:dyDescent="0.35">
      <c r="G939" s="2"/>
      <c r="H939" s="2"/>
      <c r="I939" s="3"/>
      <c r="J939" s="6"/>
    </row>
    <row r="940" spans="7:10" x14ac:dyDescent="0.35">
      <c r="G940" s="2"/>
      <c r="H940" s="2"/>
      <c r="I940" s="3"/>
      <c r="J940" s="6"/>
    </row>
    <row r="941" spans="7:10" x14ac:dyDescent="0.35">
      <c r="G941" s="2"/>
      <c r="H941" s="2"/>
      <c r="I941" s="3"/>
      <c r="J941" s="6"/>
    </row>
    <row r="942" spans="7:10" x14ac:dyDescent="0.35">
      <c r="G942" s="2"/>
      <c r="H942" s="2"/>
      <c r="I942" s="3"/>
      <c r="J942" s="6"/>
    </row>
    <row r="943" spans="7:10" x14ac:dyDescent="0.35">
      <c r="G943" s="2"/>
      <c r="H943" s="2"/>
      <c r="I943" s="3"/>
      <c r="J943" s="6"/>
    </row>
    <row r="944" spans="7:10" x14ac:dyDescent="0.35">
      <c r="G944" s="2"/>
      <c r="H944" s="2"/>
      <c r="I944" s="3"/>
      <c r="J944" s="6"/>
    </row>
    <row r="945" spans="7:10" x14ac:dyDescent="0.35">
      <c r="G945" s="2"/>
      <c r="H945" s="2"/>
      <c r="I945" s="3"/>
      <c r="J945" s="6"/>
    </row>
    <row r="946" spans="7:10" x14ac:dyDescent="0.35">
      <c r="G946" s="2"/>
      <c r="H946" s="2"/>
      <c r="I946" s="3"/>
      <c r="J946" s="6"/>
    </row>
    <row r="947" spans="7:10" x14ac:dyDescent="0.35">
      <c r="G947" s="2"/>
      <c r="H947" s="2"/>
      <c r="I947" s="3"/>
      <c r="J947" s="6"/>
    </row>
    <row r="948" spans="7:10" x14ac:dyDescent="0.35">
      <c r="G948" s="2"/>
      <c r="H948" s="2"/>
      <c r="I948" s="3"/>
      <c r="J948" s="6"/>
    </row>
    <row r="949" spans="7:10" x14ac:dyDescent="0.35">
      <c r="G949" s="2"/>
      <c r="H949" s="2"/>
      <c r="I949" s="3"/>
      <c r="J949" s="6"/>
    </row>
    <row r="950" spans="7:10" x14ac:dyDescent="0.35">
      <c r="G950" s="2"/>
      <c r="H950" s="2"/>
      <c r="I950" s="3"/>
      <c r="J950" s="6"/>
    </row>
    <row r="951" spans="7:10" x14ac:dyDescent="0.35">
      <c r="G951" s="2"/>
      <c r="H951" s="2"/>
      <c r="I951" s="3"/>
      <c r="J951" s="6"/>
    </row>
    <row r="952" spans="7:10" x14ac:dyDescent="0.35">
      <c r="G952" s="2"/>
      <c r="H952" s="2"/>
      <c r="I952" s="3"/>
      <c r="J952" s="6"/>
    </row>
    <row r="953" spans="7:10" x14ac:dyDescent="0.35">
      <c r="G953" s="2"/>
      <c r="H953" s="2"/>
      <c r="I953" s="3"/>
      <c r="J953" s="6"/>
    </row>
    <row r="954" spans="7:10" x14ac:dyDescent="0.35">
      <c r="G954" s="2"/>
      <c r="H954" s="2"/>
      <c r="I954" s="3"/>
      <c r="J954" s="6"/>
    </row>
    <row r="955" spans="7:10" x14ac:dyDescent="0.35">
      <c r="G955" s="2"/>
      <c r="H955" s="2"/>
      <c r="I955" s="3"/>
      <c r="J955" s="6"/>
    </row>
    <row r="956" spans="7:10" x14ac:dyDescent="0.35">
      <c r="G956" s="2"/>
      <c r="H956" s="2"/>
      <c r="I956" s="3"/>
      <c r="J956" s="6"/>
    </row>
    <row r="957" spans="7:10" x14ac:dyDescent="0.35">
      <c r="G957" s="2"/>
      <c r="H957" s="2"/>
      <c r="I957" s="3"/>
      <c r="J957" s="6"/>
    </row>
    <row r="958" spans="7:10" x14ac:dyDescent="0.35">
      <c r="G958" s="2"/>
      <c r="H958" s="2"/>
      <c r="I958" s="3"/>
      <c r="J958" s="6"/>
    </row>
    <row r="959" spans="7:10" x14ac:dyDescent="0.35">
      <c r="G959" s="2"/>
      <c r="H959" s="2"/>
      <c r="I959" s="3"/>
      <c r="J959" s="6"/>
    </row>
    <row r="960" spans="7:10" x14ac:dyDescent="0.35">
      <c r="G960" s="2"/>
      <c r="H960" s="2"/>
      <c r="I960" s="3"/>
      <c r="J960" s="6"/>
    </row>
    <row r="961" spans="7:10" x14ac:dyDescent="0.35">
      <c r="G961" s="2"/>
      <c r="H961" s="2"/>
      <c r="I961" s="3"/>
      <c r="J961" s="6"/>
    </row>
    <row r="962" spans="7:10" x14ac:dyDescent="0.35">
      <c r="G962" s="2"/>
      <c r="H962" s="2"/>
      <c r="I962" s="3"/>
      <c r="J962" s="6"/>
    </row>
    <row r="963" spans="7:10" x14ac:dyDescent="0.35">
      <c r="G963" s="2"/>
      <c r="H963" s="2"/>
      <c r="I963" s="3"/>
      <c r="J963" s="6"/>
    </row>
    <row r="964" spans="7:10" x14ac:dyDescent="0.35">
      <c r="G964" s="2"/>
      <c r="H964" s="2"/>
      <c r="I964" s="3"/>
      <c r="J964" s="6"/>
    </row>
    <row r="965" spans="7:10" x14ac:dyDescent="0.35">
      <c r="G965" s="2"/>
      <c r="H965" s="2"/>
      <c r="I965" s="3"/>
      <c r="J965" s="6"/>
    </row>
    <row r="966" spans="7:10" x14ac:dyDescent="0.35">
      <c r="G966" s="2"/>
      <c r="H966" s="2"/>
      <c r="I966" s="3"/>
      <c r="J966" s="6"/>
    </row>
    <row r="967" spans="7:10" x14ac:dyDescent="0.35">
      <c r="G967" s="2"/>
      <c r="H967" s="2"/>
      <c r="I967" s="3"/>
      <c r="J967" s="6"/>
    </row>
    <row r="968" spans="7:10" x14ac:dyDescent="0.35">
      <c r="G968" s="2"/>
      <c r="H968" s="2"/>
      <c r="I968" s="3"/>
      <c r="J968" s="6"/>
    </row>
    <row r="969" spans="7:10" x14ac:dyDescent="0.35">
      <c r="G969" s="2"/>
      <c r="H969" s="2"/>
      <c r="I969" s="3"/>
      <c r="J969" s="6"/>
    </row>
    <row r="970" spans="7:10" x14ac:dyDescent="0.35">
      <c r="G970" s="2"/>
      <c r="H970" s="2"/>
      <c r="I970" s="3"/>
      <c r="J970" s="6"/>
    </row>
    <row r="971" spans="7:10" x14ac:dyDescent="0.35">
      <c r="G971" s="2"/>
      <c r="H971" s="2"/>
      <c r="I971" s="3"/>
      <c r="J971" s="6"/>
    </row>
    <row r="972" spans="7:10" x14ac:dyDescent="0.35">
      <c r="G972" s="2"/>
      <c r="H972" s="2"/>
      <c r="I972" s="3"/>
      <c r="J972" s="6"/>
    </row>
    <row r="973" spans="7:10" x14ac:dyDescent="0.35">
      <c r="G973" s="2"/>
      <c r="H973" s="2"/>
      <c r="I973" s="3"/>
      <c r="J973" s="6"/>
    </row>
    <row r="974" spans="7:10" x14ac:dyDescent="0.35">
      <c r="G974" s="2"/>
      <c r="H974" s="2"/>
      <c r="I974" s="3"/>
      <c r="J974" s="6"/>
    </row>
    <row r="975" spans="7:10" x14ac:dyDescent="0.35">
      <c r="G975" s="2"/>
      <c r="H975" s="2"/>
      <c r="I975" s="3"/>
      <c r="J975" s="6"/>
    </row>
    <row r="976" spans="7:10" x14ac:dyDescent="0.35">
      <c r="G976" s="2"/>
      <c r="H976" s="2"/>
      <c r="I976" s="3"/>
      <c r="J976" s="6"/>
    </row>
    <row r="977" spans="7:10" x14ac:dyDescent="0.35">
      <c r="G977" s="2"/>
      <c r="H977" s="2"/>
      <c r="I977" s="3"/>
      <c r="J977" s="6"/>
    </row>
    <row r="978" spans="7:10" x14ac:dyDescent="0.35">
      <c r="G978" s="2"/>
      <c r="H978" s="2"/>
      <c r="I978" s="3"/>
      <c r="J978" s="6"/>
    </row>
    <row r="979" spans="7:10" x14ac:dyDescent="0.35">
      <c r="G979" s="2"/>
      <c r="H979" s="2"/>
      <c r="I979" s="3"/>
      <c r="J979" s="6"/>
    </row>
    <row r="980" spans="7:10" x14ac:dyDescent="0.35">
      <c r="G980" s="2"/>
      <c r="H980" s="2"/>
      <c r="I980" s="3"/>
      <c r="J980" s="6"/>
    </row>
    <row r="981" spans="7:10" x14ac:dyDescent="0.35">
      <c r="G981" s="2"/>
      <c r="H981" s="2"/>
      <c r="I981" s="3"/>
      <c r="J981" s="6"/>
    </row>
    <row r="982" spans="7:10" x14ac:dyDescent="0.35">
      <c r="G982" s="2"/>
      <c r="H982" s="2"/>
      <c r="I982" s="3"/>
      <c r="J982" s="6"/>
    </row>
    <row r="983" spans="7:10" x14ac:dyDescent="0.35">
      <c r="G983" s="2"/>
      <c r="H983" s="2"/>
      <c r="I983" s="3"/>
      <c r="J983" s="6"/>
    </row>
    <row r="984" spans="7:10" x14ac:dyDescent="0.35">
      <c r="G984" s="2"/>
      <c r="H984" s="2"/>
      <c r="I984" s="3"/>
      <c r="J984" s="6"/>
    </row>
    <row r="985" spans="7:10" x14ac:dyDescent="0.35">
      <c r="G985" s="2"/>
      <c r="H985" s="2"/>
      <c r="I985" s="3"/>
      <c r="J985" s="6"/>
    </row>
    <row r="986" spans="7:10" x14ac:dyDescent="0.35">
      <c r="G986" s="2"/>
      <c r="H986" s="2"/>
      <c r="I986" s="3"/>
      <c r="J986" s="6"/>
    </row>
    <row r="987" spans="7:10" x14ac:dyDescent="0.35">
      <c r="G987" s="2"/>
      <c r="H987" s="2"/>
      <c r="I987" s="3"/>
      <c r="J987" s="6"/>
    </row>
    <row r="988" spans="7:10" x14ac:dyDescent="0.35">
      <c r="G988" s="2"/>
      <c r="H988" s="2"/>
      <c r="I988" s="3"/>
      <c r="J988" s="6"/>
    </row>
    <row r="989" spans="7:10" x14ac:dyDescent="0.35">
      <c r="G989" s="2"/>
      <c r="H989" s="2"/>
      <c r="I989" s="3"/>
      <c r="J989" s="6"/>
    </row>
    <row r="990" spans="7:10" x14ac:dyDescent="0.35">
      <c r="G990" s="2"/>
      <c r="H990" s="2"/>
      <c r="I990" s="3"/>
      <c r="J990" s="6"/>
    </row>
    <row r="991" spans="7:10" x14ac:dyDescent="0.35">
      <c r="G991" s="2"/>
      <c r="H991" s="2"/>
      <c r="I991" s="3"/>
      <c r="J991" s="6"/>
    </row>
    <row r="992" spans="7:10" x14ac:dyDescent="0.35">
      <c r="G992" s="2"/>
      <c r="H992" s="2"/>
      <c r="I992" s="3"/>
      <c r="J992" s="6"/>
    </row>
    <row r="993" spans="7:10" x14ac:dyDescent="0.35">
      <c r="G993" s="2"/>
      <c r="H993" s="2"/>
      <c r="I993" s="3"/>
      <c r="J993" s="6"/>
    </row>
    <row r="994" spans="7:10" x14ac:dyDescent="0.35">
      <c r="G994" s="2"/>
      <c r="H994" s="2"/>
      <c r="I994" s="3"/>
      <c r="J994" s="6"/>
    </row>
    <row r="995" spans="7:10" x14ac:dyDescent="0.35">
      <c r="G995" s="2"/>
      <c r="H995" s="2"/>
      <c r="I995" s="3"/>
      <c r="J995" s="6"/>
    </row>
    <row r="996" spans="7:10" x14ac:dyDescent="0.35">
      <c r="G996" s="2"/>
      <c r="H996" s="2"/>
      <c r="I996" s="3"/>
      <c r="J996" s="6"/>
    </row>
    <row r="997" spans="7:10" x14ac:dyDescent="0.35">
      <c r="G997" s="2"/>
      <c r="H997" s="2"/>
      <c r="I997" s="3"/>
      <c r="J997" s="6"/>
    </row>
    <row r="998" spans="7:10" x14ac:dyDescent="0.35">
      <c r="G998" s="2"/>
      <c r="H998" s="2"/>
      <c r="I998" s="3"/>
      <c r="J998" s="6"/>
    </row>
    <row r="999" spans="7:10" x14ac:dyDescent="0.35">
      <c r="G999" s="2"/>
      <c r="H999" s="2"/>
      <c r="I999" s="3"/>
      <c r="J999" s="6"/>
    </row>
    <row r="1000" spans="7:10" x14ac:dyDescent="0.35">
      <c r="G1000" s="2"/>
      <c r="H1000" s="2"/>
      <c r="I1000" s="3"/>
      <c r="J1000" s="6"/>
    </row>
    <row r="1001" spans="7:10" x14ac:dyDescent="0.35">
      <c r="G1001" s="2"/>
      <c r="H1001" s="2"/>
      <c r="I1001" s="3"/>
      <c r="J1001" s="6"/>
    </row>
    <row r="1002" spans="7:10" x14ac:dyDescent="0.35">
      <c r="G1002" s="2"/>
      <c r="H1002" s="2"/>
      <c r="I1002" s="3"/>
      <c r="J1002" s="6"/>
    </row>
    <row r="1003" spans="7:10" x14ac:dyDescent="0.35">
      <c r="G1003" s="2"/>
      <c r="H1003" s="2"/>
      <c r="I1003" s="3"/>
      <c r="J1003" s="6"/>
    </row>
    <row r="1004" spans="7:10" x14ac:dyDescent="0.35">
      <c r="G1004" s="2"/>
      <c r="H1004" s="2"/>
      <c r="I1004" s="3"/>
      <c r="J1004" s="6"/>
    </row>
    <row r="1005" spans="7:10" x14ac:dyDescent="0.35">
      <c r="G1005" s="2"/>
      <c r="H1005" s="2"/>
      <c r="I1005" s="3"/>
      <c r="J1005" s="6"/>
    </row>
    <row r="1006" spans="7:10" x14ac:dyDescent="0.35">
      <c r="G1006" s="2"/>
      <c r="H1006" s="2"/>
      <c r="I1006" s="3"/>
      <c r="J1006" s="6"/>
    </row>
    <row r="1007" spans="7:10" x14ac:dyDescent="0.35">
      <c r="G1007" s="2"/>
      <c r="H1007" s="2"/>
      <c r="I1007" s="3"/>
      <c r="J1007" s="6"/>
    </row>
    <row r="1008" spans="7:10" x14ac:dyDescent="0.35">
      <c r="G1008" s="2"/>
      <c r="H1008" s="2"/>
      <c r="I1008" s="3"/>
      <c r="J1008" s="6"/>
    </row>
    <row r="1009" spans="7:10" x14ac:dyDescent="0.35">
      <c r="G1009" s="2"/>
      <c r="H1009" s="2"/>
      <c r="I1009" s="3"/>
      <c r="J1009" s="6"/>
    </row>
    <row r="1010" spans="7:10" x14ac:dyDescent="0.35">
      <c r="G1010" s="2"/>
      <c r="H1010" s="2"/>
      <c r="I1010" s="3"/>
      <c r="J1010" s="6"/>
    </row>
    <row r="1011" spans="7:10" x14ac:dyDescent="0.35">
      <c r="G1011" s="2"/>
      <c r="H1011" s="2"/>
      <c r="I1011" s="3"/>
      <c r="J1011" s="6"/>
    </row>
    <row r="1012" spans="7:10" x14ac:dyDescent="0.35">
      <c r="G1012" s="2"/>
      <c r="H1012" s="2"/>
      <c r="I1012" s="3"/>
      <c r="J1012" s="6"/>
    </row>
    <row r="1013" spans="7:10" x14ac:dyDescent="0.35">
      <c r="G1013" s="2"/>
      <c r="H1013" s="2"/>
      <c r="I1013" s="3"/>
      <c r="J1013" s="6"/>
    </row>
    <row r="1014" spans="7:10" x14ac:dyDescent="0.35">
      <c r="G1014" s="2"/>
      <c r="H1014" s="2"/>
      <c r="I1014" s="3"/>
      <c r="J1014" s="6"/>
    </row>
    <row r="1015" spans="7:10" x14ac:dyDescent="0.35">
      <c r="G1015" s="2"/>
      <c r="H1015" s="2"/>
      <c r="I1015" s="3"/>
      <c r="J1015" s="6"/>
    </row>
    <row r="1016" spans="7:10" x14ac:dyDescent="0.35">
      <c r="G1016" s="2"/>
      <c r="H1016" s="2"/>
      <c r="I1016" s="3"/>
      <c r="J1016" s="6"/>
    </row>
    <row r="1017" spans="7:10" x14ac:dyDescent="0.35">
      <c r="G1017" s="2"/>
      <c r="H1017" s="2"/>
      <c r="I1017" s="3"/>
      <c r="J1017" s="6"/>
    </row>
    <row r="1018" spans="7:10" x14ac:dyDescent="0.35">
      <c r="G1018" s="2"/>
      <c r="H1018" s="2"/>
      <c r="I1018" s="3"/>
      <c r="J1018" s="6"/>
    </row>
    <row r="1019" spans="7:10" x14ac:dyDescent="0.35">
      <c r="G1019" s="2"/>
      <c r="H1019" s="2"/>
      <c r="I1019" s="3"/>
      <c r="J1019" s="6"/>
    </row>
    <row r="1020" spans="7:10" x14ac:dyDescent="0.35">
      <c r="G1020" s="2"/>
      <c r="H1020" s="2"/>
      <c r="I1020" s="3"/>
      <c r="J1020" s="6"/>
    </row>
    <row r="1021" spans="7:10" x14ac:dyDescent="0.35">
      <c r="G1021" s="2"/>
      <c r="H1021" s="2"/>
      <c r="I1021" s="3"/>
      <c r="J1021" s="6"/>
    </row>
    <row r="1022" spans="7:10" x14ac:dyDescent="0.35">
      <c r="G1022" s="2"/>
      <c r="H1022" s="2"/>
      <c r="I1022" s="3"/>
      <c r="J1022" s="6"/>
    </row>
    <row r="1023" spans="7:10" x14ac:dyDescent="0.35">
      <c r="G1023" s="2"/>
      <c r="H1023" s="2"/>
      <c r="I1023" s="3"/>
      <c r="J1023" s="6"/>
    </row>
    <row r="1024" spans="7:10" x14ac:dyDescent="0.35">
      <c r="G1024" s="2"/>
      <c r="H1024" s="2"/>
      <c r="I1024" s="3"/>
      <c r="J1024" s="6"/>
    </row>
    <row r="1025" spans="7:10" x14ac:dyDescent="0.35">
      <c r="G1025" s="2"/>
      <c r="H1025" s="2"/>
      <c r="I1025" s="3"/>
      <c r="J1025" s="6"/>
    </row>
    <row r="1026" spans="7:10" x14ac:dyDescent="0.35">
      <c r="G1026" s="2"/>
      <c r="H1026" s="2"/>
      <c r="I1026" s="3"/>
      <c r="J1026" s="6"/>
    </row>
    <row r="1027" spans="7:10" x14ac:dyDescent="0.35">
      <c r="G1027" s="2"/>
      <c r="H1027" s="2"/>
      <c r="I1027" s="3"/>
      <c r="J1027" s="6"/>
    </row>
    <row r="1028" spans="7:10" x14ac:dyDescent="0.35">
      <c r="G1028" s="2"/>
      <c r="H1028" s="2"/>
      <c r="I1028" s="3"/>
      <c r="J1028" s="6"/>
    </row>
    <row r="1029" spans="7:10" x14ac:dyDescent="0.35">
      <c r="G1029" s="2"/>
      <c r="H1029" s="2"/>
      <c r="I1029" s="3"/>
      <c r="J1029" s="6"/>
    </row>
    <row r="1030" spans="7:10" x14ac:dyDescent="0.35">
      <c r="G1030" s="2"/>
      <c r="H1030" s="2"/>
      <c r="I1030" s="3"/>
      <c r="J1030" s="6"/>
    </row>
    <row r="1031" spans="7:10" x14ac:dyDescent="0.35">
      <c r="G1031" s="2"/>
      <c r="H1031" s="2"/>
      <c r="I1031" s="3"/>
      <c r="J1031" s="6"/>
    </row>
    <row r="1032" spans="7:10" x14ac:dyDescent="0.35">
      <c r="G1032" s="2"/>
      <c r="H1032" s="2"/>
      <c r="I1032" s="3"/>
      <c r="J1032" s="6"/>
    </row>
    <row r="1033" spans="7:10" x14ac:dyDescent="0.35">
      <c r="G1033" s="2"/>
      <c r="H1033" s="2"/>
      <c r="I1033" s="3"/>
      <c r="J1033" s="6"/>
    </row>
    <row r="1034" spans="7:10" x14ac:dyDescent="0.35">
      <c r="G1034" s="2"/>
      <c r="H1034" s="2"/>
      <c r="I1034" s="3"/>
      <c r="J1034" s="6"/>
    </row>
    <row r="1035" spans="7:10" x14ac:dyDescent="0.35">
      <c r="G1035" s="2"/>
      <c r="H1035" s="2"/>
      <c r="I1035" s="3"/>
      <c r="J1035" s="6"/>
    </row>
    <row r="1036" spans="7:10" x14ac:dyDescent="0.35">
      <c r="G1036" s="2"/>
      <c r="H1036" s="2"/>
      <c r="I1036" s="3"/>
      <c r="J1036" s="6"/>
    </row>
    <row r="1037" spans="7:10" x14ac:dyDescent="0.35">
      <c r="G1037" s="2"/>
      <c r="H1037" s="2"/>
      <c r="I1037" s="3"/>
      <c r="J1037" s="6"/>
    </row>
    <row r="1038" spans="7:10" x14ac:dyDescent="0.35">
      <c r="G1038" s="2"/>
      <c r="H1038" s="2"/>
      <c r="I1038" s="3"/>
      <c r="J1038" s="6"/>
    </row>
    <row r="1039" spans="7:10" x14ac:dyDescent="0.35">
      <c r="G1039" s="2"/>
      <c r="H1039" s="2"/>
      <c r="I1039" s="3"/>
      <c r="J1039" s="6"/>
    </row>
    <row r="1040" spans="7:10" x14ac:dyDescent="0.35">
      <c r="G1040" s="2"/>
      <c r="H1040" s="2"/>
      <c r="I1040" s="3"/>
      <c r="J1040" s="6"/>
    </row>
    <row r="1041" spans="7:10" x14ac:dyDescent="0.35">
      <c r="G1041" s="2"/>
      <c r="H1041" s="2"/>
      <c r="I1041" s="3"/>
      <c r="J1041" s="6"/>
    </row>
    <row r="1042" spans="7:10" x14ac:dyDescent="0.35">
      <c r="G1042" s="2"/>
      <c r="H1042" s="2"/>
      <c r="I1042" s="3"/>
      <c r="J1042" s="6"/>
    </row>
    <row r="1043" spans="7:10" x14ac:dyDescent="0.35">
      <c r="G1043" s="2"/>
      <c r="H1043" s="2"/>
      <c r="I1043" s="3"/>
      <c r="J1043" s="6"/>
    </row>
    <row r="1044" spans="7:10" x14ac:dyDescent="0.35">
      <c r="G1044" s="2"/>
      <c r="H1044" s="2"/>
      <c r="I1044" s="3"/>
      <c r="J1044" s="6"/>
    </row>
    <row r="1045" spans="7:10" x14ac:dyDescent="0.35">
      <c r="G1045" s="2"/>
      <c r="H1045" s="2"/>
      <c r="I1045" s="3"/>
      <c r="J1045" s="6"/>
    </row>
    <row r="1046" spans="7:10" x14ac:dyDescent="0.35">
      <c r="G1046" s="2"/>
      <c r="H1046" s="2"/>
      <c r="I1046" s="3"/>
      <c r="J1046" s="6"/>
    </row>
    <row r="1047" spans="7:10" x14ac:dyDescent="0.35">
      <c r="G1047" s="2"/>
      <c r="H1047" s="2"/>
      <c r="I1047" s="3"/>
      <c r="J1047" s="6"/>
    </row>
    <row r="1048" spans="7:10" x14ac:dyDescent="0.35">
      <c r="G1048" s="2"/>
      <c r="H1048" s="2"/>
      <c r="I1048" s="3"/>
      <c r="J1048" s="6"/>
    </row>
    <row r="1049" spans="7:10" x14ac:dyDescent="0.35">
      <c r="G1049" s="2"/>
      <c r="H1049" s="2"/>
      <c r="I1049" s="3"/>
      <c r="J1049" s="6"/>
    </row>
    <row r="1050" spans="7:10" x14ac:dyDescent="0.35">
      <c r="G1050" s="2"/>
      <c r="H1050" s="2"/>
      <c r="I1050" s="3"/>
      <c r="J1050" s="6"/>
    </row>
    <row r="1051" spans="7:10" x14ac:dyDescent="0.35">
      <c r="G1051" s="2"/>
      <c r="H1051" s="2"/>
      <c r="I1051" s="3"/>
      <c r="J1051" s="6"/>
    </row>
    <row r="1052" spans="7:10" x14ac:dyDescent="0.35">
      <c r="G1052" s="2"/>
      <c r="H1052" s="2"/>
      <c r="I1052" s="3"/>
      <c r="J1052" s="6"/>
    </row>
    <row r="1053" spans="7:10" x14ac:dyDescent="0.35">
      <c r="G1053" s="2"/>
      <c r="H1053" s="2"/>
      <c r="I1053" s="3"/>
      <c r="J1053" s="6"/>
    </row>
    <row r="1054" spans="7:10" x14ac:dyDescent="0.35">
      <c r="G1054" s="2"/>
      <c r="H1054" s="2"/>
      <c r="I1054" s="3"/>
      <c r="J1054" s="6"/>
    </row>
    <row r="1055" spans="7:10" x14ac:dyDescent="0.35">
      <c r="G1055" s="2"/>
      <c r="H1055" s="2"/>
      <c r="I1055" s="3"/>
      <c r="J1055" s="6"/>
    </row>
    <row r="1056" spans="7:10" x14ac:dyDescent="0.35">
      <c r="G1056" s="2"/>
      <c r="H1056" s="2"/>
      <c r="I1056" s="3"/>
      <c r="J1056" s="6"/>
    </row>
    <row r="1057" spans="7:10" x14ac:dyDescent="0.35">
      <c r="G1057" s="2"/>
      <c r="H1057" s="2"/>
      <c r="I1057" s="3"/>
      <c r="J1057" s="6"/>
    </row>
    <row r="1058" spans="7:10" x14ac:dyDescent="0.35">
      <c r="G1058" s="2"/>
      <c r="H1058" s="2"/>
      <c r="I1058" s="3"/>
      <c r="J1058" s="6"/>
    </row>
    <row r="1059" spans="7:10" x14ac:dyDescent="0.35">
      <c r="G1059" s="2"/>
      <c r="H1059" s="2"/>
      <c r="I1059" s="3"/>
      <c r="J1059" s="6"/>
    </row>
    <row r="1060" spans="7:10" x14ac:dyDescent="0.35">
      <c r="G1060" s="2"/>
      <c r="H1060" s="2"/>
      <c r="I1060" s="3"/>
      <c r="J1060" s="6"/>
    </row>
    <row r="1061" spans="7:10" x14ac:dyDescent="0.35">
      <c r="G1061" s="2"/>
      <c r="H1061" s="2"/>
      <c r="I1061" s="3"/>
      <c r="J1061" s="6"/>
    </row>
    <row r="1062" spans="7:10" x14ac:dyDescent="0.35">
      <c r="G1062" s="2"/>
      <c r="H1062" s="2"/>
      <c r="I1062" s="3"/>
      <c r="J1062" s="6"/>
    </row>
    <row r="1063" spans="7:10" x14ac:dyDescent="0.35">
      <c r="G1063" s="2"/>
      <c r="H1063" s="2"/>
      <c r="I1063" s="3"/>
      <c r="J1063" s="6"/>
    </row>
    <row r="1064" spans="7:10" x14ac:dyDescent="0.35">
      <c r="G1064" s="2"/>
      <c r="H1064" s="2"/>
      <c r="I1064" s="3"/>
      <c r="J1064" s="6"/>
    </row>
    <row r="1065" spans="7:10" x14ac:dyDescent="0.35">
      <c r="G1065" s="2"/>
      <c r="H1065" s="2"/>
      <c r="I1065" s="3"/>
      <c r="J1065" s="6"/>
    </row>
    <row r="1066" spans="7:10" x14ac:dyDescent="0.35">
      <c r="G1066" s="2"/>
      <c r="H1066" s="2"/>
      <c r="I1066" s="3"/>
      <c r="J1066" s="6"/>
    </row>
    <row r="1067" spans="7:10" x14ac:dyDescent="0.35">
      <c r="G1067" s="2"/>
      <c r="H1067" s="2"/>
      <c r="I1067" s="3"/>
      <c r="J1067" s="6"/>
    </row>
    <row r="1068" spans="7:10" x14ac:dyDescent="0.35">
      <c r="G1068" s="2"/>
      <c r="H1068" s="2"/>
      <c r="I1068" s="3"/>
      <c r="J1068" s="6"/>
    </row>
    <row r="1069" spans="7:10" x14ac:dyDescent="0.35">
      <c r="G1069" s="2"/>
      <c r="H1069" s="2"/>
      <c r="I1069" s="3"/>
      <c r="J1069" s="6"/>
    </row>
    <row r="1070" spans="7:10" x14ac:dyDescent="0.35">
      <c r="G1070" s="2"/>
      <c r="H1070" s="2"/>
      <c r="I1070" s="3"/>
      <c r="J1070" s="6"/>
    </row>
    <row r="1071" spans="7:10" x14ac:dyDescent="0.35">
      <c r="G1071" s="2"/>
      <c r="H1071" s="2"/>
      <c r="I1071" s="3"/>
      <c r="J1071" s="6"/>
    </row>
    <row r="1072" spans="7:10" x14ac:dyDescent="0.35">
      <c r="G1072" s="2"/>
      <c r="H1072" s="2"/>
      <c r="I1072" s="3"/>
      <c r="J1072" s="6"/>
    </row>
    <row r="1073" spans="7:10" x14ac:dyDescent="0.35">
      <c r="G1073" s="2"/>
      <c r="H1073" s="2"/>
      <c r="I1073" s="3"/>
      <c r="J1073" s="6"/>
    </row>
    <row r="1074" spans="7:10" x14ac:dyDescent="0.35">
      <c r="G1074" s="2"/>
      <c r="H1074" s="2"/>
      <c r="I1074" s="3"/>
      <c r="J1074" s="6"/>
    </row>
    <row r="1075" spans="7:10" x14ac:dyDescent="0.35">
      <c r="G1075" s="2"/>
      <c r="H1075" s="2"/>
      <c r="I1075" s="3"/>
      <c r="J1075" s="6"/>
    </row>
    <row r="1076" spans="7:10" x14ac:dyDescent="0.35">
      <c r="G1076" s="2"/>
      <c r="H1076" s="2"/>
      <c r="I1076" s="3"/>
      <c r="J1076" s="6"/>
    </row>
    <row r="1077" spans="7:10" x14ac:dyDescent="0.35">
      <c r="G1077" s="2"/>
      <c r="H1077" s="2"/>
      <c r="I1077" s="3"/>
      <c r="J1077" s="6"/>
    </row>
    <row r="1078" spans="7:10" x14ac:dyDescent="0.35">
      <c r="G1078" s="2"/>
      <c r="H1078" s="2"/>
      <c r="I1078" s="3"/>
      <c r="J1078" s="6"/>
    </row>
    <row r="1079" spans="7:10" x14ac:dyDescent="0.35">
      <c r="G1079" s="2"/>
      <c r="H1079" s="2"/>
      <c r="I1079" s="3"/>
      <c r="J1079" s="6"/>
    </row>
    <row r="1080" spans="7:10" x14ac:dyDescent="0.35">
      <c r="G1080" s="2"/>
      <c r="H1080" s="2"/>
      <c r="I1080" s="3"/>
      <c r="J1080" s="6"/>
    </row>
    <row r="1081" spans="7:10" x14ac:dyDescent="0.35">
      <c r="G1081" s="2"/>
      <c r="H1081" s="2"/>
      <c r="I1081" s="3"/>
      <c r="J1081" s="6"/>
    </row>
    <row r="1082" spans="7:10" x14ac:dyDescent="0.35">
      <c r="G1082" s="2"/>
      <c r="H1082" s="2"/>
      <c r="I1082" s="3"/>
      <c r="J1082" s="6"/>
    </row>
    <row r="1083" spans="7:10" x14ac:dyDescent="0.35">
      <c r="G1083" s="2"/>
      <c r="H1083" s="2"/>
      <c r="I1083" s="3"/>
      <c r="J1083" s="6"/>
    </row>
    <row r="1084" spans="7:10" x14ac:dyDescent="0.35">
      <c r="G1084" s="2"/>
      <c r="H1084" s="2"/>
      <c r="I1084" s="3"/>
      <c r="J1084" s="6"/>
    </row>
    <row r="1085" spans="7:10" x14ac:dyDescent="0.35">
      <c r="G1085" s="2"/>
      <c r="H1085" s="2"/>
      <c r="I1085" s="3"/>
      <c r="J1085" s="6"/>
    </row>
    <row r="1086" spans="7:10" x14ac:dyDescent="0.35">
      <c r="G1086" s="2"/>
      <c r="H1086" s="2"/>
      <c r="I1086" s="3"/>
      <c r="J1086" s="6"/>
    </row>
    <row r="1087" spans="7:10" x14ac:dyDescent="0.35">
      <c r="G1087" s="2"/>
      <c r="H1087" s="2"/>
      <c r="I1087" s="3"/>
      <c r="J1087" s="6"/>
    </row>
    <row r="1088" spans="7:10" x14ac:dyDescent="0.35">
      <c r="G1088" s="2"/>
      <c r="H1088" s="2"/>
      <c r="I1088" s="3"/>
      <c r="J1088" s="6"/>
    </row>
    <row r="1089" spans="7:10" x14ac:dyDescent="0.35">
      <c r="G1089" s="2"/>
      <c r="H1089" s="2"/>
      <c r="I1089" s="3"/>
      <c r="J1089" s="6"/>
    </row>
    <row r="1090" spans="7:10" x14ac:dyDescent="0.35">
      <c r="G1090" s="2"/>
      <c r="H1090" s="2"/>
      <c r="I1090" s="3"/>
      <c r="J1090" s="6"/>
    </row>
    <row r="1091" spans="7:10" x14ac:dyDescent="0.35">
      <c r="G1091" s="2"/>
      <c r="H1091" s="2"/>
      <c r="I1091" s="3"/>
      <c r="J1091" s="6"/>
    </row>
    <row r="1092" spans="7:10" x14ac:dyDescent="0.35">
      <c r="G1092" s="2"/>
      <c r="H1092" s="2"/>
      <c r="I1092" s="3"/>
      <c r="J1092" s="6"/>
    </row>
    <row r="1093" spans="7:10" x14ac:dyDescent="0.35">
      <c r="G1093" s="2"/>
      <c r="H1093" s="2"/>
      <c r="I1093" s="3"/>
      <c r="J1093" s="6"/>
    </row>
    <row r="1094" spans="7:10" x14ac:dyDescent="0.35">
      <c r="G1094" s="2"/>
      <c r="H1094" s="2"/>
      <c r="I1094" s="3"/>
      <c r="J1094" s="6"/>
    </row>
    <row r="1095" spans="7:10" x14ac:dyDescent="0.35">
      <c r="G1095" s="2"/>
      <c r="H1095" s="2"/>
      <c r="I1095" s="3"/>
      <c r="J1095" s="6"/>
    </row>
    <row r="1096" spans="7:10" x14ac:dyDescent="0.35">
      <c r="G1096" s="2"/>
      <c r="H1096" s="2"/>
      <c r="I1096" s="3"/>
      <c r="J1096" s="6"/>
    </row>
    <row r="1097" spans="7:10" x14ac:dyDescent="0.35">
      <c r="G1097" s="2"/>
      <c r="H1097" s="2"/>
      <c r="I1097" s="3"/>
      <c r="J1097" s="6"/>
    </row>
    <row r="1098" spans="7:10" x14ac:dyDescent="0.35">
      <c r="G1098" s="2"/>
      <c r="H1098" s="2"/>
      <c r="I1098" s="3"/>
      <c r="J1098" s="6"/>
    </row>
    <row r="1099" spans="7:10" x14ac:dyDescent="0.35">
      <c r="G1099" s="2"/>
      <c r="H1099" s="2"/>
      <c r="I1099" s="3"/>
      <c r="J1099" s="6"/>
    </row>
    <row r="1100" spans="7:10" x14ac:dyDescent="0.35">
      <c r="G1100" s="2"/>
      <c r="H1100" s="2"/>
      <c r="I1100" s="3"/>
      <c r="J1100" s="6"/>
    </row>
    <row r="1101" spans="7:10" x14ac:dyDescent="0.35">
      <c r="G1101" s="2"/>
      <c r="H1101" s="2"/>
      <c r="I1101" s="3"/>
      <c r="J1101" s="6"/>
    </row>
    <row r="1102" spans="7:10" x14ac:dyDescent="0.35">
      <c r="G1102" s="2"/>
      <c r="H1102" s="2"/>
      <c r="I1102" s="3"/>
      <c r="J1102" s="6"/>
    </row>
    <row r="1103" spans="7:10" x14ac:dyDescent="0.35">
      <c r="G1103" s="2"/>
      <c r="H1103" s="2"/>
      <c r="I1103" s="3"/>
      <c r="J1103" s="6"/>
    </row>
    <row r="1104" spans="7:10" x14ac:dyDescent="0.35">
      <c r="G1104" s="2"/>
      <c r="H1104" s="2"/>
      <c r="I1104" s="3"/>
      <c r="J1104" s="6"/>
    </row>
    <row r="1105" spans="7:10" x14ac:dyDescent="0.35">
      <c r="G1105" s="2"/>
      <c r="H1105" s="2"/>
      <c r="I1105" s="3"/>
      <c r="J1105" s="6"/>
    </row>
    <row r="1106" spans="7:10" x14ac:dyDescent="0.35">
      <c r="G1106" s="2"/>
      <c r="H1106" s="2"/>
      <c r="I1106" s="3"/>
      <c r="J1106" s="6"/>
    </row>
    <row r="1107" spans="7:10" x14ac:dyDescent="0.35">
      <c r="G1107" s="2"/>
      <c r="H1107" s="2"/>
      <c r="I1107" s="3"/>
      <c r="J1107" s="6"/>
    </row>
    <row r="1108" spans="7:10" x14ac:dyDescent="0.35">
      <c r="G1108" s="2"/>
      <c r="H1108" s="2"/>
      <c r="I1108" s="3"/>
      <c r="J1108" s="6"/>
    </row>
    <row r="1109" spans="7:10" x14ac:dyDescent="0.35">
      <c r="G1109" s="2"/>
      <c r="H1109" s="2"/>
      <c r="I1109" s="3"/>
      <c r="J1109" s="6"/>
    </row>
    <row r="1110" spans="7:10" x14ac:dyDescent="0.35">
      <c r="G1110" s="2"/>
      <c r="H1110" s="2"/>
      <c r="I1110" s="3"/>
      <c r="J1110" s="6"/>
    </row>
    <row r="1111" spans="7:10" x14ac:dyDescent="0.35">
      <c r="G1111" s="2"/>
      <c r="H1111" s="2"/>
      <c r="I1111" s="3"/>
      <c r="J1111" s="6"/>
    </row>
    <row r="1112" spans="7:10" x14ac:dyDescent="0.35">
      <c r="G1112" s="2"/>
      <c r="H1112" s="2"/>
      <c r="I1112" s="3"/>
      <c r="J1112" s="6"/>
    </row>
    <row r="1113" spans="7:10" x14ac:dyDescent="0.35">
      <c r="G1113" s="2"/>
      <c r="H1113" s="2"/>
      <c r="I1113" s="3"/>
      <c r="J1113" s="6"/>
    </row>
    <row r="1114" spans="7:10" x14ac:dyDescent="0.35">
      <c r="G1114" s="2"/>
      <c r="H1114" s="2"/>
      <c r="I1114" s="3"/>
      <c r="J1114" s="6"/>
    </row>
    <row r="1115" spans="7:10" x14ac:dyDescent="0.35">
      <c r="G1115" s="2"/>
      <c r="H1115" s="2"/>
      <c r="I1115" s="3"/>
      <c r="J1115" s="6"/>
    </row>
    <row r="1116" spans="7:10" x14ac:dyDescent="0.35">
      <c r="G1116" s="2"/>
      <c r="H1116" s="2"/>
      <c r="I1116" s="3"/>
      <c r="J1116" s="6"/>
    </row>
    <row r="1117" spans="7:10" x14ac:dyDescent="0.35">
      <c r="G1117" s="2"/>
      <c r="H1117" s="2"/>
      <c r="I1117" s="3"/>
      <c r="J1117" s="6"/>
    </row>
    <row r="1118" spans="7:10" x14ac:dyDescent="0.35">
      <c r="G1118" s="2"/>
      <c r="H1118" s="2"/>
      <c r="I1118" s="3"/>
      <c r="J1118" s="6"/>
    </row>
    <row r="1119" spans="7:10" x14ac:dyDescent="0.35">
      <c r="G1119" s="2"/>
      <c r="H1119" s="2"/>
      <c r="I1119" s="3"/>
      <c r="J1119" s="6"/>
    </row>
    <row r="1120" spans="7:10" x14ac:dyDescent="0.35">
      <c r="G1120" s="2"/>
      <c r="H1120" s="2"/>
      <c r="I1120" s="3"/>
      <c r="J1120" s="6"/>
    </row>
    <row r="1121" spans="7:10" x14ac:dyDescent="0.35">
      <c r="G1121" s="2"/>
      <c r="H1121" s="2"/>
      <c r="I1121" s="3"/>
      <c r="J1121" s="6"/>
    </row>
    <row r="1122" spans="7:10" x14ac:dyDescent="0.35">
      <c r="G1122" s="2"/>
      <c r="H1122" s="2"/>
      <c r="I1122" s="3"/>
      <c r="J1122" s="6"/>
    </row>
    <row r="1123" spans="7:10" x14ac:dyDescent="0.35">
      <c r="G1123" s="2"/>
      <c r="H1123" s="2"/>
      <c r="I1123" s="3"/>
      <c r="J1123" s="6"/>
    </row>
    <row r="1124" spans="7:10" x14ac:dyDescent="0.35">
      <c r="G1124" s="2"/>
      <c r="H1124" s="2"/>
      <c r="I1124" s="3"/>
      <c r="J1124" s="6"/>
    </row>
    <row r="1125" spans="7:10" x14ac:dyDescent="0.35">
      <c r="G1125" s="2"/>
      <c r="H1125" s="2"/>
      <c r="I1125" s="3"/>
      <c r="J1125" s="6"/>
    </row>
    <row r="1126" spans="7:10" x14ac:dyDescent="0.35">
      <c r="G1126" s="2"/>
      <c r="H1126" s="2"/>
      <c r="I1126" s="3"/>
      <c r="J1126" s="6"/>
    </row>
    <row r="1127" spans="7:10" x14ac:dyDescent="0.35">
      <c r="G1127" s="2"/>
      <c r="H1127" s="2"/>
      <c r="I1127" s="3"/>
      <c r="J1127" s="6"/>
    </row>
    <row r="1128" spans="7:10" x14ac:dyDescent="0.35">
      <c r="G1128" s="2"/>
      <c r="H1128" s="2"/>
      <c r="I1128" s="3"/>
      <c r="J1128" s="6"/>
    </row>
    <row r="1129" spans="7:10" x14ac:dyDescent="0.35">
      <c r="G1129" s="2"/>
      <c r="H1129" s="2"/>
      <c r="I1129" s="3"/>
      <c r="J1129" s="6"/>
    </row>
    <row r="1130" spans="7:10" x14ac:dyDescent="0.35">
      <c r="G1130" s="2"/>
      <c r="H1130" s="2"/>
      <c r="I1130" s="3"/>
      <c r="J1130" s="6"/>
    </row>
    <row r="1131" spans="7:10" x14ac:dyDescent="0.35">
      <c r="G1131" s="2"/>
      <c r="H1131" s="2"/>
      <c r="I1131" s="3"/>
      <c r="J1131" s="6"/>
    </row>
    <row r="1132" spans="7:10" x14ac:dyDescent="0.35">
      <c r="G1132" s="2"/>
      <c r="H1132" s="2"/>
      <c r="I1132" s="3"/>
      <c r="J1132" s="6"/>
    </row>
    <row r="1133" spans="7:10" x14ac:dyDescent="0.35">
      <c r="G1133" s="2"/>
      <c r="H1133" s="2"/>
      <c r="I1133" s="3"/>
      <c r="J1133" s="6"/>
    </row>
    <row r="1134" spans="7:10" x14ac:dyDescent="0.35">
      <c r="G1134" s="2"/>
      <c r="H1134" s="2"/>
      <c r="I1134" s="3"/>
      <c r="J1134" s="6"/>
    </row>
    <row r="1135" spans="7:10" x14ac:dyDescent="0.35">
      <c r="G1135" s="2"/>
      <c r="H1135" s="2"/>
      <c r="I1135" s="3"/>
      <c r="J1135" s="6"/>
    </row>
    <row r="1136" spans="7:10" x14ac:dyDescent="0.35">
      <c r="G1136" s="2"/>
      <c r="H1136" s="2"/>
      <c r="I1136" s="3"/>
      <c r="J1136" s="6"/>
    </row>
    <row r="1137" spans="7:10" x14ac:dyDescent="0.35">
      <c r="G1137" s="2"/>
      <c r="H1137" s="2"/>
      <c r="I1137" s="3"/>
      <c r="J1137" s="6"/>
    </row>
    <row r="1138" spans="7:10" x14ac:dyDescent="0.35">
      <c r="G1138" s="2"/>
      <c r="H1138" s="2"/>
      <c r="I1138" s="3"/>
      <c r="J1138" s="6"/>
    </row>
    <row r="1139" spans="7:10" x14ac:dyDescent="0.35">
      <c r="G1139" s="2"/>
      <c r="H1139" s="2"/>
      <c r="I1139" s="3"/>
      <c r="J1139" s="6"/>
    </row>
    <row r="1140" spans="7:10" x14ac:dyDescent="0.35">
      <c r="G1140" s="2"/>
      <c r="H1140" s="2"/>
      <c r="I1140" s="3"/>
      <c r="J1140" s="6"/>
    </row>
    <row r="1141" spans="7:10" x14ac:dyDescent="0.35">
      <c r="G1141" s="2"/>
      <c r="H1141" s="2"/>
      <c r="I1141" s="3"/>
      <c r="J1141" s="6"/>
    </row>
    <row r="1142" spans="7:10" x14ac:dyDescent="0.35">
      <c r="G1142" s="2"/>
      <c r="H1142" s="2"/>
      <c r="I1142" s="3"/>
      <c r="J1142" s="6"/>
    </row>
    <row r="1143" spans="7:10" x14ac:dyDescent="0.35">
      <c r="G1143" s="2"/>
      <c r="H1143" s="2"/>
      <c r="I1143" s="3"/>
      <c r="J1143" s="6"/>
    </row>
    <row r="1144" spans="7:10" x14ac:dyDescent="0.35">
      <c r="G1144" s="2"/>
      <c r="H1144" s="2"/>
      <c r="I1144" s="3"/>
      <c r="J1144" s="6"/>
    </row>
    <row r="1145" spans="7:10" x14ac:dyDescent="0.35">
      <c r="G1145" s="2"/>
      <c r="H1145" s="2"/>
      <c r="I1145" s="3"/>
      <c r="J1145" s="6"/>
    </row>
    <row r="1146" spans="7:10" x14ac:dyDescent="0.35">
      <c r="G1146" s="2"/>
      <c r="H1146" s="2"/>
      <c r="I1146" s="3"/>
      <c r="J1146" s="6"/>
    </row>
    <row r="1147" spans="7:10" x14ac:dyDescent="0.35">
      <c r="G1147" s="2"/>
      <c r="H1147" s="2"/>
      <c r="I1147" s="3"/>
      <c r="J1147" s="6"/>
    </row>
    <row r="1148" spans="7:10" x14ac:dyDescent="0.35">
      <c r="G1148" s="2"/>
      <c r="H1148" s="2"/>
      <c r="I1148" s="3"/>
      <c r="J1148" s="6"/>
    </row>
    <row r="1149" spans="7:10" x14ac:dyDescent="0.35">
      <c r="G1149" s="2"/>
      <c r="H1149" s="2"/>
      <c r="I1149" s="3"/>
      <c r="J1149" s="6"/>
    </row>
    <row r="1150" spans="7:10" x14ac:dyDescent="0.35">
      <c r="G1150" s="2"/>
      <c r="H1150" s="2"/>
      <c r="I1150" s="3"/>
      <c r="J1150" s="6"/>
    </row>
    <row r="1151" spans="7:10" x14ac:dyDescent="0.35">
      <c r="G1151" s="2"/>
      <c r="H1151" s="2"/>
      <c r="I1151" s="3"/>
      <c r="J1151" s="6"/>
    </row>
    <row r="1152" spans="7:10" x14ac:dyDescent="0.35">
      <c r="G1152" s="2"/>
      <c r="H1152" s="2"/>
      <c r="I1152" s="3"/>
      <c r="J1152" s="6"/>
    </row>
    <row r="1153" spans="7:10" x14ac:dyDescent="0.35">
      <c r="G1153" s="2"/>
      <c r="H1153" s="2"/>
      <c r="I1153" s="3"/>
      <c r="J1153" s="6"/>
    </row>
    <row r="1154" spans="7:10" x14ac:dyDescent="0.35">
      <c r="G1154" s="2"/>
      <c r="H1154" s="2"/>
      <c r="I1154" s="3"/>
      <c r="J1154" s="6"/>
    </row>
    <row r="1155" spans="7:10" x14ac:dyDescent="0.35">
      <c r="G1155" s="2"/>
      <c r="H1155" s="2"/>
      <c r="I1155" s="3"/>
      <c r="J1155" s="6"/>
    </row>
    <row r="1156" spans="7:10" x14ac:dyDescent="0.35">
      <c r="G1156" s="2"/>
      <c r="H1156" s="2"/>
      <c r="I1156" s="3"/>
      <c r="J1156" s="6"/>
    </row>
    <row r="1157" spans="7:10" x14ac:dyDescent="0.35">
      <c r="G1157" s="2"/>
      <c r="H1157" s="2"/>
      <c r="I1157" s="3"/>
      <c r="J1157" s="6"/>
    </row>
    <row r="1158" spans="7:10" x14ac:dyDescent="0.35">
      <c r="G1158" s="2"/>
      <c r="H1158" s="2"/>
      <c r="I1158" s="3"/>
      <c r="J1158" s="6"/>
    </row>
    <row r="1159" spans="7:10" x14ac:dyDescent="0.35">
      <c r="G1159" s="2"/>
      <c r="H1159" s="2"/>
      <c r="I1159" s="3"/>
      <c r="J1159" s="6"/>
    </row>
    <row r="1160" spans="7:10" x14ac:dyDescent="0.35">
      <c r="G1160" s="2"/>
      <c r="H1160" s="2"/>
      <c r="I1160" s="3"/>
      <c r="J1160" s="6"/>
    </row>
    <row r="1161" spans="7:10" x14ac:dyDescent="0.35">
      <c r="G1161" s="2"/>
      <c r="H1161" s="2"/>
      <c r="I1161" s="3"/>
      <c r="J1161" s="6"/>
    </row>
    <row r="1162" spans="7:10" x14ac:dyDescent="0.35">
      <c r="G1162" s="2"/>
      <c r="H1162" s="2"/>
      <c r="I1162" s="3"/>
      <c r="J1162" s="6"/>
    </row>
    <row r="1163" spans="7:10" x14ac:dyDescent="0.35">
      <c r="G1163" s="2"/>
      <c r="H1163" s="2"/>
      <c r="I1163" s="3"/>
      <c r="J1163" s="6"/>
    </row>
    <row r="1164" spans="7:10" x14ac:dyDescent="0.35">
      <c r="G1164" s="2"/>
      <c r="H1164" s="2"/>
      <c r="I1164" s="3"/>
      <c r="J1164" s="6"/>
    </row>
    <row r="1165" spans="7:10" x14ac:dyDescent="0.35">
      <c r="G1165" s="2"/>
      <c r="H1165" s="2"/>
      <c r="I1165" s="3"/>
      <c r="J1165" s="6"/>
    </row>
    <row r="1166" spans="7:10" x14ac:dyDescent="0.35">
      <c r="G1166" s="2"/>
      <c r="H1166" s="2"/>
      <c r="I1166" s="3"/>
      <c r="J1166" s="6"/>
    </row>
    <row r="1167" spans="7:10" x14ac:dyDescent="0.35">
      <c r="G1167" s="2"/>
      <c r="H1167" s="2"/>
      <c r="I1167" s="3"/>
      <c r="J1167" s="6"/>
    </row>
    <row r="1168" spans="7:10" x14ac:dyDescent="0.35">
      <c r="G1168" s="2"/>
      <c r="H1168" s="2"/>
      <c r="I1168" s="3"/>
      <c r="J1168" s="6"/>
    </row>
    <row r="1169" spans="7:10" x14ac:dyDescent="0.35">
      <c r="G1169" s="2"/>
      <c r="H1169" s="2"/>
      <c r="I1169" s="3"/>
      <c r="J1169" s="6"/>
    </row>
    <row r="1170" spans="7:10" x14ac:dyDescent="0.35">
      <c r="G1170" s="2"/>
      <c r="H1170" s="2"/>
      <c r="I1170" s="3"/>
      <c r="J1170" s="6"/>
    </row>
    <row r="1171" spans="7:10" x14ac:dyDescent="0.35">
      <c r="G1171" s="2"/>
      <c r="H1171" s="2"/>
      <c r="I1171" s="3"/>
      <c r="J1171" s="6"/>
    </row>
    <row r="1172" spans="7:10" x14ac:dyDescent="0.35">
      <c r="G1172" s="2"/>
      <c r="H1172" s="2"/>
      <c r="I1172" s="3"/>
      <c r="J1172" s="6"/>
    </row>
    <row r="1173" spans="7:10" x14ac:dyDescent="0.35">
      <c r="G1173" s="2"/>
      <c r="H1173" s="2"/>
      <c r="I1173" s="3"/>
      <c r="J1173" s="6"/>
    </row>
    <row r="1174" spans="7:10" x14ac:dyDescent="0.35">
      <c r="G1174" s="2"/>
      <c r="H1174" s="2"/>
      <c r="I1174" s="3"/>
      <c r="J1174" s="6"/>
    </row>
    <row r="1175" spans="7:10" x14ac:dyDescent="0.35">
      <c r="G1175" s="2"/>
      <c r="H1175" s="2"/>
      <c r="I1175" s="3"/>
      <c r="J1175" s="6"/>
    </row>
    <row r="1176" spans="7:10" x14ac:dyDescent="0.35">
      <c r="G1176" s="2"/>
      <c r="H1176" s="2"/>
      <c r="I1176" s="3"/>
      <c r="J1176" s="6"/>
    </row>
    <row r="1177" spans="7:10" x14ac:dyDescent="0.35">
      <c r="G1177" s="2"/>
      <c r="H1177" s="2"/>
      <c r="I1177" s="3"/>
      <c r="J1177" s="6"/>
    </row>
    <row r="1178" spans="7:10" x14ac:dyDescent="0.35">
      <c r="G1178" s="2"/>
      <c r="H1178" s="2"/>
      <c r="I1178" s="3"/>
      <c r="J1178" s="6"/>
    </row>
    <row r="1179" spans="7:10" x14ac:dyDescent="0.35">
      <c r="G1179" s="2"/>
      <c r="H1179" s="2"/>
      <c r="I1179" s="3"/>
      <c r="J1179" s="6"/>
    </row>
    <row r="1180" spans="7:10" x14ac:dyDescent="0.35">
      <c r="G1180" s="2"/>
      <c r="H1180" s="2"/>
      <c r="I1180" s="3"/>
      <c r="J1180" s="6"/>
    </row>
    <row r="1181" spans="7:10" x14ac:dyDescent="0.35">
      <c r="G1181" s="2"/>
      <c r="H1181" s="2"/>
      <c r="I1181" s="3"/>
      <c r="J1181" s="6"/>
    </row>
    <row r="1182" spans="7:10" x14ac:dyDescent="0.35">
      <c r="G1182" s="2"/>
      <c r="H1182" s="2"/>
      <c r="I1182" s="3"/>
      <c r="J1182" s="6"/>
    </row>
    <row r="1183" spans="7:10" x14ac:dyDescent="0.35">
      <c r="G1183" s="2"/>
      <c r="H1183" s="2"/>
      <c r="I1183" s="3"/>
      <c r="J1183" s="6"/>
    </row>
    <row r="1184" spans="7:10" x14ac:dyDescent="0.35">
      <c r="G1184" s="2"/>
      <c r="H1184" s="2"/>
      <c r="I1184" s="3"/>
      <c r="J1184" s="6"/>
    </row>
    <row r="1185" spans="7:10" x14ac:dyDescent="0.35">
      <c r="G1185" s="2"/>
      <c r="H1185" s="2"/>
      <c r="I1185" s="3"/>
      <c r="J1185" s="6"/>
    </row>
    <row r="1186" spans="7:10" x14ac:dyDescent="0.35">
      <c r="G1186" s="2"/>
      <c r="H1186" s="2"/>
      <c r="I1186" s="3"/>
      <c r="J1186" s="6"/>
    </row>
    <row r="1187" spans="7:10" x14ac:dyDescent="0.35">
      <c r="G1187" s="2"/>
      <c r="H1187" s="2"/>
      <c r="I1187" s="3"/>
      <c r="J1187" s="6"/>
    </row>
    <row r="1188" spans="7:10" x14ac:dyDescent="0.35">
      <c r="G1188" s="2"/>
      <c r="H1188" s="2"/>
      <c r="I1188" s="3"/>
      <c r="J1188" s="6"/>
    </row>
    <row r="1189" spans="7:10" x14ac:dyDescent="0.35">
      <c r="G1189" s="2"/>
      <c r="H1189" s="2"/>
      <c r="I1189" s="3"/>
      <c r="J1189" s="6"/>
    </row>
    <row r="1190" spans="7:10" x14ac:dyDescent="0.35">
      <c r="G1190" s="2"/>
      <c r="H1190" s="2"/>
      <c r="I1190" s="3"/>
      <c r="J1190" s="6"/>
    </row>
    <row r="1191" spans="7:10" x14ac:dyDescent="0.35">
      <c r="G1191" s="2"/>
      <c r="H1191" s="2"/>
      <c r="I1191" s="3"/>
      <c r="J1191" s="6"/>
    </row>
    <row r="1192" spans="7:10" x14ac:dyDescent="0.35">
      <c r="G1192" s="2"/>
      <c r="H1192" s="2"/>
      <c r="I1192" s="3"/>
      <c r="J1192" s="6"/>
    </row>
    <row r="1193" spans="7:10" x14ac:dyDescent="0.35">
      <c r="G1193" s="2"/>
      <c r="H1193" s="2"/>
      <c r="I1193" s="3"/>
      <c r="J1193" s="6"/>
    </row>
    <row r="1194" spans="7:10" x14ac:dyDescent="0.35">
      <c r="G1194" s="2"/>
      <c r="H1194" s="2"/>
      <c r="I1194" s="3"/>
      <c r="J1194" s="6"/>
    </row>
    <row r="1195" spans="7:10" x14ac:dyDescent="0.35">
      <c r="G1195" s="2"/>
      <c r="H1195" s="2"/>
      <c r="I1195" s="3"/>
      <c r="J1195" s="6"/>
    </row>
    <row r="1196" spans="7:10" x14ac:dyDescent="0.35">
      <c r="G1196" s="2"/>
      <c r="H1196" s="2"/>
      <c r="I1196" s="3"/>
      <c r="J1196" s="6"/>
    </row>
    <row r="1197" spans="7:10" x14ac:dyDescent="0.35">
      <c r="G1197" s="2"/>
      <c r="H1197" s="2"/>
      <c r="I1197" s="3"/>
      <c r="J1197" s="6"/>
    </row>
    <row r="1198" spans="7:10" x14ac:dyDescent="0.35">
      <c r="G1198" s="2"/>
      <c r="H1198" s="2"/>
      <c r="I1198" s="3"/>
      <c r="J1198" s="6"/>
    </row>
    <row r="1199" spans="7:10" x14ac:dyDescent="0.35">
      <c r="G1199" s="2"/>
      <c r="H1199" s="2"/>
      <c r="I1199" s="3"/>
      <c r="J1199" s="6"/>
    </row>
    <row r="1200" spans="7:10" x14ac:dyDescent="0.35">
      <c r="G1200" s="2"/>
      <c r="H1200" s="2"/>
      <c r="I1200" s="3"/>
      <c r="J1200" s="6"/>
    </row>
    <row r="1201" spans="7:10" x14ac:dyDescent="0.35">
      <c r="G1201" s="2"/>
      <c r="H1201" s="2"/>
      <c r="I1201" s="3"/>
      <c r="J1201" s="6"/>
    </row>
    <row r="1202" spans="7:10" x14ac:dyDescent="0.35">
      <c r="G1202" s="2"/>
      <c r="H1202" s="2"/>
      <c r="I1202" s="3"/>
      <c r="J1202" s="6"/>
    </row>
    <row r="1203" spans="7:10" x14ac:dyDescent="0.35">
      <c r="G1203" s="2"/>
      <c r="H1203" s="2"/>
      <c r="I1203" s="3"/>
      <c r="J1203" s="6"/>
    </row>
    <row r="1204" spans="7:10" x14ac:dyDescent="0.35">
      <c r="G1204" s="2"/>
      <c r="H1204" s="2"/>
      <c r="I1204" s="3"/>
      <c r="J1204" s="6"/>
    </row>
    <row r="1205" spans="7:10" x14ac:dyDescent="0.35">
      <c r="G1205" s="2"/>
      <c r="H1205" s="2"/>
      <c r="I1205" s="3"/>
      <c r="J1205" s="6"/>
    </row>
    <row r="1206" spans="7:10" x14ac:dyDescent="0.35">
      <c r="G1206" s="2"/>
      <c r="H1206" s="2"/>
      <c r="I1206" s="3"/>
      <c r="J1206" s="6"/>
    </row>
    <row r="1207" spans="7:10" x14ac:dyDescent="0.35">
      <c r="G1207" s="2"/>
      <c r="H1207" s="2"/>
      <c r="I1207" s="3"/>
      <c r="J1207" s="6"/>
    </row>
    <row r="1208" spans="7:10" x14ac:dyDescent="0.35">
      <c r="G1208" s="2"/>
      <c r="H1208" s="2"/>
      <c r="I1208" s="3"/>
      <c r="J1208" s="6"/>
    </row>
    <row r="1209" spans="7:10" x14ac:dyDescent="0.35">
      <c r="G1209" s="2"/>
      <c r="H1209" s="2"/>
      <c r="I1209" s="3"/>
      <c r="J1209" s="6"/>
    </row>
    <row r="1210" spans="7:10" x14ac:dyDescent="0.35">
      <c r="G1210" s="2"/>
      <c r="H1210" s="2"/>
      <c r="I1210" s="3"/>
      <c r="J1210" s="6"/>
    </row>
    <row r="1211" spans="7:10" x14ac:dyDescent="0.35">
      <c r="G1211" s="2"/>
      <c r="H1211" s="2"/>
      <c r="I1211" s="3"/>
      <c r="J1211" s="6"/>
    </row>
    <row r="1212" spans="7:10" x14ac:dyDescent="0.35">
      <c r="G1212" s="2"/>
      <c r="H1212" s="2"/>
      <c r="I1212" s="3"/>
      <c r="J1212" s="6"/>
    </row>
    <row r="1213" spans="7:10" x14ac:dyDescent="0.35">
      <c r="G1213" s="2"/>
      <c r="H1213" s="2"/>
      <c r="I1213" s="3"/>
      <c r="J1213" s="6"/>
    </row>
    <row r="1214" spans="7:10" x14ac:dyDescent="0.35">
      <c r="G1214" s="2"/>
      <c r="H1214" s="2"/>
      <c r="I1214" s="3"/>
      <c r="J1214" s="6"/>
    </row>
    <row r="1215" spans="7:10" x14ac:dyDescent="0.35">
      <c r="G1215" s="2"/>
      <c r="H1215" s="2"/>
      <c r="I1215" s="3"/>
      <c r="J1215" s="6"/>
    </row>
    <row r="1216" spans="7:10" x14ac:dyDescent="0.35">
      <c r="G1216" s="2"/>
      <c r="H1216" s="2"/>
      <c r="I1216" s="3"/>
      <c r="J1216" s="6"/>
    </row>
    <row r="1217" spans="7:10" x14ac:dyDescent="0.35">
      <c r="G1217" s="2"/>
      <c r="H1217" s="2"/>
      <c r="I1217" s="3"/>
      <c r="J1217" s="6"/>
    </row>
    <row r="1218" spans="7:10" x14ac:dyDescent="0.35">
      <c r="G1218" s="2"/>
      <c r="H1218" s="2"/>
      <c r="I1218" s="3"/>
      <c r="J1218" s="6"/>
    </row>
    <row r="1219" spans="7:10" x14ac:dyDescent="0.35">
      <c r="G1219" s="2"/>
      <c r="H1219" s="2"/>
      <c r="I1219" s="3"/>
      <c r="J1219" s="6"/>
    </row>
    <row r="1220" spans="7:10" x14ac:dyDescent="0.35">
      <c r="G1220" s="2"/>
      <c r="H1220" s="2"/>
      <c r="I1220" s="3"/>
      <c r="J1220" s="6"/>
    </row>
    <row r="1221" spans="7:10" x14ac:dyDescent="0.35">
      <c r="G1221" s="2"/>
      <c r="H1221" s="2"/>
      <c r="I1221" s="3"/>
      <c r="J1221" s="6"/>
    </row>
    <row r="1222" spans="7:10" x14ac:dyDescent="0.35">
      <c r="G1222" s="2"/>
      <c r="H1222" s="2"/>
      <c r="I1222" s="3"/>
      <c r="J1222" s="6"/>
    </row>
    <row r="1223" spans="7:10" x14ac:dyDescent="0.35">
      <c r="G1223" s="2"/>
      <c r="H1223" s="2"/>
      <c r="I1223" s="3"/>
      <c r="J1223" s="6"/>
    </row>
    <row r="1224" spans="7:10" x14ac:dyDescent="0.35">
      <c r="G1224" s="2"/>
      <c r="H1224" s="2"/>
      <c r="I1224" s="3"/>
      <c r="J1224" s="6"/>
    </row>
    <row r="1225" spans="7:10" x14ac:dyDescent="0.35">
      <c r="G1225" s="2"/>
      <c r="H1225" s="2"/>
      <c r="I1225" s="3"/>
      <c r="J1225" s="6"/>
    </row>
    <row r="1226" spans="7:10" x14ac:dyDescent="0.35">
      <c r="G1226" s="2"/>
      <c r="H1226" s="2"/>
      <c r="I1226" s="3"/>
      <c r="J1226" s="6"/>
    </row>
    <row r="1227" spans="7:10" x14ac:dyDescent="0.35">
      <c r="G1227" s="2"/>
      <c r="H1227" s="2"/>
      <c r="I1227" s="3"/>
      <c r="J1227" s="6"/>
    </row>
    <row r="1228" spans="7:10" x14ac:dyDescent="0.35">
      <c r="G1228" s="2"/>
      <c r="H1228" s="2"/>
      <c r="I1228" s="3"/>
      <c r="J1228" s="6"/>
    </row>
    <row r="1229" spans="7:10" x14ac:dyDescent="0.35">
      <c r="G1229" s="2"/>
      <c r="H1229" s="2"/>
      <c r="I1229" s="3"/>
      <c r="J1229" s="6"/>
    </row>
    <row r="1230" spans="7:10" x14ac:dyDescent="0.35">
      <c r="G1230" s="2"/>
      <c r="H1230" s="2"/>
      <c r="I1230" s="3"/>
      <c r="J1230" s="6"/>
    </row>
    <row r="1231" spans="7:10" x14ac:dyDescent="0.35">
      <c r="G1231" s="2"/>
      <c r="H1231" s="2"/>
      <c r="I1231" s="3"/>
      <c r="J1231" s="6"/>
    </row>
    <row r="1232" spans="7:10" x14ac:dyDescent="0.35">
      <c r="G1232" s="2"/>
      <c r="H1232" s="2"/>
      <c r="I1232" s="3"/>
      <c r="J1232" s="6"/>
    </row>
    <row r="1233" spans="7:10" x14ac:dyDescent="0.35">
      <c r="G1233" s="2"/>
      <c r="H1233" s="2"/>
      <c r="I1233" s="3"/>
      <c r="J1233" s="6"/>
    </row>
    <row r="1234" spans="7:10" x14ac:dyDescent="0.35">
      <c r="G1234" s="2"/>
      <c r="H1234" s="2"/>
      <c r="I1234" s="3"/>
      <c r="J1234" s="6"/>
    </row>
    <row r="1235" spans="7:10" x14ac:dyDescent="0.35">
      <c r="G1235" s="2"/>
      <c r="H1235" s="2"/>
      <c r="I1235" s="3"/>
      <c r="J1235" s="6"/>
    </row>
    <row r="1236" spans="7:10" x14ac:dyDescent="0.35">
      <c r="G1236" s="2"/>
      <c r="H1236" s="2"/>
      <c r="I1236" s="3"/>
      <c r="J1236" s="6"/>
    </row>
    <row r="1237" spans="7:10" x14ac:dyDescent="0.35">
      <c r="G1237" s="2"/>
      <c r="H1237" s="2"/>
      <c r="I1237" s="3"/>
      <c r="J1237" s="6"/>
    </row>
    <row r="1238" spans="7:10" x14ac:dyDescent="0.35">
      <c r="G1238" s="2"/>
      <c r="H1238" s="2"/>
      <c r="I1238" s="3"/>
      <c r="J1238" s="6"/>
    </row>
    <row r="1239" spans="7:10" x14ac:dyDescent="0.35">
      <c r="G1239" s="2"/>
      <c r="H1239" s="2"/>
      <c r="I1239" s="3"/>
      <c r="J1239" s="6"/>
    </row>
    <row r="1240" spans="7:10" x14ac:dyDescent="0.35">
      <c r="G1240" s="2"/>
      <c r="H1240" s="2"/>
      <c r="I1240" s="3"/>
      <c r="J1240" s="6"/>
    </row>
    <row r="1241" spans="7:10" x14ac:dyDescent="0.35">
      <c r="G1241" s="2"/>
      <c r="H1241" s="2"/>
      <c r="I1241" s="3"/>
      <c r="J1241" s="6"/>
    </row>
    <row r="1242" spans="7:10" x14ac:dyDescent="0.35">
      <c r="G1242" s="2"/>
      <c r="H1242" s="2"/>
      <c r="I1242" s="3"/>
      <c r="J1242" s="6"/>
    </row>
    <row r="1243" spans="7:10" x14ac:dyDescent="0.35">
      <c r="G1243" s="2"/>
      <c r="H1243" s="2"/>
      <c r="I1243" s="3"/>
      <c r="J1243" s="6"/>
    </row>
    <row r="1244" spans="7:10" x14ac:dyDescent="0.35">
      <c r="G1244" s="2"/>
      <c r="H1244" s="2"/>
      <c r="I1244" s="3"/>
      <c r="J1244" s="6"/>
    </row>
    <row r="1245" spans="7:10" x14ac:dyDescent="0.35">
      <c r="G1245" s="2"/>
      <c r="H1245" s="2"/>
      <c r="I1245" s="3"/>
      <c r="J1245" s="6"/>
    </row>
    <row r="1246" spans="7:10" x14ac:dyDescent="0.35">
      <c r="G1246" s="2"/>
      <c r="H1246" s="2"/>
      <c r="I1246" s="3"/>
      <c r="J1246" s="6"/>
    </row>
    <row r="1247" spans="7:10" x14ac:dyDescent="0.35">
      <c r="G1247" s="2"/>
      <c r="H1247" s="2"/>
      <c r="I1247" s="3"/>
      <c r="J1247" s="6"/>
    </row>
    <row r="1248" spans="7:10" x14ac:dyDescent="0.35">
      <c r="G1248" s="2"/>
      <c r="H1248" s="2"/>
      <c r="I1248" s="3"/>
      <c r="J1248" s="6"/>
    </row>
    <row r="1249" spans="7:10" x14ac:dyDescent="0.35">
      <c r="G1249" s="2"/>
      <c r="H1249" s="2"/>
      <c r="I1249" s="3"/>
      <c r="J1249" s="6"/>
    </row>
    <row r="1250" spans="7:10" x14ac:dyDescent="0.35">
      <c r="G1250" s="2"/>
      <c r="H1250" s="2"/>
      <c r="I1250" s="3"/>
      <c r="J1250" s="6"/>
    </row>
    <row r="1251" spans="7:10" x14ac:dyDescent="0.35">
      <c r="G1251" s="2"/>
      <c r="H1251" s="2"/>
      <c r="I1251" s="3"/>
      <c r="J1251" s="6"/>
    </row>
    <row r="1252" spans="7:10" x14ac:dyDescent="0.35">
      <c r="G1252" s="2"/>
      <c r="H1252" s="2"/>
      <c r="I1252" s="3"/>
      <c r="J1252" s="6"/>
    </row>
    <row r="1253" spans="7:10" x14ac:dyDescent="0.35">
      <c r="G1253" s="2"/>
      <c r="H1253" s="2"/>
      <c r="I1253" s="3"/>
      <c r="J1253" s="6"/>
    </row>
    <row r="1254" spans="7:10" x14ac:dyDescent="0.35">
      <c r="G1254" s="2"/>
      <c r="H1254" s="2"/>
      <c r="I1254" s="3"/>
      <c r="J1254" s="6"/>
    </row>
    <row r="1255" spans="7:10" x14ac:dyDescent="0.35">
      <c r="G1255" s="2"/>
      <c r="H1255" s="2"/>
      <c r="I1255" s="3"/>
      <c r="J1255" s="6"/>
    </row>
    <row r="1256" spans="7:10" x14ac:dyDescent="0.35">
      <c r="G1256" s="2"/>
      <c r="H1256" s="2"/>
      <c r="I1256" s="3"/>
      <c r="J1256" s="6"/>
    </row>
    <row r="1257" spans="7:10" x14ac:dyDescent="0.35">
      <c r="G1257" s="2"/>
      <c r="H1257" s="2"/>
      <c r="I1257" s="3"/>
      <c r="J1257" s="6"/>
    </row>
    <row r="1258" spans="7:10" x14ac:dyDescent="0.35">
      <c r="G1258" s="2"/>
      <c r="H1258" s="2"/>
      <c r="I1258" s="3"/>
      <c r="J1258" s="6"/>
    </row>
    <row r="1259" spans="7:10" x14ac:dyDescent="0.35">
      <c r="G1259" s="2"/>
      <c r="H1259" s="2"/>
      <c r="I1259" s="3"/>
      <c r="J1259" s="6"/>
    </row>
    <row r="1260" spans="7:10" x14ac:dyDescent="0.35">
      <c r="G1260" s="2"/>
      <c r="H1260" s="2"/>
      <c r="I1260" s="3"/>
      <c r="J1260" s="6"/>
    </row>
    <row r="1261" spans="7:10" x14ac:dyDescent="0.35">
      <c r="G1261" s="2"/>
      <c r="H1261" s="2"/>
      <c r="I1261" s="3"/>
      <c r="J1261" s="6"/>
    </row>
    <row r="1262" spans="7:10" x14ac:dyDescent="0.35">
      <c r="G1262" s="2"/>
      <c r="H1262" s="2"/>
      <c r="I1262" s="3"/>
      <c r="J1262" s="6"/>
    </row>
    <row r="1263" spans="7:10" x14ac:dyDescent="0.35">
      <c r="G1263" s="2"/>
      <c r="H1263" s="2"/>
      <c r="I1263" s="3"/>
      <c r="J1263" s="6"/>
    </row>
    <row r="1264" spans="7:10" x14ac:dyDescent="0.35">
      <c r="G1264" s="2"/>
      <c r="H1264" s="2"/>
      <c r="I1264" s="3"/>
      <c r="J1264" s="6"/>
    </row>
    <row r="1265" spans="7:10" x14ac:dyDescent="0.35">
      <c r="G1265" s="2"/>
      <c r="H1265" s="2"/>
      <c r="I1265" s="3"/>
      <c r="J1265" s="6"/>
    </row>
    <row r="1266" spans="7:10" x14ac:dyDescent="0.35">
      <c r="G1266" s="2"/>
      <c r="H1266" s="2"/>
      <c r="I1266" s="3"/>
      <c r="J1266" s="6"/>
    </row>
    <row r="1267" spans="7:10" x14ac:dyDescent="0.35">
      <c r="G1267" s="2"/>
      <c r="H1267" s="2"/>
      <c r="I1267" s="3"/>
      <c r="J1267" s="6"/>
    </row>
    <row r="1268" spans="7:10" x14ac:dyDescent="0.35">
      <c r="G1268" s="2"/>
      <c r="H1268" s="2"/>
      <c r="I1268" s="3"/>
      <c r="J1268" s="6"/>
    </row>
    <row r="1269" spans="7:10" x14ac:dyDescent="0.35">
      <c r="G1269" s="2"/>
      <c r="H1269" s="2"/>
      <c r="I1269" s="3"/>
      <c r="J1269" s="6"/>
    </row>
    <row r="1270" spans="7:10" x14ac:dyDescent="0.35">
      <c r="G1270" s="2"/>
      <c r="H1270" s="2"/>
      <c r="I1270" s="3"/>
      <c r="J1270" s="6"/>
    </row>
    <row r="1271" spans="7:10" x14ac:dyDescent="0.35">
      <c r="G1271" s="2"/>
      <c r="H1271" s="2"/>
      <c r="I1271" s="3"/>
      <c r="J1271" s="6"/>
    </row>
    <row r="1272" spans="7:10" x14ac:dyDescent="0.35">
      <c r="G1272" s="2"/>
      <c r="H1272" s="2"/>
      <c r="I1272" s="3"/>
      <c r="J1272" s="6"/>
    </row>
    <row r="1273" spans="7:10" x14ac:dyDescent="0.35">
      <c r="G1273" s="2"/>
      <c r="H1273" s="2"/>
      <c r="I1273" s="3"/>
      <c r="J1273" s="6"/>
    </row>
    <row r="1274" spans="7:10" x14ac:dyDescent="0.35">
      <c r="G1274" s="2"/>
      <c r="H1274" s="2"/>
      <c r="I1274" s="3"/>
      <c r="J1274" s="6"/>
    </row>
    <row r="1275" spans="7:10" x14ac:dyDescent="0.35">
      <c r="G1275" s="2"/>
      <c r="H1275" s="2"/>
      <c r="I1275" s="3"/>
      <c r="J1275" s="6"/>
    </row>
    <row r="1276" spans="7:10" x14ac:dyDescent="0.35">
      <c r="G1276" s="2"/>
      <c r="H1276" s="2"/>
      <c r="I1276" s="3"/>
      <c r="J1276" s="6"/>
    </row>
    <row r="1277" spans="7:10" x14ac:dyDescent="0.35">
      <c r="G1277" s="2"/>
      <c r="H1277" s="2"/>
      <c r="I1277" s="3"/>
      <c r="J1277" s="6"/>
    </row>
    <row r="1278" spans="7:10" x14ac:dyDescent="0.35">
      <c r="G1278" s="2"/>
      <c r="H1278" s="2"/>
      <c r="I1278" s="3"/>
      <c r="J1278" s="6"/>
    </row>
    <row r="1279" spans="7:10" x14ac:dyDescent="0.35">
      <c r="G1279" s="2"/>
      <c r="H1279" s="2"/>
      <c r="I1279" s="3"/>
      <c r="J1279" s="6"/>
    </row>
    <row r="1280" spans="7:10" x14ac:dyDescent="0.35">
      <c r="G1280" s="2"/>
      <c r="H1280" s="2"/>
      <c r="I1280" s="3"/>
      <c r="J1280" s="6"/>
    </row>
    <row r="1281" spans="7:10" x14ac:dyDescent="0.35">
      <c r="G1281" s="2"/>
      <c r="H1281" s="2"/>
      <c r="I1281" s="3"/>
      <c r="J1281" s="6"/>
    </row>
    <row r="1282" spans="7:10" x14ac:dyDescent="0.35">
      <c r="G1282" s="2"/>
      <c r="H1282" s="2"/>
      <c r="I1282" s="3"/>
      <c r="J1282" s="6"/>
    </row>
    <row r="1283" spans="7:10" x14ac:dyDescent="0.35">
      <c r="G1283" s="2"/>
      <c r="H1283" s="2"/>
      <c r="I1283" s="3"/>
      <c r="J1283" s="6"/>
    </row>
    <row r="1284" spans="7:10" x14ac:dyDescent="0.35">
      <c r="G1284" s="2"/>
      <c r="H1284" s="2"/>
      <c r="I1284" s="3"/>
      <c r="J1284" s="6"/>
    </row>
    <row r="1285" spans="7:10" x14ac:dyDescent="0.35">
      <c r="G1285" s="2"/>
      <c r="H1285" s="2"/>
      <c r="I1285" s="3"/>
      <c r="J1285" s="6"/>
    </row>
    <row r="1286" spans="7:10" x14ac:dyDescent="0.35">
      <c r="G1286" s="2"/>
      <c r="H1286" s="2"/>
      <c r="I1286" s="3"/>
      <c r="J1286" s="6"/>
    </row>
    <row r="1287" spans="7:10" x14ac:dyDescent="0.35">
      <c r="G1287" s="2"/>
      <c r="H1287" s="2"/>
      <c r="I1287" s="3"/>
      <c r="J1287" s="6"/>
    </row>
    <row r="1288" spans="7:10" x14ac:dyDescent="0.35">
      <c r="G1288" s="2"/>
      <c r="H1288" s="2"/>
      <c r="I1288" s="3"/>
      <c r="J1288" s="6"/>
    </row>
    <row r="1289" spans="7:10" x14ac:dyDescent="0.35">
      <c r="G1289" s="2"/>
      <c r="H1289" s="2"/>
      <c r="I1289" s="3"/>
      <c r="J1289" s="6"/>
    </row>
    <row r="1290" spans="7:10" x14ac:dyDescent="0.35">
      <c r="G1290" s="2"/>
      <c r="H1290" s="2"/>
      <c r="I1290" s="3"/>
      <c r="J1290" s="6"/>
    </row>
    <row r="1291" spans="7:10" x14ac:dyDescent="0.35">
      <c r="G1291" s="2"/>
      <c r="H1291" s="2"/>
      <c r="I1291" s="3"/>
      <c r="J1291" s="6"/>
    </row>
    <row r="1292" spans="7:10" x14ac:dyDescent="0.35">
      <c r="G1292" s="2"/>
      <c r="H1292" s="2"/>
      <c r="I1292" s="3"/>
      <c r="J1292" s="6"/>
    </row>
    <row r="1293" spans="7:10" x14ac:dyDescent="0.35">
      <c r="G1293" s="2"/>
      <c r="H1293" s="2"/>
      <c r="I1293" s="3"/>
      <c r="J1293" s="6"/>
    </row>
    <row r="1294" spans="7:10" x14ac:dyDescent="0.35">
      <c r="G1294" s="2"/>
      <c r="H1294" s="2"/>
      <c r="I1294" s="3"/>
      <c r="J1294" s="6"/>
    </row>
    <row r="1295" spans="7:10" x14ac:dyDescent="0.35">
      <c r="G1295" s="2"/>
      <c r="H1295" s="2"/>
      <c r="I1295" s="3"/>
      <c r="J1295" s="6"/>
    </row>
    <row r="1296" spans="7:10" x14ac:dyDescent="0.35">
      <c r="G1296" s="2"/>
      <c r="H1296" s="2"/>
      <c r="I1296" s="3"/>
      <c r="J1296" s="6"/>
    </row>
    <row r="1297" spans="7:10" x14ac:dyDescent="0.35">
      <c r="G1297" s="2"/>
      <c r="H1297" s="2"/>
      <c r="I1297" s="3"/>
      <c r="J1297" s="6"/>
    </row>
    <row r="1298" spans="7:10" x14ac:dyDescent="0.35">
      <c r="G1298" s="2"/>
      <c r="H1298" s="2"/>
      <c r="I1298" s="3"/>
      <c r="J1298" s="6"/>
    </row>
    <row r="1299" spans="7:10" x14ac:dyDescent="0.35">
      <c r="G1299" s="2"/>
      <c r="H1299" s="2"/>
      <c r="I1299" s="3"/>
      <c r="J1299" s="6"/>
    </row>
    <row r="1300" spans="7:10" x14ac:dyDescent="0.35">
      <c r="G1300" s="2"/>
      <c r="H1300" s="2"/>
      <c r="I1300" s="3"/>
      <c r="J1300" s="6"/>
    </row>
    <row r="1301" spans="7:10" x14ac:dyDescent="0.35">
      <c r="G1301" s="2"/>
      <c r="H1301" s="2"/>
      <c r="I1301" s="3"/>
      <c r="J1301" s="6"/>
    </row>
    <row r="1302" spans="7:10" x14ac:dyDescent="0.35">
      <c r="G1302" s="2"/>
      <c r="H1302" s="2"/>
      <c r="I1302" s="3"/>
      <c r="J1302" s="6"/>
    </row>
    <row r="1303" spans="7:10" x14ac:dyDescent="0.35">
      <c r="G1303" s="2"/>
      <c r="H1303" s="2"/>
      <c r="I1303" s="3"/>
      <c r="J1303" s="6"/>
    </row>
    <row r="1304" spans="7:10" x14ac:dyDescent="0.35">
      <c r="G1304" s="2"/>
      <c r="H1304" s="2"/>
      <c r="I1304" s="3"/>
      <c r="J1304" s="6"/>
    </row>
    <row r="1305" spans="7:10" x14ac:dyDescent="0.35">
      <c r="G1305" s="2"/>
      <c r="H1305" s="2"/>
      <c r="I1305" s="3"/>
      <c r="J1305" s="6"/>
    </row>
    <row r="1306" spans="7:10" x14ac:dyDescent="0.35">
      <c r="G1306" s="2"/>
      <c r="H1306" s="2"/>
      <c r="I1306" s="3"/>
      <c r="J1306" s="6"/>
    </row>
    <row r="1307" spans="7:10" x14ac:dyDescent="0.35">
      <c r="G1307" s="2"/>
      <c r="H1307" s="2"/>
      <c r="I1307" s="3"/>
      <c r="J1307" s="6"/>
    </row>
    <row r="1308" spans="7:10" x14ac:dyDescent="0.35">
      <c r="G1308" s="2"/>
      <c r="H1308" s="2"/>
      <c r="I1308" s="3"/>
      <c r="J1308" s="6"/>
    </row>
    <row r="1309" spans="7:10" x14ac:dyDescent="0.35">
      <c r="G1309" s="2"/>
      <c r="H1309" s="2"/>
      <c r="I1309" s="3"/>
      <c r="J1309" s="6"/>
    </row>
    <row r="1310" spans="7:10" x14ac:dyDescent="0.35">
      <c r="G1310" s="2"/>
      <c r="H1310" s="2"/>
      <c r="I1310" s="3"/>
      <c r="J1310" s="6"/>
    </row>
    <row r="1311" spans="7:10" x14ac:dyDescent="0.35">
      <c r="G1311" s="2"/>
      <c r="H1311" s="2"/>
      <c r="I1311" s="3"/>
      <c r="J1311" s="6"/>
    </row>
    <row r="1312" spans="7:10" x14ac:dyDescent="0.35">
      <c r="G1312" s="2"/>
      <c r="H1312" s="2"/>
      <c r="I1312" s="3"/>
      <c r="J1312" s="6"/>
    </row>
    <row r="1313" spans="7:10" x14ac:dyDescent="0.35">
      <c r="G1313" s="2"/>
      <c r="H1313" s="2"/>
      <c r="I1313" s="3"/>
      <c r="J1313" s="6"/>
    </row>
    <row r="1314" spans="7:10" x14ac:dyDescent="0.35">
      <c r="G1314" s="2"/>
      <c r="H1314" s="2"/>
      <c r="I1314" s="3"/>
      <c r="J1314" s="6"/>
    </row>
    <row r="1315" spans="7:10" x14ac:dyDescent="0.35">
      <c r="G1315" s="2"/>
      <c r="H1315" s="2"/>
      <c r="I1315" s="3"/>
      <c r="J1315" s="6"/>
    </row>
    <row r="1316" spans="7:10" x14ac:dyDescent="0.35">
      <c r="G1316" s="2"/>
      <c r="H1316" s="2"/>
      <c r="I1316" s="3"/>
      <c r="J1316" s="6"/>
    </row>
    <row r="1317" spans="7:10" x14ac:dyDescent="0.35">
      <c r="G1317" s="2"/>
      <c r="H1317" s="2"/>
      <c r="I1317" s="3"/>
      <c r="J1317" s="6"/>
    </row>
    <row r="1318" spans="7:10" x14ac:dyDescent="0.35">
      <c r="G1318" s="2"/>
      <c r="H1318" s="2"/>
      <c r="I1318" s="3"/>
      <c r="J1318" s="6"/>
    </row>
    <row r="1319" spans="7:10" x14ac:dyDescent="0.35">
      <c r="G1319" s="2"/>
      <c r="H1319" s="2"/>
      <c r="I1319" s="3"/>
      <c r="J1319" s="6"/>
    </row>
    <row r="1320" spans="7:10" x14ac:dyDescent="0.35">
      <c r="G1320" s="2"/>
      <c r="H1320" s="2"/>
      <c r="I1320" s="3"/>
      <c r="J1320" s="6"/>
    </row>
    <row r="1321" spans="7:10" x14ac:dyDescent="0.35">
      <c r="G1321" s="2"/>
      <c r="H1321" s="2"/>
      <c r="I1321" s="3"/>
      <c r="J1321" s="6"/>
    </row>
    <row r="1322" spans="7:10" x14ac:dyDescent="0.35">
      <c r="G1322" s="2"/>
      <c r="H1322" s="2"/>
      <c r="I1322" s="3"/>
      <c r="J1322" s="6"/>
    </row>
    <row r="1323" spans="7:10" x14ac:dyDescent="0.35">
      <c r="G1323" s="2"/>
      <c r="H1323" s="2"/>
      <c r="I1323" s="3"/>
      <c r="J1323" s="6"/>
    </row>
    <row r="1324" spans="7:10" x14ac:dyDescent="0.35">
      <c r="G1324" s="2"/>
      <c r="H1324" s="2"/>
      <c r="I1324" s="3"/>
      <c r="J1324" s="6"/>
    </row>
    <row r="1325" spans="7:10" x14ac:dyDescent="0.35">
      <c r="G1325" s="2"/>
      <c r="H1325" s="2"/>
      <c r="I1325" s="3"/>
      <c r="J1325" s="6"/>
    </row>
    <row r="1326" spans="7:10" x14ac:dyDescent="0.35">
      <c r="G1326" s="2"/>
      <c r="H1326" s="2"/>
      <c r="I1326" s="3"/>
      <c r="J1326" s="6"/>
    </row>
    <row r="1327" spans="7:10" x14ac:dyDescent="0.35">
      <c r="G1327" s="2"/>
      <c r="H1327" s="2"/>
      <c r="I1327" s="3"/>
      <c r="J1327" s="6"/>
    </row>
    <row r="1328" spans="7:10" x14ac:dyDescent="0.35">
      <c r="G1328" s="2"/>
      <c r="H1328" s="2"/>
      <c r="I1328" s="3"/>
      <c r="J1328" s="6"/>
    </row>
    <row r="1329" spans="7:10" x14ac:dyDescent="0.35">
      <c r="G1329" s="2"/>
      <c r="H1329" s="2"/>
      <c r="I1329" s="3"/>
      <c r="J1329" s="6"/>
    </row>
    <row r="1330" spans="7:10" x14ac:dyDescent="0.35">
      <c r="G1330" s="2"/>
      <c r="H1330" s="2"/>
      <c r="I1330" s="3"/>
      <c r="J1330" s="6"/>
    </row>
    <row r="1331" spans="7:10" x14ac:dyDescent="0.35">
      <c r="G1331" s="2"/>
      <c r="H1331" s="2"/>
      <c r="I1331" s="3"/>
      <c r="J1331" s="6"/>
    </row>
    <row r="1332" spans="7:10" x14ac:dyDescent="0.35">
      <c r="G1332" s="2"/>
      <c r="H1332" s="2"/>
      <c r="I1332" s="3"/>
      <c r="J1332" s="6"/>
    </row>
    <row r="1333" spans="7:10" x14ac:dyDescent="0.35">
      <c r="G1333" s="2"/>
      <c r="H1333" s="2"/>
      <c r="I1333" s="3"/>
      <c r="J1333" s="6"/>
    </row>
    <row r="1334" spans="7:10" x14ac:dyDescent="0.35">
      <c r="G1334" s="2"/>
      <c r="H1334" s="2"/>
      <c r="I1334" s="3"/>
      <c r="J1334" s="6"/>
    </row>
    <row r="1335" spans="7:10" x14ac:dyDescent="0.35">
      <c r="G1335" s="2"/>
      <c r="H1335" s="2"/>
      <c r="I1335" s="3"/>
      <c r="J1335" s="6"/>
    </row>
    <row r="1336" spans="7:10" x14ac:dyDescent="0.35">
      <c r="G1336" s="2"/>
      <c r="H1336" s="2"/>
      <c r="I1336" s="3"/>
      <c r="J1336" s="6"/>
    </row>
    <row r="1337" spans="7:10" x14ac:dyDescent="0.35">
      <c r="G1337" s="2"/>
      <c r="H1337" s="2"/>
      <c r="I1337" s="3"/>
      <c r="J1337" s="6"/>
    </row>
    <row r="1338" spans="7:10" x14ac:dyDescent="0.35">
      <c r="G1338" s="2"/>
      <c r="H1338" s="2"/>
      <c r="I1338" s="3"/>
      <c r="J1338" s="6"/>
    </row>
    <row r="1339" spans="7:10" x14ac:dyDescent="0.35">
      <c r="G1339" s="2"/>
      <c r="H1339" s="2"/>
      <c r="I1339" s="3"/>
      <c r="J1339" s="6"/>
    </row>
    <row r="1340" spans="7:10" x14ac:dyDescent="0.35">
      <c r="G1340" s="2"/>
      <c r="H1340" s="2"/>
      <c r="I1340" s="3"/>
      <c r="J1340" s="6"/>
    </row>
    <row r="1341" spans="7:10" x14ac:dyDescent="0.35">
      <c r="G1341" s="2"/>
      <c r="H1341" s="2"/>
      <c r="I1341" s="3"/>
      <c r="J1341" s="6"/>
    </row>
    <row r="1342" spans="7:10" x14ac:dyDescent="0.35">
      <c r="G1342" s="2"/>
      <c r="H1342" s="2"/>
      <c r="I1342" s="3"/>
      <c r="J1342" s="6"/>
    </row>
    <row r="1343" spans="7:10" x14ac:dyDescent="0.35">
      <c r="G1343" s="2"/>
      <c r="H1343" s="2"/>
      <c r="I1343" s="3"/>
      <c r="J1343" s="6"/>
    </row>
    <row r="1344" spans="7:10" x14ac:dyDescent="0.35">
      <c r="G1344" s="2"/>
      <c r="H1344" s="2"/>
      <c r="I1344" s="3"/>
      <c r="J1344" s="6"/>
    </row>
    <row r="1345" spans="7:10" x14ac:dyDescent="0.35">
      <c r="G1345" s="2"/>
      <c r="H1345" s="2"/>
      <c r="I1345" s="3"/>
      <c r="J1345" s="6"/>
    </row>
    <row r="1346" spans="7:10" x14ac:dyDescent="0.35">
      <c r="G1346" s="2"/>
      <c r="H1346" s="2"/>
      <c r="I1346" s="3"/>
      <c r="J1346" s="6"/>
    </row>
    <row r="1347" spans="7:10" x14ac:dyDescent="0.35">
      <c r="G1347" s="2"/>
      <c r="H1347" s="2"/>
      <c r="I1347" s="3"/>
      <c r="J1347" s="6"/>
    </row>
    <row r="1348" spans="7:10" x14ac:dyDescent="0.35">
      <c r="G1348" s="2"/>
      <c r="H1348" s="2"/>
      <c r="I1348" s="3"/>
      <c r="J1348" s="6"/>
    </row>
    <row r="1349" spans="7:10" x14ac:dyDescent="0.35">
      <c r="G1349" s="2"/>
      <c r="H1349" s="2"/>
      <c r="I1349" s="3"/>
      <c r="J1349" s="6"/>
    </row>
    <row r="1350" spans="7:10" x14ac:dyDescent="0.35">
      <c r="G1350" s="2"/>
      <c r="H1350" s="2"/>
      <c r="I1350" s="3"/>
      <c r="J1350" s="6"/>
    </row>
    <row r="1351" spans="7:10" x14ac:dyDescent="0.35">
      <c r="G1351" s="2"/>
      <c r="H1351" s="2"/>
      <c r="I1351" s="3"/>
      <c r="J1351" s="6"/>
    </row>
    <row r="1352" spans="7:10" x14ac:dyDescent="0.35">
      <c r="G1352" s="2"/>
      <c r="H1352" s="2"/>
      <c r="I1352" s="3"/>
      <c r="J1352" s="6"/>
    </row>
    <row r="1353" spans="7:10" x14ac:dyDescent="0.35">
      <c r="G1353" s="2"/>
      <c r="H1353" s="2"/>
      <c r="I1353" s="3"/>
      <c r="J1353" s="6"/>
    </row>
    <row r="1354" spans="7:10" x14ac:dyDescent="0.35">
      <c r="G1354" s="2"/>
      <c r="H1354" s="2"/>
      <c r="I1354" s="3"/>
      <c r="J1354" s="6"/>
    </row>
    <row r="1355" spans="7:10" x14ac:dyDescent="0.35">
      <c r="G1355" s="2"/>
      <c r="H1355" s="2"/>
      <c r="I1355" s="3"/>
      <c r="J1355" s="6"/>
    </row>
    <row r="1356" spans="7:10" x14ac:dyDescent="0.35">
      <c r="G1356" s="2"/>
      <c r="H1356" s="2"/>
      <c r="I1356" s="3"/>
      <c r="J1356" s="6"/>
    </row>
    <row r="1357" spans="7:10" x14ac:dyDescent="0.35">
      <c r="G1357" s="2"/>
      <c r="H1357" s="2"/>
      <c r="I1357" s="3"/>
      <c r="J1357" s="6"/>
    </row>
    <row r="1358" spans="7:10" x14ac:dyDescent="0.35">
      <c r="G1358" s="2"/>
      <c r="H1358" s="2"/>
      <c r="I1358" s="3"/>
      <c r="J1358" s="6"/>
    </row>
    <row r="1359" spans="7:10" x14ac:dyDescent="0.35">
      <c r="G1359" s="2"/>
      <c r="H1359" s="2"/>
      <c r="I1359" s="3"/>
      <c r="J1359" s="6"/>
    </row>
    <row r="1360" spans="7:10" x14ac:dyDescent="0.35">
      <c r="G1360" s="2"/>
      <c r="H1360" s="2"/>
      <c r="I1360" s="3"/>
      <c r="J1360" s="6"/>
    </row>
    <row r="1361" spans="7:10" x14ac:dyDescent="0.35">
      <c r="G1361" s="2"/>
      <c r="H1361" s="2"/>
      <c r="I1361" s="3"/>
      <c r="J1361" s="6"/>
    </row>
    <row r="1362" spans="7:10" x14ac:dyDescent="0.35">
      <c r="G1362" s="2"/>
      <c r="H1362" s="2"/>
      <c r="I1362" s="3"/>
      <c r="J1362" s="6"/>
    </row>
    <row r="1363" spans="7:10" x14ac:dyDescent="0.35">
      <c r="G1363" s="2"/>
      <c r="H1363" s="2"/>
      <c r="I1363" s="3"/>
      <c r="J1363" s="6"/>
    </row>
    <row r="1364" spans="7:10" x14ac:dyDescent="0.35">
      <c r="G1364" s="2"/>
      <c r="H1364" s="2"/>
      <c r="I1364" s="3"/>
      <c r="J1364" s="6"/>
    </row>
    <row r="1365" spans="7:10" x14ac:dyDescent="0.35">
      <c r="G1365" s="2"/>
      <c r="H1365" s="2"/>
      <c r="I1365" s="3"/>
      <c r="J1365" s="6"/>
    </row>
    <row r="1366" spans="7:10" x14ac:dyDescent="0.35">
      <c r="G1366" s="2"/>
      <c r="H1366" s="2"/>
      <c r="I1366" s="3"/>
      <c r="J1366" s="6"/>
    </row>
    <row r="1367" spans="7:10" x14ac:dyDescent="0.35">
      <c r="G1367" s="2"/>
      <c r="H1367" s="2"/>
      <c r="I1367" s="3"/>
      <c r="J1367" s="6"/>
    </row>
    <row r="1368" spans="7:10" x14ac:dyDescent="0.35">
      <c r="G1368" s="2"/>
      <c r="H1368" s="2"/>
      <c r="I1368" s="3"/>
      <c r="J1368" s="6"/>
    </row>
    <row r="1369" spans="7:10" x14ac:dyDescent="0.35">
      <c r="G1369" s="2"/>
      <c r="H1369" s="2"/>
      <c r="I1369" s="3"/>
      <c r="J1369" s="6"/>
    </row>
    <row r="1370" spans="7:10" x14ac:dyDescent="0.35">
      <c r="G1370" s="2"/>
      <c r="H1370" s="2"/>
      <c r="I1370" s="3"/>
      <c r="J1370" s="6"/>
    </row>
    <row r="1371" spans="7:10" x14ac:dyDescent="0.35">
      <c r="G1371" s="2"/>
      <c r="H1371" s="2"/>
      <c r="I1371" s="3"/>
      <c r="J1371" s="6"/>
    </row>
    <row r="1372" spans="7:10" x14ac:dyDescent="0.35">
      <c r="G1372" s="2"/>
      <c r="H1372" s="2"/>
      <c r="I1372" s="3"/>
      <c r="J1372" s="6"/>
    </row>
    <row r="1373" spans="7:10" x14ac:dyDescent="0.35">
      <c r="G1373" s="2"/>
      <c r="H1373" s="2"/>
      <c r="I1373" s="3"/>
      <c r="J1373" s="6"/>
    </row>
    <row r="1374" spans="7:10" x14ac:dyDescent="0.35">
      <c r="G1374" s="2"/>
      <c r="H1374" s="2"/>
      <c r="I1374" s="3"/>
      <c r="J1374" s="6"/>
    </row>
    <row r="1375" spans="7:10" x14ac:dyDescent="0.35">
      <c r="G1375" s="2"/>
      <c r="H1375" s="2"/>
      <c r="I1375" s="3"/>
      <c r="J1375" s="6"/>
    </row>
    <row r="1376" spans="7:10" x14ac:dyDescent="0.35">
      <c r="G1376" s="2"/>
      <c r="H1376" s="2"/>
      <c r="I1376" s="3"/>
      <c r="J1376" s="6"/>
    </row>
    <row r="1377" spans="7:10" x14ac:dyDescent="0.35">
      <c r="G1377" s="2"/>
      <c r="H1377" s="2"/>
      <c r="I1377" s="3"/>
      <c r="J1377" s="6"/>
    </row>
    <row r="1378" spans="7:10" x14ac:dyDescent="0.35">
      <c r="G1378" s="2"/>
      <c r="H1378" s="2"/>
      <c r="I1378" s="3"/>
      <c r="J1378" s="6"/>
    </row>
    <row r="1379" spans="7:10" x14ac:dyDescent="0.35">
      <c r="G1379" s="2"/>
      <c r="H1379" s="2"/>
      <c r="I1379" s="3"/>
      <c r="J1379" s="6"/>
    </row>
    <row r="1380" spans="7:10" x14ac:dyDescent="0.35">
      <c r="G1380" s="2"/>
      <c r="H1380" s="2"/>
      <c r="I1380" s="3"/>
      <c r="J1380" s="6"/>
    </row>
    <row r="1381" spans="7:10" x14ac:dyDescent="0.35">
      <c r="G1381" s="2"/>
      <c r="H1381" s="2"/>
      <c r="I1381" s="3"/>
      <c r="J1381" s="6"/>
    </row>
    <row r="1382" spans="7:10" x14ac:dyDescent="0.35">
      <c r="G1382" s="2"/>
      <c r="H1382" s="2"/>
      <c r="I1382" s="3"/>
      <c r="J1382" s="6"/>
    </row>
    <row r="1383" spans="7:10" x14ac:dyDescent="0.35">
      <c r="G1383" s="2"/>
      <c r="H1383" s="2"/>
      <c r="I1383" s="3"/>
      <c r="J1383" s="6"/>
    </row>
    <row r="1384" spans="7:10" x14ac:dyDescent="0.35">
      <c r="G1384" s="2"/>
      <c r="H1384" s="2"/>
      <c r="I1384" s="3"/>
      <c r="J1384" s="6"/>
    </row>
    <row r="1385" spans="7:10" x14ac:dyDescent="0.35">
      <c r="G1385" s="2"/>
      <c r="H1385" s="2"/>
      <c r="I1385" s="3"/>
      <c r="J1385" s="6"/>
    </row>
    <row r="1386" spans="7:10" x14ac:dyDescent="0.35">
      <c r="G1386" s="2"/>
      <c r="H1386" s="2"/>
      <c r="I1386" s="3"/>
      <c r="J1386" s="6"/>
    </row>
    <row r="1387" spans="7:10" x14ac:dyDescent="0.35">
      <c r="G1387" s="2"/>
      <c r="H1387" s="2"/>
      <c r="I1387" s="3"/>
      <c r="J1387" s="6"/>
    </row>
    <row r="1388" spans="7:10" x14ac:dyDescent="0.35">
      <c r="G1388" s="2"/>
      <c r="H1388" s="2"/>
      <c r="I1388" s="3"/>
      <c r="J1388" s="6"/>
    </row>
    <row r="1389" spans="7:10" x14ac:dyDescent="0.35">
      <c r="G1389" s="2"/>
      <c r="H1389" s="2"/>
      <c r="I1389" s="3"/>
      <c r="J1389" s="6"/>
    </row>
    <row r="1390" spans="7:10" x14ac:dyDescent="0.35">
      <c r="G1390" s="2"/>
      <c r="H1390" s="2"/>
      <c r="I1390" s="3"/>
      <c r="J1390" s="6"/>
    </row>
    <row r="1391" spans="7:10" x14ac:dyDescent="0.35">
      <c r="G1391" s="2"/>
      <c r="H1391" s="2"/>
      <c r="I1391" s="3"/>
      <c r="J1391" s="6"/>
    </row>
    <row r="1392" spans="7:10" x14ac:dyDescent="0.35">
      <c r="G1392" s="2"/>
      <c r="H1392" s="2"/>
      <c r="I1392" s="3"/>
      <c r="J1392" s="6"/>
    </row>
    <row r="1393" spans="7:10" x14ac:dyDescent="0.35">
      <c r="G1393" s="2"/>
      <c r="H1393" s="2"/>
      <c r="I1393" s="3"/>
      <c r="J1393" s="6"/>
    </row>
    <row r="1394" spans="7:10" x14ac:dyDescent="0.35">
      <c r="G1394" s="2"/>
      <c r="H1394" s="2"/>
      <c r="I1394" s="3"/>
      <c r="J1394" s="6"/>
    </row>
    <row r="1395" spans="7:10" x14ac:dyDescent="0.35">
      <c r="G1395" s="2"/>
      <c r="H1395" s="2"/>
      <c r="I1395" s="3"/>
      <c r="J1395" s="6"/>
    </row>
    <row r="1396" spans="7:10" x14ac:dyDescent="0.35">
      <c r="G1396" s="2"/>
      <c r="H1396" s="2"/>
      <c r="I1396" s="3"/>
      <c r="J1396" s="6"/>
    </row>
    <row r="1397" spans="7:10" x14ac:dyDescent="0.35">
      <c r="G1397" s="2"/>
      <c r="H1397" s="2"/>
      <c r="I1397" s="3"/>
      <c r="J1397" s="6"/>
    </row>
    <row r="1398" spans="7:10" x14ac:dyDescent="0.35">
      <c r="G1398" s="2"/>
      <c r="H1398" s="2"/>
      <c r="I1398" s="3"/>
      <c r="J1398" s="6"/>
    </row>
    <row r="1399" spans="7:10" x14ac:dyDescent="0.35">
      <c r="G1399" s="2"/>
      <c r="H1399" s="2"/>
      <c r="I1399" s="3"/>
      <c r="J1399" s="6"/>
    </row>
    <row r="1400" spans="7:10" x14ac:dyDescent="0.35">
      <c r="G1400" s="2"/>
      <c r="H1400" s="2"/>
      <c r="I1400" s="3"/>
      <c r="J1400" s="6"/>
    </row>
    <row r="1401" spans="7:10" x14ac:dyDescent="0.35">
      <c r="G1401" s="2"/>
      <c r="H1401" s="2"/>
      <c r="I1401" s="3"/>
      <c r="J1401" s="6"/>
    </row>
    <row r="1402" spans="7:10" x14ac:dyDescent="0.35">
      <c r="G1402" s="2"/>
      <c r="H1402" s="2"/>
      <c r="I1402" s="3"/>
      <c r="J1402" s="6"/>
    </row>
    <row r="1403" spans="7:10" x14ac:dyDescent="0.35">
      <c r="G1403" s="2"/>
      <c r="H1403" s="2"/>
      <c r="I1403" s="3"/>
      <c r="J1403" s="6"/>
    </row>
    <row r="1404" spans="7:10" x14ac:dyDescent="0.35">
      <c r="G1404" s="2"/>
      <c r="H1404" s="2"/>
      <c r="I1404" s="3"/>
      <c r="J1404" s="6"/>
    </row>
    <row r="1405" spans="7:10" x14ac:dyDescent="0.35">
      <c r="G1405" s="2"/>
      <c r="H1405" s="2"/>
      <c r="I1405" s="3"/>
      <c r="J1405" s="6"/>
    </row>
    <row r="1406" spans="7:10" x14ac:dyDescent="0.35">
      <c r="G1406" s="2"/>
      <c r="H1406" s="2"/>
      <c r="I1406" s="3"/>
      <c r="J1406" s="6"/>
    </row>
    <row r="1407" spans="7:10" x14ac:dyDescent="0.35">
      <c r="G1407" s="2"/>
      <c r="H1407" s="2"/>
      <c r="I1407" s="3"/>
      <c r="J1407" s="6"/>
    </row>
    <row r="1408" spans="7:10" x14ac:dyDescent="0.35">
      <c r="G1408" s="2"/>
      <c r="H1408" s="2"/>
      <c r="I1408" s="3"/>
      <c r="J1408" s="6"/>
    </row>
    <row r="1409" spans="7:10" x14ac:dyDescent="0.35">
      <c r="G1409" s="2"/>
      <c r="H1409" s="2"/>
      <c r="I1409" s="3"/>
      <c r="J1409" s="6"/>
    </row>
    <row r="1410" spans="7:10" x14ac:dyDescent="0.35">
      <c r="G1410" s="2"/>
      <c r="H1410" s="2"/>
      <c r="I1410" s="3"/>
      <c r="J1410" s="6"/>
    </row>
    <row r="1411" spans="7:10" x14ac:dyDescent="0.35">
      <c r="G1411" s="2"/>
      <c r="H1411" s="2"/>
      <c r="I1411" s="3"/>
      <c r="J1411" s="6"/>
    </row>
    <row r="1412" spans="7:10" x14ac:dyDescent="0.35">
      <c r="G1412" s="2"/>
      <c r="H1412" s="2"/>
      <c r="I1412" s="3"/>
      <c r="J1412" s="6"/>
    </row>
    <row r="1413" spans="7:10" x14ac:dyDescent="0.35">
      <c r="G1413" s="2"/>
      <c r="H1413" s="2"/>
      <c r="I1413" s="3"/>
      <c r="J1413" s="6"/>
    </row>
    <row r="1414" spans="7:10" x14ac:dyDescent="0.35">
      <c r="G1414" s="2"/>
      <c r="H1414" s="2"/>
      <c r="I1414" s="3"/>
      <c r="J1414" s="6"/>
    </row>
    <row r="1415" spans="7:10" x14ac:dyDescent="0.35">
      <c r="G1415" s="2"/>
      <c r="H1415" s="2"/>
      <c r="I1415" s="3"/>
      <c r="J1415" s="6"/>
    </row>
    <row r="1416" spans="7:10" x14ac:dyDescent="0.35">
      <c r="G1416" s="2"/>
      <c r="H1416" s="2"/>
      <c r="I1416" s="3"/>
      <c r="J1416" s="6"/>
    </row>
    <row r="1417" spans="7:10" x14ac:dyDescent="0.35">
      <c r="G1417" s="2"/>
      <c r="H1417" s="2"/>
      <c r="I1417" s="3"/>
      <c r="J1417" s="6"/>
    </row>
    <row r="1418" spans="7:10" x14ac:dyDescent="0.35">
      <c r="G1418" s="2"/>
      <c r="H1418" s="2"/>
      <c r="I1418" s="3"/>
      <c r="J1418" s="6"/>
    </row>
    <row r="1419" spans="7:10" x14ac:dyDescent="0.35">
      <c r="G1419" s="2"/>
      <c r="H1419" s="2"/>
      <c r="I1419" s="3"/>
      <c r="J1419" s="6"/>
    </row>
    <row r="1420" spans="7:10" x14ac:dyDescent="0.35">
      <c r="G1420" s="2"/>
      <c r="H1420" s="2"/>
      <c r="I1420" s="3"/>
      <c r="J1420" s="6"/>
    </row>
    <row r="1421" spans="7:10" x14ac:dyDescent="0.35">
      <c r="G1421" s="2"/>
      <c r="H1421" s="2"/>
      <c r="I1421" s="3"/>
      <c r="J1421" s="6"/>
    </row>
    <row r="1422" spans="7:10" x14ac:dyDescent="0.35">
      <c r="G1422" s="2"/>
      <c r="H1422" s="2"/>
      <c r="I1422" s="3"/>
      <c r="J1422" s="6"/>
    </row>
    <row r="1423" spans="7:10" x14ac:dyDescent="0.35">
      <c r="G1423" s="2"/>
      <c r="H1423" s="2"/>
      <c r="I1423" s="3"/>
      <c r="J1423" s="6"/>
    </row>
    <row r="1424" spans="7:10" x14ac:dyDescent="0.35">
      <c r="G1424" s="2"/>
      <c r="H1424" s="2"/>
      <c r="I1424" s="3"/>
      <c r="J1424" s="6"/>
    </row>
    <row r="1425" spans="7:10" x14ac:dyDescent="0.35">
      <c r="G1425" s="2"/>
      <c r="H1425" s="2"/>
      <c r="I1425" s="3"/>
      <c r="J1425" s="6"/>
    </row>
    <row r="1426" spans="7:10" x14ac:dyDescent="0.35">
      <c r="G1426" s="2"/>
      <c r="H1426" s="2"/>
      <c r="I1426" s="3"/>
      <c r="J1426" s="6"/>
    </row>
    <row r="1427" spans="7:10" x14ac:dyDescent="0.35">
      <c r="G1427" s="2"/>
      <c r="H1427" s="2"/>
      <c r="I1427" s="3"/>
      <c r="J1427" s="6"/>
    </row>
    <row r="1428" spans="7:10" x14ac:dyDescent="0.35">
      <c r="G1428" s="2"/>
      <c r="H1428" s="2"/>
      <c r="I1428" s="3"/>
      <c r="J1428" s="6"/>
    </row>
    <row r="1429" spans="7:10" x14ac:dyDescent="0.35">
      <c r="G1429" s="2"/>
      <c r="H1429" s="2"/>
      <c r="I1429" s="3"/>
      <c r="J1429" s="6"/>
    </row>
    <row r="1430" spans="7:10" x14ac:dyDescent="0.35">
      <c r="G1430" s="2"/>
      <c r="H1430" s="2"/>
      <c r="I1430" s="3"/>
      <c r="J1430" s="6"/>
    </row>
    <row r="1431" spans="7:10" x14ac:dyDescent="0.35">
      <c r="G1431" s="2"/>
      <c r="H1431" s="2"/>
      <c r="I1431" s="3"/>
      <c r="J1431" s="6"/>
    </row>
    <row r="1432" spans="7:10" x14ac:dyDescent="0.35">
      <c r="G1432" s="2"/>
      <c r="H1432" s="2"/>
      <c r="I1432" s="3"/>
      <c r="J1432" s="6"/>
    </row>
    <row r="1433" spans="7:10" x14ac:dyDescent="0.35">
      <c r="G1433" s="2"/>
      <c r="H1433" s="2"/>
      <c r="I1433" s="3"/>
      <c r="J1433" s="6"/>
    </row>
    <row r="1434" spans="7:10" x14ac:dyDescent="0.35">
      <c r="G1434" s="2"/>
      <c r="H1434" s="2"/>
      <c r="I1434" s="3"/>
      <c r="J1434" s="6"/>
    </row>
    <row r="1435" spans="7:10" x14ac:dyDescent="0.35">
      <c r="G1435" s="2"/>
      <c r="H1435" s="2"/>
      <c r="I1435" s="3"/>
      <c r="J1435" s="6"/>
    </row>
    <row r="1436" spans="7:10" x14ac:dyDescent="0.35">
      <c r="G1436" s="2"/>
      <c r="H1436" s="2"/>
      <c r="I1436" s="3"/>
      <c r="J1436" s="6"/>
    </row>
    <row r="1437" spans="7:10" x14ac:dyDescent="0.35">
      <c r="G1437" s="2"/>
      <c r="H1437" s="2"/>
      <c r="I1437" s="3"/>
      <c r="J1437" s="6"/>
    </row>
    <row r="1438" spans="7:10" x14ac:dyDescent="0.35">
      <c r="G1438" s="2"/>
      <c r="H1438" s="2"/>
      <c r="I1438" s="3"/>
      <c r="J1438" s="6"/>
    </row>
    <row r="1439" spans="7:10" x14ac:dyDescent="0.35">
      <c r="G1439" s="2"/>
      <c r="H1439" s="2"/>
      <c r="I1439" s="3"/>
      <c r="J1439" s="6"/>
    </row>
    <row r="1440" spans="7:10" x14ac:dyDescent="0.35">
      <c r="G1440" s="2"/>
      <c r="H1440" s="2"/>
      <c r="I1440" s="3"/>
      <c r="J1440" s="6"/>
    </row>
    <row r="1441" spans="7:10" x14ac:dyDescent="0.35">
      <c r="G1441" s="2"/>
      <c r="H1441" s="2"/>
      <c r="I1441" s="3"/>
      <c r="J1441" s="6"/>
    </row>
    <row r="1442" spans="7:10" x14ac:dyDescent="0.35">
      <c r="G1442" s="2"/>
      <c r="H1442" s="2"/>
      <c r="I1442" s="3"/>
      <c r="J1442" s="6"/>
    </row>
    <row r="1443" spans="7:10" x14ac:dyDescent="0.35">
      <c r="G1443" s="2"/>
      <c r="H1443" s="2"/>
      <c r="I1443" s="3"/>
      <c r="J1443" s="6"/>
    </row>
    <row r="1444" spans="7:10" x14ac:dyDescent="0.35">
      <c r="G1444" s="2"/>
      <c r="H1444" s="2"/>
      <c r="I1444" s="3"/>
      <c r="J1444" s="6"/>
    </row>
    <row r="1445" spans="7:10" x14ac:dyDescent="0.35">
      <c r="G1445" s="2"/>
      <c r="H1445" s="2"/>
      <c r="I1445" s="3"/>
      <c r="J1445" s="6"/>
    </row>
    <row r="1446" spans="7:10" x14ac:dyDescent="0.35">
      <c r="G1446" s="2"/>
      <c r="H1446" s="2"/>
      <c r="I1446" s="3"/>
      <c r="J1446" s="6"/>
    </row>
    <row r="1447" spans="7:10" x14ac:dyDescent="0.35">
      <c r="G1447" s="2"/>
      <c r="H1447" s="2"/>
      <c r="I1447" s="3"/>
      <c r="J1447" s="6"/>
    </row>
    <row r="1448" spans="7:10" x14ac:dyDescent="0.35">
      <c r="G1448" s="2"/>
      <c r="H1448" s="2"/>
      <c r="I1448" s="3"/>
      <c r="J1448" s="6"/>
    </row>
    <row r="1449" spans="7:10" x14ac:dyDescent="0.35">
      <c r="G1449" s="2"/>
      <c r="H1449" s="2"/>
      <c r="I1449" s="3"/>
      <c r="J1449" s="6"/>
    </row>
    <row r="1450" spans="7:10" x14ac:dyDescent="0.35">
      <c r="G1450" s="2"/>
      <c r="H1450" s="2"/>
      <c r="I1450" s="3"/>
      <c r="J1450" s="6"/>
    </row>
    <row r="1451" spans="7:10" x14ac:dyDescent="0.35">
      <c r="G1451" s="2"/>
      <c r="H1451" s="2"/>
      <c r="I1451" s="3"/>
      <c r="J1451" s="6"/>
    </row>
    <row r="1452" spans="7:10" x14ac:dyDescent="0.35">
      <c r="G1452" s="2"/>
      <c r="H1452" s="2"/>
      <c r="I1452" s="3"/>
      <c r="J1452" s="6"/>
    </row>
    <row r="1453" spans="7:10" x14ac:dyDescent="0.35">
      <c r="G1453" s="2"/>
      <c r="H1453" s="2"/>
      <c r="I1453" s="3"/>
      <c r="J1453" s="6"/>
    </row>
    <row r="1454" spans="7:10" x14ac:dyDescent="0.35">
      <c r="G1454" s="2"/>
      <c r="H1454" s="2"/>
      <c r="I1454" s="3"/>
      <c r="J1454" s="6"/>
    </row>
    <row r="1455" spans="7:10" x14ac:dyDescent="0.35">
      <c r="G1455" s="2"/>
      <c r="H1455" s="2"/>
      <c r="I1455" s="3"/>
      <c r="J1455" s="6"/>
    </row>
    <row r="1456" spans="7:10" x14ac:dyDescent="0.35">
      <c r="G1456" s="2"/>
      <c r="H1456" s="2"/>
      <c r="I1456" s="3"/>
      <c r="J1456" s="6"/>
    </row>
    <row r="1457" spans="7:10" x14ac:dyDescent="0.35">
      <c r="G1457" s="2"/>
      <c r="H1457" s="2"/>
      <c r="I1457" s="3"/>
      <c r="J1457" s="6"/>
    </row>
    <row r="1458" spans="7:10" x14ac:dyDescent="0.35">
      <c r="G1458" s="2"/>
      <c r="H1458" s="2"/>
      <c r="I1458" s="3"/>
      <c r="J1458" s="6"/>
    </row>
    <row r="1459" spans="7:10" x14ac:dyDescent="0.35">
      <c r="G1459" s="2"/>
      <c r="H1459" s="2"/>
      <c r="I1459" s="3"/>
      <c r="J1459" s="6"/>
    </row>
    <row r="1460" spans="7:10" x14ac:dyDescent="0.35">
      <c r="G1460" s="2"/>
      <c r="H1460" s="2"/>
      <c r="I1460" s="3"/>
      <c r="J1460" s="6"/>
    </row>
    <row r="1461" spans="7:10" x14ac:dyDescent="0.35">
      <c r="G1461" s="2"/>
      <c r="H1461" s="2"/>
      <c r="I1461" s="3"/>
      <c r="J1461" s="6"/>
    </row>
    <row r="1462" spans="7:10" x14ac:dyDescent="0.35">
      <c r="G1462" s="2"/>
      <c r="H1462" s="2"/>
      <c r="I1462" s="3"/>
      <c r="J1462" s="6"/>
    </row>
    <row r="1463" spans="7:10" x14ac:dyDescent="0.35">
      <c r="G1463" s="2"/>
      <c r="H1463" s="2"/>
      <c r="I1463" s="3"/>
      <c r="J1463" s="6"/>
    </row>
    <row r="1464" spans="7:10" x14ac:dyDescent="0.35">
      <c r="G1464" s="2"/>
      <c r="H1464" s="2"/>
      <c r="I1464" s="3"/>
      <c r="J1464" s="6"/>
    </row>
    <row r="1465" spans="7:10" x14ac:dyDescent="0.35">
      <c r="G1465" s="2"/>
      <c r="H1465" s="2"/>
      <c r="I1465" s="3"/>
      <c r="J1465" s="6"/>
    </row>
    <row r="1466" spans="7:10" x14ac:dyDescent="0.35">
      <c r="G1466" s="2"/>
      <c r="H1466" s="2"/>
      <c r="I1466" s="3"/>
      <c r="J1466" s="6"/>
    </row>
    <row r="1467" spans="7:10" x14ac:dyDescent="0.35">
      <c r="G1467" s="2"/>
      <c r="H1467" s="2"/>
      <c r="I1467" s="3"/>
      <c r="J1467" s="6"/>
    </row>
    <row r="1468" spans="7:10" x14ac:dyDescent="0.35">
      <c r="G1468" s="2"/>
      <c r="H1468" s="2"/>
      <c r="I1468" s="3"/>
      <c r="J1468" s="6"/>
    </row>
    <row r="1469" spans="7:10" x14ac:dyDescent="0.35">
      <c r="G1469" s="2"/>
      <c r="H1469" s="2"/>
      <c r="I1469" s="3"/>
      <c r="J1469" s="6"/>
    </row>
    <row r="1470" spans="7:10" x14ac:dyDescent="0.35">
      <c r="G1470" s="2"/>
      <c r="H1470" s="2"/>
      <c r="I1470" s="3"/>
      <c r="J1470" s="6"/>
    </row>
    <row r="1471" spans="7:10" x14ac:dyDescent="0.35">
      <c r="G1471" s="2"/>
      <c r="H1471" s="2"/>
      <c r="I1471" s="3"/>
      <c r="J1471" s="6"/>
    </row>
    <row r="1472" spans="7:10" x14ac:dyDescent="0.35">
      <c r="G1472" s="2"/>
      <c r="H1472" s="2"/>
      <c r="I1472" s="3"/>
      <c r="J1472" s="6"/>
    </row>
    <row r="1473" spans="7:10" x14ac:dyDescent="0.35">
      <c r="G1473" s="2"/>
      <c r="H1473" s="2"/>
      <c r="I1473" s="3"/>
      <c r="J1473" s="6"/>
    </row>
    <row r="1474" spans="7:10" x14ac:dyDescent="0.35">
      <c r="G1474" s="2"/>
      <c r="H1474" s="2"/>
      <c r="I1474" s="3"/>
      <c r="J1474" s="6"/>
    </row>
    <row r="1475" spans="7:10" x14ac:dyDescent="0.35">
      <c r="G1475" s="2"/>
      <c r="H1475" s="2"/>
      <c r="I1475" s="3"/>
      <c r="J1475" s="6"/>
    </row>
    <row r="1476" spans="7:10" x14ac:dyDescent="0.35">
      <c r="G1476" s="2"/>
      <c r="H1476" s="2"/>
      <c r="I1476" s="3"/>
      <c r="J1476" s="6"/>
    </row>
    <row r="1477" spans="7:10" x14ac:dyDescent="0.35">
      <c r="G1477" s="2"/>
      <c r="H1477" s="2"/>
      <c r="I1477" s="3"/>
      <c r="J1477" s="6"/>
    </row>
    <row r="1478" spans="7:10" x14ac:dyDescent="0.35">
      <c r="G1478" s="2"/>
      <c r="H1478" s="2"/>
      <c r="I1478" s="3"/>
      <c r="J1478" s="6"/>
    </row>
    <row r="1479" spans="7:10" x14ac:dyDescent="0.35">
      <c r="G1479" s="2"/>
      <c r="H1479" s="2"/>
      <c r="I1479" s="3"/>
      <c r="J1479" s="6"/>
    </row>
    <row r="1480" spans="7:10" x14ac:dyDescent="0.35">
      <c r="G1480" s="2"/>
      <c r="H1480" s="2"/>
      <c r="I1480" s="3"/>
      <c r="J1480" s="6"/>
    </row>
    <row r="1481" spans="7:10" x14ac:dyDescent="0.35">
      <c r="G1481" s="2"/>
      <c r="H1481" s="2"/>
      <c r="I1481" s="3"/>
      <c r="J1481" s="6"/>
    </row>
    <row r="1482" spans="7:10" x14ac:dyDescent="0.35">
      <c r="G1482" s="2"/>
      <c r="H1482" s="2"/>
      <c r="I1482" s="3"/>
      <c r="J1482" s="6"/>
    </row>
    <row r="1483" spans="7:10" x14ac:dyDescent="0.35">
      <c r="G1483" s="2"/>
      <c r="H1483" s="2"/>
      <c r="I1483" s="3"/>
      <c r="J1483" s="6"/>
    </row>
    <row r="1484" spans="7:10" x14ac:dyDescent="0.35">
      <c r="G1484" s="2"/>
      <c r="H1484" s="2"/>
      <c r="I1484" s="3"/>
      <c r="J1484" s="6"/>
    </row>
    <row r="1485" spans="7:10" x14ac:dyDescent="0.35">
      <c r="G1485" s="2"/>
      <c r="H1485" s="2"/>
      <c r="I1485" s="3"/>
      <c r="J1485" s="6"/>
    </row>
    <row r="1486" spans="7:10" x14ac:dyDescent="0.35">
      <c r="G1486" s="2"/>
      <c r="H1486" s="2"/>
      <c r="I1486" s="3"/>
      <c r="J1486" s="6"/>
    </row>
    <row r="1487" spans="7:10" x14ac:dyDescent="0.35">
      <c r="G1487" s="2"/>
      <c r="H1487" s="2"/>
      <c r="I1487" s="3"/>
      <c r="J1487" s="6"/>
    </row>
    <row r="1488" spans="7:10" x14ac:dyDescent="0.35">
      <c r="G1488" s="2"/>
      <c r="H1488" s="2"/>
      <c r="I1488" s="3"/>
      <c r="J1488" s="6"/>
    </row>
    <row r="1489" spans="7:10" x14ac:dyDescent="0.35">
      <c r="G1489" s="2"/>
      <c r="H1489" s="2"/>
      <c r="I1489" s="3"/>
      <c r="J1489" s="6"/>
    </row>
    <row r="1490" spans="7:10" x14ac:dyDescent="0.35">
      <c r="G1490" s="2"/>
      <c r="H1490" s="2"/>
      <c r="I1490" s="3"/>
      <c r="J1490" s="6"/>
    </row>
    <row r="1491" spans="7:10" x14ac:dyDescent="0.35">
      <c r="G1491" s="2"/>
      <c r="H1491" s="2"/>
      <c r="I1491" s="3"/>
      <c r="J1491" s="6"/>
    </row>
    <row r="1492" spans="7:10" x14ac:dyDescent="0.35">
      <c r="G1492" s="2"/>
      <c r="H1492" s="2"/>
      <c r="I1492" s="3"/>
      <c r="J1492" s="6"/>
    </row>
    <row r="1493" spans="7:10" x14ac:dyDescent="0.35">
      <c r="G1493" s="2"/>
      <c r="H1493" s="2"/>
      <c r="I1493" s="3"/>
      <c r="J1493" s="6"/>
    </row>
    <row r="1494" spans="7:10" x14ac:dyDescent="0.35">
      <c r="G1494" s="2"/>
      <c r="H1494" s="2"/>
      <c r="I1494" s="3"/>
      <c r="J1494" s="6"/>
    </row>
    <row r="1495" spans="7:10" x14ac:dyDescent="0.35">
      <c r="G1495" s="2"/>
      <c r="H1495" s="2"/>
      <c r="I1495" s="3"/>
      <c r="J1495" s="6"/>
    </row>
    <row r="1496" spans="7:10" x14ac:dyDescent="0.35">
      <c r="G1496" s="2"/>
      <c r="H1496" s="2"/>
      <c r="I1496" s="3"/>
      <c r="J1496" s="6"/>
    </row>
    <row r="1497" spans="7:10" x14ac:dyDescent="0.35">
      <c r="G1497" s="2"/>
      <c r="H1497" s="2"/>
      <c r="I1497" s="3"/>
      <c r="J1497" s="6"/>
    </row>
    <row r="1498" spans="7:10" x14ac:dyDescent="0.35">
      <c r="G1498" s="2"/>
      <c r="H1498" s="2"/>
      <c r="I1498" s="3"/>
      <c r="J1498" s="6"/>
    </row>
    <row r="1499" spans="7:10" x14ac:dyDescent="0.35">
      <c r="G1499" s="2"/>
      <c r="H1499" s="2"/>
      <c r="I1499" s="3"/>
      <c r="J1499" s="6"/>
    </row>
    <row r="1500" spans="7:10" x14ac:dyDescent="0.35">
      <c r="G1500" s="2"/>
      <c r="H1500" s="2"/>
      <c r="I1500" s="3"/>
      <c r="J1500" s="6"/>
    </row>
    <row r="1501" spans="7:10" x14ac:dyDescent="0.35">
      <c r="G1501" s="2"/>
      <c r="H1501" s="2"/>
      <c r="I1501" s="3"/>
      <c r="J1501" s="6"/>
    </row>
    <row r="1502" spans="7:10" x14ac:dyDescent="0.35">
      <c r="G1502" s="2"/>
      <c r="H1502" s="2"/>
      <c r="I1502" s="3"/>
      <c r="J1502" s="6"/>
    </row>
    <row r="1503" spans="7:10" x14ac:dyDescent="0.35">
      <c r="G1503" s="2"/>
      <c r="H1503" s="2"/>
      <c r="I1503" s="3"/>
      <c r="J1503" s="6"/>
    </row>
    <row r="1504" spans="7:10" x14ac:dyDescent="0.35">
      <c r="G1504" s="2"/>
      <c r="H1504" s="2"/>
      <c r="I1504" s="3"/>
      <c r="J1504" s="6"/>
    </row>
    <row r="1505" spans="7:10" x14ac:dyDescent="0.35">
      <c r="G1505" s="2"/>
      <c r="H1505" s="2"/>
      <c r="I1505" s="3"/>
      <c r="J1505" s="6"/>
    </row>
    <row r="1506" spans="7:10" x14ac:dyDescent="0.35">
      <c r="G1506" s="2"/>
      <c r="H1506" s="2"/>
      <c r="I1506" s="3"/>
      <c r="J1506" s="6"/>
    </row>
    <row r="1507" spans="7:10" x14ac:dyDescent="0.35">
      <c r="G1507" s="2"/>
      <c r="H1507" s="2"/>
      <c r="I1507" s="3"/>
      <c r="J1507" s="6"/>
    </row>
    <row r="1508" spans="7:10" x14ac:dyDescent="0.35">
      <c r="G1508" s="2"/>
      <c r="H1508" s="2"/>
      <c r="I1508" s="3"/>
      <c r="J1508" s="6"/>
    </row>
    <row r="1509" spans="7:10" x14ac:dyDescent="0.35">
      <c r="G1509" s="2"/>
      <c r="H1509" s="2"/>
      <c r="I1509" s="3"/>
      <c r="J1509" s="6"/>
    </row>
    <row r="1510" spans="7:10" x14ac:dyDescent="0.35">
      <c r="G1510" s="2"/>
      <c r="H1510" s="2"/>
      <c r="I1510" s="3"/>
      <c r="J1510" s="6"/>
    </row>
    <row r="1511" spans="7:10" x14ac:dyDescent="0.35">
      <c r="G1511" s="2"/>
      <c r="H1511" s="2"/>
      <c r="I1511" s="3"/>
      <c r="J1511" s="6"/>
    </row>
    <row r="1512" spans="7:10" x14ac:dyDescent="0.35">
      <c r="G1512" s="2"/>
      <c r="H1512" s="2"/>
      <c r="I1512" s="3"/>
      <c r="J1512" s="6"/>
    </row>
    <row r="1513" spans="7:10" x14ac:dyDescent="0.35">
      <c r="G1513" s="2"/>
      <c r="H1513" s="2"/>
      <c r="I1513" s="3"/>
      <c r="J1513" s="6"/>
    </row>
    <row r="1514" spans="7:10" x14ac:dyDescent="0.35">
      <c r="G1514" s="2"/>
      <c r="H1514" s="2"/>
      <c r="I1514" s="3"/>
      <c r="J1514" s="6"/>
    </row>
    <row r="1515" spans="7:10" x14ac:dyDescent="0.35">
      <c r="G1515" s="2"/>
      <c r="H1515" s="2"/>
      <c r="I1515" s="3"/>
      <c r="J1515" s="6"/>
    </row>
    <row r="1516" spans="7:10" x14ac:dyDescent="0.35">
      <c r="G1516" s="2"/>
      <c r="H1516" s="2"/>
      <c r="I1516" s="3"/>
      <c r="J1516" s="6"/>
    </row>
    <row r="1517" spans="7:10" x14ac:dyDescent="0.35">
      <c r="G1517" s="2"/>
      <c r="H1517" s="2"/>
      <c r="I1517" s="3"/>
      <c r="J1517" s="6"/>
    </row>
    <row r="1518" spans="7:10" x14ac:dyDescent="0.35">
      <c r="G1518" s="2"/>
      <c r="H1518" s="2"/>
      <c r="I1518" s="3"/>
      <c r="J1518" s="6"/>
    </row>
    <row r="1519" spans="7:10" x14ac:dyDescent="0.35">
      <c r="G1519" s="2"/>
      <c r="H1519" s="2"/>
      <c r="I1519" s="3"/>
      <c r="J1519" s="6"/>
    </row>
    <row r="1520" spans="7:10" x14ac:dyDescent="0.35">
      <c r="G1520" s="2"/>
      <c r="H1520" s="2"/>
      <c r="I1520" s="3"/>
      <c r="J1520" s="6"/>
    </row>
    <row r="1521" spans="7:10" x14ac:dyDescent="0.35">
      <c r="G1521" s="2"/>
      <c r="H1521" s="2"/>
      <c r="I1521" s="3"/>
      <c r="J1521" s="6"/>
    </row>
    <row r="1522" spans="7:10" x14ac:dyDescent="0.35">
      <c r="G1522" s="2"/>
      <c r="H1522" s="2"/>
      <c r="I1522" s="3"/>
      <c r="J1522" s="6"/>
    </row>
    <row r="1523" spans="7:10" x14ac:dyDescent="0.35">
      <c r="G1523" s="2"/>
      <c r="H1523" s="2"/>
      <c r="I1523" s="3"/>
      <c r="J1523" s="6"/>
    </row>
    <row r="1524" spans="7:10" x14ac:dyDescent="0.35">
      <c r="G1524" s="2"/>
      <c r="H1524" s="2"/>
      <c r="I1524" s="3"/>
      <c r="J1524" s="6"/>
    </row>
    <row r="1525" spans="7:10" x14ac:dyDescent="0.35">
      <c r="G1525" s="2"/>
      <c r="H1525" s="2"/>
      <c r="I1525" s="3"/>
      <c r="J1525" s="6"/>
    </row>
    <row r="1526" spans="7:10" x14ac:dyDescent="0.35">
      <c r="G1526" s="2"/>
      <c r="H1526" s="2"/>
      <c r="I1526" s="3"/>
      <c r="J1526" s="6"/>
    </row>
    <row r="1527" spans="7:10" x14ac:dyDescent="0.35">
      <c r="G1527" s="2"/>
      <c r="H1527" s="2"/>
      <c r="I1527" s="3"/>
      <c r="J1527" s="6"/>
    </row>
    <row r="1528" spans="7:10" x14ac:dyDescent="0.35">
      <c r="G1528" s="2"/>
      <c r="H1528" s="2"/>
      <c r="I1528" s="3"/>
      <c r="J1528" s="6"/>
    </row>
    <row r="1529" spans="7:10" x14ac:dyDescent="0.35">
      <c r="G1529" s="2"/>
      <c r="H1529" s="2"/>
      <c r="I1529" s="3"/>
      <c r="J1529" s="6"/>
    </row>
    <row r="1530" spans="7:10" x14ac:dyDescent="0.35">
      <c r="G1530" s="2"/>
      <c r="H1530" s="2"/>
      <c r="I1530" s="3"/>
      <c r="J1530" s="6"/>
    </row>
    <row r="1531" spans="7:10" x14ac:dyDescent="0.35">
      <c r="G1531" s="2"/>
      <c r="H1531" s="2"/>
      <c r="I1531" s="3"/>
      <c r="J1531" s="6"/>
    </row>
    <row r="1532" spans="7:10" x14ac:dyDescent="0.35">
      <c r="G1532" s="2"/>
      <c r="H1532" s="2"/>
      <c r="I1532" s="3"/>
      <c r="J1532" s="6"/>
    </row>
    <row r="1533" spans="7:10" x14ac:dyDescent="0.35">
      <c r="G1533" s="2"/>
      <c r="H1533" s="2"/>
      <c r="I1533" s="3"/>
      <c r="J1533" s="6"/>
    </row>
    <row r="1534" spans="7:10" x14ac:dyDescent="0.35">
      <c r="G1534" s="2"/>
      <c r="H1534" s="2"/>
      <c r="I1534" s="3"/>
      <c r="J1534" s="6"/>
    </row>
    <row r="1535" spans="7:10" x14ac:dyDescent="0.35">
      <c r="G1535" s="2"/>
      <c r="H1535" s="2"/>
      <c r="I1535" s="3"/>
      <c r="J1535" s="6"/>
    </row>
    <row r="1536" spans="7:10" x14ac:dyDescent="0.35">
      <c r="G1536" s="2"/>
      <c r="H1536" s="2"/>
      <c r="I1536" s="3"/>
      <c r="J1536" s="6"/>
    </row>
    <row r="1537" spans="7:10" x14ac:dyDescent="0.35">
      <c r="G1537" s="2"/>
      <c r="H1537" s="2"/>
      <c r="I1537" s="3"/>
      <c r="J1537" s="6"/>
    </row>
    <row r="1538" spans="7:10" x14ac:dyDescent="0.35">
      <c r="G1538" s="2"/>
      <c r="H1538" s="2"/>
      <c r="I1538" s="3"/>
      <c r="J1538" s="6"/>
    </row>
    <row r="1539" spans="7:10" x14ac:dyDescent="0.35">
      <c r="G1539" s="2"/>
      <c r="H1539" s="2"/>
      <c r="I1539" s="3"/>
      <c r="J1539" s="6"/>
    </row>
    <row r="1540" spans="7:10" x14ac:dyDescent="0.35">
      <c r="G1540" s="2"/>
      <c r="H1540" s="2"/>
      <c r="I1540" s="3"/>
      <c r="J1540" s="6"/>
    </row>
    <row r="1541" spans="7:10" x14ac:dyDescent="0.35">
      <c r="G1541" s="2"/>
      <c r="H1541" s="2"/>
      <c r="I1541" s="3"/>
      <c r="J1541" s="6"/>
    </row>
    <row r="1542" spans="7:10" x14ac:dyDescent="0.35">
      <c r="G1542" s="2"/>
      <c r="H1542" s="2"/>
      <c r="I1542" s="3"/>
      <c r="J1542" s="6"/>
    </row>
    <row r="1543" spans="7:10" x14ac:dyDescent="0.35">
      <c r="G1543" s="2"/>
      <c r="H1543" s="2"/>
      <c r="I1543" s="3"/>
      <c r="J1543" s="6"/>
    </row>
    <row r="1544" spans="7:10" x14ac:dyDescent="0.35">
      <c r="G1544" s="2"/>
      <c r="H1544" s="2"/>
      <c r="I1544" s="3"/>
      <c r="J1544" s="6"/>
    </row>
    <row r="1545" spans="7:10" x14ac:dyDescent="0.35">
      <c r="G1545" s="2"/>
      <c r="H1545" s="2"/>
      <c r="I1545" s="3"/>
      <c r="J1545" s="6"/>
    </row>
    <row r="1546" spans="7:10" x14ac:dyDescent="0.35">
      <c r="G1546" s="2"/>
      <c r="H1546" s="2"/>
      <c r="I1546" s="3"/>
      <c r="J1546" s="6"/>
    </row>
    <row r="1547" spans="7:10" x14ac:dyDescent="0.35">
      <c r="G1547" s="2"/>
      <c r="H1547" s="2"/>
      <c r="I1547" s="3"/>
      <c r="J1547" s="6"/>
    </row>
    <row r="1548" spans="7:10" x14ac:dyDescent="0.35">
      <c r="G1548" s="2"/>
      <c r="H1548" s="2"/>
      <c r="I1548" s="3"/>
      <c r="J1548" s="6"/>
    </row>
    <row r="1549" spans="7:10" x14ac:dyDescent="0.35">
      <c r="G1549" s="2"/>
      <c r="H1549" s="2"/>
      <c r="I1549" s="3"/>
      <c r="J1549" s="6"/>
    </row>
    <row r="1550" spans="7:10" x14ac:dyDescent="0.35">
      <c r="G1550" s="2"/>
      <c r="H1550" s="2"/>
      <c r="I1550" s="3"/>
      <c r="J1550" s="6"/>
    </row>
    <row r="1551" spans="7:10" x14ac:dyDescent="0.35">
      <c r="G1551" s="2"/>
      <c r="H1551" s="2"/>
      <c r="I1551" s="3"/>
      <c r="J1551" s="6"/>
    </row>
    <row r="1552" spans="7:10" x14ac:dyDescent="0.35">
      <c r="G1552" s="2"/>
      <c r="H1552" s="2"/>
      <c r="I1552" s="3"/>
      <c r="J1552" s="6"/>
    </row>
    <row r="1553" spans="7:10" x14ac:dyDescent="0.35">
      <c r="G1553" s="2"/>
      <c r="H1553" s="2"/>
      <c r="I1553" s="3"/>
      <c r="J1553" s="6"/>
    </row>
    <row r="1554" spans="7:10" x14ac:dyDescent="0.35">
      <c r="G1554" s="2"/>
      <c r="H1554" s="2"/>
      <c r="I1554" s="3"/>
      <c r="J1554" s="6"/>
    </row>
    <row r="1555" spans="7:10" x14ac:dyDescent="0.35">
      <c r="G1555" s="2"/>
      <c r="H1555" s="2"/>
      <c r="I1555" s="3"/>
      <c r="J1555" s="6"/>
    </row>
    <row r="1556" spans="7:10" x14ac:dyDescent="0.35">
      <c r="G1556" s="2"/>
      <c r="H1556" s="2"/>
      <c r="I1556" s="3"/>
      <c r="J1556" s="6"/>
    </row>
    <row r="1557" spans="7:10" x14ac:dyDescent="0.35">
      <c r="G1557" s="2"/>
      <c r="H1557" s="2"/>
      <c r="I1557" s="3"/>
      <c r="J1557" s="6"/>
    </row>
    <row r="1558" spans="7:10" x14ac:dyDescent="0.35">
      <c r="G1558" s="2"/>
      <c r="H1558" s="2"/>
      <c r="I1558" s="3"/>
      <c r="J1558" s="6"/>
    </row>
    <row r="1559" spans="7:10" x14ac:dyDescent="0.35">
      <c r="G1559" s="2"/>
      <c r="H1559" s="2"/>
      <c r="I1559" s="3"/>
      <c r="J1559" s="6"/>
    </row>
    <row r="1560" spans="7:10" x14ac:dyDescent="0.35">
      <c r="G1560" s="2"/>
      <c r="H1560" s="2"/>
      <c r="I1560" s="3"/>
      <c r="J1560" s="6"/>
    </row>
    <row r="1561" spans="7:10" x14ac:dyDescent="0.35">
      <c r="G1561" s="2"/>
      <c r="H1561" s="2"/>
      <c r="I1561" s="3"/>
      <c r="J1561" s="6"/>
    </row>
    <row r="1562" spans="7:10" x14ac:dyDescent="0.35">
      <c r="G1562" s="2"/>
      <c r="H1562" s="2"/>
      <c r="I1562" s="3"/>
      <c r="J1562" s="6"/>
    </row>
    <row r="1563" spans="7:10" x14ac:dyDescent="0.35">
      <c r="G1563" s="2"/>
      <c r="H1563" s="2"/>
      <c r="I1563" s="3"/>
      <c r="J1563" s="6"/>
    </row>
    <row r="1564" spans="7:10" x14ac:dyDescent="0.35">
      <c r="G1564" s="2"/>
      <c r="H1564" s="2"/>
      <c r="I1564" s="3"/>
      <c r="J1564" s="6"/>
    </row>
    <row r="1565" spans="7:10" x14ac:dyDescent="0.35">
      <c r="G1565" s="2"/>
      <c r="H1565" s="2"/>
      <c r="I1565" s="3"/>
      <c r="J1565" s="6"/>
    </row>
    <row r="1566" spans="7:10" x14ac:dyDescent="0.35">
      <c r="G1566" s="2"/>
      <c r="H1566" s="2"/>
      <c r="I1566" s="3"/>
      <c r="J1566" s="6"/>
    </row>
    <row r="1567" spans="7:10" x14ac:dyDescent="0.35">
      <c r="G1567" s="2"/>
      <c r="H1567" s="2"/>
      <c r="I1567" s="3"/>
      <c r="J1567" s="6"/>
    </row>
    <row r="1568" spans="7:10" x14ac:dyDescent="0.35">
      <c r="G1568" s="2"/>
      <c r="H1568" s="2"/>
      <c r="I1568" s="3"/>
      <c r="J1568" s="6"/>
    </row>
    <row r="1569" spans="7:10" x14ac:dyDescent="0.35">
      <c r="G1569" s="2"/>
      <c r="H1569" s="2"/>
      <c r="I1569" s="3"/>
      <c r="J1569" s="6"/>
    </row>
    <row r="1570" spans="7:10" x14ac:dyDescent="0.35">
      <c r="G1570" s="2"/>
      <c r="H1570" s="2"/>
      <c r="I1570" s="3"/>
      <c r="J1570" s="6"/>
    </row>
    <row r="1571" spans="7:10" x14ac:dyDescent="0.35">
      <c r="G1571" s="2"/>
      <c r="H1571" s="2"/>
      <c r="I1571" s="3"/>
      <c r="J1571" s="6"/>
    </row>
    <row r="1572" spans="7:10" x14ac:dyDescent="0.35">
      <c r="G1572" s="2"/>
      <c r="H1572" s="2"/>
      <c r="I1572" s="3"/>
      <c r="J1572" s="6"/>
    </row>
    <row r="1573" spans="7:10" x14ac:dyDescent="0.35">
      <c r="G1573" s="2"/>
      <c r="H1573" s="2"/>
      <c r="I1573" s="3"/>
      <c r="J1573" s="6"/>
    </row>
    <row r="1574" spans="7:10" x14ac:dyDescent="0.35">
      <c r="G1574" s="2"/>
      <c r="H1574" s="2"/>
      <c r="I1574" s="3"/>
      <c r="J1574" s="6"/>
    </row>
    <row r="1575" spans="7:10" x14ac:dyDescent="0.35">
      <c r="G1575" s="2"/>
      <c r="H1575" s="2"/>
      <c r="I1575" s="3"/>
      <c r="J1575" s="6"/>
    </row>
    <row r="1576" spans="7:10" x14ac:dyDescent="0.35">
      <c r="G1576" s="2"/>
      <c r="H1576" s="2"/>
      <c r="I1576" s="3"/>
      <c r="J1576" s="6"/>
    </row>
    <row r="1577" spans="7:10" x14ac:dyDescent="0.35">
      <c r="G1577" s="2"/>
      <c r="H1577" s="2"/>
      <c r="I1577" s="3"/>
      <c r="J1577" s="6"/>
    </row>
    <row r="1578" spans="7:10" x14ac:dyDescent="0.35">
      <c r="G1578" s="2"/>
      <c r="H1578" s="2"/>
      <c r="I1578" s="3"/>
      <c r="J1578" s="6"/>
    </row>
    <row r="1579" spans="7:10" x14ac:dyDescent="0.35">
      <c r="G1579" s="2"/>
      <c r="H1579" s="2"/>
      <c r="I1579" s="3"/>
      <c r="J1579" s="6"/>
    </row>
    <row r="1580" spans="7:10" x14ac:dyDescent="0.35">
      <c r="G1580" s="2"/>
      <c r="H1580" s="2"/>
      <c r="I1580" s="3"/>
      <c r="J1580" s="6"/>
    </row>
    <row r="1581" spans="7:10" x14ac:dyDescent="0.35">
      <c r="G1581" s="2"/>
      <c r="H1581" s="2"/>
      <c r="I1581" s="3"/>
      <c r="J1581" s="6"/>
    </row>
    <row r="1582" spans="7:10" x14ac:dyDescent="0.35">
      <c r="G1582" s="2"/>
      <c r="H1582" s="2"/>
      <c r="I1582" s="3"/>
      <c r="J1582" s="6"/>
    </row>
    <row r="1583" spans="7:10" x14ac:dyDescent="0.35">
      <c r="G1583" s="2"/>
      <c r="H1583" s="2"/>
      <c r="I1583" s="3"/>
      <c r="J1583" s="6"/>
    </row>
    <row r="1584" spans="7:10" x14ac:dyDescent="0.35">
      <c r="G1584" s="2"/>
      <c r="H1584" s="2"/>
      <c r="I1584" s="3"/>
      <c r="J1584" s="6"/>
    </row>
    <row r="1585" spans="7:10" x14ac:dyDescent="0.35">
      <c r="G1585" s="2"/>
      <c r="H1585" s="2"/>
      <c r="I1585" s="3"/>
      <c r="J1585" s="6"/>
    </row>
    <row r="1586" spans="7:10" x14ac:dyDescent="0.35">
      <c r="G1586" s="2"/>
      <c r="H1586" s="2"/>
      <c r="I1586" s="3"/>
      <c r="J1586" s="6"/>
    </row>
    <row r="1587" spans="7:10" x14ac:dyDescent="0.35">
      <c r="G1587" s="2"/>
      <c r="H1587" s="2"/>
      <c r="I1587" s="3"/>
      <c r="J1587" s="6"/>
    </row>
    <row r="1588" spans="7:10" x14ac:dyDescent="0.35">
      <c r="G1588" s="2"/>
      <c r="H1588" s="2"/>
      <c r="I1588" s="3"/>
      <c r="J1588" s="6"/>
    </row>
    <row r="1589" spans="7:10" x14ac:dyDescent="0.35">
      <c r="G1589" s="2"/>
      <c r="H1589" s="2"/>
      <c r="I1589" s="3"/>
      <c r="J1589" s="6"/>
    </row>
    <row r="1590" spans="7:10" x14ac:dyDescent="0.35">
      <c r="G1590" s="2"/>
      <c r="H1590" s="2"/>
      <c r="I1590" s="3"/>
      <c r="J1590" s="6"/>
    </row>
    <row r="1591" spans="7:10" x14ac:dyDescent="0.35">
      <c r="G1591" s="2"/>
      <c r="H1591" s="2"/>
      <c r="I1591" s="3"/>
      <c r="J1591" s="6"/>
    </row>
    <row r="1592" spans="7:10" x14ac:dyDescent="0.35">
      <c r="G1592" s="2"/>
      <c r="H1592" s="2"/>
      <c r="I1592" s="3"/>
      <c r="J1592" s="6"/>
    </row>
    <row r="1593" spans="7:10" x14ac:dyDescent="0.35">
      <c r="G1593" s="2"/>
      <c r="H1593" s="2"/>
      <c r="I1593" s="3"/>
      <c r="J1593" s="6"/>
    </row>
    <row r="1594" spans="7:10" x14ac:dyDescent="0.35">
      <c r="G1594" s="2"/>
      <c r="H1594" s="2"/>
      <c r="I1594" s="3"/>
      <c r="J1594" s="6"/>
    </row>
    <row r="1595" spans="7:10" x14ac:dyDescent="0.35">
      <c r="G1595" s="2"/>
      <c r="H1595" s="2"/>
      <c r="I1595" s="3"/>
      <c r="J1595" s="6"/>
    </row>
    <row r="1596" spans="7:10" x14ac:dyDescent="0.35">
      <c r="G1596" s="2"/>
      <c r="H1596" s="2"/>
      <c r="I1596" s="3"/>
      <c r="J1596" s="6"/>
    </row>
    <row r="1597" spans="7:10" x14ac:dyDescent="0.35">
      <c r="G1597" s="2"/>
      <c r="H1597" s="2"/>
      <c r="I1597" s="3"/>
      <c r="J1597" s="6"/>
    </row>
    <row r="1598" spans="7:10" x14ac:dyDescent="0.35">
      <c r="G1598" s="2"/>
      <c r="H1598" s="2"/>
      <c r="I1598" s="3"/>
      <c r="J1598" s="6"/>
    </row>
    <row r="1599" spans="7:10" x14ac:dyDescent="0.35">
      <c r="G1599" s="2"/>
      <c r="H1599" s="2"/>
      <c r="I1599" s="3"/>
      <c r="J1599" s="6"/>
    </row>
    <row r="1600" spans="7:10" x14ac:dyDescent="0.35">
      <c r="G1600" s="2"/>
      <c r="H1600" s="2"/>
      <c r="I1600" s="3"/>
      <c r="J1600" s="6"/>
    </row>
    <row r="1601" spans="7:10" x14ac:dyDescent="0.35">
      <c r="G1601" s="2"/>
      <c r="H1601" s="2"/>
      <c r="I1601" s="3"/>
      <c r="J1601" s="6"/>
    </row>
    <row r="1602" spans="7:10" x14ac:dyDescent="0.35">
      <c r="G1602" s="2"/>
      <c r="H1602" s="2"/>
      <c r="I1602" s="3"/>
      <c r="J1602" s="6"/>
    </row>
    <row r="1603" spans="7:10" x14ac:dyDescent="0.35">
      <c r="G1603" s="2"/>
      <c r="H1603" s="2"/>
      <c r="I1603" s="3"/>
      <c r="J1603" s="6"/>
    </row>
    <row r="1604" spans="7:10" x14ac:dyDescent="0.35">
      <c r="G1604" s="2"/>
      <c r="H1604" s="2"/>
      <c r="I1604" s="3"/>
      <c r="J1604" s="6"/>
    </row>
    <row r="1605" spans="7:10" x14ac:dyDescent="0.35">
      <c r="G1605" s="2"/>
      <c r="H1605" s="2"/>
      <c r="I1605" s="3"/>
      <c r="J1605" s="6"/>
    </row>
    <row r="1606" spans="7:10" x14ac:dyDescent="0.35">
      <c r="G1606" s="2"/>
      <c r="H1606" s="2"/>
      <c r="I1606" s="3"/>
      <c r="J1606" s="6"/>
    </row>
    <row r="1607" spans="7:10" x14ac:dyDescent="0.35">
      <c r="G1607" s="2"/>
      <c r="H1607" s="2"/>
      <c r="I1607" s="3"/>
      <c r="J1607" s="6"/>
    </row>
    <row r="1608" spans="7:10" x14ac:dyDescent="0.35">
      <c r="G1608" s="2"/>
      <c r="H1608" s="2"/>
      <c r="I1608" s="3"/>
      <c r="J1608" s="6"/>
    </row>
    <row r="1609" spans="7:10" x14ac:dyDescent="0.35">
      <c r="G1609" s="2"/>
      <c r="H1609" s="2"/>
      <c r="I1609" s="3"/>
      <c r="J1609" s="6"/>
    </row>
    <row r="1610" spans="7:10" x14ac:dyDescent="0.35">
      <c r="G1610" s="2"/>
      <c r="H1610" s="2"/>
      <c r="I1610" s="3"/>
      <c r="J1610" s="6"/>
    </row>
    <row r="1611" spans="7:10" x14ac:dyDescent="0.35">
      <c r="G1611" s="2"/>
      <c r="H1611" s="2"/>
      <c r="I1611" s="3"/>
      <c r="J1611" s="6"/>
    </row>
    <row r="1612" spans="7:10" x14ac:dyDescent="0.35">
      <c r="G1612" s="2"/>
      <c r="H1612" s="2"/>
      <c r="I1612" s="3"/>
      <c r="J1612" s="6"/>
    </row>
    <row r="1613" spans="7:10" x14ac:dyDescent="0.35">
      <c r="G1613" s="2"/>
      <c r="H1613" s="2"/>
      <c r="I1613" s="3"/>
      <c r="J1613" s="6"/>
    </row>
    <row r="1614" spans="7:10" x14ac:dyDescent="0.35">
      <c r="G1614" s="2"/>
      <c r="H1614" s="2"/>
      <c r="I1614" s="3"/>
      <c r="J1614" s="6"/>
    </row>
    <row r="1615" spans="7:10" x14ac:dyDescent="0.35">
      <c r="G1615" s="2"/>
      <c r="H1615" s="2"/>
      <c r="I1615" s="3"/>
      <c r="J1615" s="6"/>
    </row>
    <row r="1616" spans="7:10" x14ac:dyDescent="0.35">
      <c r="G1616" s="2"/>
      <c r="H1616" s="2"/>
      <c r="I1616" s="3"/>
      <c r="J1616" s="6"/>
    </row>
    <row r="1617" spans="7:10" x14ac:dyDescent="0.35">
      <c r="G1617" s="2"/>
      <c r="H1617" s="2"/>
      <c r="I1617" s="3"/>
      <c r="J1617" s="6"/>
    </row>
    <row r="1618" spans="7:10" x14ac:dyDescent="0.35">
      <c r="G1618" s="2"/>
      <c r="H1618" s="2"/>
      <c r="I1618" s="3"/>
      <c r="J1618" s="6"/>
    </row>
    <row r="1619" spans="7:10" x14ac:dyDescent="0.35">
      <c r="G1619" s="2"/>
      <c r="H1619" s="2"/>
      <c r="I1619" s="3"/>
      <c r="J1619" s="6"/>
    </row>
    <row r="1620" spans="7:10" x14ac:dyDescent="0.35">
      <c r="G1620" s="2"/>
      <c r="H1620" s="2"/>
      <c r="I1620" s="3"/>
      <c r="J1620" s="6"/>
    </row>
    <row r="1621" spans="7:10" x14ac:dyDescent="0.35">
      <c r="G1621" s="2"/>
      <c r="H1621" s="2"/>
      <c r="I1621" s="3"/>
      <c r="J1621" s="6"/>
    </row>
    <row r="1622" spans="7:10" x14ac:dyDescent="0.35">
      <c r="G1622" s="2"/>
      <c r="H1622" s="2"/>
      <c r="I1622" s="3"/>
      <c r="J1622" s="6"/>
    </row>
    <row r="1623" spans="7:10" x14ac:dyDescent="0.35">
      <c r="G1623" s="2"/>
      <c r="H1623" s="2"/>
      <c r="I1623" s="3"/>
      <c r="J1623" s="6"/>
    </row>
    <row r="1624" spans="7:10" x14ac:dyDescent="0.35">
      <c r="G1624" s="2"/>
      <c r="H1624" s="2"/>
      <c r="I1624" s="3"/>
      <c r="J1624" s="6"/>
    </row>
    <row r="1625" spans="7:10" x14ac:dyDescent="0.35">
      <c r="G1625" s="2"/>
      <c r="H1625" s="2"/>
      <c r="I1625" s="3"/>
      <c r="J1625" s="6"/>
    </row>
    <row r="1626" spans="7:10" x14ac:dyDescent="0.35">
      <c r="G1626" s="2"/>
      <c r="H1626" s="2"/>
      <c r="I1626" s="3"/>
      <c r="J1626" s="6"/>
    </row>
    <row r="1627" spans="7:10" x14ac:dyDescent="0.35">
      <c r="G1627" s="2"/>
      <c r="H1627" s="2"/>
      <c r="I1627" s="3"/>
      <c r="J1627" s="6"/>
    </row>
    <row r="1628" spans="7:10" x14ac:dyDescent="0.35">
      <c r="G1628" s="2"/>
      <c r="H1628" s="2"/>
      <c r="I1628" s="3"/>
      <c r="J1628" s="6"/>
    </row>
    <row r="1629" spans="7:10" x14ac:dyDescent="0.35">
      <c r="G1629" s="2"/>
      <c r="H1629" s="2"/>
      <c r="I1629" s="3"/>
      <c r="J1629" s="6"/>
    </row>
    <row r="1630" spans="7:10" x14ac:dyDescent="0.35">
      <c r="G1630" s="2"/>
      <c r="H1630" s="2"/>
      <c r="I1630" s="3"/>
      <c r="J1630" s="6"/>
    </row>
    <row r="1631" spans="7:10" x14ac:dyDescent="0.35">
      <c r="G1631" s="2"/>
      <c r="H1631" s="2"/>
      <c r="I1631" s="3"/>
      <c r="J1631" s="6"/>
    </row>
    <row r="1632" spans="7:10" x14ac:dyDescent="0.35">
      <c r="G1632" s="2"/>
      <c r="H1632" s="2"/>
      <c r="I1632" s="3"/>
      <c r="J1632" s="6"/>
    </row>
    <row r="1633" spans="7:10" x14ac:dyDescent="0.35">
      <c r="G1633" s="2"/>
      <c r="H1633" s="2"/>
      <c r="I1633" s="3"/>
      <c r="J1633" s="6"/>
    </row>
    <row r="1634" spans="7:10" x14ac:dyDescent="0.35">
      <c r="G1634" s="2"/>
      <c r="H1634" s="2"/>
      <c r="I1634" s="3"/>
      <c r="J1634" s="6"/>
    </row>
    <row r="1635" spans="7:10" x14ac:dyDescent="0.35">
      <c r="G1635" s="2"/>
      <c r="H1635" s="2"/>
      <c r="I1635" s="3"/>
      <c r="J1635" s="6"/>
    </row>
    <row r="1636" spans="7:10" x14ac:dyDescent="0.35">
      <c r="G1636" s="2"/>
      <c r="H1636" s="2"/>
      <c r="I1636" s="3"/>
      <c r="J1636" s="6"/>
    </row>
    <row r="1637" spans="7:10" x14ac:dyDescent="0.35">
      <c r="G1637" s="2"/>
      <c r="H1637" s="2"/>
      <c r="I1637" s="3"/>
      <c r="J1637" s="6"/>
    </row>
    <row r="1638" spans="7:10" x14ac:dyDescent="0.35">
      <c r="G1638" s="2"/>
      <c r="H1638" s="2"/>
      <c r="I1638" s="3"/>
      <c r="J1638" s="6"/>
    </row>
    <row r="1639" spans="7:10" x14ac:dyDescent="0.35">
      <c r="G1639" s="2"/>
      <c r="H1639" s="2"/>
      <c r="I1639" s="3"/>
      <c r="J1639" s="6"/>
    </row>
    <row r="1640" spans="7:10" x14ac:dyDescent="0.35">
      <c r="G1640" s="2"/>
      <c r="H1640" s="2"/>
      <c r="I1640" s="3"/>
      <c r="J1640" s="6"/>
    </row>
    <row r="1641" spans="7:10" x14ac:dyDescent="0.35">
      <c r="G1641" s="2"/>
      <c r="H1641" s="2"/>
      <c r="I1641" s="3"/>
      <c r="J1641" s="6"/>
    </row>
    <row r="1642" spans="7:10" x14ac:dyDescent="0.35">
      <c r="G1642" s="2"/>
      <c r="H1642" s="2"/>
      <c r="I1642" s="3"/>
      <c r="J1642" s="6"/>
    </row>
    <row r="1643" spans="7:10" x14ac:dyDescent="0.35">
      <c r="G1643" s="2"/>
      <c r="H1643" s="2"/>
      <c r="I1643" s="3"/>
      <c r="J1643" s="6"/>
    </row>
    <row r="1644" spans="7:10" x14ac:dyDescent="0.35">
      <c r="G1644" s="2"/>
      <c r="H1644" s="2"/>
      <c r="I1644" s="3"/>
      <c r="J1644" s="6"/>
    </row>
    <row r="1645" spans="7:10" x14ac:dyDescent="0.35">
      <c r="G1645" s="2"/>
      <c r="H1645" s="2"/>
      <c r="I1645" s="3"/>
      <c r="J1645" s="6"/>
    </row>
    <row r="1646" spans="7:10" x14ac:dyDescent="0.35">
      <c r="G1646" s="2"/>
      <c r="H1646" s="2"/>
      <c r="I1646" s="3"/>
      <c r="J1646" s="6"/>
    </row>
    <row r="1647" spans="7:10" x14ac:dyDescent="0.35">
      <c r="G1647" s="2"/>
      <c r="H1647" s="2"/>
      <c r="I1647" s="3"/>
      <c r="J1647" s="6"/>
    </row>
    <row r="1648" spans="7:10" x14ac:dyDescent="0.35">
      <c r="G1648" s="2"/>
      <c r="H1648" s="2"/>
      <c r="I1648" s="3"/>
      <c r="J1648" s="6"/>
    </row>
    <row r="1649" spans="7:10" x14ac:dyDescent="0.35">
      <c r="G1649" s="2"/>
      <c r="H1649" s="2"/>
      <c r="I1649" s="3"/>
      <c r="J1649" s="6"/>
    </row>
    <row r="1650" spans="7:10" x14ac:dyDescent="0.35">
      <c r="G1650" s="2"/>
      <c r="H1650" s="2"/>
      <c r="I1650" s="3"/>
      <c r="J1650" s="6"/>
    </row>
    <row r="1651" spans="7:10" x14ac:dyDescent="0.35">
      <c r="G1651" s="2"/>
      <c r="H1651" s="2"/>
      <c r="I1651" s="3"/>
      <c r="J1651" s="6"/>
    </row>
    <row r="1652" spans="7:10" x14ac:dyDescent="0.35">
      <c r="G1652" s="2"/>
      <c r="H1652" s="2"/>
      <c r="I1652" s="3"/>
      <c r="J1652" s="6"/>
    </row>
    <row r="1653" spans="7:10" x14ac:dyDescent="0.35">
      <c r="G1653" s="2"/>
      <c r="H1653" s="2"/>
      <c r="I1653" s="3"/>
      <c r="J1653" s="6"/>
    </row>
    <row r="1654" spans="7:10" x14ac:dyDescent="0.35">
      <c r="G1654" s="2"/>
      <c r="H1654" s="2"/>
      <c r="I1654" s="3"/>
      <c r="J1654" s="6"/>
    </row>
    <row r="1655" spans="7:10" x14ac:dyDescent="0.35">
      <c r="G1655" s="2"/>
      <c r="H1655" s="2"/>
      <c r="I1655" s="3"/>
      <c r="J1655" s="6"/>
    </row>
    <row r="1656" spans="7:10" x14ac:dyDescent="0.35">
      <c r="G1656" s="2"/>
      <c r="H1656" s="2"/>
      <c r="I1656" s="3"/>
      <c r="J1656" s="6"/>
    </row>
    <row r="1657" spans="7:10" x14ac:dyDescent="0.35">
      <c r="G1657" s="2"/>
      <c r="H1657" s="2"/>
      <c r="I1657" s="3"/>
      <c r="J1657" s="6"/>
    </row>
    <row r="1658" spans="7:10" x14ac:dyDescent="0.35">
      <c r="G1658" s="2"/>
      <c r="H1658" s="2"/>
      <c r="I1658" s="3"/>
      <c r="J1658" s="6"/>
    </row>
    <row r="1659" spans="7:10" x14ac:dyDescent="0.35">
      <c r="G1659" s="2"/>
      <c r="H1659" s="2"/>
      <c r="I1659" s="3"/>
      <c r="J1659" s="6"/>
    </row>
    <row r="1660" spans="7:10" x14ac:dyDescent="0.35">
      <c r="G1660" s="2"/>
      <c r="H1660" s="2"/>
      <c r="I1660" s="3"/>
      <c r="J1660" s="6"/>
    </row>
    <row r="1661" spans="7:10" x14ac:dyDescent="0.35">
      <c r="G1661" s="2"/>
      <c r="H1661" s="2"/>
      <c r="I1661" s="3"/>
      <c r="J1661" s="6"/>
    </row>
    <row r="1662" spans="7:10" x14ac:dyDescent="0.35">
      <c r="G1662" s="2"/>
      <c r="H1662" s="2"/>
      <c r="I1662" s="3"/>
      <c r="J1662" s="6"/>
    </row>
    <row r="1663" spans="7:10" x14ac:dyDescent="0.35">
      <c r="G1663" s="2"/>
      <c r="H1663" s="2"/>
      <c r="I1663" s="3"/>
      <c r="J1663" s="6"/>
    </row>
    <row r="1664" spans="7:10" x14ac:dyDescent="0.35">
      <c r="G1664" s="2"/>
      <c r="H1664" s="2"/>
      <c r="I1664" s="3"/>
      <c r="J1664" s="6"/>
    </row>
    <row r="1665" spans="7:10" x14ac:dyDescent="0.35">
      <c r="G1665" s="2"/>
      <c r="H1665" s="2"/>
      <c r="I1665" s="3"/>
      <c r="J1665" s="6"/>
    </row>
    <row r="1666" spans="7:10" x14ac:dyDescent="0.35">
      <c r="G1666" s="2"/>
      <c r="H1666" s="2"/>
      <c r="I1666" s="3"/>
      <c r="J1666" s="6"/>
    </row>
    <row r="1667" spans="7:10" x14ac:dyDescent="0.35">
      <c r="G1667" s="2"/>
      <c r="H1667" s="2"/>
      <c r="I1667" s="3"/>
      <c r="J1667" s="6"/>
    </row>
    <row r="1668" spans="7:10" x14ac:dyDescent="0.35">
      <c r="G1668" s="2"/>
      <c r="H1668" s="2"/>
      <c r="I1668" s="3"/>
      <c r="J1668" s="6"/>
    </row>
    <row r="1669" spans="7:10" x14ac:dyDescent="0.35">
      <c r="G1669" s="2"/>
      <c r="H1669" s="2"/>
      <c r="I1669" s="3"/>
      <c r="J1669" s="6"/>
    </row>
    <row r="1670" spans="7:10" x14ac:dyDescent="0.35">
      <c r="G1670" s="2"/>
      <c r="H1670" s="2"/>
      <c r="I1670" s="3"/>
      <c r="J1670" s="6"/>
    </row>
    <row r="1671" spans="7:10" x14ac:dyDescent="0.35">
      <c r="G1671" s="2"/>
      <c r="H1671" s="2"/>
      <c r="I1671" s="3"/>
      <c r="J1671" s="6"/>
    </row>
    <row r="1672" spans="7:10" x14ac:dyDescent="0.35">
      <c r="G1672" s="2"/>
      <c r="H1672" s="2"/>
      <c r="I1672" s="3"/>
      <c r="J1672" s="6"/>
    </row>
    <row r="1673" spans="7:10" x14ac:dyDescent="0.35">
      <c r="G1673" s="2"/>
      <c r="H1673" s="2"/>
      <c r="I1673" s="3"/>
      <c r="J1673" s="6"/>
    </row>
    <row r="1674" spans="7:10" x14ac:dyDescent="0.35">
      <c r="G1674" s="2"/>
      <c r="H1674" s="2"/>
      <c r="I1674" s="3"/>
      <c r="J1674" s="6"/>
    </row>
    <row r="1675" spans="7:10" x14ac:dyDescent="0.35">
      <c r="G1675" s="2"/>
      <c r="H1675" s="2"/>
      <c r="I1675" s="3"/>
      <c r="J1675" s="6"/>
    </row>
    <row r="1676" spans="7:10" x14ac:dyDescent="0.35">
      <c r="G1676" s="2"/>
      <c r="H1676" s="2"/>
      <c r="I1676" s="3"/>
      <c r="J1676" s="6"/>
    </row>
    <row r="1677" spans="7:10" x14ac:dyDescent="0.35">
      <c r="G1677" s="2"/>
      <c r="H1677" s="2"/>
      <c r="I1677" s="3"/>
      <c r="J1677" s="6"/>
    </row>
    <row r="1678" spans="7:10" x14ac:dyDescent="0.35">
      <c r="G1678" s="2"/>
      <c r="H1678" s="2"/>
      <c r="I1678" s="3"/>
      <c r="J1678" s="6"/>
    </row>
    <row r="1679" spans="7:10" x14ac:dyDescent="0.35">
      <c r="G1679" s="2"/>
      <c r="H1679" s="2"/>
      <c r="I1679" s="3"/>
      <c r="J1679" s="6"/>
    </row>
    <row r="1680" spans="7:10" x14ac:dyDescent="0.35">
      <c r="G1680" s="2"/>
      <c r="H1680" s="2"/>
      <c r="I1680" s="3"/>
      <c r="J1680" s="6"/>
    </row>
    <row r="1681" spans="7:10" x14ac:dyDescent="0.35">
      <c r="G1681" s="2"/>
      <c r="H1681" s="2"/>
      <c r="I1681" s="3"/>
      <c r="J1681" s="6"/>
    </row>
    <row r="1682" spans="7:10" x14ac:dyDescent="0.35">
      <c r="G1682" s="2"/>
      <c r="H1682" s="2"/>
      <c r="I1682" s="3"/>
      <c r="J1682" s="6"/>
    </row>
    <row r="1683" spans="7:10" x14ac:dyDescent="0.35">
      <c r="G1683" s="2"/>
      <c r="H1683" s="2"/>
      <c r="I1683" s="3"/>
      <c r="J1683" s="6"/>
    </row>
    <row r="1684" spans="7:10" x14ac:dyDescent="0.35">
      <c r="G1684" s="2"/>
      <c r="H1684" s="2"/>
      <c r="I1684" s="3"/>
      <c r="J1684" s="6"/>
    </row>
    <row r="1685" spans="7:10" x14ac:dyDescent="0.35">
      <c r="G1685" s="2"/>
      <c r="H1685" s="2"/>
      <c r="I1685" s="3"/>
      <c r="J1685" s="6"/>
    </row>
    <row r="1686" spans="7:10" x14ac:dyDescent="0.35">
      <c r="G1686" s="2"/>
      <c r="H1686" s="2"/>
      <c r="I1686" s="3"/>
      <c r="J1686" s="6"/>
    </row>
    <row r="1687" spans="7:10" x14ac:dyDescent="0.35">
      <c r="G1687" s="2"/>
      <c r="H1687" s="2"/>
      <c r="I1687" s="3"/>
      <c r="J1687" s="6"/>
    </row>
    <row r="1688" spans="7:10" x14ac:dyDescent="0.35">
      <c r="G1688" s="2"/>
      <c r="H1688" s="2"/>
      <c r="I1688" s="3"/>
      <c r="J1688" s="6"/>
    </row>
    <row r="1689" spans="7:10" x14ac:dyDescent="0.35">
      <c r="G1689" s="2"/>
      <c r="H1689" s="2"/>
      <c r="I1689" s="3"/>
      <c r="J1689" s="6"/>
    </row>
    <row r="1690" spans="7:10" x14ac:dyDescent="0.35">
      <c r="G1690" s="2"/>
      <c r="H1690" s="2"/>
      <c r="I1690" s="3"/>
      <c r="J1690" s="6"/>
    </row>
    <row r="1691" spans="7:10" x14ac:dyDescent="0.35">
      <c r="G1691" s="2"/>
      <c r="H1691" s="2"/>
      <c r="I1691" s="3"/>
      <c r="J1691" s="6"/>
    </row>
    <row r="1692" spans="7:10" x14ac:dyDescent="0.35">
      <c r="G1692" s="2"/>
      <c r="H1692" s="2"/>
      <c r="I1692" s="3"/>
      <c r="J1692" s="6"/>
    </row>
    <row r="1693" spans="7:10" x14ac:dyDescent="0.35">
      <c r="G1693" s="2"/>
      <c r="H1693" s="2"/>
      <c r="I1693" s="3"/>
      <c r="J1693" s="6"/>
    </row>
    <row r="1694" spans="7:10" x14ac:dyDescent="0.35">
      <c r="G1694" s="2"/>
      <c r="H1694" s="2"/>
      <c r="I1694" s="3"/>
      <c r="J1694" s="6"/>
    </row>
    <row r="1695" spans="7:10" x14ac:dyDescent="0.35">
      <c r="G1695" s="2"/>
      <c r="H1695" s="2"/>
      <c r="I1695" s="3"/>
      <c r="J1695" s="6"/>
    </row>
    <row r="1696" spans="7:10" x14ac:dyDescent="0.35">
      <c r="G1696" s="2"/>
      <c r="H1696" s="2"/>
      <c r="I1696" s="3"/>
      <c r="J1696" s="6"/>
    </row>
    <row r="1697" spans="7:10" x14ac:dyDescent="0.35">
      <c r="G1697" s="2"/>
      <c r="H1697" s="2"/>
      <c r="I1697" s="3"/>
      <c r="J1697" s="6"/>
    </row>
    <row r="1698" spans="7:10" x14ac:dyDescent="0.35">
      <c r="G1698" s="2"/>
      <c r="H1698" s="2"/>
      <c r="I1698" s="3"/>
      <c r="J1698" s="6"/>
    </row>
    <row r="1699" spans="7:10" x14ac:dyDescent="0.35">
      <c r="G1699" s="2"/>
      <c r="H1699" s="2"/>
      <c r="I1699" s="3"/>
      <c r="J1699" s="6"/>
    </row>
    <row r="1700" spans="7:10" x14ac:dyDescent="0.35">
      <c r="G1700" s="2"/>
      <c r="H1700" s="2"/>
      <c r="I1700" s="3"/>
      <c r="J1700" s="6"/>
    </row>
    <row r="1701" spans="7:10" x14ac:dyDescent="0.35">
      <c r="G1701" s="2"/>
      <c r="H1701" s="2"/>
      <c r="I1701" s="3"/>
      <c r="J1701" s="6"/>
    </row>
    <row r="1702" spans="7:10" x14ac:dyDescent="0.35">
      <c r="G1702" s="2"/>
      <c r="H1702" s="2"/>
      <c r="I1702" s="3"/>
      <c r="J1702" s="6"/>
    </row>
    <row r="1703" spans="7:10" x14ac:dyDescent="0.35">
      <c r="G1703" s="2"/>
      <c r="H1703" s="2"/>
      <c r="I1703" s="3"/>
      <c r="J1703" s="6"/>
    </row>
    <row r="1704" spans="7:10" x14ac:dyDescent="0.35">
      <c r="G1704" s="2"/>
      <c r="H1704" s="2"/>
      <c r="I1704" s="3"/>
      <c r="J1704" s="6"/>
    </row>
    <row r="1705" spans="7:10" x14ac:dyDescent="0.35">
      <c r="G1705" s="2"/>
      <c r="H1705" s="2"/>
      <c r="I1705" s="3"/>
      <c r="J1705" s="6"/>
    </row>
    <row r="1706" spans="7:10" x14ac:dyDescent="0.35">
      <c r="G1706" s="2"/>
      <c r="H1706" s="2"/>
      <c r="I1706" s="3"/>
      <c r="J1706" s="6"/>
    </row>
    <row r="1707" spans="7:10" x14ac:dyDescent="0.35">
      <c r="G1707" s="2"/>
      <c r="H1707" s="2"/>
      <c r="I1707" s="3"/>
      <c r="J1707" s="6"/>
    </row>
    <row r="1708" spans="7:10" x14ac:dyDescent="0.35">
      <c r="G1708" s="2"/>
      <c r="H1708" s="2"/>
      <c r="I1708" s="3"/>
      <c r="J1708" s="6"/>
    </row>
    <row r="1709" spans="7:10" x14ac:dyDescent="0.35">
      <c r="G1709" s="2"/>
      <c r="H1709" s="2"/>
      <c r="I1709" s="3"/>
      <c r="J1709" s="6"/>
    </row>
    <row r="1710" spans="7:10" x14ac:dyDescent="0.35">
      <c r="G1710" s="2"/>
      <c r="H1710" s="2"/>
      <c r="I1710" s="3"/>
      <c r="J1710" s="6"/>
    </row>
    <row r="1711" spans="7:10" x14ac:dyDescent="0.35">
      <c r="G1711" s="2"/>
      <c r="H1711" s="2"/>
      <c r="I1711" s="3"/>
      <c r="J1711" s="6"/>
    </row>
    <row r="1712" spans="7:10" x14ac:dyDescent="0.35">
      <c r="G1712" s="2"/>
      <c r="H1712" s="2"/>
      <c r="I1712" s="3"/>
      <c r="J1712" s="6"/>
    </row>
    <row r="1713" spans="7:10" x14ac:dyDescent="0.35">
      <c r="G1713" s="2"/>
      <c r="H1713" s="2"/>
      <c r="I1713" s="3"/>
      <c r="J1713" s="6"/>
    </row>
    <row r="1714" spans="7:10" x14ac:dyDescent="0.35">
      <c r="G1714" s="2"/>
      <c r="H1714" s="2"/>
      <c r="I1714" s="3"/>
      <c r="J1714" s="6"/>
    </row>
    <row r="1715" spans="7:10" x14ac:dyDescent="0.35">
      <c r="G1715" s="2"/>
      <c r="H1715" s="2"/>
      <c r="I1715" s="3"/>
      <c r="J1715" s="6"/>
    </row>
    <row r="1716" spans="7:10" x14ac:dyDescent="0.35">
      <c r="G1716" s="2"/>
      <c r="H1716" s="2"/>
      <c r="I1716" s="3"/>
      <c r="J1716" s="6"/>
    </row>
    <row r="1717" spans="7:10" x14ac:dyDescent="0.35">
      <c r="G1717" s="2"/>
      <c r="H1717" s="2"/>
      <c r="I1717" s="3"/>
      <c r="J1717" s="6"/>
    </row>
    <row r="1718" spans="7:10" x14ac:dyDescent="0.35">
      <c r="G1718" s="2"/>
      <c r="H1718" s="2"/>
      <c r="I1718" s="3"/>
      <c r="J1718" s="6"/>
    </row>
    <row r="1719" spans="7:10" x14ac:dyDescent="0.35">
      <c r="G1719" s="2"/>
      <c r="H1719" s="2"/>
      <c r="I1719" s="3"/>
      <c r="J1719" s="6"/>
    </row>
    <row r="1720" spans="7:10" x14ac:dyDescent="0.35">
      <c r="G1720" s="2"/>
      <c r="H1720" s="2"/>
      <c r="I1720" s="3"/>
      <c r="J1720" s="6"/>
    </row>
    <row r="1721" spans="7:10" x14ac:dyDescent="0.35">
      <c r="G1721" s="2"/>
      <c r="H1721" s="2"/>
      <c r="I1721" s="3"/>
      <c r="J1721" s="6"/>
    </row>
    <row r="1722" spans="7:10" x14ac:dyDescent="0.35">
      <c r="G1722" s="2"/>
      <c r="H1722" s="2"/>
      <c r="I1722" s="3"/>
      <c r="J1722" s="6"/>
    </row>
    <row r="1723" spans="7:10" x14ac:dyDescent="0.35">
      <c r="G1723" s="2"/>
      <c r="H1723" s="2"/>
      <c r="I1723" s="3"/>
      <c r="J1723" s="6"/>
    </row>
    <row r="1724" spans="7:10" x14ac:dyDescent="0.35">
      <c r="G1724" s="2"/>
      <c r="H1724" s="2"/>
      <c r="I1724" s="3"/>
      <c r="J1724" s="6"/>
    </row>
    <row r="1725" spans="7:10" x14ac:dyDescent="0.35">
      <c r="G1725" s="2"/>
      <c r="H1725" s="2"/>
      <c r="I1725" s="3"/>
      <c r="J1725" s="6"/>
    </row>
    <row r="1726" spans="7:10" x14ac:dyDescent="0.35">
      <c r="G1726" s="2"/>
      <c r="H1726" s="2"/>
      <c r="I1726" s="3"/>
      <c r="J1726" s="6"/>
    </row>
    <row r="1727" spans="7:10" x14ac:dyDescent="0.35">
      <c r="G1727" s="2"/>
      <c r="H1727" s="2"/>
      <c r="I1727" s="3"/>
      <c r="J1727" s="6"/>
    </row>
    <row r="1728" spans="7:10" x14ac:dyDescent="0.35">
      <c r="G1728" s="2"/>
      <c r="H1728" s="2"/>
      <c r="I1728" s="3"/>
      <c r="J1728" s="6"/>
    </row>
    <row r="1729" spans="7:10" x14ac:dyDescent="0.35">
      <c r="G1729" s="2"/>
      <c r="H1729" s="2"/>
      <c r="I1729" s="3"/>
      <c r="J1729" s="6"/>
    </row>
    <row r="1730" spans="7:10" x14ac:dyDescent="0.35">
      <c r="G1730" s="2"/>
      <c r="H1730" s="2"/>
      <c r="I1730" s="3"/>
      <c r="J1730" s="6"/>
    </row>
    <row r="1731" spans="7:10" x14ac:dyDescent="0.35">
      <c r="G1731" s="2"/>
      <c r="H1731" s="2"/>
      <c r="I1731" s="3"/>
      <c r="J1731" s="6"/>
    </row>
    <row r="1732" spans="7:10" x14ac:dyDescent="0.35">
      <c r="G1732" s="2"/>
      <c r="H1732" s="2"/>
      <c r="I1732" s="3"/>
      <c r="J1732" s="6"/>
    </row>
    <row r="1733" spans="7:10" x14ac:dyDescent="0.35">
      <c r="G1733" s="2"/>
      <c r="H1733" s="2"/>
      <c r="I1733" s="3"/>
      <c r="J1733" s="6"/>
    </row>
    <row r="1734" spans="7:10" x14ac:dyDescent="0.35">
      <c r="G1734" s="2"/>
      <c r="H1734" s="2"/>
      <c r="I1734" s="3"/>
      <c r="J1734" s="6"/>
    </row>
    <row r="1735" spans="7:10" x14ac:dyDescent="0.35">
      <c r="G1735" s="2"/>
      <c r="H1735" s="2"/>
      <c r="I1735" s="3"/>
      <c r="J1735" s="6"/>
    </row>
    <row r="1736" spans="7:10" x14ac:dyDescent="0.35">
      <c r="G1736" s="2"/>
      <c r="H1736" s="2"/>
      <c r="I1736" s="3"/>
      <c r="J1736" s="6"/>
    </row>
    <row r="1737" spans="7:10" x14ac:dyDescent="0.35">
      <c r="G1737" s="2"/>
      <c r="H1737" s="2"/>
      <c r="I1737" s="3"/>
      <c r="J1737" s="6"/>
    </row>
    <row r="1738" spans="7:10" x14ac:dyDescent="0.35">
      <c r="G1738" s="2"/>
      <c r="H1738" s="2"/>
      <c r="I1738" s="3"/>
      <c r="J1738" s="6"/>
    </row>
    <row r="1739" spans="7:10" x14ac:dyDescent="0.35">
      <c r="G1739" s="2"/>
      <c r="H1739" s="2"/>
      <c r="I1739" s="3"/>
      <c r="J1739" s="6"/>
    </row>
    <row r="1740" spans="7:10" x14ac:dyDescent="0.35">
      <c r="G1740" s="2"/>
      <c r="H1740" s="2"/>
      <c r="I1740" s="3"/>
      <c r="J1740" s="6"/>
    </row>
    <row r="1741" spans="7:10" x14ac:dyDescent="0.35">
      <c r="G1741" s="2"/>
      <c r="H1741" s="2"/>
      <c r="I1741" s="3"/>
      <c r="J1741" s="6"/>
    </row>
    <row r="1742" spans="7:10" x14ac:dyDescent="0.35">
      <c r="G1742" s="2"/>
      <c r="H1742" s="2"/>
      <c r="I1742" s="3"/>
      <c r="J1742" s="6"/>
    </row>
    <row r="1743" spans="7:10" x14ac:dyDescent="0.35">
      <c r="G1743" s="2"/>
      <c r="H1743" s="2"/>
      <c r="I1743" s="3"/>
      <c r="J1743" s="6"/>
    </row>
    <row r="1744" spans="7:10" x14ac:dyDescent="0.35">
      <c r="G1744" s="2"/>
      <c r="H1744" s="2"/>
      <c r="I1744" s="3"/>
      <c r="J1744" s="6"/>
    </row>
    <row r="1745" spans="7:10" x14ac:dyDescent="0.35">
      <c r="G1745" s="2"/>
      <c r="H1745" s="2"/>
      <c r="I1745" s="3"/>
      <c r="J1745" s="6"/>
    </row>
    <row r="1746" spans="7:10" x14ac:dyDescent="0.35">
      <c r="G1746" s="2"/>
      <c r="H1746" s="2"/>
      <c r="I1746" s="3"/>
      <c r="J1746" s="6"/>
    </row>
    <row r="1747" spans="7:10" x14ac:dyDescent="0.35">
      <c r="G1747" s="2"/>
      <c r="H1747" s="2"/>
      <c r="I1747" s="3"/>
      <c r="J1747" s="6"/>
    </row>
    <row r="1748" spans="7:10" x14ac:dyDescent="0.35">
      <c r="G1748" s="2"/>
      <c r="H1748" s="2"/>
      <c r="I1748" s="3"/>
      <c r="J1748" s="6"/>
    </row>
    <row r="1749" spans="7:10" x14ac:dyDescent="0.35">
      <c r="G1749" s="2"/>
      <c r="H1749" s="2"/>
      <c r="I1749" s="3"/>
      <c r="J1749" s="6"/>
    </row>
    <row r="1750" spans="7:10" x14ac:dyDescent="0.35">
      <c r="G1750" s="2"/>
      <c r="H1750" s="2"/>
      <c r="I1750" s="3"/>
      <c r="J1750" s="6"/>
    </row>
    <row r="1751" spans="7:10" x14ac:dyDescent="0.35">
      <c r="G1751" s="2"/>
      <c r="H1751" s="2"/>
      <c r="I1751" s="3"/>
      <c r="J1751" s="6"/>
    </row>
    <row r="1752" spans="7:10" x14ac:dyDescent="0.35">
      <c r="G1752" s="2"/>
      <c r="H1752" s="2"/>
      <c r="I1752" s="3"/>
      <c r="J1752" s="6"/>
    </row>
    <row r="1753" spans="7:10" x14ac:dyDescent="0.35">
      <c r="G1753" s="2"/>
      <c r="H1753" s="2"/>
      <c r="I1753" s="3"/>
      <c r="J1753" s="6"/>
    </row>
    <row r="1754" spans="7:10" x14ac:dyDescent="0.35">
      <c r="G1754" s="2"/>
      <c r="H1754" s="2"/>
      <c r="I1754" s="3"/>
      <c r="J1754" s="6"/>
    </row>
    <row r="1755" spans="7:10" x14ac:dyDescent="0.35">
      <c r="G1755" s="2"/>
      <c r="H1755" s="2"/>
      <c r="I1755" s="3"/>
      <c r="J1755" s="6"/>
    </row>
    <row r="1756" spans="7:10" x14ac:dyDescent="0.35">
      <c r="G1756" s="2"/>
      <c r="H1756" s="2"/>
      <c r="I1756" s="3"/>
      <c r="J1756" s="6"/>
    </row>
    <row r="1757" spans="7:10" x14ac:dyDescent="0.35">
      <c r="G1757" s="2"/>
      <c r="H1757" s="2"/>
      <c r="I1757" s="3"/>
      <c r="J1757" s="6"/>
    </row>
    <row r="1758" spans="7:10" x14ac:dyDescent="0.35">
      <c r="G1758" s="2"/>
      <c r="H1758" s="2"/>
      <c r="I1758" s="3"/>
      <c r="J1758" s="6"/>
    </row>
    <row r="1759" spans="7:10" x14ac:dyDescent="0.35">
      <c r="G1759" s="2"/>
      <c r="H1759" s="2"/>
      <c r="I1759" s="3"/>
      <c r="J1759" s="6"/>
    </row>
    <row r="1760" spans="7:10" x14ac:dyDescent="0.35">
      <c r="G1760" s="2"/>
      <c r="H1760" s="2"/>
      <c r="I1760" s="3"/>
      <c r="J1760" s="6"/>
    </row>
    <row r="1761" spans="7:10" x14ac:dyDescent="0.35">
      <c r="G1761" s="2"/>
      <c r="H1761" s="2"/>
      <c r="I1761" s="3"/>
      <c r="J1761" s="6"/>
    </row>
    <row r="1762" spans="7:10" x14ac:dyDescent="0.35">
      <c r="G1762" s="2"/>
      <c r="H1762" s="2"/>
      <c r="I1762" s="3"/>
      <c r="J1762" s="6"/>
    </row>
    <row r="1763" spans="7:10" x14ac:dyDescent="0.35">
      <c r="G1763" s="2"/>
      <c r="H1763" s="2"/>
      <c r="I1763" s="3"/>
      <c r="J1763" s="6"/>
    </row>
    <row r="1764" spans="7:10" x14ac:dyDescent="0.35">
      <c r="G1764" s="2"/>
      <c r="H1764" s="2"/>
      <c r="I1764" s="3"/>
      <c r="J1764" s="6"/>
    </row>
    <row r="1765" spans="7:10" x14ac:dyDescent="0.35">
      <c r="G1765" s="2"/>
      <c r="H1765" s="2"/>
      <c r="I1765" s="3"/>
      <c r="J1765" s="6"/>
    </row>
    <row r="1766" spans="7:10" x14ac:dyDescent="0.35">
      <c r="G1766" s="2"/>
      <c r="H1766" s="2"/>
      <c r="I1766" s="3"/>
      <c r="J1766" s="6"/>
    </row>
    <row r="1767" spans="7:10" x14ac:dyDescent="0.35">
      <c r="G1767" s="2"/>
      <c r="H1767" s="2"/>
      <c r="I1767" s="3"/>
      <c r="J1767" s="6"/>
    </row>
    <row r="1768" spans="7:10" x14ac:dyDescent="0.35">
      <c r="G1768" s="2"/>
      <c r="H1768" s="2"/>
      <c r="I1768" s="3"/>
      <c r="J1768" s="6"/>
    </row>
    <row r="1769" spans="7:10" x14ac:dyDescent="0.35">
      <c r="G1769" s="2"/>
      <c r="H1769" s="2"/>
      <c r="I1769" s="3"/>
      <c r="J1769" s="6"/>
    </row>
    <row r="1770" spans="7:10" x14ac:dyDescent="0.35">
      <c r="G1770" s="2"/>
      <c r="H1770" s="2"/>
      <c r="I1770" s="3"/>
      <c r="J1770" s="6"/>
    </row>
    <row r="1771" spans="7:10" x14ac:dyDescent="0.35">
      <c r="G1771" s="2"/>
      <c r="H1771" s="2"/>
      <c r="I1771" s="3"/>
      <c r="J1771" s="6"/>
    </row>
    <row r="1772" spans="7:10" x14ac:dyDescent="0.35">
      <c r="G1772" s="2"/>
      <c r="H1772" s="2"/>
      <c r="I1772" s="3"/>
      <c r="J1772" s="6"/>
    </row>
    <row r="1773" spans="7:10" x14ac:dyDescent="0.35">
      <c r="G1773" s="2"/>
      <c r="H1773" s="2"/>
      <c r="I1773" s="3"/>
      <c r="J1773" s="6"/>
    </row>
    <row r="1774" spans="7:10" x14ac:dyDescent="0.35">
      <c r="G1774" s="2"/>
      <c r="H1774" s="2"/>
      <c r="I1774" s="3"/>
      <c r="J1774" s="6"/>
    </row>
    <row r="1775" spans="7:10" x14ac:dyDescent="0.35">
      <c r="G1775" s="2"/>
      <c r="H1775" s="2"/>
      <c r="I1775" s="3"/>
      <c r="J1775" s="6"/>
    </row>
    <row r="1776" spans="7:10" x14ac:dyDescent="0.35">
      <c r="G1776" s="2"/>
      <c r="H1776" s="2"/>
      <c r="I1776" s="3"/>
      <c r="J1776" s="6"/>
    </row>
    <row r="1777" spans="7:10" x14ac:dyDescent="0.35">
      <c r="G1777" s="2"/>
      <c r="H1777" s="2"/>
      <c r="I1777" s="3"/>
      <c r="J1777" s="6"/>
    </row>
    <row r="1778" spans="7:10" x14ac:dyDescent="0.35">
      <c r="G1778" s="2"/>
      <c r="H1778" s="2"/>
      <c r="I1778" s="3"/>
      <c r="J1778" s="6"/>
    </row>
    <row r="1779" spans="7:10" x14ac:dyDescent="0.35">
      <c r="G1779" s="2"/>
      <c r="H1779" s="2"/>
      <c r="I1779" s="3"/>
      <c r="J1779" s="6"/>
    </row>
    <row r="1780" spans="7:10" x14ac:dyDescent="0.35">
      <c r="G1780" s="2"/>
      <c r="H1780" s="2"/>
      <c r="I1780" s="3"/>
      <c r="J1780" s="6"/>
    </row>
    <row r="1781" spans="7:10" x14ac:dyDescent="0.35">
      <c r="G1781" s="2"/>
      <c r="H1781" s="2"/>
      <c r="I1781" s="3"/>
      <c r="J1781" s="6"/>
    </row>
    <row r="1782" spans="7:10" x14ac:dyDescent="0.35">
      <c r="G1782" s="2"/>
      <c r="H1782" s="2"/>
      <c r="I1782" s="3"/>
      <c r="J1782" s="6"/>
    </row>
    <row r="1783" spans="7:10" x14ac:dyDescent="0.35">
      <c r="G1783" s="2"/>
      <c r="H1783" s="2"/>
      <c r="I1783" s="3"/>
      <c r="J1783" s="6"/>
    </row>
    <row r="1784" spans="7:10" x14ac:dyDescent="0.35">
      <c r="G1784" s="2"/>
      <c r="H1784" s="2"/>
      <c r="I1784" s="3"/>
      <c r="J1784" s="6"/>
    </row>
    <row r="1785" spans="7:10" x14ac:dyDescent="0.35">
      <c r="G1785" s="2"/>
      <c r="H1785" s="2"/>
      <c r="I1785" s="3"/>
      <c r="J1785" s="6"/>
    </row>
    <row r="1786" spans="7:10" x14ac:dyDescent="0.35">
      <c r="G1786" s="2"/>
      <c r="H1786" s="2"/>
      <c r="I1786" s="3"/>
      <c r="J1786" s="6"/>
    </row>
    <row r="1787" spans="7:10" x14ac:dyDescent="0.35">
      <c r="G1787" s="2"/>
      <c r="H1787" s="2"/>
      <c r="I1787" s="3"/>
      <c r="J1787" s="6"/>
    </row>
    <row r="1788" spans="7:10" x14ac:dyDescent="0.35">
      <c r="G1788" s="2"/>
      <c r="H1788" s="2"/>
      <c r="I1788" s="3"/>
      <c r="J1788" s="6"/>
    </row>
    <row r="1789" spans="7:10" x14ac:dyDescent="0.35">
      <c r="G1789" s="2"/>
      <c r="H1789" s="2"/>
      <c r="I1789" s="3"/>
      <c r="J1789" s="6"/>
    </row>
    <row r="1790" spans="7:10" x14ac:dyDescent="0.35">
      <c r="G1790" s="2"/>
      <c r="H1790" s="2"/>
      <c r="I1790" s="3"/>
      <c r="J1790" s="6"/>
    </row>
    <row r="1791" spans="7:10" x14ac:dyDescent="0.35">
      <c r="G1791" s="2"/>
      <c r="H1791" s="2"/>
      <c r="I1791" s="3"/>
      <c r="J1791" s="6"/>
    </row>
    <row r="1792" spans="7:10" x14ac:dyDescent="0.35">
      <c r="G1792" s="2"/>
      <c r="H1792" s="2"/>
      <c r="I1792" s="3"/>
      <c r="J1792" s="6"/>
    </row>
    <row r="1793" spans="7:10" x14ac:dyDescent="0.35">
      <c r="G1793" s="2"/>
      <c r="H1793" s="2"/>
      <c r="I1793" s="3"/>
      <c r="J1793" s="6"/>
    </row>
    <row r="1794" spans="7:10" x14ac:dyDescent="0.35">
      <c r="G1794" s="2"/>
      <c r="H1794" s="2"/>
      <c r="I1794" s="3"/>
      <c r="J1794" s="6"/>
    </row>
    <row r="1795" spans="7:10" x14ac:dyDescent="0.35">
      <c r="G1795" s="2"/>
      <c r="H1795" s="2"/>
      <c r="I1795" s="3"/>
      <c r="J1795" s="6"/>
    </row>
    <row r="1796" spans="7:10" x14ac:dyDescent="0.35">
      <c r="G1796" s="2"/>
      <c r="H1796" s="2"/>
      <c r="I1796" s="3"/>
      <c r="J1796" s="6"/>
    </row>
    <row r="1797" spans="7:10" x14ac:dyDescent="0.35">
      <c r="G1797" s="2"/>
      <c r="H1797" s="2"/>
      <c r="I1797" s="3"/>
      <c r="J1797" s="6"/>
    </row>
    <row r="1798" spans="7:10" x14ac:dyDescent="0.35">
      <c r="G1798" s="2"/>
      <c r="H1798" s="2"/>
      <c r="I1798" s="3"/>
      <c r="J1798" s="6"/>
    </row>
    <row r="1799" spans="7:10" x14ac:dyDescent="0.35">
      <c r="G1799" s="2"/>
      <c r="H1799" s="2"/>
      <c r="I1799" s="3"/>
      <c r="J1799" s="6"/>
    </row>
    <row r="1800" spans="7:10" x14ac:dyDescent="0.35">
      <c r="G1800" s="2"/>
      <c r="H1800" s="2"/>
      <c r="I1800" s="3"/>
      <c r="J1800" s="6"/>
    </row>
    <row r="1801" spans="7:10" x14ac:dyDescent="0.35">
      <c r="G1801" s="2"/>
      <c r="H1801" s="2"/>
      <c r="I1801" s="3"/>
      <c r="J1801" s="6"/>
    </row>
    <row r="1802" spans="7:10" x14ac:dyDescent="0.35">
      <c r="G1802" s="2"/>
      <c r="H1802" s="2"/>
      <c r="I1802" s="3"/>
      <c r="J1802" s="6"/>
    </row>
    <row r="1803" spans="7:10" x14ac:dyDescent="0.35">
      <c r="G1803" s="2"/>
      <c r="H1803" s="2"/>
      <c r="I1803" s="3"/>
      <c r="J1803" s="6"/>
    </row>
    <row r="1804" spans="7:10" x14ac:dyDescent="0.35">
      <c r="G1804" s="2"/>
      <c r="H1804" s="2"/>
      <c r="I1804" s="3"/>
      <c r="J1804" s="6"/>
    </row>
    <row r="1805" spans="7:10" x14ac:dyDescent="0.35">
      <c r="G1805" s="2"/>
      <c r="H1805" s="2"/>
      <c r="I1805" s="3"/>
      <c r="J1805" s="6"/>
    </row>
    <row r="1806" spans="7:10" x14ac:dyDescent="0.35">
      <c r="G1806" s="2"/>
      <c r="H1806" s="2"/>
      <c r="I1806" s="3"/>
      <c r="J1806" s="6"/>
    </row>
    <row r="1807" spans="7:10" x14ac:dyDescent="0.35">
      <c r="G1807" s="2"/>
      <c r="H1807" s="2"/>
      <c r="I1807" s="3"/>
      <c r="J1807" s="6"/>
    </row>
    <row r="1808" spans="7:10" x14ac:dyDescent="0.35">
      <c r="G1808" s="2"/>
      <c r="H1808" s="2"/>
      <c r="I1808" s="3"/>
      <c r="J1808" s="6"/>
    </row>
    <row r="1809" spans="7:10" x14ac:dyDescent="0.35">
      <c r="G1809" s="2"/>
      <c r="H1809" s="2"/>
      <c r="I1809" s="3"/>
      <c r="J1809" s="6"/>
    </row>
    <row r="1810" spans="7:10" x14ac:dyDescent="0.35">
      <c r="G1810" s="2"/>
      <c r="H1810" s="2"/>
      <c r="I1810" s="3"/>
      <c r="J1810" s="6"/>
    </row>
    <row r="1811" spans="7:10" x14ac:dyDescent="0.35">
      <c r="G1811" s="2"/>
      <c r="H1811" s="2"/>
      <c r="I1811" s="3"/>
      <c r="J1811" s="6"/>
    </row>
    <row r="1812" spans="7:10" x14ac:dyDescent="0.35">
      <c r="G1812" s="2"/>
      <c r="H1812" s="2"/>
      <c r="I1812" s="3"/>
      <c r="J1812" s="6"/>
    </row>
    <row r="1813" spans="7:10" x14ac:dyDescent="0.35">
      <c r="G1813" s="2"/>
      <c r="H1813" s="2"/>
      <c r="I1813" s="3"/>
      <c r="J1813" s="6"/>
    </row>
    <row r="1814" spans="7:10" x14ac:dyDescent="0.35">
      <c r="G1814" s="2"/>
      <c r="H1814" s="2"/>
      <c r="I1814" s="3"/>
      <c r="J1814" s="6"/>
    </row>
    <row r="1815" spans="7:10" x14ac:dyDescent="0.35">
      <c r="G1815" s="2"/>
      <c r="H1815" s="2"/>
      <c r="I1815" s="3"/>
      <c r="J1815" s="6"/>
    </row>
    <row r="1816" spans="7:10" x14ac:dyDescent="0.35">
      <c r="G1816" s="2"/>
      <c r="H1816" s="2"/>
      <c r="I1816" s="3"/>
      <c r="J1816" s="6"/>
    </row>
    <row r="1817" spans="7:10" x14ac:dyDescent="0.35">
      <c r="G1817" s="2"/>
      <c r="H1817" s="2"/>
      <c r="I1817" s="3"/>
      <c r="J1817" s="6"/>
    </row>
    <row r="1818" spans="7:10" x14ac:dyDescent="0.35">
      <c r="G1818" s="2"/>
      <c r="H1818" s="2"/>
      <c r="I1818" s="3"/>
      <c r="J1818" s="6"/>
    </row>
    <row r="1819" spans="7:10" x14ac:dyDescent="0.35">
      <c r="G1819" s="2"/>
      <c r="H1819" s="2"/>
      <c r="I1819" s="3"/>
      <c r="J1819" s="6"/>
    </row>
    <row r="1820" spans="7:10" x14ac:dyDescent="0.35">
      <c r="G1820" s="2"/>
      <c r="H1820" s="2"/>
      <c r="I1820" s="3"/>
      <c r="J1820" s="6"/>
    </row>
    <row r="1821" spans="7:10" x14ac:dyDescent="0.35">
      <c r="G1821" s="2"/>
      <c r="H1821" s="2"/>
      <c r="I1821" s="3"/>
      <c r="J1821" s="6"/>
    </row>
    <row r="1822" spans="7:10" x14ac:dyDescent="0.35">
      <c r="G1822" s="2"/>
      <c r="H1822" s="2"/>
      <c r="I1822" s="3"/>
      <c r="J1822" s="6"/>
    </row>
    <row r="1823" spans="7:10" x14ac:dyDescent="0.35">
      <c r="G1823" s="2"/>
      <c r="H1823" s="2"/>
      <c r="I1823" s="3"/>
      <c r="J1823" s="6"/>
    </row>
    <row r="1824" spans="7:10" x14ac:dyDescent="0.35">
      <c r="G1824" s="2"/>
      <c r="H1824" s="2"/>
      <c r="I1824" s="3"/>
      <c r="J1824" s="6"/>
    </row>
    <row r="1825" spans="7:10" x14ac:dyDescent="0.35">
      <c r="G1825" s="2"/>
      <c r="H1825" s="2"/>
      <c r="I1825" s="3"/>
      <c r="J1825" s="6"/>
    </row>
    <row r="1826" spans="7:10" x14ac:dyDescent="0.35">
      <c r="G1826" s="2"/>
      <c r="H1826" s="2"/>
      <c r="I1826" s="3"/>
      <c r="J1826" s="6"/>
    </row>
    <row r="1827" spans="7:10" x14ac:dyDescent="0.35">
      <c r="G1827" s="2"/>
      <c r="H1827" s="2"/>
      <c r="I1827" s="3"/>
      <c r="J1827" s="6"/>
    </row>
    <row r="1828" spans="7:10" x14ac:dyDescent="0.35">
      <c r="G1828" s="2"/>
      <c r="H1828" s="2"/>
      <c r="I1828" s="3"/>
      <c r="J1828" s="6"/>
    </row>
    <row r="1829" spans="7:10" x14ac:dyDescent="0.35">
      <c r="G1829" s="2"/>
      <c r="H1829" s="2"/>
      <c r="I1829" s="3"/>
      <c r="J1829" s="6"/>
    </row>
    <row r="1830" spans="7:10" x14ac:dyDescent="0.35">
      <c r="G1830" s="2"/>
      <c r="H1830" s="2"/>
      <c r="I1830" s="3"/>
      <c r="J1830" s="6"/>
    </row>
    <row r="1831" spans="7:10" x14ac:dyDescent="0.35">
      <c r="G1831" s="2"/>
      <c r="H1831" s="2"/>
      <c r="I1831" s="3"/>
      <c r="J1831" s="6"/>
    </row>
    <row r="1832" spans="7:10" x14ac:dyDescent="0.35">
      <c r="G1832" s="2"/>
      <c r="H1832" s="2"/>
      <c r="I1832" s="3"/>
      <c r="J1832" s="6"/>
    </row>
    <row r="1833" spans="7:10" x14ac:dyDescent="0.35">
      <c r="G1833" s="2"/>
      <c r="H1833" s="2"/>
      <c r="I1833" s="3"/>
      <c r="J1833" s="6"/>
    </row>
    <row r="1834" spans="7:10" x14ac:dyDescent="0.35">
      <c r="G1834" s="2"/>
      <c r="H1834" s="2"/>
      <c r="I1834" s="3"/>
      <c r="J1834" s="6"/>
    </row>
    <row r="1835" spans="7:10" x14ac:dyDescent="0.35">
      <c r="G1835" s="2"/>
      <c r="H1835" s="2"/>
      <c r="I1835" s="3"/>
      <c r="J1835" s="6"/>
    </row>
    <row r="1836" spans="7:10" x14ac:dyDescent="0.35">
      <c r="G1836" s="2"/>
      <c r="H1836" s="2"/>
      <c r="I1836" s="3"/>
      <c r="J1836" s="6"/>
    </row>
    <row r="1837" spans="7:10" x14ac:dyDescent="0.35">
      <c r="G1837" s="2"/>
      <c r="H1837" s="2"/>
      <c r="I1837" s="3"/>
      <c r="J1837" s="6"/>
    </row>
    <row r="1838" spans="7:10" x14ac:dyDescent="0.35">
      <c r="G1838" s="2"/>
      <c r="H1838" s="2"/>
      <c r="I1838" s="3"/>
      <c r="J1838" s="6"/>
    </row>
    <row r="1839" spans="7:10" x14ac:dyDescent="0.35">
      <c r="G1839" s="2"/>
      <c r="H1839" s="2"/>
      <c r="I1839" s="3"/>
      <c r="J1839" s="6"/>
    </row>
    <row r="1840" spans="7:10" x14ac:dyDescent="0.35">
      <c r="G1840" s="2"/>
      <c r="H1840" s="2"/>
      <c r="I1840" s="3"/>
      <c r="J1840" s="6"/>
    </row>
    <row r="1841" spans="7:10" x14ac:dyDescent="0.35">
      <c r="G1841" s="2"/>
      <c r="H1841" s="2"/>
      <c r="I1841" s="3"/>
      <c r="J1841" s="6"/>
    </row>
    <row r="1842" spans="7:10" x14ac:dyDescent="0.35">
      <c r="G1842" s="2"/>
      <c r="H1842" s="2"/>
      <c r="I1842" s="3"/>
      <c r="J1842" s="6"/>
    </row>
    <row r="1843" spans="7:10" x14ac:dyDescent="0.35">
      <c r="G1843" s="2"/>
      <c r="H1843" s="2"/>
      <c r="I1843" s="3"/>
      <c r="J1843" s="6"/>
    </row>
    <row r="1844" spans="7:10" x14ac:dyDescent="0.35">
      <c r="G1844" s="2"/>
      <c r="H1844" s="2"/>
      <c r="I1844" s="3"/>
      <c r="J1844" s="6"/>
    </row>
    <row r="1845" spans="7:10" x14ac:dyDescent="0.35">
      <c r="G1845" s="2"/>
      <c r="H1845" s="2"/>
      <c r="I1845" s="3"/>
      <c r="J1845" s="6"/>
    </row>
    <row r="1846" spans="7:10" x14ac:dyDescent="0.35">
      <c r="G1846" s="2"/>
      <c r="H1846" s="2"/>
      <c r="I1846" s="3"/>
      <c r="J1846" s="6"/>
    </row>
    <row r="1847" spans="7:10" x14ac:dyDescent="0.35">
      <c r="G1847" s="2"/>
      <c r="H1847" s="2"/>
      <c r="I1847" s="3"/>
      <c r="J1847" s="6"/>
    </row>
    <row r="1848" spans="7:10" x14ac:dyDescent="0.35">
      <c r="G1848" s="2"/>
      <c r="H1848" s="2"/>
      <c r="I1848" s="3"/>
      <c r="J1848" s="6"/>
    </row>
    <row r="1849" spans="7:10" x14ac:dyDescent="0.35">
      <c r="G1849" s="2"/>
      <c r="H1849" s="2"/>
      <c r="I1849" s="3"/>
      <c r="J1849" s="6"/>
    </row>
    <row r="1850" spans="7:10" x14ac:dyDescent="0.35">
      <c r="G1850" s="2"/>
      <c r="H1850" s="2"/>
      <c r="I1850" s="3"/>
      <c r="J1850" s="6"/>
    </row>
    <row r="1851" spans="7:10" x14ac:dyDescent="0.35">
      <c r="G1851" s="2"/>
      <c r="H1851" s="2"/>
      <c r="I1851" s="3"/>
      <c r="J1851" s="6"/>
    </row>
    <row r="1852" spans="7:10" x14ac:dyDescent="0.35">
      <c r="G1852" s="2"/>
      <c r="H1852" s="2"/>
      <c r="I1852" s="3"/>
      <c r="J1852" s="6"/>
    </row>
    <row r="1853" spans="7:10" x14ac:dyDescent="0.35">
      <c r="G1853" s="2"/>
      <c r="H1853" s="2"/>
      <c r="I1853" s="3"/>
      <c r="J1853" s="6"/>
    </row>
    <row r="1854" spans="7:10" x14ac:dyDescent="0.35">
      <c r="G1854" s="2"/>
      <c r="H1854" s="2"/>
      <c r="I1854" s="3"/>
      <c r="J1854" s="6"/>
    </row>
    <row r="1855" spans="7:10" x14ac:dyDescent="0.35">
      <c r="G1855" s="2"/>
      <c r="H1855" s="2"/>
      <c r="I1855" s="3"/>
      <c r="J1855" s="6"/>
    </row>
    <row r="1856" spans="7:10" x14ac:dyDescent="0.35">
      <c r="G1856" s="2"/>
      <c r="H1856" s="2"/>
      <c r="I1856" s="3"/>
      <c r="J1856" s="6"/>
    </row>
    <row r="1857" spans="7:10" x14ac:dyDescent="0.35">
      <c r="G1857" s="2"/>
      <c r="H1857" s="2"/>
      <c r="I1857" s="3"/>
      <c r="J1857" s="6"/>
    </row>
    <row r="1858" spans="7:10" x14ac:dyDescent="0.35">
      <c r="G1858" s="2"/>
      <c r="H1858" s="2"/>
      <c r="I1858" s="3"/>
      <c r="J1858" s="6"/>
    </row>
    <row r="1859" spans="7:10" x14ac:dyDescent="0.35">
      <c r="G1859" s="2"/>
      <c r="H1859" s="2"/>
      <c r="I1859" s="3"/>
      <c r="J1859" s="6"/>
    </row>
    <row r="1860" spans="7:10" x14ac:dyDescent="0.35">
      <c r="G1860" s="2"/>
      <c r="H1860" s="2"/>
      <c r="I1860" s="3"/>
      <c r="J1860" s="6"/>
    </row>
    <row r="1861" spans="7:10" x14ac:dyDescent="0.35">
      <c r="G1861" s="2"/>
      <c r="H1861" s="2"/>
      <c r="I1861" s="3"/>
      <c r="J1861" s="6"/>
    </row>
    <row r="1862" spans="7:10" x14ac:dyDescent="0.35">
      <c r="G1862" s="2"/>
      <c r="H1862" s="2"/>
      <c r="I1862" s="3"/>
      <c r="J1862" s="6"/>
    </row>
    <row r="1863" spans="7:10" x14ac:dyDescent="0.35">
      <c r="G1863" s="2"/>
      <c r="H1863" s="2"/>
      <c r="I1863" s="3"/>
      <c r="J1863" s="6"/>
    </row>
    <row r="1864" spans="7:10" x14ac:dyDescent="0.35">
      <c r="G1864" s="2"/>
      <c r="H1864" s="2"/>
      <c r="I1864" s="3"/>
      <c r="J1864" s="6"/>
    </row>
    <row r="1865" spans="7:10" x14ac:dyDescent="0.35">
      <c r="G1865" s="2"/>
      <c r="H1865" s="2"/>
      <c r="I1865" s="3"/>
      <c r="J1865" s="6"/>
    </row>
    <row r="1866" spans="7:10" x14ac:dyDescent="0.35">
      <c r="G1866" s="2"/>
      <c r="H1866" s="2"/>
      <c r="I1866" s="3"/>
      <c r="J1866" s="6"/>
    </row>
    <row r="1867" spans="7:10" x14ac:dyDescent="0.35">
      <c r="G1867" s="2"/>
      <c r="H1867" s="2"/>
      <c r="I1867" s="3"/>
      <c r="J1867" s="6"/>
    </row>
    <row r="1868" spans="7:10" x14ac:dyDescent="0.35">
      <c r="G1868" s="2"/>
      <c r="H1868" s="2"/>
      <c r="I1868" s="3"/>
      <c r="J1868" s="6"/>
    </row>
    <row r="1869" spans="7:10" x14ac:dyDescent="0.35">
      <c r="G1869" s="2"/>
      <c r="H1869" s="2"/>
      <c r="I1869" s="3"/>
      <c r="J1869" s="6"/>
    </row>
    <row r="1870" spans="7:10" x14ac:dyDescent="0.35">
      <c r="G1870" s="2"/>
      <c r="H1870" s="2"/>
      <c r="I1870" s="3"/>
      <c r="J1870" s="6"/>
    </row>
    <row r="1871" spans="7:10" x14ac:dyDescent="0.35">
      <c r="G1871" s="2"/>
      <c r="H1871" s="2"/>
      <c r="I1871" s="3"/>
      <c r="J1871" s="6"/>
    </row>
    <row r="1872" spans="7:10" x14ac:dyDescent="0.35">
      <c r="G1872" s="2"/>
      <c r="H1872" s="2"/>
      <c r="I1872" s="3"/>
      <c r="J1872" s="6"/>
    </row>
    <row r="1873" spans="7:10" x14ac:dyDescent="0.35">
      <c r="G1873" s="2"/>
      <c r="H1873" s="2"/>
      <c r="I1873" s="3"/>
      <c r="J1873" s="6"/>
    </row>
    <row r="1874" spans="7:10" x14ac:dyDescent="0.35">
      <c r="G1874" s="2"/>
      <c r="H1874" s="2"/>
      <c r="I1874" s="3"/>
      <c r="J1874" s="6"/>
    </row>
    <row r="1875" spans="7:10" x14ac:dyDescent="0.35">
      <c r="G1875" s="2"/>
      <c r="H1875" s="2"/>
      <c r="I1875" s="3"/>
      <c r="J1875" s="6"/>
    </row>
    <row r="1876" spans="7:10" x14ac:dyDescent="0.35">
      <c r="G1876" s="2"/>
      <c r="H1876" s="2"/>
      <c r="I1876" s="3"/>
      <c r="J1876" s="6"/>
    </row>
    <row r="1877" spans="7:10" x14ac:dyDescent="0.35">
      <c r="G1877" s="2"/>
      <c r="H1877" s="2"/>
      <c r="I1877" s="3"/>
      <c r="J1877" s="6"/>
    </row>
    <row r="1878" spans="7:10" x14ac:dyDescent="0.35">
      <c r="G1878" s="2"/>
      <c r="H1878" s="2"/>
      <c r="I1878" s="3"/>
      <c r="J1878" s="6"/>
    </row>
    <row r="1879" spans="7:10" x14ac:dyDescent="0.35">
      <c r="G1879" s="2"/>
      <c r="H1879" s="2"/>
      <c r="I1879" s="3"/>
      <c r="J1879" s="6"/>
    </row>
    <row r="1880" spans="7:10" x14ac:dyDescent="0.35">
      <c r="G1880" s="2"/>
      <c r="H1880" s="2"/>
      <c r="I1880" s="3"/>
      <c r="J1880" s="6"/>
    </row>
    <row r="1881" spans="7:10" x14ac:dyDescent="0.35">
      <c r="G1881" s="2"/>
      <c r="H1881" s="2"/>
      <c r="I1881" s="3"/>
      <c r="J1881" s="6"/>
    </row>
    <row r="1882" spans="7:10" x14ac:dyDescent="0.35">
      <c r="G1882" s="2"/>
      <c r="H1882" s="2"/>
      <c r="I1882" s="3"/>
      <c r="J1882" s="6"/>
    </row>
    <row r="1883" spans="7:10" x14ac:dyDescent="0.35">
      <c r="G1883" s="2"/>
      <c r="H1883" s="2"/>
      <c r="I1883" s="3"/>
      <c r="J1883" s="6"/>
    </row>
    <row r="1884" spans="7:10" x14ac:dyDescent="0.35">
      <c r="G1884" s="2"/>
      <c r="H1884" s="2"/>
      <c r="I1884" s="3"/>
      <c r="J1884" s="6"/>
    </row>
    <row r="1885" spans="7:10" x14ac:dyDescent="0.35">
      <c r="G1885" s="2"/>
      <c r="H1885" s="2"/>
      <c r="I1885" s="3"/>
      <c r="J1885" s="6"/>
    </row>
    <row r="1886" spans="7:10" x14ac:dyDescent="0.35">
      <c r="G1886" s="2"/>
      <c r="H1886" s="2"/>
      <c r="I1886" s="3"/>
      <c r="J1886" s="6"/>
    </row>
    <row r="1887" spans="7:10" x14ac:dyDescent="0.35">
      <c r="G1887" s="2"/>
      <c r="H1887" s="2"/>
      <c r="I1887" s="3"/>
      <c r="J1887" s="6"/>
    </row>
    <row r="1888" spans="7:10" x14ac:dyDescent="0.35">
      <c r="G1888" s="2"/>
      <c r="H1888" s="2"/>
      <c r="I1888" s="3"/>
      <c r="J1888" s="6"/>
    </row>
    <row r="1889" spans="7:10" x14ac:dyDescent="0.35">
      <c r="G1889" s="2"/>
      <c r="H1889" s="2"/>
      <c r="I1889" s="3"/>
      <c r="J1889" s="6"/>
    </row>
    <row r="1890" spans="7:10" x14ac:dyDescent="0.35">
      <c r="G1890" s="2"/>
      <c r="H1890" s="2"/>
      <c r="I1890" s="3"/>
      <c r="J1890" s="6"/>
    </row>
    <row r="1891" spans="7:10" x14ac:dyDescent="0.35">
      <c r="G1891" s="2"/>
      <c r="H1891" s="2"/>
      <c r="I1891" s="3"/>
      <c r="J1891" s="6"/>
    </row>
    <row r="1892" spans="7:10" x14ac:dyDescent="0.35">
      <c r="G1892" s="2"/>
      <c r="H1892" s="2"/>
      <c r="I1892" s="3"/>
      <c r="J1892" s="6"/>
    </row>
    <row r="1893" spans="7:10" x14ac:dyDescent="0.35">
      <c r="G1893" s="2"/>
      <c r="H1893" s="2"/>
      <c r="I1893" s="3"/>
      <c r="J1893" s="6"/>
    </row>
    <row r="1894" spans="7:10" x14ac:dyDescent="0.35">
      <c r="G1894" s="2"/>
      <c r="H1894" s="2"/>
      <c r="I1894" s="3"/>
      <c r="J1894" s="6"/>
    </row>
    <row r="1895" spans="7:10" x14ac:dyDescent="0.35">
      <c r="G1895" s="2"/>
      <c r="H1895" s="2"/>
      <c r="I1895" s="3"/>
      <c r="J1895" s="6"/>
    </row>
    <row r="1896" spans="7:10" x14ac:dyDescent="0.35">
      <c r="G1896" s="2"/>
      <c r="H1896" s="2"/>
      <c r="I1896" s="3"/>
      <c r="J1896" s="6"/>
    </row>
    <row r="1897" spans="7:10" x14ac:dyDescent="0.35">
      <c r="G1897" s="2"/>
      <c r="H1897" s="2"/>
      <c r="I1897" s="3"/>
      <c r="J1897" s="6"/>
    </row>
    <row r="1898" spans="7:10" x14ac:dyDescent="0.35">
      <c r="G1898" s="2"/>
      <c r="H1898" s="2"/>
      <c r="I1898" s="3"/>
      <c r="J1898" s="6"/>
    </row>
    <row r="1899" spans="7:10" x14ac:dyDescent="0.35">
      <c r="G1899" s="2"/>
      <c r="H1899" s="2"/>
      <c r="I1899" s="3"/>
      <c r="J1899" s="6"/>
    </row>
    <row r="1900" spans="7:10" x14ac:dyDescent="0.35">
      <c r="G1900" s="2"/>
      <c r="H1900" s="2"/>
      <c r="I1900" s="3"/>
      <c r="J1900" s="6"/>
    </row>
    <row r="1901" spans="7:10" x14ac:dyDescent="0.35">
      <c r="G1901" s="2"/>
      <c r="H1901" s="2"/>
      <c r="I1901" s="3"/>
      <c r="J1901" s="6"/>
    </row>
    <row r="1902" spans="7:10" x14ac:dyDescent="0.35">
      <c r="G1902" s="2"/>
      <c r="H1902" s="2"/>
      <c r="I1902" s="3"/>
      <c r="J1902" s="6"/>
    </row>
    <row r="1903" spans="7:10" x14ac:dyDescent="0.35">
      <c r="G1903" s="2"/>
      <c r="H1903" s="2"/>
      <c r="I1903" s="3"/>
      <c r="J1903" s="6"/>
    </row>
    <row r="1904" spans="7:10" x14ac:dyDescent="0.35">
      <c r="G1904" s="2"/>
      <c r="H1904" s="2"/>
      <c r="I1904" s="3"/>
      <c r="J1904" s="6"/>
    </row>
    <row r="1905" spans="7:10" x14ac:dyDescent="0.35">
      <c r="G1905" s="2"/>
      <c r="H1905" s="2"/>
      <c r="I1905" s="3"/>
      <c r="J1905" s="6"/>
    </row>
    <row r="1906" spans="7:10" x14ac:dyDescent="0.35">
      <c r="G1906" s="2"/>
      <c r="H1906" s="2"/>
      <c r="I1906" s="3"/>
      <c r="J1906" s="6"/>
    </row>
    <row r="1907" spans="7:10" x14ac:dyDescent="0.35">
      <c r="G1907" s="2"/>
      <c r="H1907" s="2"/>
      <c r="I1907" s="3"/>
      <c r="J1907" s="6"/>
    </row>
    <row r="1908" spans="7:10" x14ac:dyDescent="0.35">
      <c r="G1908" s="2"/>
      <c r="H1908" s="2"/>
      <c r="I1908" s="3"/>
      <c r="J1908" s="6"/>
    </row>
    <row r="1909" spans="7:10" x14ac:dyDescent="0.35">
      <c r="G1909" s="2"/>
      <c r="H1909" s="2"/>
      <c r="I1909" s="3"/>
      <c r="J1909" s="6"/>
    </row>
    <row r="1910" spans="7:10" x14ac:dyDescent="0.35">
      <c r="G1910" s="2"/>
      <c r="H1910" s="2"/>
      <c r="I1910" s="3"/>
      <c r="J1910" s="6"/>
    </row>
    <row r="1911" spans="7:10" x14ac:dyDescent="0.35">
      <c r="G1911" s="2"/>
      <c r="H1911" s="2"/>
      <c r="I1911" s="3"/>
      <c r="J1911" s="6"/>
    </row>
    <row r="1912" spans="7:10" x14ac:dyDescent="0.35">
      <c r="G1912" s="2"/>
      <c r="H1912" s="2"/>
      <c r="I1912" s="3"/>
      <c r="J1912" s="6"/>
    </row>
    <row r="1913" spans="7:10" x14ac:dyDescent="0.35">
      <c r="G1913" s="2"/>
      <c r="H1913" s="2"/>
      <c r="I1913" s="3"/>
      <c r="J1913" s="6"/>
    </row>
    <row r="1914" spans="7:10" x14ac:dyDescent="0.35">
      <c r="G1914" s="2"/>
      <c r="H1914" s="2"/>
      <c r="I1914" s="3"/>
      <c r="J1914" s="6"/>
    </row>
    <row r="1915" spans="7:10" x14ac:dyDescent="0.35">
      <c r="G1915" s="2"/>
      <c r="H1915" s="2"/>
      <c r="I1915" s="3"/>
      <c r="J1915" s="6"/>
    </row>
    <row r="1916" spans="7:10" x14ac:dyDescent="0.35">
      <c r="G1916" s="2"/>
      <c r="H1916" s="2"/>
      <c r="I1916" s="3"/>
      <c r="J1916" s="6"/>
    </row>
    <row r="1917" spans="7:10" x14ac:dyDescent="0.35">
      <c r="G1917" s="2"/>
      <c r="H1917" s="2"/>
      <c r="I1917" s="3"/>
      <c r="J1917" s="6"/>
    </row>
    <row r="1918" spans="7:10" x14ac:dyDescent="0.35">
      <c r="G1918" s="2"/>
      <c r="H1918" s="2"/>
      <c r="I1918" s="3"/>
      <c r="J1918" s="6"/>
    </row>
    <row r="1919" spans="7:10" x14ac:dyDescent="0.35">
      <c r="G1919" s="2"/>
      <c r="H1919" s="2"/>
      <c r="I1919" s="3"/>
      <c r="J1919" s="6"/>
    </row>
    <row r="1920" spans="7:10" x14ac:dyDescent="0.35">
      <c r="G1920" s="2"/>
      <c r="H1920" s="2"/>
      <c r="I1920" s="3"/>
      <c r="J1920" s="6"/>
    </row>
    <row r="1921" spans="7:10" x14ac:dyDescent="0.35">
      <c r="G1921" s="2"/>
      <c r="H1921" s="2"/>
      <c r="I1921" s="3"/>
      <c r="J1921" s="6"/>
    </row>
    <row r="1922" spans="7:10" x14ac:dyDescent="0.35">
      <c r="G1922" s="2"/>
      <c r="H1922" s="2"/>
      <c r="I1922" s="3"/>
      <c r="J1922" s="6"/>
    </row>
    <row r="1923" spans="7:10" x14ac:dyDescent="0.35">
      <c r="G1923" s="2"/>
      <c r="H1923" s="2"/>
      <c r="I1923" s="3"/>
      <c r="J1923" s="6"/>
    </row>
    <row r="1924" spans="7:10" x14ac:dyDescent="0.35">
      <c r="G1924" s="2"/>
      <c r="H1924" s="2"/>
      <c r="I1924" s="3"/>
      <c r="J1924" s="6"/>
    </row>
    <row r="1925" spans="7:10" x14ac:dyDescent="0.35">
      <c r="G1925" s="2"/>
      <c r="H1925" s="2"/>
      <c r="I1925" s="3"/>
      <c r="J1925" s="6"/>
    </row>
    <row r="1926" spans="7:10" x14ac:dyDescent="0.35">
      <c r="G1926" s="2"/>
      <c r="H1926" s="2"/>
      <c r="I1926" s="3"/>
      <c r="J1926" s="6"/>
    </row>
    <row r="1927" spans="7:10" x14ac:dyDescent="0.35">
      <c r="G1927" s="2"/>
      <c r="H1927" s="2"/>
      <c r="I1927" s="3"/>
      <c r="J1927" s="6"/>
    </row>
    <row r="1928" spans="7:10" x14ac:dyDescent="0.35">
      <c r="G1928" s="2"/>
      <c r="H1928" s="2"/>
      <c r="I1928" s="3"/>
      <c r="J1928" s="6"/>
    </row>
    <row r="1929" spans="7:10" x14ac:dyDescent="0.35">
      <c r="G1929" s="2"/>
      <c r="H1929" s="2"/>
      <c r="I1929" s="3"/>
      <c r="J1929" s="6"/>
    </row>
    <row r="1930" spans="7:10" x14ac:dyDescent="0.35">
      <c r="G1930" s="2"/>
      <c r="H1930" s="2"/>
      <c r="I1930" s="3"/>
      <c r="J1930" s="6"/>
    </row>
    <row r="1931" spans="7:10" x14ac:dyDescent="0.35">
      <c r="G1931" s="2"/>
      <c r="H1931" s="2"/>
      <c r="I1931" s="3"/>
      <c r="J1931" s="6"/>
    </row>
    <row r="1932" spans="7:10" x14ac:dyDescent="0.35">
      <c r="G1932" s="2"/>
      <c r="H1932" s="2"/>
      <c r="I1932" s="3"/>
      <c r="J1932" s="6"/>
    </row>
    <row r="1933" spans="7:10" x14ac:dyDescent="0.35">
      <c r="G1933" s="2"/>
      <c r="H1933" s="2"/>
      <c r="I1933" s="3"/>
      <c r="J1933" s="6"/>
    </row>
    <row r="1934" spans="7:10" x14ac:dyDescent="0.35">
      <c r="G1934" s="2"/>
      <c r="H1934" s="2"/>
      <c r="I1934" s="3"/>
      <c r="J1934" s="6"/>
    </row>
    <row r="1935" spans="7:10" x14ac:dyDescent="0.35">
      <c r="G1935" s="2"/>
      <c r="H1935" s="2"/>
      <c r="I1935" s="3"/>
      <c r="J1935" s="6"/>
    </row>
    <row r="1936" spans="7:10" x14ac:dyDescent="0.35">
      <c r="G1936" s="2"/>
      <c r="H1936" s="2"/>
      <c r="I1936" s="3"/>
      <c r="J1936" s="6"/>
    </row>
    <row r="1937" spans="7:10" x14ac:dyDescent="0.35">
      <c r="G1937" s="2"/>
      <c r="H1937" s="2"/>
      <c r="I1937" s="3"/>
      <c r="J1937" s="6"/>
    </row>
    <row r="1938" spans="7:10" x14ac:dyDescent="0.35">
      <c r="G1938" s="2"/>
      <c r="H1938" s="2"/>
      <c r="I1938" s="3"/>
      <c r="J1938" s="6"/>
    </row>
    <row r="1939" spans="7:10" x14ac:dyDescent="0.35">
      <c r="G1939" s="2"/>
      <c r="H1939" s="2"/>
      <c r="I1939" s="3"/>
      <c r="J1939" s="6"/>
    </row>
    <row r="1940" spans="7:10" x14ac:dyDescent="0.35">
      <c r="G1940" s="2"/>
      <c r="H1940" s="2"/>
      <c r="I1940" s="3"/>
      <c r="J1940" s="6"/>
    </row>
    <row r="1941" spans="7:10" x14ac:dyDescent="0.35">
      <c r="G1941" s="2"/>
      <c r="H1941" s="2"/>
      <c r="I1941" s="3"/>
      <c r="J1941" s="6"/>
    </row>
    <row r="1942" spans="7:10" x14ac:dyDescent="0.35">
      <c r="G1942" s="2"/>
      <c r="H1942" s="2"/>
      <c r="I1942" s="3"/>
      <c r="J1942" s="6"/>
    </row>
    <row r="1943" spans="7:10" x14ac:dyDescent="0.35">
      <c r="G1943" s="2"/>
      <c r="H1943" s="2"/>
      <c r="I1943" s="3"/>
      <c r="J1943" s="6"/>
    </row>
    <row r="1944" spans="7:10" x14ac:dyDescent="0.35">
      <c r="G1944" s="2"/>
      <c r="H1944" s="2"/>
      <c r="I1944" s="3"/>
      <c r="J1944" s="6"/>
    </row>
    <row r="1945" spans="7:10" x14ac:dyDescent="0.35">
      <c r="G1945" s="2"/>
      <c r="H1945" s="2"/>
      <c r="I1945" s="3"/>
      <c r="J1945" s="6"/>
    </row>
    <row r="1946" spans="7:10" x14ac:dyDescent="0.35">
      <c r="G1946" s="2"/>
      <c r="H1946" s="2"/>
      <c r="I1946" s="3"/>
      <c r="J1946" s="6"/>
    </row>
    <row r="1947" spans="7:10" x14ac:dyDescent="0.35">
      <c r="G1947" s="2"/>
      <c r="H1947" s="2"/>
      <c r="I1947" s="3"/>
      <c r="J1947" s="6"/>
    </row>
    <row r="1948" spans="7:10" x14ac:dyDescent="0.35">
      <c r="G1948" s="2"/>
      <c r="H1948" s="2"/>
      <c r="I1948" s="3"/>
      <c r="J1948" s="6"/>
    </row>
    <row r="1949" spans="7:10" x14ac:dyDescent="0.35">
      <c r="G1949" s="2"/>
      <c r="H1949" s="2"/>
      <c r="I1949" s="3"/>
      <c r="J1949" s="6"/>
    </row>
    <row r="1950" spans="7:10" x14ac:dyDescent="0.35">
      <c r="G1950" s="2"/>
      <c r="H1950" s="2"/>
      <c r="I1950" s="3"/>
      <c r="J1950" s="6"/>
    </row>
    <row r="1951" spans="7:10" x14ac:dyDescent="0.35">
      <c r="G1951" s="2"/>
      <c r="H1951" s="2"/>
      <c r="I1951" s="3"/>
      <c r="J1951" s="6"/>
    </row>
    <row r="1952" spans="7:10" x14ac:dyDescent="0.35">
      <c r="G1952" s="2"/>
      <c r="H1952" s="2"/>
      <c r="I1952" s="3"/>
      <c r="J1952" s="6"/>
    </row>
    <row r="1953" spans="7:10" x14ac:dyDescent="0.35">
      <c r="G1953" s="2"/>
      <c r="H1953" s="2"/>
      <c r="I1953" s="3"/>
      <c r="J1953" s="6"/>
    </row>
    <row r="1954" spans="7:10" x14ac:dyDescent="0.35">
      <c r="G1954" s="2"/>
      <c r="H1954" s="2"/>
      <c r="I1954" s="3"/>
      <c r="J1954" s="6"/>
    </row>
    <row r="1955" spans="7:10" x14ac:dyDescent="0.35">
      <c r="G1955" s="2"/>
      <c r="H1955" s="2"/>
      <c r="I1955" s="3"/>
      <c r="J1955" s="6"/>
    </row>
    <row r="1956" spans="7:10" x14ac:dyDescent="0.35">
      <c r="G1956" s="2"/>
      <c r="H1956" s="2"/>
      <c r="I1956" s="3"/>
      <c r="J1956" s="6"/>
    </row>
    <row r="1957" spans="7:10" x14ac:dyDescent="0.35">
      <c r="G1957" s="2"/>
      <c r="H1957" s="2"/>
      <c r="I1957" s="3"/>
      <c r="J1957" s="6"/>
    </row>
    <row r="1958" spans="7:10" x14ac:dyDescent="0.35">
      <c r="G1958" s="2"/>
      <c r="H1958" s="2"/>
      <c r="I1958" s="3"/>
      <c r="J1958" s="6"/>
    </row>
    <row r="1959" spans="7:10" x14ac:dyDescent="0.35">
      <c r="G1959" s="2"/>
      <c r="H1959" s="2"/>
      <c r="I1959" s="3"/>
      <c r="J1959" s="6"/>
    </row>
    <row r="1960" spans="7:10" x14ac:dyDescent="0.35">
      <c r="G1960" s="2"/>
      <c r="H1960" s="2"/>
      <c r="I1960" s="3"/>
      <c r="J1960" s="6"/>
    </row>
    <row r="1961" spans="7:10" x14ac:dyDescent="0.35">
      <c r="G1961" s="2"/>
      <c r="H1961" s="2"/>
      <c r="I1961" s="3"/>
      <c r="J1961" s="6"/>
    </row>
    <row r="1962" spans="7:10" x14ac:dyDescent="0.35">
      <c r="G1962" s="2"/>
      <c r="H1962" s="2"/>
      <c r="I1962" s="3"/>
      <c r="J1962" s="6"/>
    </row>
    <row r="1963" spans="7:10" x14ac:dyDescent="0.35">
      <c r="G1963" s="2"/>
      <c r="H1963" s="2"/>
      <c r="I1963" s="3"/>
      <c r="J1963" s="6"/>
    </row>
    <row r="1964" spans="7:10" x14ac:dyDescent="0.35">
      <c r="G1964" s="2"/>
      <c r="H1964" s="2"/>
      <c r="I1964" s="3"/>
      <c r="J1964" s="6"/>
    </row>
    <row r="1965" spans="7:10" x14ac:dyDescent="0.35">
      <c r="G1965" s="2"/>
      <c r="H1965" s="2"/>
      <c r="I1965" s="3"/>
      <c r="J1965" s="6"/>
    </row>
    <row r="1966" spans="7:10" x14ac:dyDescent="0.35">
      <c r="G1966" s="2"/>
      <c r="H1966" s="2"/>
      <c r="I1966" s="3"/>
      <c r="J1966" s="6"/>
    </row>
    <row r="1967" spans="7:10" x14ac:dyDescent="0.35">
      <c r="G1967" s="2"/>
      <c r="H1967" s="2"/>
      <c r="I1967" s="3"/>
      <c r="J1967" s="6"/>
    </row>
    <row r="1968" spans="7:10" x14ac:dyDescent="0.35">
      <c r="G1968" s="2"/>
      <c r="H1968" s="2"/>
      <c r="I1968" s="3"/>
      <c r="J1968" s="6"/>
    </row>
    <row r="1969" spans="7:10" x14ac:dyDescent="0.35">
      <c r="G1969" s="2"/>
      <c r="H1969" s="2"/>
      <c r="I1969" s="3"/>
      <c r="J1969" s="6"/>
    </row>
    <row r="1970" spans="7:10" x14ac:dyDescent="0.35">
      <c r="G1970" s="2"/>
      <c r="H1970" s="2"/>
      <c r="I1970" s="3"/>
      <c r="J1970" s="6"/>
    </row>
    <row r="1971" spans="7:10" x14ac:dyDescent="0.35">
      <c r="G1971" s="2"/>
      <c r="H1971" s="2"/>
      <c r="I1971" s="3"/>
      <c r="J1971" s="6"/>
    </row>
    <row r="1972" spans="7:10" x14ac:dyDescent="0.35">
      <c r="G1972" s="2"/>
      <c r="H1972" s="2"/>
      <c r="I1972" s="3"/>
      <c r="J1972" s="6"/>
    </row>
    <row r="1973" spans="7:10" x14ac:dyDescent="0.35">
      <c r="G1973" s="2"/>
      <c r="H1973" s="2"/>
      <c r="I1973" s="3"/>
      <c r="J1973" s="6"/>
    </row>
    <row r="1974" spans="7:10" x14ac:dyDescent="0.35">
      <c r="G1974" s="2"/>
      <c r="H1974" s="2"/>
      <c r="I1974" s="3"/>
      <c r="J1974" s="6"/>
    </row>
    <row r="1975" spans="7:10" x14ac:dyDescent="0.35">
      <c r="G1975" s="2"/>
      <c r="H1975" s="2"/>
      <c r="I1975" s="3"/>
      <c r="J1975" s="6"/>
    </row>
    <row r="1976" spans="7:10" x14ac:dyDescent="0.35">
      <c r="G1976" s="2"/>
      <c r="H1976" s="2"/>
      <c r="I1976" s="3"/>
      <c r="J1976" s="6"/>
    </row>
    <row r="1977" spans="7:10" x14ac:dyDescent="0.35">
      <c r="G1977" s="2"/>
      <c r="H1977" s="2"/>
      <c r="I1977" s="3"/>
      <c r="J1977" s="6"/>
    </row>
    <row r="1978" spans="7:10" x14ac:dyDescent="0.35">
      <c r="G1978" s="2"/>
      <c r="H1978" s="2"/>
      <c r="I1978" s="3"/>
      <c r="J1978" s="6"/>
    </row>
    <row r="1979" spans="7:10" x14ac:dyDescent="0.35">
      <c r="G1979" s="2"/>
      <c r="H1979" s="2"/>
      <c r="I1979" s="3"/>
      <c r="J1979" s="6"/>
    </row>
    <row r="1980" spans="7:10" x14ac:dyDescent="0.35">
      <c r="G1980" s="2"/>
      <c r="H1980" s="2"/>
      <c r="I1980" s="3"/>
      <c r="J1980" s="6"/>
    </row>
    <row r="1981" spans="7:10" x14ac:dyDescent="0.35">
      <c r="G1981" s="2"/>
      <c r="H1981" s="2"/>
      <c r="I1981" s="3"/>
      <c r="J1981" s="6"/>
    </row>
    <row r="1982" spans="7:10" x14ac:dyDescent="0.35">
      <c r="G1982" s="2"/>
      <c r="H1982" s="2"/>
      <c r="I1982" s="3"/>
      <c r="J1982" s="6"/>
    </row>
    <row r="1983" spans="7:10" x14ac:dyDescent="0.35">
      <c r="G1983" s="2"/>
      <c r="H1983" s="2"/>
      <c r="I1983" s="3"/>
      <c r="J1983" s="6"/>
    </row>
    <row r="1984" spans="7:10" x14ac:dyDescent="0.35">
      <c r="G1984" s="2"/>
      <c r="H1984" s="2"/>
      <c r="I1984" s="3"/>
      <c r="J1984" s="6"/>
    </row>
    <row r="1985" spans="7:10" x14ac:dyDescent="0.35">
      <c r="G1985" s="2"/>
      <c r="H1985" s="2"/>
      <c r="I1985" s="3"/>
      <c r="J1985" s="6"/>
    </row>
    <row r="1986" spans="7:10" x14ac:dyDescent="0.35">
      <c r="G1986" s="2"/>
      <c r="H1986" s="2"/>
      <c r="I1986" s="3"/>
      <c r="J1986" s="6"/>
    </row>
    <row r="1987" spans="7:10" x14ac:dyDescent="0.35">
      <c r="G1987" s="2"/>
      <c r="H1987" s="2"/>
      <c r="I1987" s="3"/>
      <c r="J1987" s="6"/>
    </row>
    <row r="1988" spans="7:10" x14ac:dyDescent="0.35">
      <c r="G1988" s="2"/>
      <c r="H1988" s="2"/>
      <c r="I1988" s="3"/>
      <c r="J1988" s="6"/>
    </row>
    <row r="1989" spans="7:10" x14ac:dyDescent="0.35">
      <c r="G1989" s="2"/>
      <c r="H1989" s="2"/>
      <c r="I1989" s="3"/>
      <c r="J1989" s="6"/>
    </row>
    <row r="1990" spans="7:10" x14ac:dyDescent="0.35">
      <c r="G1990" s="2"/>
      <c r="H1990" s="2"/>
      <c r="I1990" s="3"/>
      <c r="J1990" s="6"/>
    </row>
    <row r="1991" spans="7:10" x14ac:dyDescent="0.35">
      <c r="G1991" s="2"/>
      <c r="H1991" s="2"/>
      <c r="I1991" s="3"/>
      <c r="J1991" s="6"/>
    </row>
    <row r="1992" spans="7:10" x14ac:dyDescent="0.35">
      <c r="G1992" s="2"/>
      <c r="H1992" s="2"/>
      <c r="I1992" s="3"/>
      <c r="J1992" s="6"/>
    </row>
    <row r="1993" spans="7:10" x14ac:dyDescent="0.35">
      <c r="G1993" s="2"/>
      <c r="H1993" s="2"/>
      <c r="I1993" s="3"/>
      <c r="J1993" s="6"/>
    </row>
    <row r="1994" spans="7:10" x14ac:dyDescent="0.35">
      <c r="G1994" s="2"/>
      <c r="H1994" s="2"/>
      <c r="I1994" s="3"/>
      <c r="J1994" s="6"/>
    </row>
    <row r="1995" spans="7:10" x14ac:dyDescent="0.35">
      <c r="G1995" s="2"/>
      <c r="H1995" s="2"/>
      <c r="I1995" s="3"/>
      <c r="J1995" s="6"/>
    </row>
    <row r="1996" spans="7:10" x14ac:dyDescent="0.35">
      <c r="G1996" s="2"/>
      <c r="H1996" s="2"/>
      <c r="I1996" s="3"/>
      <c r="J1996" s="6"/>
    </row>
    <row r="1997" spans="7:10" x14ac:dyDescent="0.35">
      <c r="G1997" s="2"/>
      <c r="H1997" s="2"/>
      <c r="I1997" s="3"/>
      <c r="J1997" s="6"/>
    </row>
    <row r="1998" spans="7:10" x14ac:dyDescent="0.35">
      <c r="G1998" s="2"/>
      <c r="H1998" s="2"/>
      <c r="I1998" s="3"/>
      <c r="J1998" s="6"/>
    </row>
    <row r="1999" spans="7:10" x14ac:dyDescent="0.35">
      <c r="G1999" s="2"/>
      <c r="H1999" s="2"/>
      <c r="I1999" s="3"/>
      <c r="J1999" s="6"/>
    </row>
    <row r="2000" spans="7:10" x14ac:dyDescent="0.35">
      <c r="G2000" s="2"/>
      <c r="H2000" s="2"/>
      <c r="I2000" s="3"/>
      <c r="J2000" s="6"/>
    </row>
    <row r="2001" spans="7:10" x14ac:dyDescent="0.35">
      <c r="G2001" s="2"/>
      <c r="H2001" s="2"/>
      <c r="I2001" s="3"/>
      <c r="J2001" s="6"/>
    </row>
    <row r="2002" spans="7:10" x14ac:dyDescent="0.35">
      <c r="G2002" s="2"/>
      <c r="H2002" s="2"/>
      <c r="I2002" s="3"/>
      <c r="J2002" s="6"/>
    </row>
    <row r="2003" spans="7:10" x14ac:dyDescent="0.35">
      <c r="G2003" s="2"/>
      <c r="H2003" s="2"/>
      <c r="I2003" s="3"/>
      <c r="J2003" s="6"/>
    </row>
    <row r="2004" spans="7:10" x14ac:dyDescent="0.35">
      <c r="G2004" s="2"/>
      <c r="H2004" s="2"/>
      <c r="I2004" s="3"/>
      <c r="J2004" s="6"/>
    </row>
    <row r="2005" spans="7:10" x14ac:dyDescent="0.35">
      <c r="G2005" s="2"/>
      <c r="H2005" s="2"/>
      <c r="I2005" s="3"/>
      <c r="J2005" s="6"/>
    </row>
    <row r="2006" spans="7:10" x14ac:dyDescent="0.35">
      <c r="G2006" s="2"/>
      <c r="H2006" s="2"/>
      <c r="I2006" s="3"/>
      <c r="J2006" s="6"/>
    </row>
    <row r="2007" spans="7:10" x14ac:dyDescent="0.35">
      <c r="G2007" s="2"/>
      <c r="H2007" s="2"/>
      <c r="I2007" s="3"/>
      <c r="J2007" s="6"/>
    </row>
    <row r="2008" spans="7:10" x14ac:dyDescent="0.35">
      <c r="G2008" s="2"/>
      <c r="H2008" s="2"/>
      <c r="I2008" s="3"/>
      <c r="J2008" s="6"/>
    </row>
    <row r="2009" spans="7:10" x14ac:dyDescent="0.35">
      <c r="G2009" s="2"/>
      <c r="H2009" s="2"/>
      <c r="I2009" s="3"/>
      <c r="J2009" s="6"/>
    </row>
    <row r="2010" spans="7:10" x14ac:dyDescent="0.35">
      <c r="G2010" s="2"/>
      <c r="H2010" s="2"/>
      <c r="I2010" s="3"/>
      <c r="J2010" s="6"/>
    </row>
    <row r="2011" spans="7:10" x14ac:dyDescent="0.35">
      <c r="G2011" s="2"/>
      <c r="H2011" s="2"/>
      <c r="I2011" s="3"/>
      <c r="J2011" s="6"/>
    </row>
    <row r="2012" spans="7:10" x14ac:dyDescent="0.35">
      <c r="G2012" s="2"/>
      <c r="H2012" s="2"/>
      <c r="I2012" s="3"/>
      <c r="J2012" s="6"/>
    </row>
    <row r="2013" spans="7:10" x14ac:dyDescent="0.35">
      <c r="G2013" s="2"/>
      <c r="H2013" s="2"/>
      <c r="I2013" s="3"/>
      <c r="J2013" s="6"/>
    </row>
    <row r="2014" spans="7:10" x14ac:dyDescent="0.35">
      <c r="G2014" s="2"/>
      <c r="H2014" s="2"/>
      <c r="I2014" s="3"/>
      <c r="J2014" s="6"/>
    </row>
    <row r="2015" spans="7:10" x14ac:dyDescent="0.35">
      <c r="G2015" s="2"/>
      <c r="H2015" s="2"/>
      <c r="I2015" s="3"/>
      <c r="J2015" s="6"/>
    </row>
    <row r="2016" spans="7:10" x14ac:dyDescent="0.35">
      <c r="G2016" s="2"/>
      <c r="H2016" s="2"/>
      <c r="I2016" s="3"/>
      <c r="J2016" s="6"/>
    </row>
    <row r="2017" spans="7:10" x14ac:dyDescent="0.35">
      <c r="G2017" s="2"/>
      <c r="H2017" s="2"/>
      <c r="I2017" s="3"/>
      <c r="J2017" s="6"/>
    </row>
    <row r="2018" spans="7:10" x14ac:dyDescent="0.35">
      <c r="G2018" s="2"/>
      <c r="H2018" s="2"/>
      <c r="I2018" s="3"/>
      <c r="J2018" s="6"/>
    </row>
    <row r="2019" spans="7:10" x14ac:dyDescent="0.35">
      <c r="G2019" s="2"/>
      <c r="H2019" s="2"/>
      <c r="I2019" s="3"/>
      <c r="J2019" s="6"/>
    </row>
    <row r="2020" spans="7:10" x14ac:dyDescent="0.35">
      <c r="G2020" s="2"/>
      <c r="H2020" s="2"/>
      <c r="I2020" s="3"/>
      <c r="J2020" s="6"/>
    </row>
    <row r="2021" spans="7:10" x14ac:dyDescent="0.35">
      <c r="G2021" s="2"/>
      <c r="H2021" s="2"/>
      <c r="I2021" s="3"/>
      <c r="J2021" s="6"/>
    </row>
    <row r="2022" spans="7:10" x14ac:dyDescent="0.35">
      <c r="G2022" s="2"/>
      <c r="H2022" s="2"/>
      <c r="I2022" s="3"/>
      <c r="J2022" s="6"/>
    </row>
    <row r="2023" spans="7:10" x14ac:dyDescent="0.35">
      <c r="G2023" s="2"/>
      <c r="H2023" s="2"/>
      <c r="I2023" s="3"/>
      <c r="J2023" s="6"/>
    </row>
    <row r="2024" spans="7:10" x14ac:dyDescent="0.35">
      <c r="G2024" s="2"/>
      <c r="H2024" s="2"/>
      <c r="I2024" s="3"/>
      <c r="J2024" s="6"/>
    </row>
    <row r="2025" spans="7:10" x14ac:dyDescent="0.35">
      <c r="G2025" s="2"/>
      <c r="H2025" s="2"/>
      <c r="I2025" s="3"/>
      <c r="J2025" s="6"/>
    </row>
    <row r="2026" spans="7:10" x14ac:dyDescent="0.35">
      <c r="G2026" s="2"/>
      <c r="H2026" s="2"/>
      <c r="I2026" s="3"/>
      <c r="J2026" s="6"/>
    </row>
    <row r="2027" spans="7:10" x14ac:dyDescent="0.35">
      <c r="G2027" s="2"/>
      <c r="H2027" s="2"/>
      <c r="I2027" s="3"/>
      <c r="J2027" s="6"/>
    </row>
    <row r="2028" spans="7:10" x14ac:dyDescent="0.35">
      <c r="G2028" s="2"/>
      <c r="H2028" s="2"/>
      <c r="I2028" s="3"/>
      <c r="J2028" s="6"/>
    </row>
    <row r="2029" spans="7:10" x14ac:dyDescent="0.35">
      <c r="G2029" s="2"/>
      <c r="H2029" s="2"/>
      <c r="I2029" s="3"/>
      <c r="J2029" s="6"/>
    </row>
    <row r="2030" spans="7:10" x14ac:dyDescent="0.35">
      <c r="G2030" s="2"/>
      <c r="H2030" s="2"/>
      <c r="I2030" s="3"/>
      <c r="J2030" s="6"/>
    </row>
    <row r="2031" spans="7:10" x14ac:dyDescent="0.35">
      <c r="G2031" s="2"/>
      <c r="H2031" s="2"/>
      <c r="I2031" s="3"/>
      <c r="J2031" s="6"/>
    </row>
    <row r="2032" spans="7:10" x14ac:dyDescent="0.35">
      <c r="G2032" s="2"/>
      <c r="H2032" s="2"/>
      <c r="I2032" s="3"/>
      <c r="J2032" s="6"/>
    </row>
    <row r="2033" spans="7:10" x14ac:dyDescent="0.35">
      <c r="G2033" s="2"/>
      <c r="H2033" s="2"/>
      <c r="I2033" s="3"/>
      <c r="J2033" s="6"/>
    </row>
    <row r="2034" spans="7:10" x14ac:dyDescent="0.35">
      <c r="G2034" s="2"/>
      <c r="H2034" s="2"/>
      <c r="I2034" s="3"/>
      <c r="J2034" s="6"/>
    </row>
    <row r="2035" spans="7:10" x14ac:dyDescent="0.35">
      <c r="G2035" s="2"/>
      <c r="H2035" s="2"/>
      <c r="I2035" s="3"/>
      <c r="J2035" s="6"/>
    </row>
    <row r="2036" spans="7:10" x14ac:dyDescent="0.35">
      <c r="G2036" s="2"/>
      <c r="H2036" s="2"/>
      <c r="I2036" s="3"/>
      <c r="J2036" s="6"/>
    </row>
    <row r="2037" spans="7:10" x14ac:dyDescent="0.35">
      <c r="G2037" s="2"/>
      <c r="H2037" s="2"/>
      <c r="I2037" s="3"/>
      <c r="J2037" s="6"/>
    </row>
    <row r="2038" spans="7:10" x14ac:dyDescent="0.35">
      <c r="G2038" s="2"/>
      <c r="H2038" s="2"/>
      <c r="I2038" s="3"/>
      <c r="J2038" s="6"/>
    </row>
    <row r="2039" spans="7:10" x14ac:dyDescent="0.35">
      <c r="G2039" s="2"/>
      <c r="H2039" s="2"/>
      <c r="I2039" s="3"/>
      <c r="J2039" s="6"/>
    </row>
    <row r="2040" spans="7:10" x14ac:dyDescent="0.35">
      <c r="G2040" s="2"/>
      <c r="H2040" s="2"/>
      <c r="I2040" s="3"/>
      <c r="J2040" s="6"/>
    </row>
    <row r="2041" spans="7:10" x14ac:dyDescent="0.35">
      <c r="G2041" s="2"/>
      <c r="H2041" s="2"/>
      <c r="I2041" s="3"/>
      <c r="J2041" s="6"/>
    </row>
    <row r="2042" spans="7:10" x14ac:dyDescent="0.35">
      <c r="G2042" s="2"/>
      <c r="H2042" s="2"/>
      <c r="I2042" s="3"/>
      <c r="J2042" s="6"/>
    </row>
    <row r="2043" spans="7:10" x14ac:dyDescent="0.35">
      <c r="G2043" s="2"/>
      <c r="H2043" s="2"/>
      <c r="I2043" s="3"/>
      <c r="J2043" s="6"/>
    </row>
    <row r="2044" spans="7:10" x14ac:dyDescent="0.35">
      <c r="G2044" s="2"/>
      <c r="H2044" s="2"/>
      <c r="I2044" s="3"/>
      <c r="J2044" s="6"/>
    </row>
    <row r="2045" spans="7:10" x14ac:dyDescent="0.35">
      <c r="G2045" s="2"/>
      <c r="H2045" s="2"/>
      <c r="I2045" s="3"/>
      <c r="J2045" s="6"/>
    </row>
    <row r="2046" spans="7:10" x14ac:dyDescent="0.35">
      <c r="G2046" s="2"/>
      <c r="H2046" s="2"/>
      <c r="I2046" s="3"/>
      <c r="J2046" s="6"/>
    </row>
    <row r="2047" spans="7:10" x14ac:dyDescent="0.35">
      <c r="G2047" s="2"/>
      <c r="H2047" s="2"/>
      <c r="I2047" s="3"/>
      <c r="J2047" s="6"/>
    </row>
    <row r="2048" spans="7:10" x14ac:dyDescent="0.35">
      <c r="G2048" s="2"/>
      <c r="H2048" s="2"/>
      <c r="I2048" s="3"/>
      <c r="J2048" s="6"/>
    </row>
    <row r="2049" spans="7:10" x14ac:dyDescent="0.35">
      <c r="G2049" s="2"/>
      <c r="H2049" s="2"/>
      <c r="I2049" s="3"/>
      <c r="J2049" s="6"/>
    </row>
    <row r="2050" spans="7:10" x14ac:dyDescent="0.35">
      <c r="G2050" s="2"/>
      <c r="H2050" s="2"/>
      <c r="I2050" s="3"/>
      <c r="J2050" s="6"/>
    </row>
    <row r="2051" spans="7:10" x14ac:dyDescent="0.35">
      <c r="G2051" s="2"/>
      <c r="H2051" s="2"/>
      <c r="I2051" s="3"/>
      <c r="J2051" s="6"/>
    </row>
    <row r="2052" spans="7:10" x14ac:dyDescent="0.35">
      <c r="G2052" s="2"/>
      <c r="H2052" s="2"/>
      <c r="I2052" s="3"/>
      <c r="J2052" s="6"/>
    </row>
    <row r="2053" spans="7:10" x14ac:dyDescent="0.35">
      <c r="G2053" s="2"/>
      <c r="H2053" s="2"/>
      <c r="I2053" s="3"/>
      <c r="J2053" s="6"/>
    </row>
    <row r="2054" spans="7:10" x14ac:dyDescent="0.35">
      <c r="G2054" s="2"/>
      <c r="H2054" s="2"/>
      <c r="I2054" s="3"/>
      <c r="J2054" s="6"/>
    </row>
    <row r="2055" spans="7:10" x14ac:dyDescent="0.35">
      <c r="G2055" s="2"/>
      <c r="H2055" s="2"/>
      <c r="I2055" s="3"/>
      <c r="J2055" s="6"/>
    </row>
    <row r="2056" spans="7:10" x14ac:dyDescent="0.35">
      <c r="G2056" s="2"/>
      <c r="H2056" s="2"/>
      <c r="I2056" s="3"/>
      <c r="J2056" s="6"/>
    </row>
    <row r="2057" spans="7:10" x14ac:dyDescent="0.35">
      <c r="G2057" s="2"/>
      <c r="H2057" s="2"/>
      <c r="I2057" s="3"/>
      <c r="J2057" s="6"/>
    </row>
    <row r="2058" spans="7:10" x14ac:dyDescent="0.35">
      <c r="G2058" s="2"/>
      <c r="H2058" s="2"/>
      <c r="I2058" s="3"/>
      <c r="J2058" s="6"/>
    </row>
    <row r="2059" spans="7:10" x14ac:dyDescent="0.35">
      <c r="G2059" s="2"/>
      <c r="H2059" s="2"/>
      <c r="I2059" s="3"/>
      <c r="J2059" s="6"/>
    </row>
    <row r="2060" spans="7:10" x14ac:dyDescent="0.35">
      <c r="G2060" s="2"/>
      <c r="H2060" s="2"/>
      <c r="I2060" s="3"/>
      <c r="J2060" s="6"/>
    </row>
    <row r="2061" spans="7:10" x14ac:dyDescent="0.35">
      <c r="G2061" s="2"/>
      <c r="H2061" s="2"/>
      <c r="I2061" s="3"/>
      <c r="J2061" s="6"/>
    </row>
    <row r="2062" spans="7:10" x14ac:dyDescent="0.35">
      <c r="G2062" s="2"/>
      <c r="H2062" s="2"/>
      <c r="I2062" s="3"/>
      <c r="J2062" s="6"/>
    </row>
    <row r="2063" spans="7:10" x14ac:dyDescent="0.35">
      <c r="G2063" s="2"/>
      <c r="H2063" s="2"/>
      <c r="I2063" s="3"/>
      <c r="J2063" s="6"/>
    </row>
    <row r="2064" spans="7:10" x14ac:dyDescent="0.35">
      <c r="G2064" s="2"/>
      <c r="H2064" s="2"/>
      <c r="I2064" s="3"/>
      <c r="J2064" s="6"/>
    </row>
    <row r="2065" spans="7:10" x14ac:dyDescent="0.35">
      <c r="G2065" s="2"/>
      <c r="H2065" s="2"/>
      <c r="I2065" s="3"/>
      <c r="J2065" s="6"/>
    </row>
    <row r="2066" spans="7:10" x14ac:dyDescent="0.35">
      <c r="G2066" s="2"/>
      <c r="H2066" s="2"/>
      <c r="I2066" s="3"/>
      <c r="J2066" s="6"/>
    </row>
    <row r="2067" spans="7:10" x14ac:dyDescent="0.35">
      <c r="G2067" s="2"/>
      <c r="H2067" s="2"/>
      <c r="I2067" s="3"/>
      <c r="J2067" s="6"/>
    </row>
    <row r="2068" spans="7:10" x14ac:dyDescent="0.35">
      <c r="G2068" s="2"/>
      <c r="H2068" s="2"/>
      <c r="I2068" s="3"/>
      <c r="J2068" s="6"/>
    </row>
    <row r="2069" spans="7:10" x14ac:dyDescent="0.35">
      <c r="G2069" s="2"/>
      <c r="H2069" s="2"/>
      <c r="I2069" s="3"/>
      <c r="J2069" s="6"/>
    </row>
    <row r="2070" spans="7:10" x14ac:dyDescent="0.35">
      <c r="G2070" s="2"/>
      <c r="H2070" s="2"/>
      <c r="I2070" s="3"/>
      <c r="J2070" s="6"/>
    </row>
    <row r="2071" spans="7:10" x14ac:dyDescent="0.35">
      <c r="G2071" s="2"/>
      <c r="H2071" s="2"/>
      <c r="I2071" s="3"/>
      <c r="J2071" s="6"/>
    </row>
    <row r="2072" spans="7:10" x14ac:dyDescent="0.35">
      <c r="G2072" s="2"/>
      <c r="H2072" s="2"/>
      <c r="I2072" s="3"/>
      <c r="J2072" s="6"/>
    </row>
    <row r="2073" spans="7:10" x14ac:dyDescent="0.35">
      <c r="G2073" s="2"/>
      <c r="H2073" s="2"/>
      <c r="I2073" s="3"/>
      <c r="J2073" s="6"/>
    </row>
    <row r="2074" spans="7:10" x14ac:dyDescent="0.35">
      <c r="G2074" s="2"/>
      <c r="H2074" s="2"/>
      <c r="I2074" s="3"/>
      <c r="J2074" s="6"/>
    </row>
    <row r="2075" spans="7:10" x14ac:dyDescent="0.35">
      <c r="G2075" s="2"/>
      <c r="H2075" s="2"/>
      <c r="I2075" s="3"/>
      <c r="J2075" s="6"/>
    </row>
    <row r="2076" spans="7:10" x14ac:dyDescent="0.35">
      <c r="G2076" s="2"/>
      <c r="H2076" s="2"/>
      <c r="I2076" s="3"/>
      <c r="J2076" s="6"/>
    </row>
    <row r="2077" spans="7:10" x14ac:dyDescent="0.35">
      <c r="G2077" s="2"/>
      <c r="H2077" s="2"/>
      <c r="I2077" s="3"/>
      <c r="J2077" s="6"/>
    </row>
    <row r="2078" spans="7:10" x14ac:dyDescent="0.35">
      <c r="G2078" s="2"/>
      <c r="H2078" s="2"/>
      <c r="I2078" s="3"/>
      <c r="J2078" s="6"/>
    </row>
    <row r="2079" spans="7:10" x14ac:dyDescent="0.35">
      <c r="G2079" s="2"/>
      <c r="H2079" s="2"/>
      <c r="I2079" s="3"/>
      <c r="J2079" s="6"/>
    </row>
    <row r="2080" spans="7:10" x14ac:dyDescent="0.35">
      <c r="G2080" s="2"/>
      <c r="H2080" s="2"/>
      <c r="I2080" s="3"/>
      <c r="J2080" s="6"/>
    </row>
    <row r="2081" spans="7:10" x14ac:dyDescent="0.35">
      <c r="G2081" s="2"/>
      <c r="H2081" s="2"/>
      <c r="I2081" s="3"/>
      <c r="J2081" s="6"/>
    </row>
    <row r="2082" spans="7:10" x14ac:dyDescent="0.35">
      <c r="G2082" s="2"/>
      <c r="H2082" s="2"/>
      <c r="I2082" s="3"/>
      <c r="J2082" s="6"/>
    </row>
    <row r="2083" spans="7:10" x14ac:dyDescent="0.35">
      <c r="G2083" s="2"/>
      <c r="H2083" s="2"/>
      <c r="I2083" s="3"/>
      <c r="J2083" s="6"/>
    </row>
    <row r="2084" spans="7:10" x14ac:dyDescent="0.35">
      <c r="G2084" s="2"/>
      <c r="H2084" s="2"/>
      <c r="I2084" s="3"/>
      <c r="J2084" s="6"/>
    </row>
    <row r="2085" spans="7:10" x14ac:dyDescent="0.35">
      <c r="G2085" s="2"/>
      <c r="H2085" s="2"/>
      <c r="I2085" s="3"/>
      <c r="J2085" s="6"/>
    </row>
    <row r="2086" spans="7:10" x14ac:dyDescent="0.35">
      <c r="G2086" s="2"/>
      <c r="H2086" s="2"/>
      <c r="I2086" s="3"/>
      <c r="J2086" s="6"/>
    </row>
    <row r="2087" spans="7:10" x14ac:dyDescent="0.35">
      <c r="G2087" s="2"/>
      <c r="H2087" s="2"/>
      <c r="I2087" s="3"/>
      <c r="J2087" s="6"/>
    </row>
    <row r="2088" spans="7:10" x14ac:dyDescent="0.35">
      <c r="G2088" s="2"/>
      <c r="H2088" s="2"/>
      <c r="I2088" s="3"/>
      <c r="J2088" s="6"/>
    </row>
    <row r="2089" spans="7:10" x14ac:dyDescent="0.35">
      <c r="G2089" s="2"/>
      <c r="H2089" s="2"/>
      <c r="I2089" s="3"/>
      <c r="J2089" s="6"/>
    </row>
    <row r="2090" spans="7:10" x14ac:dyDescent="0.35">
      <c r="G2090" s="2"/>
      <c r="H2090" s="2"/>
      <c r="I2090" s="3"/>
      <c r="J2090" s="6"/>
    </row>
    <row r="2091" spans="7:10" x14ac:dyDescent="0.35">
      <c r="G2091" s="2"/>
      <c r="H2091" s="2"/>
      <c r="I2091" s="3"/>
      <c r="J2091" s="6"/>
    </row>
    <row r="2092" spans="7:10" x14ac:dyDescent="0.35">
      <c r="G2092" s="2"/>
      <c r="H2092" s="2"/>
      <c r="I2092" s="3"/>
      <c r="J2092" s="6"/>
    </row>
    <row r="2093" spans="7:10" x14ac:dyDescent="0.35">
      <c r="G2093" s="2"/>
      <c r="H2093" s="2"/>
      <c r="I2093" s="3"/>
      <c r="J2093" s="6"/>
    </row>
    <row r="2094" spans="7:10" x14ac:dyDescent="0.35">
      <c r="G2094" s="2"/>
      <c r="H2094" s="2"/>
      <c r="I2094" s="3"/>
      <c r="J2094" s="6"/>
    </row>
    <row r="2095" spans="7:10" x14ac:dyDescent="0.35">
      <c r="G2095" s="2"/>
      <c r="H2095" s="2"/>
      <c r="I2095" s="3"/>
      <c r="J2095" s="6"/>
    </row>
    <row r="2096" spans="7:10" x14ac:dyDescent="0.35">
      <c r="G2096" s="2"/>
      <c r="H2096" s="2"/>
      <c r="I2096" s="3"/>
      <c r="J2096" s="6"/>
    </row>
    <row r="2097" spans="7:10" x14ac:dyDescent="0.35">
      <c r="G2097" s="2"/>
      <c r="H2097" s="2"/>
      <c r="I2097" s="3"/>
      <c r="J2097" s="6"/>
    </row>
    <row r="2098" spans="7:10" x14ac:dyDescent="0.35">
      <c r="G2098" s="2"/>
      <c r="H2098" s="2"/>
      <c r="I2098" s="3"/>
      <c r="J2098" s="6"/>
    </row>
    <row r="2099" spans="7:10" x14ac:dyDescent="0.35">
      <c r="G2099" s="2"/>
      <c r="H2099" s="2"/>
      <c r="I2099" s="3"/>
      <c r="J2099" s="6"/>
    </row>
    <row r="2100" spans="7:10" x14ac:dyDescent="0.35">
      <c r="G2100" s="2"/>
      <c r="H2100" s="2"/>
      <c r="I2100" s="3"/>
      <c r="J2100" s="6"/>
    </row>
    <row r="2101" spans="7:10" x14ac:dyDescent="0.35">
      <c r="G2101" s="2"/>
      <c r="H2101" s="2"/>
      <c r="I2101" s="3"/>
      <c r="J2101" s="6"/>
    </row>
    <row r="2102" spans="7:10" x14ac:dyDescent="0.35">
      <c r="G2102" s="2"/>
      <c r="H2102" s="2"/>
      <c r="I2102" s="3"/>
      <c r="J2102" s="6"/>
    </row>
    <row r="2103" spans="7:10" x14ac:dyDescent="0.35">
      <c r="G2103" s="2"/>
      <c r="H2103" s="2"/>
      <c r="I2103" s="3"/>
      <c r="J2103" s="6"/>
    </row>
    <row r="2104" spans="7:10" x14ac:dyDescent="0.35">
      <c r="G2104" s="2"/>
      <c r="H2104" s="2"/>
      <c r="I2104" s="3"/>
      <c r="J2104" s="6"/>
    </row>
    <row r="2105" spans="7:10" x14ac:dyDescent="0.35">
      <c r="G2105" s="2"/>
      <c r="H2105" s="2"/>
      <c r="I2105" s="3"/>
      <c r="J2105" s="6"/>
    </row>
    <row r="2106" spans="7:10" x14ac:dyDescent="0.35">
      <c r="G2106" s="2"/>
      <c r="H2106" s="2"/>
      <c r="I2106" s="3"/>
      <c r="J2106" s="6"/>
    </row>
    <row r="2107" spans="7:10" x14ac:dyDescent="0.35">
      <c r="G2107" s="2"/>
      <c r="H2107" s="2"/>
      <c r="I2107" s="3"/>
      <c r="J2107" s="6"/>
    </row>
    <row r="2108" spans="7:10" x14ac:dyDescent="0.35">
      <c r="G2108" s="2"/>
      <c r="H2108" s="2"/>
      <c r="I2108" s="3"/>
      <c r="J2108" s="6"/>
    </row>
    <row r="2109" spans="7:10" x14ac:dyDescent="0.35">
      <c r="G2109" s="2"/>
      <c r="H2109" s="2"/>
      <c r="I2109" s="3"/>
      <c r="J2109" s="6"/>
    </row>
    <row r="2110" spans="7:10" x14ac:dyDescent="0.35">
      <c r="G2110" s="2"/>
      <c r="H2110" s="2"/>
      <c r="I2110" s="3"/>
      <c r="J2110" s="6"/>
    </row>
    <row r="2111" spans="7:10" x14ac:dyDescent="0.35">
      <c r="G2111" s="2"/>
      <c r="H2111" s="2"/>
      <c r="I2111" s="3"/>
      <c r="J2111" s="6"/>
    </row>
    <row r="2112" spans="7:10" x14ac:dyDescent="0.35">
      <c r="G2112" s="2"/>
      <c r="H2112" s="2"/>
      <c r="I2112" s="3"/>
      <c r="J2112" s="6"/>
    </row>
    <row r="2113" spans="7:10" x14ac:dyDescent="0.35">
      <c r="G2113" s="2"/>
      <c r="H2113" s="2"/>
      <c r="I2113" s="3"/>
      <c r="J2113" s="6"/>
    </row>
    <row r="2114" spans="7:10" x14ac:dyDescent="0.35">
      <c r="G2114" s="2"/>
      <c r="H2114" s="2"/>
      <c r="I2114" s="3"/>
      <c r="J2114" s="6"/>
    </row>
    <row r="2115" spans="7:10" x14ac:dyDescent="0.35">
      <c r="G2115" s="2"/>
      <c r="H2115" s="2"/>
      <c r="I2115" s="3"/>
      <c r="J2115" s="6"/>
    </row>
    <row r="2116" spans="7:10" x14ac:dyDescent="0.35">
      <c r="G2116" s="2"/>
      <c r="H2116" s="2"/>
      <c r="I2116" s="3"/>
      <c r="J2116" s="6"/>
    </row>
    <row r="2117" spans="7:10" x14ac:dyDescent="0.35">
      <c r="G2117" s="2"/>
      <c r="H2117" s="2"/>
      <c r="I2117" s="3"/>
      <c r="J2117" s="6"/>
    </row>
    <row r="2118" spans="7:10" x14ac:dyDescent="0.35">
      <c r="G2118" s="2"/>
      <c r="H2118" s="2"/>
      <c r="I2118" s="3"/>
      <c r="J2118" s="6"/>
    </row>
    <row r="2119" spans="7:10" x14ac:dyDescent="0.35">
      <c r="G2119" s="2"/>
      <c r="H2119" s="2"/>
      <c r="I2119" s="3"/>
      <c r="J2119" s="6"/>
    </row>
    <row r="2120" spans="7:10" x14ac:dyDescent="0.35">
      <c r="G2120" s="2"/>
      <c r="H2120" s="2"/>
      <c r="I2120" s="3"/>
      <c r="J2120" s="6"/>
    </row>
    <row r="2121" spans="7:10" x14ac:dyDescent="0.35">
      <c r="G2121" s="2"/>
      <c r="H2121" s="2"/>
      <c r="I2121" s="3"/>
      <c r="J2121" s="6"/>
    </row>
    <row r="2122" spans="7:10" x14ac:dyDescent="0.35">
      <c r="G2122" s="2"/>
      <c r="H2122" s="2"/>
      <c r="I2122" s="3"/>
      <c r="J2122" s="6"/>
    </row>
    <row r="2123" spans="7:10" x14ac:dyDescent="0.35">
      <c r="G2123" s="2"/>
      <c r="H2123" s="2"/>
      <c r="I2123" s="3"/>
      <c r="J2123" s="6"/>
    </row>
    <row r="2124" spans="7:10" x14ac:dyDescent="0.35">
      <c r="G2124" s="2"/>
      <c r="H2124" s="2"/>
      <c r="I2124" s="3"/>
      <c r="J2124" s="6"/>
    </row>
    <row r="2125" spans="7:10" x14ac:dyDescent="0.35">
      <c r="G2125" s="2"/>
      <c r="H2125" s="2"/>
      <c r="I2125" s="3"/>
      <c r="J2125" s="6"/>
    </row>
    <row r="2126" spans="7:10" x14ac:dyDescent="0.35">
      <c r="G2126" s="2"/>
      <c r="H2126" s="2"/>
      <c r="I2126" s="3"/>
      <c r="J2126" s="6"/>
    </row>
    <row r="2127" spans="7:10" x14ac:dyDescent="0.35">
      <c r="G2127" s="2"/>
      <c r="H2127" s="2"/>
      <c r="I2127" s="3"/>
      <c r="J2127" s="6"/>
    </row>
    <row r="2128" spans="7:10" x14ac:dyDescent="0.35">
      <c r="G2128" s="2"/>
      <c r="H2128" s="2"/>
      <c r="I2128" s="3"/>
      <c r="J2128" s="6"/>
    </row>
    <row r="2129" spans="7:10" x14ac:dyDescent="0.35">
      <c r="G2129" s="2"/>
      <c r="H2129" s="2"/>
      <c r="I2129" s="3"/>
      <c r="J2129" s="6"/>
    </row>
    <row r="2130" spans="7:10" x14ac:dyDescent="0.35">
      <c r="G2130" s="2"/>
      <c r="H2130" s="2"/>
      <c r="I2130" s="3"/>
      <c r="J2130" s="6"/>
    </row>
    <row r="2131" spans="7:10" x14ac:dyDescent="0.35">
      <c r="G2131" s="2"/>
      <c r="H2131" s="2"/>
      <c r="I2131" s="3"/>
      <c r="J2131" s="6"/>
    </row>
    <row r="2132" spans="7:10" x14ac:dyDescent="0.35">
      <c r="G2132" s="2"/>
      <c r="H2132" s="2"/>
      <c r="I2132" s="3"/>
      <c r="J2132" s="6"/>
    </row>
    <row r="2133" spans="7:10" x14ac:dyDescent="0.35">
      <c r="G2133" s="2"/>
      <c r="H2133" s="2"/>
      <c r="I2133" s="3"/>
      <c r="J2133" s="6"/>
    </row>
    <row r="2134" spans="7:10" x14ac:dyDescent="0.35">
      <c r="G2134" s="2"/>
      <c r="H2134" s="2"/>
      <c r="I2134" s="3"/>
      <c r="J2134" s="6"/>
    </row>
    <row r="2135" spans="7:10" x14ac:dyDescent="0.35">
      <c r="G2135" s="2"/>
      <c r="H2135" s="2"/>
      <c r="I2135" s="3"/>
      <c r="J2135" s="6"/>
    </row>
    <row r="2136" spans="7:10" x14ac:dyDescent="0.35">
      <c r="G2136" s="2"/>
      <c r="H2136" s="2"/>
      <c r="I2136" s="3"/>
      <c r="J2136" s="6"/>
    </row>
    <row r="2137" spans="7:10" x14ac:dyDescent="0.35">
      <c r="G2137" s="2"/>
      <c r="H2137" s="2"/>
      <c r="I2137" s="3"/>
      <c r="J2137" s="6"/>
    </row>
    <row r="2138" spans="7:10" x14ac:dyDescent="0.35">
      <c r="G2138" s="2"/>
      <c r="H2138" s="2"/>
      <c r="I2138" s="3"/>
      <c r="J2138" s="6"/>
    </row>
    <row r="2139" spans="7:10" x14ac:dyDescent="0.35">
      <c r="G2139" s="2"/>
      <c r="H2139" s="2"/>
      <c r="I2139" s="3"/>
      <c r="J2139" s="6"/>
    </row>
    <row r="2140" spans="7:10" x14ac:dyDescent="0.35">
      <c r="G2140" s="2"/>
      <c r="H2140" s="2"/>
      <c r="I2140" s="3"/>
      <c r="J2140" s="6"/>
    </row>
    <row r="2141" spans="7:10" x14ac:dyDescent="0.35">
      <c r="G2141" s="2"/>
      <c r="H2141" s="2"/>
      <c r="I2141" s="3"/>
      <c r="J2141" s="6"/>
    </row>
    <row r="2142" spans="7:10" x14ac:dyDescent="0.35">
      <c r="G2142" s="2"/>
      <c r="H2142" s="2"/>
      <c r="I2142" s="3"/>
      <c r="J2142" s="6"/>
    </row>
    <row r="2143" spans="7:10" x14ac:dyDescent="0.35">
      <c r="G2143" s="2"/>
      <c r="H2143" s="2"/>
      <c r="I2143" s="3"/>
      <c r="J2143" s="6"/>
    </row>
    <row r="2144" spans="7:10" x14ac:dyDescent="0.35">
      <c r="G2144" s="2"/>
      <c r="H2144" s="2"/>
      <c r="I2144" s="3"/>
      <c r="J2144" s="6"/>
    </row>
    <row r="2145" spans="7:10" x14ac:dyDescent="0.35">
      <c r="G2145" s="2"/>
      <c r="H2145" s="2"/>
      <c r="I2145" s="3"/>
      <c r="J2145" s="6"/>
    </row>
    <row r="2146" spans="7:10" x14ac:dyDescent="0.35">
      <c r="G2146" s="2"/>
      <c r="H2146" s="2"/>
      <c r="I2146" s="3"/>
      <c r="J2146" s="6"/>
    </row>
    <row r="2147" spans="7:10" x14ac:dyDescent="0.35">
      <c r="G2147" s="2"/>
      <c r="H2147" s="2"/>
      <c r="I2147" s="3"/>
      <c r="J2147" s="6"/>
    </row>
    <row r="2148" spans="7:10" x14ac:dyDescent="0.35">
      <c r="G2148" s="2"/>
      <c r="H2148" s="2"/>
      <c r="I2148" s="3"/>
      <c r="J2148" s="6"/>
    </row>
    <row r="2149" spans="7:10" x14ac:dyDescent="0.35">
      <c r="G2149" s="2"/>
      <c r="H2149" s="2"/>
      <c r="I2149" s="3"/>
      <c r="J2149" s="6"/>
    </row>
    <row r="2150" spans="7:10" x14ac:dyDescent="0.35">
      <c r="G2150" s="2"/>
      <c r="H2150" s="2"/>
      <c r="I2150" s="3"/>
      <c r="J2150" s="6"/>
    </row>
    <row r="2151" spans="7:10" x14ac:dyDescent="0.35">
      <c r="G2151" s="2"/>
      <c r="H2151" s="2"/>
      <c r="I2151" s="3"/>
      <c r="J2151" s="6"/>
    </row>
    <row r="2152" spans="7:10" x14ac:dyDescent="0.35">
      <c r="G2152" s="2"/>
      <c r="H2152" s="2"/>
      <c r="I2152" s="3"/>
      <c r="J2152" s="6"/>
    </row>
    <row r="2153" spans="7:10" x14ac:dyDescent="0.35">
      <c r="G2153" s="2"/>
      <c r="H2153" s="2"/>
      <c r="I2153" s="3"/>
      <c r="J2153" s="6"/>
    </row>
    <row r="2154" spans="7:10" x14ac:dyDescent="0.35">
      <c r="G2154" s="2"/>
      <c r="H2154" s="2"/>
      <c r="I2154" s="3"/>
      <c r="J2154" s="6"/>
    </row>
    <row r="2155" spans="7:10" x14ac:dyDescent="0.35">
      <c r="G2155" s="2"/>
      <c r="H2155" s="2"/>
      <c r="I2155" s="3"/>
      <c r="J2155" s="6"/>
    </row>
    <row r="2156" spans="7:10" x14ac:dyDescent="0.35">
      <c r="G2156" s="2"/>
      <c r="H2156" s="2"/>
      <c r="I2156" s="3"/>
      <c r="J2156" s="6"/>
    </row>
    <row r="2157" spans="7:10" x14ac:dyDescent="0.35">
      <c r="G2157" s="2"/>
      <c r="H2157" s="2"/>
      <c r="I2157" s="3"/>
      <c r="J2157" s="6"/>
    </row>
    <row r="2158" spans="7:10" x14ac:dyDescent="0.35">
      <c r="G2158" s="2"/>
      <c r="H2158" s="2"/>
      <c r="I2158" s="3"/>
      <c r="J2158" s="6"/>
    </row>
    <row r="2159" spans="7:10" x14ac:dyDescent="0.35">
      <c r="G2159" s="2"/>
      <c r="H2159" s="2"/>
      <c r="I2159" s="3"/>
      <c r="J2159" s="6"/>
    </row>
    <row r="2160" spans="7:10" x14ac:dyDescent="0.35">
      <c r="G2160" s="2"/>
      <c r="H2160" s="2"/>
      <c r="I2160" s="3"/>
      <c r="J2160" s="6"/>
    </row>
    <row r="2161" spans="7:10" x14ac:dyDescent="0.35">
      <c r="G2161" s="2"/>
      <c r="H2161" s="2"/>
      <c r="I2161" s="3"/>
      <c r="J2161" s="6"/>
    </row>
    <row r="2162" spans="7:10" x14ac:dyDescent="0.35">
      <c r="G2162" s="2"/>
      <c r="H2162" s="2"/>
      <c r="I2162" s="3"/>
      <c r="J2162" s="6"/>
    </row>
    <row r="2163" spans="7:10" x14ac:dyDescent="0.35">
      <c r="G2163" s="2"/>
      <c r="H2163" s="2"/>
      <c r="I2163" s="3"/>
      <c r="J2163" s="6"/>
    </row>
    <row r="2164" spans="7:10" x14ac:dyDescent="0.35">
      <c r="G2164" s="2"/>
      <c r="H2164" s="2"/>
      <c r="I2164" s="3"/>
      <c r="J2164" s="6"/>
    </row>
    <row r="2165" spans="7:10" x14ac:dyDescent="0.35">
      <c r="G2165" s="2"/>
      <c r="H2165" s="2"/>
      <c r="I2165" s="3"/>
      <c r="J2165" s="6"/>
    </row>
    <row r="2166" spans="7:10" x14ac:dyDescent="0.35">
      <c r="G2166" s="2"/>
      <c r="H2166" s="2"/>
      <c r="I2166" s="3"/>
      <c r="J2166" s="6"/>
    </row>
    <row r="2167" spans="7:10" x14ac:dyDescent="0.35">
      <c r="G2167" s="2"/>
      <c r="H2167" s="2"/>
      <c r="I2167" s="3"/>
      <c r="J2167" s="6"/>
    </row>
    <row r="2168" spans="7:10" x14ac:dyDescent="0.35">
      <c r="G2168" s="2"/>
      <c r="H2168" s="2"/>
      <c r="I2168" s="3"/>
      <c r="J2168" s="6"/>
    </row>
    <row r="2169" spans="7:10" x14ac:dyDescent="0.35">
      <c r="G2169" s="2"/>
      <c r="H2169" s="2"/>
      <c r="I2169" s="3"/>
      <c r="J2169" s="6"/>
    </row>
    <row r="2170" spans="7:10" x14ac:dyDescent="0.35">
      <c r="G2170" s="2"/>
      <c r="H2170" s="2"/>
      <c r="I2170" s="3"/>
      <c r="J2170" s="6"/>
    </row>
    <row r="2171" spans="7:10" x14ac:dyDescent="0.35">
      <c r="G2171" s="2"/>
      <c r="H2171" s="2"/>
      <c r="I2171" s="3"/>
      <c r="J2171" s="6"/>
    </row>
    <row r="2172" spans="7:10" x14ac:dyDescent="0.35">
      <c r="G2172" s="2"/>
      <c r="H2172" s="2"/>
      <c r="I2172" s="3"/>
      <c r="J2172" s="6"/>
    </row>
    <row r="2173" spans="7:10" x14ac:dyDescent="0.35">
      <c r="G2173" s="2"/>
      <c r="H2173" s="2"/>
      <c r="I2173" s="3"/>
      <c r="J2173" s="6"/>
    </row>
    <row r="2174" spans="7:10" x14ac:dyDescent="0.35">
      <c r="G2174" s="2"/>
      <c r="H2174" s="2"/>
      <c r="I2174" s="3"/>
      <c r="J2174" s="6"/>
    </row>
    <row r="2175" spans="7:10" x14ac:dyDescent="0.35">
      <c r="G2175" s="2"/>
      <c r="H2175" s="2"/>
      <c r="I2175" s="3"/>
      <c r="J2175" s="6"/>
    </row>
    <row r="2176" spans="7:10" x14ac:dyDescent="0.35">
      <c r="G2176" s="2"/>
      <c r="H2176" s="2"/>
      <c r="I2176" s="3"/>
      <c r="J2176" s="6"/>
    </row>
    <row r="2177" spans="7:10" x14ac:dyDescent="0.35">
      <c r="G2177" s="2"/>
      <c r="H2177" s="2"/>
      <c r="I2177" s="3"/>
      <c r="J2177" s="6"/>
    </row>
    <row r="2178" spans="7:10" x14ac:dyDescent="0.35">
      <c r="G2178" s="2"/>
      <c r="H2178" s="2"/>
      <c r="I2178" s="3"/>
      <c r="J2178" s="6"/>
    </row>
    <row r="2179" spans="7:10" x14ac:dyDescent="0.35">
      <c r="G2179" s="2"/>
      <c r="H2179" s="2"/>
      <c r="I2179" s="3"/>
      <c r="J2179" s="6"/>
    </row>
    <row r="2180" spans="7:10" x14ac:dyDescent="0.35">
      <c r="G2180" s="2"/>
      <c r="H2180" s="2"/>
      <c r="I2180" s="3"/>
      <c r="J2180" s="6"/>
    </row>
    <row r="2181" spans="7:10" x14ac:dyDescent="0.35">
      <c r="G2181" s="2"/>
      <c r="H2181" s="2"/>
      <c r="I2181" s="3"/>
      <c r="J2181" s="6"/>
    </row>
    <row r="2182" spans="7:10" x14ac:dyDescent="0.35">
      <c r="G2182" s="2"/>
      <c r="H2182" s="2"/>
      <c r="I2182" s="3"/>
      <c r="J2182" s="6"/>
    </row>
    <row r="2183" spans="7:10" x14ac:dyDescent="0.35">
      <c r="G2183" s="2"/>
      <c r="H2183" s="2"/>
      <c r="I2183" s="3"/>
      <c r="J2183" s="6"/>
    </row>
    <row r="2184" spans="7:10" x14ac:dyDescent="0.35">
      <c r="G2184" s="2"/>
      <c r="H2184" s="2"/>
      <c r="I2184" s="3"/>
      <c r="J2184" s="6"/>
    </row>
    <row r="2185" spans="7:10" x14ac:dyDescent="0.35">
      <c r="G2185" s="2"/>
      <c r="H2185" s="2"/>
      <c r="I2185" s="3"/>
      <c r="J2185" s="6"/>
    </row>
    <row r="2186" spans="7:10" x14ac:dyDescent="0.35">
      <c r="G2186" s="2"/>
      <c r="H2186" s="2"/>
      <c r="I2186" s="3"/>
      <c r="J2186" s="6"/>
    </row>
    <row r="2187" spans="7:10" x14ac:dyDescent="0.35">
      <c r="G2187" s="2"/>
      <c r="H2187" s="2"/>
      <c r="I2187" s="3"/>
      <c r="J2187" s="6"/>
    </row>
    <row r="2188" spans="7:10" x14ac:dyDescent="0.35">
      <c r="G2188" s="2"/>
      <c r="H2188" s="2"/>
      <c r="I2188" s="3"/>
      <c r="J2188" s="6"/>
    </row>
    <row r="2189" spans="7:10" x14ac:dyDescent="0.35">
      <c r="G2189" s="2"/>
      <c r="H2189" s="2"/>
      <c r="I2189" s="3"/>
      <c r="J2189" s="6"/>
    </row>
    <row r="2190" spans="7:10" x14ac:dyDescent="0.35">
      <c r="G2190" s="2"/>
      <c r="H2190" s="2"/>
      <c r="I2190" s="3"/>
      <c r="J2190" s="6"/>
    </row>
    <row r="2191" spans="7:10" x14ac:dyDescent="0.35">
      <c r="G2191" s="2"/>
      <c r="H2191" s="2"/>
      <c r="I2191" s="3"/>
      <c r="J2191" s="6"/>
    </row>
    <row r="2192" spans="7:10" x14ac:dyDescent="0.35">
      <c r="G2192" s="2"/>
      <c r="H2192" s="2"/>
      <c r="I2192" s="3"/>
      <c r="J2192" s="6"/>
    </row>
    <row r="2193" spans="7:10" x14ac:dyDescent="0.35">
      <c r="G2193" s="2"/>
      <c r="H2193" s="2"/>
      <c r="I2193" s="3"/>
      <c r="J2193" s="6"/>
    </row>
    <row r="2194" spans="7:10" x14ac:dyDescent="0.35">
      <c r="G2194" s="2"/>
      <c r="H2194" s="2"/>
      <c r="I2194" s="3"/>
      <c r="J2194" s="6"/>
    </row>
    <row r="2195" spans="7:10" x14ac:dyDescent="0.35">
      <c r="G2195" s="2"/>
      <c r="H2195" s="2"/>
      <c r="I2195" s="3"/>
      <c r="J2195" s="6"/>
    </row>
    <row r="2196" spans="7:10" x14ac:dyDescent="0.35">
      <c r="G2196" s="2"/>
      <c r="H2196" s="2"/>
      <c r="I2196" s="3"/>
      <c r="J2196" s="6"/>
    </row>
    <row r="2197" spans="7:10" x14ac:dyDescent="0.35">
      <c r="G2197" s="2"/>
      <c r="H2197" s="2"/>
      <c r="I2197" s="3"/>
      <c r="J2197" s="6"/>
    </row>
    <row r="2198" spans="7:10" x14ac:dyDescent="0.35">
      <c r="G2198" s="2"/>
      <c r="H2198" s="2"/>
      <c r="I2198" s="3"/>
      <c r="J2198" s="6"/>
    </row>
    <row r="2199" spans="7:10" x14ac:dyDescent="0.35">
      <c r="G2199" s="2"/>
      <c r="H2199" s="2"/>
      <c r="I2199" s="3"/>
      <c r="J2199" s="6"/>
    </row>
    <row r="2200" spans="7:10" x14ac:dyDescent="0.35">
      <c r="G2200" s="2"/>
      <c r="H2200" s="2"/>
      <c r="I2200" s="3"/>
      <c r="J2200" s="6"/>
    </row>
    <row r="2201" spans="7:10" x14ac:dyDescent="0.35">
      <c r="G2201" s="2"/>
      <c r="H2201" s="2"/>
      <c r="I2201" s="3"/>
      <c r="J2201" s="6"/>
    </row>
    <row r="2202" spans="7:10" x14ac:dyDescent="0.35">
      <c r="G2202" s="2"/>
      <c r="H2202" s="2"/>
      <c r="I2202" s="3"/>
      <c r="J2202" s="6"/>
    </row>
    <row r="2203" spans="7:10" x14ac:dyDescent="0.35">
      <c r="G2203" s="2"/>
      <c r="H2203" s="2"/>
      <c r="I2203" s="3"/>
      <c r="J2203" s="6"/>
    </row>
    <row r="2204" spans="7:10" x14ac:dyDescent="0.35">
      <c r="G2204" s="2"/>
      <c r="H2204" s="2"/>
      <c r="I2204" s="3"/>
      <c r="J2204" s="6"/>
    </row>
    <row r="2205" spans="7:10" x14ac:dyDescent="0.35">
      <c r="G2205" s="2"/>
      <c r="H2205" s="2"/>
      <c r="I2205" s="3"/>
      <c r="J2205" s="6"/>
    </row>
    <row r="2206" spans="7:10" x14ac:dyDescent="0.35">
      <c r="G2206" s="2"/>
      <c r="H2206" s="2"/>
      <c r="I2206" s="3"/>
      <c r="J2206" s="6"/>
    </row>
    <row r="2207" spans="7:10" x14ac:dyDescent="0.35">
      <c r="G2207" s="2"/>
      <c r="H2207" s="2"/>
      <c r="I2207" s="3"/>
      <c r="J2207" s="6"/>
    </row>
    <row r="2208" spans="7:10" x14ac:dyDescent="0.35">
      <c r="G2208" s="2"/>
      <c r="H2208" s="2"/>
      <c r="I2208" s="3"/>
      <c r="J2208" s="6"/>
    </row>
    <row r="2209" spans="7:10" x14ac:dyDescent="0.35">
      <c r="G2209" s="2"/>
      <c r="H2209" s="2"/>
      <c r="I2209" s="3"/>
      <c r="J2209" s="6"/>
    </row>
    <row r="2210" spans="7:10" x14ac:dyDescent="0.35">
      <c r="G2210" s="2"/>
      <c r="H2210" s="2"/>
      <c r="I2210" s="3"/>
      <c r="J2210" s="6"/>
    </row>
    <row r="2211" spans="7:10" x14ac:dyDescent="0.35">
      <c r="G2211" s="2"/>
      <c r="H2211" s="2"/>
      <c r="I2211" s="3"/>
      <c r="J2211" s="6"/>
    </row>
    <row r="2212" spans="7:10" x14ac:dyDescent="0.35">
      <c r="G2212" s="2"/>
      <c r="H2212" s="2"/>
      <c r="I2212" s="3"/>
      <c r="J2212" s="6"/>
    </row>
    <row r="2213" spans="7:10" x14ac:dyDescent="0.35">
      <c r="G2213" s="2"/>
      <c r="H2213" s="2"/>
      <c r="I2213" s="3"/>
      <c r="J2213" s="6"/>
    </row>
    <row r="2214" spans="7:10" x14ac:dyDescent="0.35">
      <c r="G2214" s="2"/>
      <c r="H2214" s="2"/>
      <c r="I2214" s="3"/>
      <c r="J2214" s="6"/>
    </row>
    <row r="2215" spans="7:10" x14ac:dyDescent="0.35">
      <c r="G2215" s="2"/>
      <c r="H2215" s="2"/>
      <c r="I2215" s="3"/>
      <c r="J2215" s="6"/>
    </row>
    <row r="2216" spans="7:10" x14ac:dyDescent="0.35">
      <c r="G2216" s="2"/>
      <c r="H2216" s="2"/>
      <c r="I2216" s="3"/>
      <c r="J2216" s="6"/>
    </row>
    <row r="2217" spans="7:10" x14ac:dyDescent="0.35">
      <c r="G2217" s="2"/>
      <c r="H2217" s="2"/>
      <c r="I2217" s="3"/>
      <c r="J2217" s="6"/>
    </row>
    <row r="2218" spans="7:10" x14ac:dyDescent="0.35">
      <c r="G2218" s="2"/>
      <c r="H2218" s="2"/>
      <c r="I2218" s="3"/>
      <c r="J2218" s="6"/>
    </row>
    <row r="2219" spans="7:10" x14ac:dyDescent="0.35">
      <c r="G2219" s="2"/>
      <c r="H2219" s="2"/>
      <c r="I2219" s="3"/>
      <c r="J2219" s="6"/>
    </row>
    <row r="2220" spans="7:10" x14ac:dyDescent="0.35">
      <c r="G2220" s="2"/>
      <c r="H2220" s="2"/>
      <c r="I2220" s="3"/>
      <c r="J2220" s="6"/>
    </row>
    <row r="2221" spans="7:10" x14ac:dyDescent="0.35">
      <c r="G2221" s="2"/>
      <c r="H2221" s="2"/>
      <c r="I2221" s="3"/>
      <c r="J2221" s="6"/>
    </row>
    <row r="2222" spans="7:10" x14ac:dyDescent="0.35">
      <c r="G2222" s="2"/>
      <c r="H2222" s="2"/>
      <c r="I2222" s="3"/>
      <c r="J2222" s="6"/>
    </row>
    <row r="2223" spans="7:10" x14ac:dyDescent="0.35">
      <c r="G2223" s="2"/>
      <c r="H2223" s="2"/>
      <c r="I2223" s="3"/>
      <c r="J2223" s="6"/>
    </row>
    <row r="2224" spans="7:10" x14ac:dyDescent="0.35">
      <c r="G2224" s="2"/>
      <c r="H2224" s="2"/>
      <c r="I2224" s="3"/>
      <c r="J2224" s="6"/>
    </row>
    <row r="2225" spans="7:10" x14ac:dyDescent="0.35">
      <c r="G2225" s="2"/>
      <c r="H2225" s="2"/>
      <c r="I2225" s="3"/>
      <c r="J2225" s="6"/>
    </row>
    <row r="2226" spans="7:10" x14ac:dyDescent="0.35">
      <c r="G2226" s="2"/>
      <c r="H2226" s="2"/>
      <c r="I2226" s="3"/>
      <c r="J2226" s="6"/>
    </row>
    <row r="2227" spans="7:10" x14ac:dyDescent="0.35">
      <c r="G2227" s="2"/>
      <c r="H2227" s="2"/>
      <c r="I2227" s="3"/>
      <c r="J2227" s="6"/>
    </row>
    <row r="2228" spans="7:10" x14ac:dyDescent="0.35">
      <c r="G2228" s="2"/>
      <c r="H2228" s="2"/>
      <c r="I2228" s="3"/>
      <c r="J2228" s="6"/>
    </row>
    <row r="2229" spans="7:10" x14ac:dyDescent="0.35">
      <c r="G2229" s="2"/>
      <c r="H2229" s="2"/>
      <c r="I2229" s="3"/>
      <c r="J2229" s="6"/>
    </row>
    <row r="2230" spans="7:10" x14ac:dyDescent="0.35">
      <c r="G2230" s="2"/>
      <c r="H2230" s="2"/>
      <c r="I2230" s="3"/>
      <c r="J2230" s="6"/>
    </row>
    <row r="2231" spans="7:10" x14ac:dyDescent="0.35">
      <c r="G2231" s="2"/>
      <c r="H2231" s="2"/>
      <c r="I2231" s="3"/>
      <c r="J2231" s="6"/>
    </row>
    <row r="2232" spans="7:10" x14ac:dyDescent="0.35">
      <c r="G2232" s="2"/>
      <c r="H2232" s="2"/>
      <c r="I2232" s="3"/>
      <c r="J2232" s="6"/>
    </row>
    <row r="2233" spans="7:10" x14ac:dyDescent="0.35">
      <c r="G2233" s="2"/>
      <c r="H2233" s="2"/>
      <c r="I2233" s="3"/>
      <c r="J2233" s="6"/>
    </row>
    <row r="2234" spans="7:10" x14ac:dyDescent="0.35">
      <c r="G2234" s="2"/>
      <c r="H2234" s="2"/>
      <c r="I2234" s="3"/>
      <c r="J2234" s="6"/>
    </row>
    <row r="2235" spans="7:10" x14ac:dyDescent="0.35">
      <c r="G2235" s="2"/>
      <c r="H2235" s="2"/>
      <c r="I2235" s="3"/>
      <c r="J2235" s="6"/>
    </row>
    <row r="2236" spans="7:10" x14ac:dyDescent="0.35">
      <c r="G2236" s="2"/>
      <c r="H2236" s="2"/>
      <c r="I2236" s="3"/>
      <c r="J2236" s="6"/>
    </row>
    <row r="2237" spans="7:10" x14ac:dyDescent="0.35">
      <c r="G2237" s="2"/>
      <c r="H2237" s="2"/>
      <c r="I2237" s="3"/>
      <c r="J2237" s="6"/>
    </row>
    <row r="2238" spans="7:10" x14ac:dyDescent="0.35">
      <c r="G2238" s="2"/>
      <c r="H2238" s="2"/>
      <c r="I2238" s="3"/>
      <c r="J2238" s="6"/>
    </row>
    <row r="2239" spans="7:10" x14ac:dyDescent="0.35">
      <c r="G2239" s="2"/>
      <c r="H2239" s="2"/>
      <c r="I2239" s="3"/>
      <c r="J2239" s="6"/>
    </row>
    <row r="2240" spans="7:10" x14ac:dyDescent="0.35">
      <c r="G2240" s="2"/>
      <c r="H2240" s="2"/>
      <c r="I2240" s="3"/>
      <c r="J2240" s="6"/>
    </row>
    <row r="2241" spans="7:10" x14ac:dyDescent="0.35">
      <c r="G2241" s="2"/>
      <c r="H2241" s="2"/>
      <c r="I2241" s="3"/>
      <c r="J2241" s="6"/>
    </row>
    <row r="2242" spans="7:10" x14ac:dyDescent="0.35">
      <c r="G2242" s="2"/>
      <c r="H2242" s="2"/>
      <c r="I2242" s="3"/>
      <c r="J2242" s="6"/>
    </row>
    <row r="2243" spans="7:10" x14ac:dyDescent="0.35">
      <c r="G2243" s="2"/>
      <c r="H2243" s="2"/>
      <c r="I2243" s="3"/>
      <c r="J2243" s="6"/>
    </row>
    <row r="2244" spans="7:10" x14ac:dyDescent="0.35">
      <c r="G2244" s="2"/>
      <c r="H2244" s="2"/>
      <c r="I2244" s="3"/>
      <c r="J2244" s="6"/>
    </row>
    <row r="2245" spans="7:10" x14ac:dyDescent="0.35">
      <c r="G2245" s="2"/>
      <c r="H2245" s="2"/>
      <c r="I2245" s="3"/>
      <c r="J2245" s="6"/>
    </row>
    <row r="2246" spans="7:10" x14ac:dyDescent="0.35">
      <c r="G2246" s="2"/>
      <c r="H2246" s="2"/>
      <c r="I2246" s="3"/>
      <c r="J2246" s="6"/>
    </row>
    <row r="2247" spans="7:10" x14ac:dyDescent="0.35">
      <c r="G2247" s="2"/>
      <c r="H2247" s="2"/>
      <c r="I2247" s="3"/>
      <c r="J2247" s="6"/>
    </row>
    <row r="2248" spans="7:10" x14ac:dyDescent="0.35">
      <c r="G2248" s="2"/>
      <c r="H2248" s="2"/>
      <c r="I2248" s="3"/>
      <c r="J2248" s="6"/>
    </row>
    <row r="2249" spans="7:10" x14ac:dyDescent="0.35">
      <c r="G2249" s="2"/>
      <c r="H2249" s="2"/>
      <c r="I2249" s="3"/>
      <c r="J2249" s="6"/>
    </row>
    <row r="2250" spans="7:10" x14ac:dyDescent="0.35">
      <c r="G2250" s="2"/>
      <c r="H2250" s="2"/>
      <c r="I2250" s="3"/>
      <c r="J2250" s="6"/>
    </row>
    <row r="2251" spans="7:10" x14ac:dyDescent="0.35">
      <c r="G2251" s="2"/>
      <c r="H2251" s="2"/>
      <c r="I2251" s="3"/>
      <c r="J2251" s="6"/>
    </row>
    <row r="2252" spans="7:10" x14ac:dyDescent="0.35">
      <c r="G2252" s="2"/>
      <c r="H2252" s="2"/>
      <c r="I2252" s="3"/>
      <c r="J2252" s="6"/>
    </row>
    <row r="2253" spans="7:10" x14ac:dyDescent="0.35">
      <c r="G2253" s="2"/>
      <c r="H2253" s="2"/>
      <c r="I2253" s="3"/>
      <c r="J2253" s="6"/>
    </row>
    <row r="2254" spans="7:10" x14ac:dyDescent="0.35">
      <c r="G2254" s="2"/>
      <c r="H2254" s="2"/>
      <c r="I2254" s="3"/>
      <c r="J2254" s="6"/>
    </row>
    <row r="2255" spans="7:10" x14ac:dyDescent="0.35">
      <c r="G2255" s="2"/>
      <c r="H2255" s="2"/>
      <c r="I2255" s="3"/>
      <c r="J2255" s="6"/>
    </row>
    <row r="2256" spans="7:10" x14ac:dyDescent="0.35">
      <c r="G2256" s="2"/>
      <c r="H2256" s="2"/>
      <c r="I2256" s="3"/>
      <c r="J2256" s="6"/>
    </row>
    <row r="2257" spans="7:10" x14ac:dyDescent="0.35">
      <c r="G2257" s="2"/>
      <c r="H2257" s="2"/>
      <c r="I2257" s="3"/>
      <c r="J2257" s="6"/>
    </row>
    <row r="2258" spans="7:10" x14ac:dyDescent="0.35">
      <c r="G2258" s="2"/>
      <c r="H2258" s="2"/>
      <c r="I2258" s="3"/>
      <c r="J2258" s="6"/>
    </row>
    <row r="2259" spans="7:10" x14ac:dyDescent="0.35">
      <c r="G2259" s="2"/>
      <c r="H2259" s="2"/>
      <c r="I2259" s="3"/>
      <c r="J2259" s="6"/>
    </row>
    <row r="2260" spans="7:10" x14ac:dyDescent="0.35">
      <c r="G2260" s="2"/>
      <c r="H2260" s="2"/>
      <c r="I2260" s="3"/>
      <c r="J2260" s="6"/>
    </row>
    <row r="2261" spans="7:10" x14ac:dyDescent="0.35">
      <c r="G2261" s="2"/>
      <c r="H2261" s="2"/>
      <c r="I2261" s="3"/>
      <c r="J2261" s="6"/>
    </row>
    <row r="2262" spans="7:10" x14ac:dyDescent="0.35">
      <c r="G2262" s="2"/>
      <c r="H2262" s="2"/>
      <c r="I2262" s="3"/>
      <c r="J2262" s="6"/>
    </row>
    <row r="2263" spans="7:10" x14ac:dyDescent="0.35">
      <c r="G2263" s="2"/>
      <c r="H2263" s="2"/>
      <c r="I2263" s="3"/>
      <c r="J2263" s="6"/>
    </row>
    <row r="2264" spans="7:10" x14ac:dyDescent="0.35">
      <c r="G2264" s="2"/>
      <c r="H2264" s="2"/>
      <c r="I2264" s="3"/>
      <c r="J2264" s="6"/>
    </row>
    <row r="2265" spans="7:10" x14ac:dyDescent="0.35">
      <c r="G2265" s="2"/>
      <c r="H2265" s="2"/>
      <c r="I2265" s="3"/>
      <c r="J2265" s="6"/>
    </row>
    <row r="2266" spans="7:10" x14ac:dyDescent="0.35">
      <c r="G2266" s="2"/>
      <c r="H2266" s="2"/>
      <c r="I2266" s="3"/>
      <c r="J2266" s="6"/>
    </row>
    <row r="2267" spans="7:10" x14ac:dyDescent="0.35">
      <c r="G2267" s="2"/>
      <c r="H2267" s="2"/>
      <c r="I2267" s="3"/>
      <c r="J2267" s="6"/>
    </row>
    <row r="2268" spans="7:10" x14ac:dyDescent="0.35">
      <c r="G2268" s="2"/>
      <c r="H2268" s="2"/>
      <c r="I2268" s="3"/>
      <c r="J2268" s="6"/>
    </row>
    <row r="2269" spans="7:10" x14ac:dyDescent="0.35">
      <c r="G2269" s="2"/>
      <c r="H2269" s="2"/>
      <c r="I2269" s="3"/>
      <c r="J2269" s="6"/>
    </row>
    <row r="2270" spans="7:10" x14ac:dyDescent="0.35">
      <c r="G2270" s="2"/>
      <c r="H2270" s="2"/>
      <c r="I2270" s="3"/>
      <c r="J2270" s="6"/>
    </row>
    <row r="2271" spans="7:10" x14ac:dyDescent="0.35">
      <c r="G2271" s="2"/>
      <c r="H2271" s="2"/>
      <c r="I2271" s="3"/>
      <c r="J2271" s="6"/>
    </row>
    <row r="2272" spans="7:10" x14ac:dyDescent="0.35">
      <c r="G2272" s="2"/>
      <c r="H2272" s="2"/>
      <c r="I2272" s="3"/>
      <c r="J2272" s="6"/>
    </row>
    <row r="2273" spans="7:10" x14ac:dyDescent="0.35">
      <c r="G2273" s="2"/>
      <c r="H2273" s="2"/>
      <c r="I2273" s="3"/>
      <c r="J2273" s="6"/>
    </row>
    <row r="2274" spans="7:10" x14ac:dyDescent="0.35">
      <c r="G2274" s="2"/>
      <c r="H2274" s="2"/>
      <c r="I2274" s="3"/>
      <c r="J2274" s="6"/>
    </row>
    <row r="2275" spans="7:10" x14ac:dyDescent="0.35">
      <c r="G2275" s="2"/>
      <c r="H2275" s="2"/>
      <c r="I2275" s="3"/>
      <c r="J2275" s="6"/>
    </row>
    <row r="2276" spans="7:10" x14ac:dyDescent="0.35">
      <c r="G2276" s="2"/>
      <c r="H2276" s="2"/>
      <c r="I2276" s="3"/>
      <c r="J2276" s="6"/>
    </row>
    <row r="2277" spans="7:10" x14ac:dyDescent="0.35">
      <c r="G2277" s="2"/>
      <c r="H2277" s="2"/>
      <c r="I2277" s="3"/>
      <c r="J2277" s="6"/>
    </row>
    <row r="2278" spans="7:10" x14ac:dyDescent="0.35">
      <c r="G2278" s="2"/>
      <c r="H2278" s="2"/>
      <c r="I2278" s="3"/>
      <c r="J2278" s="6"/>
    </row>
    <row r="2279" spans="7:10" x14ac:dyDescent="0.35">
      <c r="G2279" s="2"/>
      <c r="H2279" s="2"/>
      <c r="I2279" s="3"/>
      <c r="J2279" s="6"/>
    </row>
    <row r="2280" spans="7:10" x14ac:dyDescent="0.35">
      <c r="G2280" s="2"/>
      <c r="H2280" s="2"/>
      <c r="I2280" s="3"/>
      <c r="J2280" s="6"/>
    </row>
    <row r="2281" spans="7:10" x14ac:dyDescent="0.35">
      <c r="G2281" s="2"/>
      <c r="H2281" s="2"/>
      <c r="I2281" s="3"/>
      <c r="J2281" s="6"/>
    </row>
    <row r="2282" spans="7:10" x14ac:dyDescent="0.35">
      <c r="G2282" s="2"/>
      <c r="H2282" s="2"/>
      <c r="I2282" s="3"/>
      <c r="J2282" s="6"/>
    </row>
    <row r="2283" spans="7:10" x14ac:dyDescent="0.35">
      <c r="G2283" s="2"/>
      <c r="H2283" s="2"/>
      <c r="I2283" s="3"/>
      <c r="J2283" s="6"/>
    </row>
    <row r="2284" spans="7:10" x14ac:dyDescent="0.35">
      <c r="G2284" s="2"/>
      <c r="H2284" s="2"/>
      <c r="I2284" s="3"/>
      <c r="J2284" s="6"/>
    </row>
    <row r="2285" spans="7:10" x14ac:dyDescent="0.35">
      <c r="G2285" s="2"/>
      <c r="H2285" s="2"/>
      <c r="I2285" s="3"/>
      <c r="J2285" s="6"/>
    </row>
    <row r="2286" spans="7:10" x14ac:dyDescent="0.35">
      <c r="G2286" s="2"/>
      <c r="H2286" s="2"/>
      <c r="I2286" s="3"/>
      <c r="J2286" s="6"/>
    </row>
    <row r="2287" spans="7:10" x14ac:dyDescent="0.35">
      <c r="G2287" s="2"/>
      <c r="H2287" s="2"/>
      <c r="I2287" s="3"/>
      <c r="J2287" s="6"/>
    </row>
    <row r="2288" spans="7:10" x14ac:dyDescent="0.35">
      <c r="G2288" s="2"/>
      <c r="H2288" s="2"/>
      <c r="I2288" s="3"/>
      <c r="J2288" s="6"/>
    </row>
    <row r="2289" spans="7:10" x14ac:dyDescent="0.35">
      <c r="G2289" s="2"/>
      <c r="H2289" s="2"/>
      <c r="I2289" s="3"/>
      <c r="J2289" s="6"/>
    </row>
    <row r="2290" spans="7:10" x14ac:dyDescent="0.35">
      <c r="G2290" s="2"/>
      <c r="H2290" s="2"/>
      <c r="I2290" s="3"/>
      <c r="J2290" s="6"/>
    </row>
    <row r="2291" spans="7:10" x14ac:dyDescent="0.35">
      <c r="G2291" s="2"/>
      <c r="H2291" s="2"/>
      <c r="I2291" s="3"/>
      <c r="J2291" s="6"/>
    </row>
    <row r="2292" spans="7:10" x14ac:dyDescent="0.35">
      <c r="G2292" s="2"/>
      <c r="H2292" s="2"/>
      <c r="I2292" s="3"/>
      <c r="J2292" s="6"/>
    </row>
    <row r="2293" spans="7:10" x14ac:dyDescent="0.35">
      <c r="G2293" s="2"/>
      <c r="H2293" s="2"/>
      <c r="I2293" s="3"/>
      <c r="J2293" s="6"/>
    </row>
    <row r="2294" spans="7:10" x14ac:dyDescent="0.35">
      <c r="G2294" s="2"/>
      <c r="H2294" s="2"/>
      <c r="I2294" s="3"/>
      <c r="J2294" s="6"/>
    </row>
    <row r="2295" spans="7:10" x14ac:dyDescent="0.35">
      <c r="G2295" s="2"/>
      <c r="H2295" s="2"/>
      <c r="I2295" s="3"/>
      <c r="J2295" s="6"/>
    </row>
    <row r="2296" spans="7:10" x14ac:dyDescent="0.35">
      <c r="G2296" s="2"/>
      <c r="H2296" s="2"/>
      <c r="I2296" s="3"/>
      <c r="J2296" s="6"/>
    </row>
    <row r="2297" spans="7:10" x14ac:dyDescent="0.35">
      <c r="G2297" s="2"/>
      <c r="H2297" s="2"/>
      <c r="I2297" s="3"/>
      <c r="J2297" s="6"/>
    </row>
    <row r="2298" spans="7:10" x14ac:dyDescent="0.35">
      <c r="G2298" s="2"/>
      <c r="H2298" s="2"/>
      <c r="I2298" s="3"/>
      <c r="J2298" s="6"/>
    </row>
    <row r="2299" spans="7:10" x14ac:dyDescent="0.35">
      <c r="G2299" s="2"/>
      <c r="H2299" s="2"/>
      <c r="I2299" s="3"/>
      <c r="J2299" s="6"/>
    </row>
    <row r="2300" spans="7:10" x14ac:dyDescent="0.35">
      <c r="G2300" s="2"/>
      <c r="H2300" s="2"/>
      <c r="I2300" s="3"/>
      <c r="J2300" s="6"/>
    </row>
    <row r="2301" spans="7:10" x14ac:dyDescent="0.35">
      <c r="G2301" s="2"/>
      <c r="H2301" s="2"/>
      <c r="I2301" s="3"/>
      <c r="J2301" s="6"/>
    </row>
    <row r="2302" spans="7:10" x14ac:dyDescent="0.35">
      <c r="G2302" s="2"/>
      <c r="H2302" s="2"/>
      <c r="I2302" s="3"/>
      <c r="J2302" s="6"/>
    </row>
    <row r="2303" spans="7:10" x14ac:dyDescent="0.35">
      <c r="G2303" s="2"/>
      <c r="H2303" s="2"/>
      <c r="I2303" s="3"/>
      <c r="J2303" s="6"/>
    </row>
    <row r="2304" spans="7:10" x14ac:dyDescent="0.35">
      <c r="G2304" s="2"/>
      <c r="H2304" s="2"/>
      <c r="I2304" s="3"/>
      <c r="J2304" s="6"/>
    </row>
    <row r="2305" spans="7:10" x14ac:dyDescent="0.35">
      <c r="G2305" s="2"/>
      <c r="H2305" s="2"/>
      <c r="I2305" s="3"/>
      <c r="J2305" s="6"/>
    </row>
    <row r="2306" spans="7:10" x14ac:dyDescent="0.35">
      <c r="G2306" s="2"/>
      <c r="H2306" s="2"/>
      <c r="I2306" s="3"/>
      <c r="J2306" s="6"/>
    </row>
    <row r="2307" spans="7:10" x14ac:dyDescent="0.35">
      <c r="G2307" s="2"/>
      <c r="H2307" s="2"/>
      <c r="I2307" s="3"/>
      <c r="J2307" s="6"/>
    </row>
    <row r="2308" spans="7:10" x14ac:dyDescent="0.35">
      <c r="G2308" s="2"/>
      <c r="H2308" s="2"/>
      <c r="I2308" s="3"/>
      <c r="J2308" s="6"/>
    </row>
    <row r="2309" spans="7:10" x14ac:dyDescent="0.35">
      <c r="G2309" s="2"/>
      <c r="H2309" s="2"/>
      <c r="I2309" s="3"/>
      <c r="J2309" s="6"/>
    </row>
    <row r="2310" spans="7:10" x14ac:dyDescent="0.35">
      <c r="G2310" s="2"/>
      <c r="H2310" s="2"/>
      <c r="I2310" s="3"/>
      <c r="J2310" s="6"/>
    </row>
    <row r="2311" spans="7:10" x14ac:dyDescent="0.35">
      <c r="G2311" s="2"/>
      <c r="H2311" s="2"/>
      <c r="I2311" s="3"/>
      <c r="J2311" s="6"/>
    </row>
    <row r="2312" spans="7:10" x14ac:dyDescent="0.35">
      <c r="G2312" s="2"/>
      <c r="H2312" s="2"/>
      <c r="I2312" s="3"/>
      <c r="J2312" s="6"/>
    </row>
    <row r="2313" spans="7:10" x14ac:dyDescent="0.35">
      <c r="G2313" s="2"/>
      <c r="H2313" s="2"/>
      <c r="I2313" s="3"/>
      <c r="J2313" s="6"/>
    </row>
    <row r="2314" spans="7:10" x14ac:dyDescent="0.35">
      <c r="G2314" s="2"/>
      <c r="H2314" s="2"/>
      <c r="I2314" s="3"/>
      <c r="J2314" s="6"/>
    </row>
    <row r="2315" spans="7:10" x14ac:dyDescent="0.35">
      <c r="G2315" s="2"/>
      <c r="H2315" s="2"/>
      <c r="I2315" s="3"/>
      <c r="J2315" s="6"/>
    </row>
    <row r="2316" spans="7:10" x14ac:dyDescent="0.35">
      <c r="G2316" s="2"/>
      <c r="H2316" s="2"/>
      <c r="I2316" s="3"/>
      <c r="J2316" s="6"/>
    </row>
    <row r="2317" spans="7:10" x14ac:dyDescent="0.35">
      <c r="G2317" s="2"/>
      <c r="H2317" s="2"/>
      <c r="I2317" s="3"/>
      <c r="J2317" s="6"/>
    </row>
    <row r="2318" spans="7:10" x14ac:dyDescent="0.35">
      <c r="G2318" s="2"/>
      <c r="H2318" s="2"/>
      <c r="I2318" s="3"/>
      <c r="J2318" s="6"/>
    </row>
    <row r="2319" spans="7:10" x14ac:dyDescent="0.35">
      <c r="G2319" s="2"/>
      <c r="H2319" s="2"/>
      <c r="I2319" s="3"/>
      <c r="J2319" s="6"/>
    </row>
    <row r="2320" spans="7:10" x14ac:dyDescent="0.35">
      <c r="G2320" s="2"/>
      <c r="H2320" s="2"/>
      <c r="I2320" s="3"/>
      <c r="J2320" s="6"/>
    </row>
    <row r="2321" spans="7:10" x14ac:dyDescent="0.35">
      <c r="G2321" s="2"/>
      <c r="H2321" s="2"/>
      <c r="I2321" s="3"/>
      <c r="J2321" s="6"/>
    </row>
    <row r="2322" spans="7:10" x14ac:dyDescent="0.35">
      <c r="G2322" s="2"/>
      <c r="H2322" s="2"/>
      <c r="I2322" s="3"/>
      <c r="J2322" s="6"/>
    </row>
    <row r="2323" spans="7:10" x14ac:dyDescent="0.35">
      <c r="G2323" s="2"/>
      <c r="H2323" s="2"/>
      <c r="I2323" s="3"/>
      <c r="J2323" s="6"/>
    </row>
    <row r="2324" spans="7:10" x14ac:dyDescent="0.35">
      <c r="G2324" s="2"/>
      <c r="H2324" s="2"/>
      <c r="I2324" s="3"/>
      <c r="J2324" s="6"/>
    </row>
    <row r="2325" spans="7:10" x14ac:dyDescent="0.35">
      <c r="G2325" s="2"/>
      <c r="H2325" s="2"/>
      <c r="I2325" s="3"/>
      <c r="J2325" s="6"/>
    </row>
    <row r="2326" spans="7:10" x14ac:dyDescent="0.35">
      <c r="G2326" s="2"/>
      <c r="H2326" s="2"/>
      <c r="I2326" s="3"/>
      <c r="J2326" s="6"/>
    </row>
    <row r="2327" spans="7:10" x14ac:dyDescent="0.35">
      <c r="G2327" s="2"/>
      <c r="H2327" s="2"/>
      <c r="I2327" s="3"/>
      <c r="J2327" s="6"/>
    </row>
    <row r="2328" spans="7:10" x14ac:dyDescent="0.35">
      <c r="G2328" s="2"/>
      <c r="H2328" s="2"/>
      <c r="I2328" s="3"/>
      <c r="J2328" s="6"/>
    </row>
    <row r="2329" spans="7:10" x14ac:dyDescent="0.35">
      <c r="G2329" s="2"/>
      <c r="H2329" s="2"/>
      <c r="I2329" s="3"/>
      <c r="J2329" s="6"/>
    </row>
    <row r="2330" spans="7:10" x14ac:dyDescent="0.35">
      <c r="G2330" s="2"/>
      <c r="H2330" s="2"/>
      <c r="I2330" s="3"/>
      <c r="J2330" s="6"/>
    </row>
    <row r="2331" spans="7:10" x14ac:dyDescent="0.35">
      <c r="G2331" s="2"/>
      <c r="H2331" s="2"/>
      <c r="I2331" s="3"/>
      <c r="J2331" s="6"/>
    </row>
    <row r="2332" spans="7:10" x14ac:dyDescent="0.35">
      <c r="G2332" s="2"/>
      <c r="H2332" s="2"/>
      <c r="I2332" s="3"/>
      <c r="J2332" s="6"/>
    </row>
    <row r="2333" spans="7:10" x14ac:dyDescent="0.35">
      <c r="G2333" s="2"/>
      <c r="H2333" s="2"/>
      <c r="I2333" s="3"/>
      <c r="J2333" s="6"/>
    </row>
    <row r="2334" spans="7:10" x14ac:dyDescent="0.35">
      <c r="G2334" s="2"/>
      <c r="H2334" s="2"/>
      <c r="I2334" s="3"/>
      <c r="J2334" s="6"/>
    </row>
    <row r="2335" spans="7:10" x14ac:dyDescent="0.35">
      <c r="G2335" s="2"/>
      <c r="H2335" s="2"/>
      <c r="I2335" s="3"/>
      <c r="J2335" s="6"/>
    </row>
    <row r="2336" spans="7:10" x14ac:dyDescent="0.35">
      <c r="G2336" s="2"/>
      <c r="H2336" s="2"/>
      <c r="I2336" s="3"/>
      <c r="J2336" s="6"/>
    </row>
    <row r="2337" spans="7:10" x14ac:dyDescent="0.35">
      <c r="G2337" s="2"/>
      <c r="H2337" s="2"/>
      <c r="I2337" s="3"/>
      <c r="J2337" s="6"/>
    </row>
    <row r="2338" spans="7:10" x14ac:dyDescent="0.35">
      <c r="G2338" s="2"/>
      <c r="H2338" s="2"/>
      <c r="I2338" s="3"/>
      <c r="J2338" s="6"/>
    </row>
    <row r="2339" spans="7:10" x14ac:dyDescent="0.35">
      <c r="G2339" s="2"/>
      <c r="H2339" s="2"/>
      <c r="I2339" s="3"/>
      <c r="J2339" s="6"/>
    </row>
    <row r="2340" spans="7:10" x14ac:dyDescent="0.35">
      <c r="G2340" s="2"/>
      <c r="H2340" s="2"/>
      <c r="I2340" s="3"/>
      <c r="J2340" s="6"/>
    </row>
    <row r="2341" spans="7:10" x14ac:dyDescent="0.35">
      <c r="G2341" s="2"/>
      <c r="H2341" s="2"/>
      <c r="I2341" s="3"/>
      <c r="J2341" s="6"/>
    </row>
    <row r="2342" spans="7:10" x14ac:dyDescent="0.35">
      <c r="G2342" s="2"/>
      <c r="H2342" s="2"/>
      <c r="I2342" s="3"/>
      <c r="J2342" s="6"/>
    </row>
    <row r="2343" spans="7:10" x14ac:dyDescent="0.35">
      <c r="G2343" s="2"/>
      <c r="H2343" s="2"/>
      <c r="I2343" s="3"/>
      <c r="J2343" s="6"/>
    </row>
    <row r="2344" spans="7:10" x14ac:dyDescent="0.35">
      <c r="G2344" s="2"/>
      <c r="H2344" s="2"/>
      <c r="I2344" s="3"/>
      <c r="J2344" s="6"/>
    </row>
    <row r="2345" spans="7:10" x14ac:dyDescent="0.35">
      <c r="G2345" s="2"/>
      <c r="H2345" s="2"/>
      <c r="I2345" s="3"/>
      <c r="J2345" s="6"/>
    </row>
    <row r="2346" spans="7:10" x14ac:dyDescent="0.35">
      <c r="G2346" s="2"/>
      <c r="H2346" s="2"/>
      <c r="I2346" s="3"/>
      <c r="J2346" s="6"/>
    </row>
    <row r="2347" spans="7:10" x14ac:dyDescent="0.35">
      <c r="G2347" s="2"/>
      <c r="H2347" s="2"/>
      <c r="I2347" s="3"/>
      <c r="J2347" s="6"/>
    </row>
    <row r="2348" spans="7:10" x14ac:dyDescent="0.35">
      <c r="G2348" s="2"/>
      <c r="H2348" s="2"/>
      <c r="I2348" s="3"/>
      <c r="J2348" s="6"/>
    </row>
    <row r="2349" spans="7:10" x14ac:dyDescent="0.35">
      <c r="G2349" s="2"/>
      <c r="H2349" s="2"/>
      <c r="I2349" s="3"/>
      <c r="J2349" s="6"/>
    </row>
    <row r="2350" spans="7:10" x14ac:dyDescent="0.35">
      <c r="G2350" s="2"/>
      <c r="H2350" s="2"/>
      <c r="I2350" s="3"/>
      <c r="J2350" s="6"/>
    </row>
    <row r="2351" spans="7:10" x14ac:dyDescent="0.35">
      <c r="G2351" s="2"/>
      <c r="H2351" s="2"/>
      <c r="I2351" s="3"/>
      <c r="J2351" s="6"/>
    </row>
    <row r="2352" spans="7:10" x14ac:dyDescent="0.35">
      <c r="G2352" s="2"/>
      <c r="H2352" s="2"/>
      <c r="I2352" s="3"/>
      <c r="J2352" s="6"/>
    </row>
    <row r="2353" spans="7:10" x14ac:dyDescent="0.35">
      <c r="G2353" s="2"/>
      <c r="H2353" s="2"/>
      <c r="I2353" s="3"/>
      <c r="J2353" s="6"/>
    </row>
    <row r="2354" spans="7:10" x14ac:dyDescent="0.35">
      <c r="G2354" s="2"/>
      <c r="H2354" s="2"/>
      <c r="I2354" s="3"/>
      <c r="J2354" s="6"/>
    </row>
    <row r="2355" spans="7:10" x14ac:dyDescent="0.35">
      <c r="G2355" s="2"/>
      <c r="H2355" s="2"/>
      <c r="I2355" s="3"/>
      <c r="J2355" s="6"/>
    </row>
    <row r="2356" spans="7:10" x14ac:dyDescent="0.35">
      <c r="G2356" s="2"/>
      <c r="H2356" s="2"/>
      <c r="I2356" s="3"/>
      <c r="J2356" s="6"/>
    </row>
    <row r="2357" spans="7:10" x14ac:dyDescent="0.35">
      <c r="G2357" s="2"/>
      <c r="H2357" s="2"/>
      <c r="I2357" s="3"/>
      <c r="J2357" s="6"/>
    </row>
    <row r="2358" spans="7:10" x14ac:dyDescent="0.35">
      <c r="G2358" s="2"/>
      <c r="H2358" s="2"/>
      <c r="I2358" s="3"/>
      <c r="J2358" s="6"/>
    </row>
    <row r="2359" spans="7:10" x14ac:dyDescent="0.35">
      <c r="G2359" s="2"/>
      <c r="H2359" s="2"/>
      <c r="I2359" s="3"/>
      <c r="J2359" s="6"/>
    </row>
    <row r="2360" spans="7:10" x14ac:dyDescent="0.35">
      <c r="G2360" s="2"/>
      <c r="H2360" s="2"/>
      <c r="I2360" s="3"/>
      <c r="J2360" s="6"/>
    </row>
    <row r="2361" spans="7:10" x14ac:dyDescent="0.35">
      <c r="G2361" s="2"/>
      <c r="H2361" s="2"/>
      <c r="I2361" s="3"/>
      <c r="J2361" s="6"/>
    </row>
    <row r="2362" spans="7:10" x14ac:dyDescent="0.35">
      <c r="G2362" s="2"/>
      <c r="H2362" s="2"/>
      <c r="I2362" s="3"/>
      <c r="J2362" s="6"/>
    </row>
    <row r="2363" spans="7:10" x14ac:dyDescent="0.35">
      <c r="G2363" s="2"/>
      <c r="H2363" s="2"/>
      <c r="I2363" s="3"/>
      <c r="J2363" s="6"/>
    </row>
    <row r="2364" spans="7:10" x14ac:dyDescent="0.35">
      <c r="G2364" s="2"/>
      <c r="H2364" s="2"/>
      <c r="I2364" s="3"/>
      <c r="J2364" s="6"/>
    </row>
    <row r="2365" spans="7:10" x14ac:dyDescent="0.35">
      <c r="G2365" s="2"/>
      <c r="H2365" s="2"/>
      <c r="I2365" s="3"/>
      <c r="J2365" s="6"/>
    </row>
    <row r="2366" spans="7:10" x14ac:dyDescent="0.35">
      <c r="G2366" s="2"/>
      <c r="H2366" s="2"/>
      <c r="I2366" s="3"/>
      <c r="J2366" s="6"/>
    </row>
    <row r="2367" spans="7:10" x14ac:dyDescent="0.35">
      <c r="G2367" s="2"/>
      <c r="H2367" s="2"/>
      <c r="I2367" s="3"/>
      <c r="J2367" s="6"/>
    </row>
    <row r="2368" spans="7:10" x14ac:dyDescent="0.35">
      <c r="G2368" s="2"/>
      <c r="H2368" s="2"/>
      <c r="I2368" s="3"/>
      <c r="J2368" s="6"/>
    </row>
    <row r="2369" spans="7:10" x14ac:dyDescent="0.35">
      <c r="G2369" s="2"/>
      <c r="H2369" s="2"/>
      <c r="I2369" s="3"/>
      <c r="J2369" s="6"/>
    </row>
    <row r="2370" spans="7:10" x14ac:dyDescent="0.35">
      <c r="G2370" s="2"/>
      <c r="H2370" s="2"/>
      <c r="I2370" s="3"/>
      <c r="J2370" s="6"/>
    </row>
    <row r="2371" spans="7:10" x14ac:dyDescent="0.35">
      <c r="G2371" s="2"/>
      <c r="H2371" s="2"/>
      <c r="I2371" s="3"/>
      <c r="J2371" s="6"/>
    </row>
    <row r="2372" spans="7:10" x14ac:dyDescent="0.35">
      <c r="G2372" s="2"/>
      <c r="H2372" s="2"/>
      <c r="I2372" s="3"/>
      <c r="J2372" s="6"/>
    </row>
    <row r="2373" spans="7:10" x14ac:dyDescent="0.35">
      <c r="G2373" s="2"/>
      <c r="H2373" s="2"/>
      <c r="I2373" s="3"/>
      <c r="J2373" s="6"/>
    </row>
    <row r="2374" spans="7:10" x14ac:dyDescent="0.35">
      <c r="G2374" s="2"/>
      <c r="H2374" s="2"/>
      <c r="I2374" s="3"/>
      <c r="J2374" s="6"/>
    </row>
    <row r="2375" spans="7:10" x14ac:dyDescent="0.35">
      <c r="G2375" s="2"/>
      <c r="H2375" s="2"/>
      <c r="I2375" s="3"/>
      <c r="J2375" s="6"/>
    </row>
    <row r="2376" spans="7:10" x14ac:dyDescent="0.35">
      <c r="G2376" s="2"/>
      <c r="H2376" s="2"/>
      <c r="I2376" s="3"/>
      <c r="J2376" s="6"/>
    </row>
    <row r="2377" spans="7:10" x14ac:dyDescent="0.35">
      <c r="G2377" s="2"/>
      <c r="H2377" s="2"/>
      <c r="I2377" s="3"/>
      <c r="J2377" s="6"/>
    </row>
    <row r="2378" spans="7:10" x14ac:dyDescent="0.35">
      <c r="G2378" s="2"/>
      <c r="H2378" s="2"/>
      <c r="I2378" s="3"/>
      <c r="J2378" s="6"/>
    </row>
    <row r="2379" spans="7:10" x14ac:dyDescent="0.35">
      <c r="G2379" s="2"/>
      <c r="H2379" s="2"/>
      <c r="I2379" s="3"/>
      <c r="J2379" s="6"/>
    </row>
    <row r="2380" spans="7:10" x14ac:dyDescent="0.35">
      <c r="G2380" s="2"/>
      <c r="H2380" s="2"/>
      <c r="I2380" s="3"/>
      <c r="J2380" s="6"/>
    </row>
    <row r="2381" spans="7:10" x14ac:dyDescent="0.35">
      <c r="G2381" s="2"/>
      <c r="H2381" s="2"/>
      <c r="I2381" s="3"/>
      <c r="J2381" s="6"/>
    </row>
    <row r="2382" spans="7:10" x14ac:dyDescent="0.35">
      <c r="G2382" s="2"/>
      <c r="H2382" s="2"/>
      <c r="I2382" s="3"/>
      <c r="J2382" s="6"/>
    </row>
    <row r="2383" spans="7:10" x14ac:dyDescent="0.35">
      <c r="G2383" s="2"/>
      <c r="H2383" s="2"/>
      <c r="I2383" s="3"/>
      <c r="J2383" s="6"/>
    </row>
    <row r="2384" spans="7:10" x14ac:dyDescent="0.35">
      <c r="G2384" s="2"/>
      <c r="H2384" s="2"/>
      <c r="I2384" s="3"/>
      <c r="J2384" s="6"/>
    </row>
    <row r="2385" spans="7:10" x14ac:dyDescent="0.35">
      <c r="G2385" s="2"/>
      <c r="H2385" s="2"/>
      <c r="I2385" s="3"/>
      <c r="J2385" s="6"/>
    </row>
    <row r="2386" spans="7:10" x14ac:dyDescent="0.35">
      <c r="G2386" s="2"/>
      <c r="H2386" s="2"/>
      <c r="I2386" s="3"/>
      <c r="J2386" s="6"/>
    </row>
    <row r="2387" spans="7:10" x14ac:dyDescent="0.35">
      <c r="G2387" s="2"/>
      <c r="H2387" s="2"/>
      <c r="I2387" s="3"/>
      <c r="J2387" s="6"/>
    </row>
    <row r="2388" spans="7:10" x14ac:dyDescent="0.35">
      <c r="G2388" s="2"/>
      <c r="H2388" s="2"/>
      <c r="I2388" s="3"/>
      <c r="J2388" s="6"/>
    </row>
    <row r="2389" spans="7:10" x14ac:dyDescent="0.35">
      <c r="G2389" s="2"/>
      <c r="H2389" s="2"/>
      <c r="I2389" s="3"/>
      <c r="J2389" s="6"/>
    </row>
    <row r="2390" spans="7:10" x14ac:dyDescent="0.35">
      <c r="G2390" s="2"/>
      <c r="H2390" s="2"/>
      <c r="I2390" s="3"/>
      <c r="J2390" s="6"/>
    </row>
    <row r="2391" spans="7:10" x14ac:dyDescent="0.35">
      <c r="G2391" s="2"/>
      <c r="H2391" s="2"/>
      <c r="I2391" s="3"/>
      <c r="J2391" s="6"/>
    </row>
    <row r="2392" spans="7:10" x14ac:dyDescent="0.35">
      <c r="G2392" s="2"/>
      <c r="H2392" s="2"/>
      <c r="I2392" s="3"/>
      <c r="J2392" s="6"/>
    </row>
    <row r="2393" spans="7:10" x14ac:dyDescent="0.35">
      <c r="G2393" s="2"/>
      <c r="H2393" s="2"/>
      <c r="I2393" s="3"/>
      <c r="J2393" s="6"/>
    </row>
    <row r="2394" spans="7:10" x14ac:dyDescent="0.35">
      <c r="G2394" s="2"/>
      <c r="H2394" s="2"/>
      <c r="I2394" s="3"/>
      <c r="J2394" s="6"/>
    </row>
    <row r="2395" spans="7:10" x14ac:dyDescent="0.35">
      <c r="G2395" s="2"/>
      <c r="H2395" s="2"/>
      <c r="I2395" s="3"/>
      <c r="J2395" s="6"/>
    </row>
    <row r="2396" spans="7:10" x14ac:dyDescent="0.35">
      <c r="G2396" s="2"/>
      <c r="H2396" s="2"/>
      <c r="I2396" s="3"/>
      <c r="J2396" s="6"/>
    </row>
    <row r="2397" spans="7:10" x14ac:dyDescent="0.35">
      <c r="G2397" s="2"/>
      <c r="H2397" s="2"/>
      <c r="I2397" s="3"/>
      <c r="J2397" s="6"/>
    </row>
    <row r="2398" spans="7:10" x14ac:dyDescent="0.35">
      <c r="G2398" s="2"/>
      <c r="H2398" s="2"/>
      <c r="I2398" s="3"/>
      <c r="J2398" s="6"/>
    </row>
    <row r="2399" spans="7:10" x14ac:dyDescent="0.35">
      <c r="G2399" s="2"/>
      <c r="H2399" s="2"/>
      <c r="I2399" s="3"/>
      <c r="J2399" s="6"/>
    </row>
    <row r="2400" spans="7:10" x14ac:dyDescent="0.35">
      <c r="G2400" s="2"/>
      <c r="H2400" s="2"/>
      <c r="I2400" s="3"/>
      <c r="J2400" s="6"/>
    </row>
    <row r="2401" spans="7:10" x14ac:dyDescent="0.35">
      <c r="G2401" s="2"/>
      <c r="H2401" s="2"/>
      <c r="I2401" s="3"/>
      <c r="J2401" s="6"/>
    </row>
    <row r="2402" spans="7:10" x14ac:dyDescent="0.35">
      <c r="G2402" s="2"/>
      <c r="H2402" s="2"/>
      <c r="I2402" s="3"/>
      <c r="J2402" s="6"/>
    </row>
    <row r="2403" spans="7:10" x14ac:dyDescent="0.35">
      <c r="G2403" s="2"/>
      <c r="H2403" s="2"/>
      <c r="I2403" s="3"/>
      <c r="J2403" s="6"/>
    </row>
    <row r="2404" spans="7:10" x14ac:dyDescent="0.35">
      <c r="G2404" s="2"/>
      <c r="H2404" s="2"/>
      <c r="I2404" s="3"/>
      <c r="J2404" s="6"/>
    </row>
    <row r="2405" spans="7:10" x14ac:dyDescent="0.35">
      <c r="G2405" s="2"/>
      <c r="H2405" s="2"/>
      <c r="I2405" s="3"/>
      <c r="J2405" s="6"/>
    </row>
    <row r="2406" spans="7:10" x14ac:dyDescent="0.35">
      <c r="G2406" s="2"/>
      <c r="H2406" s="2"/>
      <c r="I2406" s="3"/>
      <c r="J2406" s="6"/>
    </row>
    <row r="2407" spans="7:10" x14ac:dyDescent="0.35">
      <c r="G2407" s="2"/>
      <c r="H2407" s="2"/>
      <c r="I2407" s="3"/>
      <c r="J2407" s="6"/>
    </row>
    <row r="2408" spans="7:10" x14ac:dyDescent="0.35">
      <c r="G2408" s="2"/>
      <c r="H2408" s="2"/>
      <c r="I2408" s="3"/>
      <c r="J2408" s="6"/>
    </row>
    <row r="2409" spans="7:10" x14ac:dyDescent="0.35">
      <c r="G2409" s="2"/>
      <c r="H2409" s="2"/>
      <c r="I2409" s="3"/>
      <c r="J2409" s="6"/>
    </row>
    <row r="2410" spans="7:10" x14ac:dyDescent="0.35">
      <c r="G2410" s="2"/>
      <c r="H2410" s="2"/>
      <c r="I2410" s="3"/>
      <c r="J2410" s="6"/>
    </row>
    <row r="2411" spans="7:10" x14ac:dyDescent="0.35">
      <c r="G2411" s="2"/>
      <c r="H2411" s="2"/>
      <c r="I2411" s="3"/>
      <c r="J2411" s="6"/>
    </row>
    <row r="2412" spans="7:10" x14ac:dyDescent="0.35">
      <c r="G2412" s="2"/>
      <c r="H2412" s="2"/>
      <c r="I2412" s="3"/>
      <c r="J2412" s="6"/>
    </row>
    <row r="2413" spans="7:10" x14ac:dyDescent="0.35">
      <c r="G2413" s="2"/>
      <c r="H2413" s="2"/>
      <c r="I2413" s="3"/>
      <c r="J2413" s="6"/>
    </row>
    <row r="2414" spans="7:10" x14ac:dyDescent="0.35">
      <c r="G2414" s="2"/>
      <c r="H2414" s="2"/>
      <c r="I2414" s="3"/>
      <c r="J2414" s="6"/>
    </row>
    <row r="2415" spans="7:10" x14ac:dyDescent="0.35">
      <c r="G2415" s="2"/>
      <c r="H2415" s="2"/>
      <c r="I2415" s="3"/>
      <c r="J2415" s="6"/>
    </row>
    <row r="2416" spans="7:10" x14ac:dyDescent="0.35">
      <c r="G2416" s="2"/>
      <c r="H2416" s="2"/>
      <c r="I2416" s="3"/>
      <c r="J2416" s="6"/>
    </row>
    <row r="2417" spans="7:10" x14ac:dyDescent="0.35">
      <c r="G2417" s="2"/>
      <c r="H2417" s="2"/>
      <c r="I2417" s="3"/>
      <c r="J2417" s="6"/>
    </row>
    <row r="2418" spans="7:10" x14ac:dyDescent="0.35">
      <c r="G2418" s="2"/>
      <c r="H2418" s="2"/>
      <c r="I2418" s="3"/>
      <c r="J2418" s="6"/>
    </row>
    <row r="2419" spans="7:10" x14ac:dyDescent="0.35">
      <c r="G2419" s="2"/>
      <c r="H2419" s="2"/>
      <c r="I2419" s="3"/>
      <c r="J2419" s="6"/>
    </row>
    <row r="2420" spans="7:10" x14ac:dyDescent="0.35">
      <c r="G2420" s="2"/>
      <c r="H2420" s="2"/>
      <c r="I2420" s="3"/>
      <c r="J2420" s="6"/>
    </row>
    <row r="2421" spans="7:10" x14ac:dyDescent="0.35">
      <c r="G2421" s="2"/>
      <c r="H2421" s="2"/>
      <c r="I2421" s="3"/>
      <c r="J2421" s="6"/>
    </row>
    <row r="2422" spans="7:10" x14ac:dyDescent="0.35">
      <c r="G2422" s="2"/>
      <c r="H2422" s="2"/>
      <c r="I2422" s="3"/>
      <c r="J2422" s="6"/>
    </row>
    <row r="2423" spans="7:10" x14ac:dyDescent="0.35">
      <c r="G2423" s="2"/>
      <c r="H2423" s="2"/>
      <c r="I2423" s="3"/>
      <c r="J2423" s="6"/>
    </row>
    <row r="2424" spans="7:10" x14ac:dyDescent="0.35">
      <c r="G2424" s="2"/>
      <c r="H2424" s="2"/>
      <c r="I2424" s="3"/>
      <c r="J2424" s="6"/>
    </row>
    <row r="2425" spans="7:10" x14ac:dyDescent="0.35">
      <c r="G2425" s="2"/>
      <c r="H2425" s="2"/>
      <c r="I2425" s="3"/>
      <c r="J2425" s="6"/>
    </row>
    <row r="2426" spans="7:10" x14ac:dyDescent="0.35">
      <c r="G2426" s="2"/>
      <c r="H2426" s="2"/>
      <c r="I2426" s="3"/>
      <c r="J2426" s="6"/>
    </row>
    <row r="2427" spans="7:10" x14ac:dyDescent="0.35">
      <c r="G2427" s="2"/>
      <c r="H2427" s="2"/>
      <c r="I2427" s="3"/>
      <c r="J2427" s="6"/>
    </row>
    <row r="2428" spans="7:10" x14ac:dyDescent="0.35">
      <c r="G2428" s="2"/>
      <c r="H2428" s="2"/>
      <c r="I2428" s="3"/>
      <c r="J2428" s="6"/>
    </row>
    <row r="2429" spans="7:10" x14ac:dyDescent="0.35">
      <c r="G2429" s="2"/>
      <c r="H2429" s="2"/>
      <c r="I2429" s="3"/>
      <c r="J2429" s="6"/>
    </row>
    <row r="2430" spans="7:10" x14ac:dyDescent="0.35">
      <c r="G2430" s="2"/>
      <c r="H2430" s="2"/>
      <c r="I2430" s="3"/>
      <c r="J2430" s="6"/>
    </row>
    <row r="2431" spans="7:10" x14ac:dyDescent="0.35">
      <c r="G2431" s="2"/>
      <c r="H2431" s="2"/>
      <c r="I2431" s="3"/>
      <c r="J2431" s="6"/>
    </row>
    <row r="2432" spans="7:10" x14ac:dyDescent="0.35">
      <c r="G2432" s="2"/>
      <c r="H2432" s="2"/>
      <c r="I2432" s="3"/>
      <c r="J2432" s="6"/>
    </row>
    <row r="2433" spans="7:10" x14ac:dyDescent="0.35">
      <c r="G2433" s="2"/>
      <c r="H2433" s="2"/>
      <c r="I2433" s="3"/>
      <c r="J2433" s="6"/>
    </row>
    <row r="2434" spans="7:10" x14ac:dyDescent="0.35">
      <c r="G2434" s="2"/>
      <c r="H2434" s="2"/>
      <c r="I2434" s="3"/>
      <c r="J2434" s="6"/>
    </row>
    <row r="2435" spans="7:10" x14ac:dyDescent="0.35">
      <c r="G2435" s="2"/>
      <c r="H2435" s="2"/>
      <c r="I2435" s="3"/>
      <c r="J2435" s="6"/>
    </row>
    <row r="2436" spans="7:10" x14ac:dyDescent="0.35">
      <c r="G2436" s="2"/>
      <c r="H2436" s="2"/>
      <c r="I2436" s="3"/>
      <c r="J2436" s="6"/>
    </row>
    <row r="2437" spans="7:10" x14ac:dyDescent="0.35">
      <c r="G2437" s="2"/>
      <c r="H2437" s="2"/>
      <c r="I2437" s="3"/>
      <c r="J2437" s="6"/>
    </row>
    <row r="2438" spans="7:10" x14ac:dyDescent="0.35">
      <c r="G2438" s="2"/>
      <c r="H2438" s="2"/>
      <c r="I2438" s="3"/>
      <c r="J2438" s="6"/>
    </row>
    <row r="2439" spans="7:10" x14ac:dyDescent="0.35">
      <c r="G2439" s="2"/>
      <c r="H2439" s="2"/>
      <c r="I2439" s="3"/>
      <c r="J2439" s="6"/>
    </row>
    <row r="2440" spans="7:10" x14ac:dyDescent="0.35">
      <c r="G2440" s="2"/>
      <c r="H2440" s="2"/>
      <c r="I2440" s="3"/>
      <c r="J2440" s="6"/>
    </row>
    <row r="2441" spans="7:10" x14ac:dyDescent="0.35">
      <c r="G2441" s="2"/>
      <c r="H2441" s="2"/>
      <c r="I2441" s="3"/>
      <c r="J2441" s="6"/>
    </row>
    <row r="2442" spans="7:10" x14ac:dyDescent="0.35">
      <c r="G2442" s="2"/>
      <c r="H2442" s="2"/>
      <c r="I2442" s="3"/>
      <c r="J2442" s="6"/>
    </row>
    <row r="2443" spans="7:10" x14ac:dyDescent="0.35">
      <c r="G2443" s="2"/>
      <c r="H2443" s="2"/>
      <c r="I2443" s="3"/>
      <c r="J2443" s="6"/>
    </row>
    <row r="2444" spans="7:10" x14ac:dyDescent="0.35">
      <c r="G2444" s="2"/>
      <c r="H2444" s="2"/>
      <c r="I2444" s="3"/>
      <c r="J2444" s="6"/>
    </row>
    <row r="2445" spans="7:10" x14ac:dyDescent="0.35">
      <c r="G2445" s="2"/>
      <c r="H2445" s="2"/>
      <c r="I2445" s="3"/>
      <c r="J2445" s="6"/>
    </row>
    <row r="2446" spans="7:10" x14ac:dyDescent="0.35">
      <c r="G2446" s="2"/>
      <c r="H2446" s="2"/>
      <c r="I2446" s="3"/>
      <c r="J2446" s="6"/>
    </row>
    <row r="2447" spans="7:10" x14ac:dyDescent="0.35">
      <c r="G2447" s="2"/>
      <c r="H2447" s="2"/>
      <c r="I2447" s="3"/>
      <c r="J2447" s="6"/>
    </row>
    <row r="2448" spans="7:10" x14ac:dyDescent="0.35">
      <c r="G2448" s="2"/>
      <c r="H2448" s="2"/>
      <c r="I2448" s="3"/>
      <c r="J2448" s="6"/>
    </row>
    <row r="2449" spans="7:10" x14ac:dyDescent="0.35">
      <c r="G2449" s="2"/>
      <c r="H2449" s="2"/>
      <c r="I2449" s="3"/>
      <c r="J2449" s="6"/>
    </row>
    <row r="2450" spans="7:10" x14ac:dyDescent="0.35">
      <c r="G2450" s="2"/>
      <c r="H2450" s="2"/>
      <c r="I2450" s="3"/>
      <c r="J2450" s="6"/>
    </row>
    <row r="2451" spans="7:10" x14ac:dyDescent="0.35">
      <c r="G2451" s="2"/>
      <c r="H2451" s="2"/>
      <c r="I2451" s="3"/>
      <c r="J2451" s="6"/>
    </row>
    <row r="2452" spans="7:10" x14ac:dyDescent="0.35">
      <c r="G2452" s="2"/>
      <c r="H2452" s="2"/>
      <c r="I2452" s="3"/>
      <c r="J2452" s="6"/>
    </row>
    <row r="2453" spans="7:10" x14ac:dyDescent="0.35">
      <c r="G2453" s="2"/>
      <c r="H2453" s="2"/>
      <c r="I2453" s="3"/>
      <c r="J2453" s="6"/>
    </row>
    <row r="2454" spans="7:10" x14ac:dyDescent="0.35">
      <c r="G2454" s="2"/>
      <c r="H2454" s="2"/>
      <c r="I2454" s="3"/>
      <c r="J2454" s="6"/>
    </row>
    <row r="2455" spans="7:10" x14ac:dyDescent="0.35">
      <c r="G2455" s="2"/>
      <c r="H2455" s="2"/>
      <c r="I2455" s="3"/>
      <c r="J2455" s="6"/>
    </row>
    <row r="2456" spans="7:10" x14ac:dyDescent="0.35">
      <c r="G2456" s="2"/>
      <c r="H2456" s="2"/>
      <c r="I2456" s="3"/>
      <c r="J2456" s="6"/>
    </row>
    <row r="2457" spans="7:10" x14ac:dyDescent="0.35">
      <c r="G2457" s="2"/>
      <c r="H2457" s="2"/>
      <c r="I2457" s="3"/>
      <c r="J2457" s="6"/>
    </row>
    <row r="2458" spans="7:10" x14ac:dyDescent="0.35">
      <c r="G2458" s="2"/>
      <c r="H2458" s="2"/>
      <c r="I2458" s="3"/>
      <c r="J2458" s="6"/>
    </row>
    <row r="2459" spans="7:10" x14ac:dyDescent="0.35">
      <c r="G2459" s="2"/>
      <c r="H2459" s="2"/>
      <c r="I2459" s="3"/>
      <c r="J2459" s="6"/>
    </row>
    <row r="2460" spans="7:10" x14ac:dyDescent="0.35">
      <c r="G2460" s="2"/>
      <c r="H2460" s="2"/>
      <c r="I2460" s="3"/>
      <c r="J2460" s="6"/>
    </row>
    <row r="2461" spans="7:10" x14ac:dyDescent="0.35">
      <c r="G2461" s="2"/>
      <c r="H2461" s="2"/>
      <c r="I2461" s="3"/>
      <c r="J2461" s="6"/>
    </row>
    <row r="2462" spans="7:10" x14ac:dyDescent="0.35">
      <c r="G2462" s="2"/>
      <c r="H2462" s="2"/>
      <c r="I2462" s="3"/>
      <c r="J2462" s="6"/>
    </row>
    <row r="2463" spans="7:10" x14ac:dyDescent="0.35">
      <c r="G2463" s="2"/>
      <c r="H2463" s="2"/>
      <c r="I2463" s="3"/>
      <c r="J2463" s="6"/>
    </row>
    <row r="2464" spans="7:10" x14ac:dyDescent="0.35">
      <c r="G2464" s="2"/>
      <c r="H2464" s="2"/>
      <c r="I2464" s="3"/>
      <c r="J2464" s="6"/>
    </row>
    <row r="2465" spans="7:10" x14ac:dyDescent="0.35">
      <c r="G2465" s="2"/>
      <c r="H2465" s="2"/>
      <c r="I2465" s="3"/>
      <c r="J2465" s="6"/>
    </row>
    <row r="2466" spans="7:10" x14ac:dyDescent="0.35">
      <c r="G2466" s="2"/>
      <c r="H2466" s="2"/>
      <c r="I2466" s="3"/>
      <c r="J2466" s="6"/>
    </row>
    <row r="2467" spans="7:10" x14ac:dyDescent="0.35">
      <c r="G2467" s="2"/>
      <c r="H2467" s="2"/>
      <c r="I2467" s="3"/>
      <c r="J2467" s="6"/>
    </row>
    <row r="2468" spans="7:10" x14ac:dyDescent="0.35">
      <c r="G2468" s="2"/>
      <c r="H2468" s="2"/>
      <c r="I2468" s="3"/>
      <c r="J2468" s="6"/>
    </row>
    <row r="2469" spans="7:10" x14ac:dyDescent="0.35">
      <c r="G2469" s="2"/>
      <c r="H2469" s="2"/>
      <c r="I2469" s="3"/>
      <c r="J2469" s="6"/>
    </row>
    <row r="2470" spans="7:10" x14ac:dyDescent="0.35">
      <c r="G2470" s="2"/>
      <c r="H2470" s="2"/>
      <c r="I2470" s="3"/>
      <c r="J2470" s="6"/>
    </row>
    <row r="2471" spans="7:10" x14ac:dyDescent="0.35">
      <c r="G2471" s="2"/>
      <c r="H2471" s="2"/>
      <c r="I2471" s="3"/>
      <c r="J2471" s="6"/>
    </row>
    <row r="2472" spans="7:10" x14ac:dyDescent="0.35">
      <c r="G2472" s="2"/>
      <c r="H2472" s="2"/>
      <c r="I2472" s="3"/>
      <c r="J2472" s="6"/>
    </row>
    <row r="2473" spans="7:10" x14ac:dyDescent="0.35">
      <c r="G2473" s="2"/>
      <c r="H2473" s="2"/>
      <c r="I2473" s="3"/>
      <c r="J2473" s="6"/>
    </row>
    <row r="2474" spans="7:10" x14ac:dyDescent="0.35">
      <c r="G2474" s="2"/>
      <c r="H2474" s="2"/>
      <c r="I2474" s="3"/>
      <c r="J2474" s="6"/>
    </row>
    <row r="2475" spans="7:10" x14ac:dyDescent="0.35">
      <c r="G2475" s="2"/>
      <c r="H2475" s="2"/>
      <c r="I2475" s="3"/>
      <c r="J2475" s="6"/>
    </row>
    <row r="2476" spans="7:10" x14ac:dyDescent="0.35">
      <c r="G2476" s="2"/>
      <c r="H2476" s="2"/>
      <c r="I2476" s="3"/>
      <c r="J2476" s="6"/>
    </row>
    <row r="2477" spans="7:10" x14ac:dyDescent="0.35">
      <c r="G2477" s="2"/>
      <c r="H2477" s="2"/>
      <c r="I2477" s="3"/>
      <c r="J2477" s="6"/>
    </row>
    <row r="2478" spans="7:10" x14ac:dyDescent="0.35">
      <c r="G2478" s="2"/>
      <c r="H2478" s="2"/>
      <c r="I2478" s="3"/>
      <c r="J2478" s="6"/>
    </row>
    <row r="2479" spans="7:10" x14ac:dyDescent="0.35">
      <c r="G2479" s="2"/>
      <c r="H2479" s="2"/>
      <c r="I2479" s="3"/>
      <c r="J2479" s="6"/>
    </row>
    <row r="2480" spans="7:10" x14ac:dyDescent="0.35">
      <c r="G2480" s="2"/>
      <c r="H2480" s="2"/>
      <c r="I2480" s="3"/>
      <c r="J2480" s="6"/>
    </row>
    <row r="2481" spans="7:10" x14ac:dyDescent="0.35">
      <c r="G2481" s="2"/>
      <c r="H2481" s="2"/>
      <c r="I2481" s="3"/>
      <c r="J2481" s="6"/>
    </row>
    <row r="2482" spans="7:10" x14ac:dyDescent="0.35">
      <c r="G2482" s="2"/>
      <c r="H2482" s="2"/>
      <c r="I2482" s="3"/>
      <c r="J2482" s="6"/>
    </row>
    <row r="2483" spans="7:10" x14ac:dyDescent="0.35">
      <c r="G2483" s="2"/>
      <c r="H2483" s="2"/>
      <c r="I2483" s="3"/>
      <c r="J2483" s="6"/>
    </row>
    <row r="2484" spans="7:10" x14ac:dyDescent="0.35">
      <c r="G2484" s="2"/>
      <c r="H2484" s="2"/>
      <c r="I2484" s="3"/>
      <c r="J2484" s="6"/>
    </row>
    <row r="2485" spans="7:10" x14ac:dyDescent="0.35">
      <c r="G2485" s="2"/>
      <c r="H2485" s="2"/>
      <c r="I2485" s="3"/>
      <c r="J2485" s="6"/>
    </row>
    <row r="2486" spans="7:10" x14ac:dyDescent="0.35">
      <c r="G2486" s="2"/>
      <c r="H2486" s="2"/>
      <c r="I2486" s="3"/>
      <c r="J2486" s="6"/>
    </row>
    <row r="2487" spans="7:10" x14ac:dyDescent="0.35">
      <c r="G2487" s="2"/>
      <c r="H2487" s="2"/>
      <c r="I2487" s="3"/>
      <c r="J2487" s="6"/>
    </row>
    <row r="2488" spans="7:10" x14ac:dyDescent="0.35">
      <c r="G2488" s="2"/>
      <c r="H2488" s="2"/>
      <c r="I2488" s="3"/>
      <c r="J2488" s="6"/>
    </row>
    <row r="2489" spans="7:10" x14ac:dyDescent="0.35">
      <c r="G2489" s="2"/>
      <c r="H2489" s="2"/>
      <c r="I2489" s="3"/>
      <c r="J2489" s="6"/>
    </row>
    <row r="2490" spans="7:10" x14ac:dyDescent="0.35">
      <c r="G2490" s="2"/>
      <c r="H2490" s="2"/>
      <c r="I2490" s="3"/>
      <c r="J2490" s="6"/>
    </row>
    <row r="2491" spans="7:10" x14ac:dyDescent="0.35">
      <c r="G2491" s="2"/>
      <c r="H2491" s="2"/>
      <c r="I2491" s="3"/>
      <c r="J2491" s="6"/>
    </row>
    <row r="2492" spans="7:10" x14ac:dyDescent="0.35">
      <c r="G2492" s="2"/>
      <c r="H2492" s="2"/>
      <c r="I2492" s="3"/>
      <c r="J2492" s="6"/>
    </row>
    <row r="2493" spans="7:10" x14ac:dyDescent="0.35">
      <c r="G2493" s="2"/>
      <c r="H2493" s="2"/>
      <c r="I2493" s="3"/>
      <c r="J2493" s="6"/>
    </row>
    <row r="2494" spans="7:10" x14ac:dyDescent="0.35">
      <c r="G2494" s="2"/>
      <c r="H2494" s="2"/>
      <c r="I2494" s="3"/>
      <c r="J2494" s="6"/>
    </row>
    <row r="2495" spans="7:10" x14ac:dyDescent="0.35">
      <c r="G2495" s="2"/>
      <c r="H2495" s="2"/>
      <c r="I2495" s="3"/>
      <c r="J2495" s="6"/>
    </row>
    <row r="2496" spans="7:10" x14ac:dyDescent="0.35">
      <c r="G2496" s="2"/>
      <c r="H2496" s="2"/>
      <c r="I2496" s="3"/>
      <c r="J2496" s="6"/>
    </row>
    <row r="2497" spans="7:10" x14ac:dyDescent="0.35">
      <c r="G2497" s="2"/>
      <c r="H2497" s="2"/>
      <c r="I2497" s="3"/>
      <c r="J2497" s="6"/>
    </row>
    <row r="2498" spans="7:10" x14ac:dyDescent="0.35">
      <c r="G2498" s="2"/>
      <c r="H2498" s="2"/>
      <c r="I2498" s="3"/>
      <c r="J2498" s="6"/>
    </row>
    <row r="2499" spans="7:10" x14ac:dyDescent="0.35">
      <c r="G2499" s="2"/>
      <c r="H2499" s="2"/>
      <c r="I2499" s="3"/>
      <c r="J2499" s="6"/>
    </row>
    <row r="2500" spans="7:10" x14ac:dyDescent="0.35">
      <c r="G2500" s="2"/>
      <c r="H2500" s="2"/>
      <c r="I2500" s="3"/>
      <c r="J2500" s="6"/>
    </row>
    <row r="2501" spans="7:10" x14ac:dyDescent="0.35">
      <c r="G2501" s="2"/>
      <c r="H2501" s="2"/>
      <c r="I2501" s="3"/>
      <c r="J2501" s="6"/>
    </row>
    <row r="2502" spans="7:10" x14ac:dyDescent="0.35">
      <c r="G2502" s="2"/>
      <c r="H2502" s="2"/>
      <c r="I2502" s="3"/>
      <c r="J2502" s="6"/>
    </row>
    <row r="2503" spans="7:10" x14ac:dyDescent="0.35">
      <c r="G2503" s="2"/>
      <c r="H2503" s="2"/>
      <c r="I2503" s="3"/>
      <c r="J2503" s="6"/>
    </row>
    <row r="2504" spans="7:10" x14ac:dyDescent="0.35">
      <c r="G2504" s="2"/>
      <c r="H2504" s="2"/>
      <c r="I2504" s="3"/>
      <c r="J2504" s="6"/>
    </row>
    <row r="2505" spans="7:10" x14ac:dyDescent="0.35">
      <c r="G2505" s="2"/>
      <c r="H2505" s="2"/>
      <c r="I2505" s="3"/>
      <c r="J2505" s="6"/>
    </row>
    <row r="2506" spans="7:10" x14ac:dyDescent="0.35">
      <c r="G2506" s="2"/>
      <c r="H2506" s="2"/>
      <c r="I2506" s="3"/>
      <c r="J2506" s="6"/>
    </row>
    <row r="2507" spans="7:10" x14ac:dyDescent="0.35">
      <c r="G2507" s="2"/>
      <c r="H2507" s="2"/>
      <c r="I2507" s="3"/>
      <c r="J2507" s="6"/>
    </row>
    <row r="2508" spans="7:10" x14ac:dyDescent="0.35">
      <c r="G2508" s="2"/>
      <c r="H2508" s="2"/>
      <c r="I2508" s="3"/>
      <c r="J2508" s="6"/>
    </row>
    <row r="2509" spans="7:10" x14ac:dyDescent="0.35">
      <c r="G2509" s="2"/>
      <c r="H2509" s="2"/>
      <c r="I2509" s="3"/>
      <c r="J2509" s="6"/>
    </row>
    <row r="2510" spans="7:10" x14ac:dyDescent="0.35">
      <c r="G2510" s="2"/>
      <c r="H2510" s="2"/>
      <c r="I2510" s="3"/>
      <c r="J2510" s="6"/>
    </row>
    <row r="2511" spans="7:10" x14ac:dyDescent="0.35">
      <c r="G2511" s="2"/>
      <c r="H2511" s="2"/>
      <c r="I2511" s="3"/>
      <c r="J2511" s="6"/>
    </row>
    <row r="2512" spans="7:10" x14ac:dyDescent="0.35">
      <c r="G2512" s="2"/>
      <c r="H2512" s="2"/>
      <c r="I2512" s="3"/>
      <c r="J2512" s="6"/>
    </row>
    <row r="2513" spans="7:10" x14ac:dyDescent="0.35">
      <c r="G2513" s="2"/>
      <c r="H2513" s="2"/>
      <c r="I2513" s="3"/>
      <c r="J2513" s="6"/>
    </row>
    <row r="2514" spans="7:10" x14ac:dyDescent="0.35">
      <c r="G2514" s="2"/>
      <c r="H2514" s="2"/>
      <c r="I2514" s="3"/>
      <c r="J2514" s="6"/>
    </row>
    <row r="2515" spans="7:10" x14ac:dyDescent="0.35">
      <c r="G2515" s="2"/>
      <c r="H2515" s="2"/>
      <c r="I2515" s="3"/>
      <c r="J2515" s="6"/>
    </row>
    <row r="2516" spans="7:10" x14ac:dyDescent="0.35">
      <c r="G2516" s="2"/>
      <c r="H2516" s="2"/>
      <c r="I2516" s="3"/>
      <c r="J2516" s="6"/>
    </row>
    <row r="2517" spans="7:10" x14ac:dyDescent="0.35">
      <c r="G2517" s="2"/>
      <c r="H2517" s="2"/>
      <c r="I2517" s="3"/>
      <c r="J2517" s="6"/>
    </row>
    <row r="2518" spans="7:10" x14ac:dyDescent="0.35">
      <c r="G2518" s="2"/>
      <c r="H2518" s="2"/>
      <c r="I2518" s="3"/>
      <c r="J2518" s="6"/>
    </row>
    <row r="2519" spans="7:10" x14ac:dyDescent="0.35">
      <c r="G2519" s="2"/>
      <c r="H2519" s="2"/>
      <c r="I2519" s="3"/>
      <c r="J2519" s="6"/>
    </row>
    <row r="2520" spans="7:10" x14ac:dyDescent="0.35">
      <c r="G2520" s="2"/>
      <c r="H2520" s="2"/>
      <c r="I2520" s="3"/>
      <c r="J2520" s="6"/>
    </row>
    <row r="2521" spans="7:10" x14ac:dyDescent="0.35">
      <c r="G2521" s="2"/>
      <c r="H2521" s="2"/>
      <c r="I2521" s="3"/>
      <c r="J2521" s="6"/>
    </row>
    <row r="2522" spans="7:10" x14ac:dyDescent="0.35">
      <c r="G2522" s="2"/>
      <c r="H2522" s="2"/>
      <c r="I2522" s="3"/>
      <c r="J2522" s="6"/>
    </row>
    <row r="2523" spans="7:10" x14ac:dyDescent="0.35">
      <c r="G2523" s="2"/>
      <c r="H2523" s="2"/>
      <c r="I2523" s="3"/>
      <c r="J2523" s="6"/>
    </row>
    <row r="2524" spans="7:10" x14ac:dyDescent="0.35">
      <c r="G2524" s="2"/>
      <c r="H2524" s="2"/>
      <c r="I2524" s="3"/>
      <c r="J2524" s="6"/>
    </row>
    <row r="2525" spans="7:10" x14ac:dyDescent="0.35">
      <c r="G2525" s="2"/>
      <c r="H2525" s="2"/>
      <c r="I2525" s="3"/>
      <c r="J2525" s="6"/>
    </row>
    <row r="2526" spans="7:10" x14ac:dyDescent="0.35">
      <c r="G2526" s="2"/>
      <c r="H2526" s="2"/>
      <c r="I2526" s="3"/>
      <c r="J2526" s="6"/>
    </row>
    <row r="2527" spans="7:10" x14ac:dyDescent="0.35">
      <c r="G2527" s="2"/>
      <c r="H2527" s="2"/>
      <c r="I2527" s="3"/>
      <c r="J2527" s="6"/>
    </row>
    <row r="2528" spans="7:10" x14ac:dyDescent="0.35">
      <c r="G2528" s="2"/>
      <c r="H2528" s="2"/>
      <c r="I2528" s="3"/>
      <c r="J2528" s="6"/>
    </row>
    <row r="2529" spans="7:10" x14ac:dyDescent="0.35">
      <c r="G2529" s="2"/>
      <c r="H2529" s="2"/>
      <c r="I2529" s="3"/>
      <c r="J2529" s="6"/>
    </row>
    <row r="2530" spans="7:10" x14ac:dyDescent="0.35">
      <c r="G2530" s="2"/>
      <c r="H2530" s="2"/>
      <c r="I2530" s="3"/>
      <c r="J2530" s="6"/>
    </row>
    <row r="2531" spans="7:10" x14ac:dyDescent="0.35">
      <c r="G2531" s="2"/>
      <c r="H2531" s="2"/>
      <c r="I2531" s="3"/>
      <c r="J2531" s="6"/>
    </row>
    <row r="2532" spans="7:10" x14ac:dyDescent="0.35">
      <c r="G2532" s="2"/>
      <c r="H2532" s="2"/>
      <c r="I2532" s="3"/>
      <c r="J2532" s="6"/>
    </row>
    <row r="2533" spans="7:10" x14ac:dyDescent="0.35">
      <c r="G2533" s="2"/>
      <c r="H2533" s="2"/>
      <c r="I2533" s="3"/>
      <c r="J2533" s="6"/>
    </row>
    <row r="2534" spans="7:10" x14ac:dyDescent="0.35">
      <c r="G2534" s="2"/>
      <c r="H2534" s="2"/>
      <c r="I2534" s="3"/>
      <c r="J2534" s="6"/>
    </row>
    <row r="2535" spans="7:10" x14ac:dyDescent="0.35">
      <c r="G2535" s="2"/>
      <c r="H2535" s="2"/>
      <c r="I2535" s="3"/>
      <c r="J2535" s="6"/>
    </row>
    <row r="2536" spans="7:10" x14ac:dyDescent="0.35">
      <c r="G2536" s="2"/>
      <c r="H2536" s="2"/>
      <c r="I2536" s="3"/>
      <c r="J2536" s="6"/>
    </row>
    <row r="2537" spans="7:10" x14ac:dyDescent="0.35">
      <c r="G2537" s="2"/>
      <c r="H2537" s="2"/>
      <c r="I2537" s="3"/>
      <c r="J2537" s="6"/>
    </row>
    <row r="2538" spans="7:10" x14ac:dyDescent="0.35">
      <c r="G2538" s="2"/>
      <c r="H2538" s="2"/>
      <c r="I2538" s="3"/>
      <c r="J2538" s="6"/>
    </row>
    <row r="2539" spans="7:10" x14ac:dyDescent="0.35">
      <c r="G2539" s="2"/>
      <c r="H2539" s="2"/>
      <c r="I2539" s="3"/>
      <c r="J2539" s="6"/>
    </row>
    <row r="2540" spans="7:10" x14ac:dyDescent="0.35">
      <c r="G2540" s="2"/>
      <c r="H2540" s="2"/>
      <c r="I2540" s="3"/>
      <c r="J2540" s="6"/>
    </row>
    <row r="2541" spans="7:10" x14ac:dyDescent="0.35">
      <c r="G2541" s="2"/>
      <c r="H2541" s="2"/>
      <c r="I2541" s="3"/>
      <c r="J2541" s="6"/>
    </row>
    <row r="2542" spans="7:10" x14ac:dyDescent="0.35">
      <c r="G2542" s="2"/>
      <c r="H2542" s="2"/>
      <c r="I2542" s="3"/>
      <c r="J2542" s="6"/>
    </row>
    <row r="2543" spans="7:10" x14ac:dyDescent="0.35">
      <c r="G2543" s="2"/>
      <c r="H2543" s="2"/>
      <c r="I2543" s="3"/>
      <c r="J2543" s="6"/>
    </row>
    <row r="2544" spans="7:10" x14ac:dyDescent="0.35">
      <c r="G2544" s="2"/>
      <c r="H2544" s="2"/>
      <c r="I2544" s="3"/>
      <c r="J2544" s="6"/>
    </row>
    <row r="2545" spans="7:10" x14ac:dyDescent="0.35">
      <c r="G2545" s="2"/>
      <c r="H2545" s="2"/>
      <c r="I2545" s="3"/>
      <c r="J2545" s="6"/>
    </row>
    <row r="2546" spans="7:10" x14ac:dyDescent="0.35">
      <c r="G2546" s="2"/>
      <c r="H2546" s="2"/>
      <c r="I2546" s="3"/>
      <c r="J2546" s="6"/>
    </row>
    <row r="2547" spans="7:10" x14ac:dyDescent="0.35">
      <c r="G2547" s="2"/>
      <c r="H2547" s="2"/>
      <c r="I2547" s="3"/>
      <c r="J2547" s="6"/>
    </row>
    <row r="2548" spans="7:10" x14ac:dyDescent="0.35">
      <c r="G2548" s="2"/>
      <c r="H2548" s="2"/>
      <c r="I2548" s="3"/>
      <c r="J2548" s="6"/>
    </row>
    <row r="2549" spans="7:10" x14ac:dyDescent="0.35">
      <c r="G2549" s="2"/>
      <c r="H2549" s="2"/>
      <c r="I2549" s="3"/>
      <c r="J2549" s="6"/>
    </row>
    <row r="2550" spans="7:10" x14ac:dyDescent="0.35">
      <c r="G2550" s="2"/>
      <c r="H2550" s="2"/>
      <c r="I2550" s="3"/>
      <c r="J2550" s="6"/>
    </row>
    <row r="2551" spans="7:10" x14ac:dyDescent="0.35">
      <c r="G2551" s="2"/>
      <c r="H2551" s="2"/>
      <c r="I2551" s="3"/>
      <c r="J2551" s="6"/>
    </row>
    <row r="2552" spans="7:10" x14ac:dyDescent="0.35">
      <c r="G2552" s="2"/>
      <c r="H2552" s="2"/>
      <c r="I2552" s="3"/>
      <c r="J2552" s="6"/>
    </row>
    <row r="2553" spans="7:10" x14ac:dyDescent="0.35">
      <c r="G2553" s="2"/>
      <c r="H2553" s="2"/>
      <c r="I2553" s="3"/>
      <c r="J2553" s="6"/>
    </row>
    <row r="2554" spans="7:10" x14ac:dyDescent="0.35">
      <c r="G2554" s="2"/>
      <c r="H2554" s="2"/>
      <c r="I2554" s="3"/>
      <c r="J2554" s="6"/>
    </row>
    <row r="2555" spans="7:10" x14ac:dyDescent="0.35">
      <c r="G2555" s="2"/>
      <c r="H2555" s="2"/>
      <c r="I2555" s="3"/>
      <c r="J2555" s="6"/>
    </row>
    <row r="2556" spans="7:10" x14ac:dyDescent="0.35">
      <c r="G2556" s="2"/>
      <c r="H2556" s="2"/>
      <c r="I2556" s="3"/>
      <c r="J2556" s="6"/>
    </row>
    <row r="2557" spans="7:10" x14ac:dyDescent="0.35">
      <c r="G2557" s="2"/>
      <c r="H2557" s="2"/>
      <c r="I2557" s="3"/>
      <c r="J2557" s="6"/>
    </row>
    <row r="2558" spans="7:10" x14ac:dyDescent="0.35">
      <c r="G2558" s="2"/>
      <c r="H2558" s="2"/>
      <c r="I2558" s="3"/>
      <c r="J2558" s="6"/>
    </row>
    <row r="2559" spans="7:10" x14ac:dyDescent="0.35">
      <c r="G2559" s="2"/>
      <c r="H2559" s="2"/>
      <c r="I2559" s="3"/>
      <c r="J2559" s="6"/>
    </row>
    <row r="2560" spans="7:10" x14ac:dyDescent="0.35">
      <c r="G2560" s="2"/>
      <c r="H2560" s="2"/>
      <c r="I2560" s="3"/>
      <c r="J2560" s="6"/>
    </row>
    <row r="2561" spans="7:10" x14ac:dyDescent="0.35">
      <c r="G2561" s="2"/>
      <c r="H2561" s="2"/>
      <c r="I2561" s="3"/>
      <c r="J2561" s="6"/>
    </row>
    <row r="2562" spans="7:10" x14ac:dyDescent="0.35">
      <c r="G2562" s="2"/>
      <c r="H2562" s="2"/>
      <c r="I2562" s="3"/>
      <c r="J2562" s="6"/>
    </row>
    <row r="2563" spans="7:10" x14ac:dyDescent="0.35">
      <c r="G2563" s="2"/>
      <c r="H2563" s="2"/>
      <c r="I2563" s="3"/>
      <c r="J2563" s="6"/>
    </row>
    <row r="2564" spans="7:10" x14ac:dyDescent="0.35">
      <c r="G2564" s="2"/>
      <c r="H2564" s="2"/>
      <c r="I2564" s="3"/>
      <c r="J2564" s="6"/>
    </row>
    <row r="2565" spans="7:10" x14ac:dyDescent="0.35">
      <c r="G2565" s="2"/>
      <c r="H2565" s="2"/>
      <c r="I2565" s="3"/>
      <c r="J2565" s="6"/>
    </row>
    <row r="2566" spans="7:10" x14ac:dyDescent="0.35">
      <c r="G2566" s="2"/>
      <c r="H2566" s="2"/>
      <c r="I2566" s="3"/>
      <c r="J2566" s="6"/>
    </row>
    <row r="2567" spans="7:10" x14ac:dyDescent="0.35">
      <c r="G2567" s="2"/>
      <c r="H2567" s="2"/>
      <c r="I2567" s="3"/>
      <c r="J2567" s="6"/>
    </row>
    <row r="2568" spans="7:10" x14ac:dyDescent="0.35">
      <c r="G2568" s="2"/>
      <c r="H2568" s="2"/>
      <c r="I2568" s="3"/>
      <c r="J2568" s="6"/>
    </row>
    <row r="2569" spans="7:10" x14ac:dyDescent="0.35">
      <c r="G2569" s="2"/>
      <c r="H2569" s="2"/>
      <c r="I2569" s="3"/>
      <c r="J2569" s="6"/>
    </row>
    <row r="2570" spans="7:10" x14ac:dyDescent="0.35">
      <c r="G2570" s="2"/>
      <c r="H2570" s="2"/>
      <c r="I2570" s="3"/>
      <c r="J2570" s="6"/>
    </row>
    <row r="2571" spans="7:10" x14ac:dyDescent="0.35">
      <c r="G2571" s="2"/>
      <c r="H2571" s="2"/>
      <c r="I2571" s="3"/>
      <c r="J2571" s="6"/>
    </row>
    <row r="2572" spans="7:10" x14ac:dyDescent="0.35">
      <c r="G2572" s="2"/>
      <c r="H2572" s="2"/>
      <c r="I2572" s="3"/>
      <c r="J2572" s="6"/>
    </row>
    <row r="2573" spans="7:10" x14ac:dyDescent="0.35">
      <c r="G2573" s="2"/>
      <c r="H2573" s="2"/>
      <c r="I2573" s="3"/>
      <c r="J2573" s="6"/>
    </row>
    <row r="2574" spans="7:10" x14ac:dyDescent="0.35">
      <c r="G2574" s="2"/>
      <c r="H2574" s="2"/>
      <c r="I2574" s="3"/>
      <c r="J2574" s="6"/>
    </row>
    <row r="2575" spans="7:10" x14ac:dyDescent="0.35">
      <c r="G2575" s="2"/>
      <c r="H2575" s="2"/>
      <c r="I2575" s="3"/>
      <c r="J2575" s="6"/>
    </row>
    <row r="2576" spans="7:10" x14ac:dyDescent="0.35">
      <c r="G2576" s="2"/>
      <c r="H2576" s="2"/>
      <c r="I2576" s="3"/>
      <c r="J2576" s="6"/>
    </row>
    <row r="2577" spans="7:10" x14ac:dyDescent="0.35">
      <c r="G2577" s="2"/>
      <c r="H2577" s="2"/>
      <c r="I2577" s="3"/>
      <c r="J2577" s="6"/>
    </row>
    <row r="2578" spans="7:10" x14ac:dyDescent="0.35">
      <c r="G2578" s="2"/>
      <c r="H2578" s="2"/>
      <c r="I2578" s="3"/>
      <c r="J2578" s="6"/>
    </row>
    <row r="2579" spans="7:10" x14ac:dyDescent="0.35">
      <c r="G2579" s="2"/>
      <c r="H2579" s="2"/>
      <c r="I2579" s="3"/>
      <c r="J2579" s="6"/>
    </row>
    <row r="2580" spans="7:10" x14ac:dyDescent="0.35">
      <c r="G2580" s="2"/>
      <c r="H2580" s="2"/>
      <c r="I2580" s="3"/>
      <c r="J2580" s="6"/>
    </row>
    <row r="2581" spans="7:10" x14ac:dyDescent="0.35">
      <c r="G2581" s="2"/>
      <c r="H2581" s="2"/>
      <c r="I2581" s="3"/>
      <c r="J2581" s="6"/>
    </row>
    <row r="2582" spans="7:10" x14ac:dyDescent="0.35">
      <c r="G2582" s="2"/>
      <c r="H2582" s="2"/>
      <c r="I2582" s="3"/>
      <c r="J2582" s="6"/>
    </row>
    <row r="2583" spans="7:10" x14ac:dyDescent="0.35">
      <c r="G2583" s="2"/>
      <c r="H2583" s="2"/>
      <c r="I2583" s="3"/>
      <c r="J2583" s="6"/>
    </row>
    <row r="2584" spans="7:10" x14ac:dyDescent="0.35">
      <c r="G2584" s="2"/>
      <c r="H2584" s="2"/>
      <c r="I2584" s="3"/>
      <c r="J2584" s="6"/>
    </row>
    <row r="2585" spans="7:10" x14ac:dyDescent="0.35">
      <c r="G2585" s="2"/>
      <c r="H2585" s="2"/>
      <c r="I2585" s="3"/>
      <c r="J2585" s="6"/>
    </row>
    <row r="2586" spans="7:10" x14ac:dyDescent="0.35">
      <c r="G2586" s="2"/>
      <c r="H2586" s="2"/>
      <c r="I2586" s="3"/>
      <c r="J2586" s="6"/>
    </row>
    <row r="2587" spans="7:10" x14ac:dyDescent="0.35">
      <c r="G2587" s="2"/>
      <c r="H2587" s="2"/>
      <c r="I2587" s="3"/>
      <c r="J2587" s="6"/>
    </row>
    <row r="2588" spans="7:10" x14ac:dyDescent="0.35">
      <c r="G2588" s="2"/>
      <c r="H2588" s="2"/>
      <c r="I2588" s="3"/>
      <c r="J2588" s="6"/>
    </row>
    <row r="2589" spans="7:10" x14ac:dyDescent="0.35">
      <c r="G2589" s="2"/>
      <c r="H2589" s="2"/>
      <c r="I2589" s="3"/>
      <c r="J2589" s="6"/>
    </row>
    <row r="2590" spans="7:10" x14ac:dyDescent="0.35">
      <c r="G2590" s="2"/>
      <c r="H2590" s="2"/>
      <c r="I2590" s="3"/>
      <c r="J2590" s="6"/>
    </row>
    <row r="2591" spans="7:10" x14ac:dyDescent="0.35">
      <c r="G2591" s="2"/>
      <c r="H2591" s="2"/>
      <c r="I2591" s="3"/>
      <c r="J2591" s="6"/>
    </row>
    <row r="2592" spans="7:10" x14ac:dyDescent="0.35">
      <c r="G2592" s="2"/>
      <c r="H2592" s="2"/>
      <c r="I2592" s="3"/>
      <c r="J2592" s="6"/>
    </row>
    <row r="2593" spans="7:10" x14ac:dyDescent="0.35">
      <c r="G2593" s="2"/>
      <c r="H2593" s="2"/>
      <c r="I2593" s="3"/>
      <c r="J2593" s="6"/>
    </row>
    <row r="2594" spans="7:10" x14ac:dyDescent="0.35">
      <c r="G2594" s="2"/>
      <c r="H2594" s="2"/>
      <c r="I2594" s="3"/>
      <c r="J2594" s="6"/>
    </row>
    <row r="2595" spans="7:10" x14ac:dyDescent="0.35">
      <c r="G2595" s="2"/>
      <c r="H2595" s="2"/>
      <c r="I2595" s="3"/>
      <c r="J2595" s="6"/>
    </row>
    <row r="2596" spans="7:10" x14ac:dyDescent="0.35">
      <c r="G2596" s="2"/>
      <c r="H2596" s="2"/>
      <c r="I2596" s="3"/>
      <c r="J2596" s="6"/>
    </row>
    <row r="2597" spans="7:10" x14ac:dyDescent="0.35">
      <c r="G2597" s="2"/>
      <c r="H2597" s="2"/>
      <c r="I2597" s="3"/>
      <c r="J2597" s="6"/>
    </row>
    <row r="2598" spans="7:10" x14ac:dyDescent="0.35">
      <c r="G2598" s="2"/>
      <c r="H2598" s="2"/>
      <c r="I2598" s="3"/>
      <c r="J2598" s="6"/>
    </row>
    <row r="2599" spans="7:10" x14ac:dyDescent="0.35">
      <c r="G2599" s="2"/>
      <c r="H2599" s="2"/>
      <c r="I2599" s="3"/>
      <c r="J2599" s="6"/>
    </row>
    <row r="2600" spans="7:10" x14ac:dyDescent="0.35">
      <c r="G2600" s="2"/>
      <c r="H2600" s="2"/>
      <c r="I2600" s="3"/>
      <c r="J2600" s="6"/>
    </row>
    <row r="2601" spans="7:10" x14ac:dyDescent="0.35">
      <c r="G2601" s="2"/>
      <c r="H2601" s="2"/>
      <c r="I2601" s="3"/>
      <c r="J2601" s="6"/>
    </row>
    <row r="2602" spans="7:10" x14ac:dyDescent="0.35">
      <c r="G2602" s="2"/>
      <c r="H2602" s="2"/>
      <c r="I2602" s="3"/>
      <c r="J2602" s="6"/>
    </row>
    <row r="2603" spans="7:10" x14ac:dyDescent="0.35">
      <c r="G2603" s="2"/>
      <c r="H2603" s="2"/>
      <c r="I2603" s="3"/>
      <c r="J2603" s="6"/>
    </row>
    <row r="2604" spans="7:10" x14ac:dyDescent="0.35">
      <c r="G2604" s="2"/>
      <c r="H2604" s="2"/>
      <c r="I2604" s="3"/>
      <c r="J2604" s="6"/>
    </row>
    <row r="2605" spans="7:10" x14ac:dyDescent="0.35">
      <c r="G2605" s="2"/>
      <c r="H2605" s="2"/>
      <c r="I2605" s="3"/>
      <c r="J2605" s="6"/>
    </row>
    <row r="2606" spans="7:10" x14ac:dyDescent="0.35">
      <c r="G2606" s="2"/>
      <c r="H2606" s="2"/>
      <c r="I2606" s="3"/>
      <c r="J2606" s="6"/>
    </row>
    <row r="2607" spans="7:10" x14ac:dyDescent="0.35">
      <c r="G2607" s="2"/>
      <c r="H2607" s="2"/>
      <c r="I2607" s="3"/>
      <c r="J2607" s="6"/>
    </row>
    <row r="2608" spans="7:10" x14ac:dyDescent="0.35">
      <c r="G2608" s="2"/>
      <c r="H2608" s="2"/>
      <c r="I2608" s="3"/>
      <c r="J2608" s="6"/>
    </row>
    <row r="2609" spans="7:10" x14ac:dyDescent="0.35">
      <c r="G2609" s="2"/>
      <c r="H2609" s="2"/>
      <c r="I2609" s="3"/>
      <c r="J2609" s="6"/>
    </row>
    <row r="2610" spans="7:10" x14ac:dyDescent="0.35">
      <c r="G2610" s="2"/>
      <c r="H2610" s="2"/>
      <c r="I2610" s="3"/>
      <c r="J2610" s="6"/>
    </row>
    <row r="2611" spans="7:10" x14ac:dyDescent="0.35">
      <c r="G2611" s="2"/>
      <c r="H2611" s="2"/>
      <c r="I2611" s="3"/>
      <c r="J2611" s="6"/>
    </row>
    <row r="2612" spans="7:10" x14ac:dyDescent="0.35">
      <c r="G2612" s="2"/>
      <c r="H2612" s="2"/>
      <c r="I2612" s="3"/>
      <c r="J2612" s="6"/>
    </row>
    <row r="2613" spans="7:10" x14ac:dyDescent="0.35">
      <c r="G2613" s="2"/>
      <c r="H2613" s="2"/>
      <c r="I2613" s="3"/>
      <c r="J2613" s="6"/>
    </row>
    <row r="2614" spans="7:10" x14ac:dyDescent="0.35">
      <c r="G2614" s="2"/>
      <c r="H2614" s="2"/>
      <c r="I2614" s="3"/>
      <c r="J2614" s="6"/>
    </row>
    <row r="2615" spans="7:10" x14ac:dyDescent="0.35">
      <c r="G2615" s="2"/>
      <c r="H2615" s="2"/>
      <c r="I2615" s="3"/>
      <c r="J2615" s="6"/>
    </row>
    <row r="2616" spans="7:10" x14ac:dyDescent="0.35">
      <c r="G2616" s="2"/>
      <c r="H2616" s="2"/>
      <c r="I2616" s="3"/>
      <c r="J2616" s="6"/>
    </row>
    <row r="2617" spans="7:10" x14ac:dyDescent="0.35">
      <c r="G2617" s="2"/>
      <c r="H2617" s="2"/>
      <c r="I2617" s="3"/>
      <c r="J2617" s="6"/>
    </row>
    <row r="2618" spans="7:10" x14ac:dyDescent="0.35">
      <c r="G2618" s="2"/>
      <c r="H2618" s="2"/>
      <c r="I2618" s="3"/>
      <c r="J2618" s="6"/>
    </row>
    <row r="2619" spans="7:10" x14ac:dyDescent="0.35">
      <c r="G2619" s="2"/>
      <c r="H2619" s="2"/>
      <c r="I2619" s="3"/>
      <c r="J2619" s="6"/>
    </row>
    <row r="2620" spans="7:10" x14ac:dyDescent="0.35">
      <c r="G2620" s="2"/>
      <c r="H2620" s="2"/>
      <c r="I2620" s="3"/>
      <c r="J2620" s="6"/>
    </row>
    <row r="2621" spans="7:10" x14ac:dyDescent="0.35">
      <c r="G2621" s="2"/>
      <c r="H2621" s="2"/>
      <c r="I2621" s="3"/>
      <c r="J2621" s="6"/>
    </row>
    <row r="2622" spans="7:10" x14ac:dyDescent="0.35">
      <c r="G2622" s="2"/>
      <c r="H2622" s="2"/>
      <c r="I2622" s="3"/>
      <c r="J2622" s="6"/>
    </row>
    <row r="2623" spans="7:10" x14ac:dyDescent="0.35">
      <c r="G2623" s="2"/>
      <c r="H2623" s="2"/>
      <c r="I2623" s="3"/>
      <c r="J2623" s="6"/>
    </row>
    <row r="2624" spans="7:10" x14ac:dyDescent="0.35">
      <c r="G2624" s="2"/>
      <c r="H2624" s="2"/>
      <c r="I2624" s="3"/>
      <c r="J2624" s="6"/>
    </row>
    <row r="2625" spans="7:10" x14ac:dyDescent="0.35">
      <c r="G2625" s="2"/>
      <c r="H2625" s="2"/>
      <c r="I2625" s="3"/>
      <c r="J2625" s="6"/>
    </row>
    <row r="2626" spans="7:10" x14ac:dyDescent="0.35">
      <c r="G2626" s="2"/>
      <c r="H2626" s="2"/>
      <c r="I2626" s="3"/>
      <c r="J2626" s="6"/>
    </row>
    <row r="2627" spans="7:10" x14ac:dyDescent="0.35">
      <c r="G2627" s="2"/>
      <c r="H2627" s="2"/>
      <c r="I2627" s="3"/>
      <c r="J2627" s="6"/>
    </row>
    <row r="2628" spans="7:10" x14ac:dyDescent="0.35">
      <c r="G2628" s="2"/>
      <c r="H2628" s="2"/>
      <c r="I2628" s="3"/>
      <c r="J2628" s="6"/>
    </row>
    <row r="2629" spans="7:10" x14ac:dyDescent="0.35">
      <c r="G2629" s="2"/>
      <c r="H2629" s="2"/>
      <c r="I2629" s="3"/>
      <c r="J2629" s="6"/>
    </row>
    <row r="2630" spans="7:10" x14ac:dyDescent="0.35">
      <c r="G2630" s="2"/>
      <c r="H2630" s="2"/>
      <c r="I2630" s="3"/>
      <c r="J2630" s="6"/>
    </row>
    <row r="2631" spans="7:10" x14ac:dyDescent="0.35">
      <c r="G2631" s="2"/>
      <c r="H2631" s="2"/>
      <c r="I2631" s="3"/>
      <c r="J2631" s="6"/>
    </row>
    <row r="2632" spans="7:10" x14ac:dyDescent="0.35">
      <c r="G2632" s="2"/>
      <c r="H2632" s="2"/>
      <c r="I2632" s="3"/>
      <c r="J2632" s="6"/>
    </row>
    <row r="2633" spans="7:10" x14ac:dyDescent="0.35">
      <c r="G2633" s="2"/>
      <c r="H2633" s="2"/>
      <c r="I2633" s="3"/>
      <c r="J2633" s="6"/>
    </row>
    <row r="2634" spans="7:10" x14ac:dyDescent="0.35">
      <c r="G2634" s="2"/>
      <c r="H2634" s="2"/>
      <c r="I2634" s="3"/>
      <c r="J2634" s="6"/>
    </row>
    <row r="2635" spans="7:10" x14ac:dyDescent="0.35">
      <c r="G2635" s="2"/>
      <c r="H2635" s="2"/>
      <c r="I2635" s="3"/>
      <c r="J2635" s="6"/>
    </row>
    <row r="2636" spans="7:10" x14ac:dyDescent="0.35">
      <c r="G2636" s="2"/>
      <c r="H2636" s="2"/>
      <c r="I2636" s="3"/>
      <c r="J2636" s="6"/>
    </row>
    <row r="2637" spans="7:10" x14ac:dyDescent="0.35">
      <c r="G2637" s="2"/>
      <c r="H2637" s="2"/>
      <c r="I2637" s="3"/>
      <c r="J2637" s="6"/>
    </row>
    <row r="2638" spans="7:10" x14ac:dyDescent="0.35">
      <c r="G2638" s="2"/>
      <c r="H2638" s="2"/>
      <c r="I2638" s="3"/>
      <c r="J2638" s="6"/>
    </row>
    <row r="2639" spans="7:10" x14ac:dyDescent="0.35">
      <c r="G2639" s="2"/>
      <c r="H2639" s="2"/>
      <c r="I2639" s="3"/>
      <c r="J2639" s="6"/>
    </row>
    <row r="2640" spans="7:10" x14ac:dyDescent="0.35">
      <c r="G2640" s="2"/>
      <c r="H2640" s="2"/>
      <c r="I2640" s="3"/>
      <c r="J2640" s="6"/>
    </row>
    <row r="2641" spans="7:10" x14ac:dyDescent="0.35">
      <c r="G2641" s="2"/>
      <c r="H2641" s="2"/>
      <c r="I2641" s="3"/>
      <c r="J2641" s="6"/>
    </row>
    <row r="2642" spans="7:10" x14ac:dyDescent="0.35">
      <c r="G2642" s="2"/>
      <c r="H2642" s="2"/>
      <c r="I2642" s="3"/>
      <c r="J2642" s="6"/>
    </row>
    <row r="2643" spans="7:10" x14ac:dyDescent="0.35">
      <c r="G2643" s="2"/>
      <c r="H2643" s="2"/>
      <c r="I2643" s="3"/>
      <c r="J2643" s="6"/>
    </row>
    <row r="2644" spans="7:10" x14ac:dyDescent="0.35">
      <c r="G2644" s="2"/>
      <c r="H2644" s="2"/>
      <c r="I2644" s="3"/>
      <c r="J2644" s="6"/>
    </row>
    <row r="2645" spans="7:10" x14ac:dyDescent="0.35">
      <c r="G2645" s="2"/>
      <c r="H2645" s="2"/>
      <c r="I2645" s="3"/>
      <c r="J2645" s="6"/>
    </row>
    <row r="2646" spans="7:10" x14ac:dyDescent="0.35">
      <c r="G2646" s="2"/>
      <c r="H2646" s="2"/>
      <c r="I2646" s="3"/>
      <c r="J2646" s="6"/>
    </row>
    <row r="2647" spans="7:10" x14ac:dyDescent="0.35">
      <c r="G2647" s="2"/>
      <c r="H2647" s="2"/>
      <c r="I2647" s="3"/>
      <c r="J2647" s="6"/>
    </row>
    <row r="2648" spans="7:10" x14ac:dyDescent="0.35">
      <c r="G2648" s="2"/>
      <c r="H2648" s="2"/>
      <c r="I2648" s="3"/>
      <c r="J2648" s="6"/>
    </row>
    <row r="2649" spans="7:10" x14ac:dyDescent="0.35">
      <c r="G2649" s="2"/>
      <c r="H2649" s="2"/>
      <c r="I2649" s="3"/>
      <c r="J2649" s="6"/>
    </row>
    <row r="2650" spans="7:10" x14ac:dyDescent="0.35">
      <c r="G2650" s="2"/>
      <c r="H2650" s="2"/>
      <c r="I2650" s="3"/>
      <c r="J2650" s="6"/>
    </row>
    <row r="2651" spans="7:10" x14ac:dyDescent="0.35">
      <c r="G2651" s="2"/>
      <c r="H2651" s="2"/>
      <c r="I2651" s="3"/>
      <c r="J2651" s="6"/>
    </row>
    <row r="2652" spans="7:10" x14ac:dyDescent="0.35">
      <c r="G2652" s="2"/>
      <c r="H2652" s="2"/>
      <c r="I2652" s="3"/>
      <c r="J2652" s="6"/>
    </row>
    <row r="2653" spans="7:10" x14ac:dyDescent="0.35">
      <c r="G2653" s="2"/>
      <c r="H2653" s="2"/>
      <c r="I2653" s="3"/>
      <c r="J2653" s="6"/>
    </row>
    <row r="2654" spans="7:10" x14ac:dyDescent="0.35">
      <c r="G2654" s="2"/>
      <c r="H2654" s="2"/>
      <c r="I2654" s="3"/>
      <c r="J2654" s="6"/>
    </row>
    <row r="2655" spans="7:10" x14ac:dyDescent="0.35">
      <c r="G2655" s="2"/>
      <c r="H2655" s="2"/>
      <c r="I2655" s="3"/>
      <c r="J2655" s="6"/>
    </row>
    <row r="2656" spans="7:10" x14ac:dyDescent="0.35">
      <c r="G2656" s="2"/>
      <c r="H2656" s="2"/>
      <c r="I2656" s="3"/>
      <c r="J2656" s="6"/>
    </row>
    <row r="2657" spans="7:10" x14ac:dyDescent="0.35">
      <c r="G2657" s="2"/>
      <c r="H2657" s="2"/>
      <c r="I2657" s="3"/>
      <c r="J2657" s="6"/>
    </row>
    <row r="2658" spans="7:10" x14ac:dyDescent="0.35">
      <c r="G2658" s="2"/>
      <c r="H2658" s="2"/>
      <c r="I2658" s="3"/>
      <c r="J2658" s="6"/>
    </row>
    <row r="2659" spans="7:10" x14ac:dyDescent="0.35">
      <c r="G2659" s="2"/>
      <c r="H2659" s="2"/>
      <c r="I2659" s="3"/>
      <c r="J2659" s="6"/>
    </row>
    <row r="2660" spans="7:10" x14ac:dyDescent="0.35">
      <c r="G2660" s="2"/>
      <c r="H2660" s="2"/>
      <c r="I2660" s="3"/>
      <c r="J2660" s="6"/>
    </row>
    <row r="2661" spans="7:10" x14ac:dyDescent="0.35">
      <c r="G2661" s="2"/>
      <c r="H2661" s="2"/>
      <c r="I2661" s="3"/>
      <c r="J2661" s="6"/>
    </row>
    <row r="2662" spans="7:10" x14ac:dyDescent="0.35">
      <c r="G2662" s="2"/>
      <c r="H2662" s="2"/>
      <c r="I2662" s="3"/>
      <c r="J2662" s="6"/>
    </row>
    <row r="2663" spans="7:10" x14ac:dyDescent="0.35">
      <c r="G2663" s="2"/>
      <c r="H2663" s="2"/>
      <c r="I2663" s="3"/>
      <c r="J2663" s="6"/>
    </row>
    <row r="2664" spans="7:10" x14ac:dyDescent="0.35">
      <c r="G2664" s="2"/>
      <c r="H2664" s="2"/>
      <c r="I2664" s="3"/>
      <c r="J2664" s="6"/>
    </row>
    <row r="2665" spans="7:10" x14ac:dyDescent="0.35">
      <c r="G2665" s="2"/>
      <c r="H2665" s="2"/>
      <c r="I2665" s="3"/>
      <c r="J2665" s="6"/>
    </row>
    <row r="2666" spans="7:10" x14ac:dyDescent="0.35">
      <c r="G2666" s="2"/>
      <c r="H2666" s="2"/>
      <c r="I2666" s="3"/>
      <c r="J2666" s="6"/>
    </row>
    <row r="2667" spans="7:10" x14ac:dyDescent="0.35">
      <c r="G2667" s="2"/>
      <c r="H2667" s="2"/>
      <c r="I2667" s="3"/>
      <c r="J2667" s="6"/>
    </row>
    <row r="2668" spans="7:10" x14ac:dyDescent="0.35">
      <c r="G2668" s="2"/>
      <c r="H2668" s="2"/>
      <c r="I2668" s="3"/>
      <c r="J2668" s="6"/>
    </row>
    <row r="2669" spans="7:10" x14ac:dyDescent="0.35">
      <c r="G2669" s="2"/>
      <c r="H2669" s="2"/>
      <c r="I2669" s="3"/>
      <c r="J2669" s="6"/>
    </row>
    <row r="2670" spans="7:10" x14ac:dyDescent="0.35">
      <c r="G2670" s="2"/>
      <c r="H2670" s="2"/>
      <c r="I2670" s="3"/>
      <c r="J2670" s="6"/>
    </row>
    <row r="2671" spans="7:10" x14ac:dyDescent="0.35">
      <c r="G2671" s="2"/>
      <c r="H2671" s="2"/>
      <c r="I2671" s="3"/>
      <c r="J2671" s="6"/>
    </row>
    <row r="2672" spans="7:10" x14ac:dyDescent="0.35">
      <c r="G2672" s="2"/>
      <c r="H2672" s="2"/>
      <c r="I2672" s="3"/>
      <c r="J2672" s="6"/>
    </row>
    <row r="2673" spans="7:10" x14ac:dyDescent="0.35">
      <c r="G2673" s="2"/>
      <c r="H2673" s="2"/>
      <c r="I2673" s="3"/>
      <c r="J2673" s="6"/>
    </row>
    <row r="2674" spans="7:10" x14ac:dyDescent="0.35">
      <c r="G2674" s="2"/>
      <c r="H2674" s="2"/>
      <c r="I2674" s="3"/>
      <c r="J2674" s="6"/>
    </row>
    <row r="2675" spans="7:10" x14ac:dyDescent="0.35">
      <c r="G2675" s="2"/>
      <c r="H2675" s="2"/>
      <c r="I2675" s="3"/>
      <c r="J2675" s="6"/>
    </row>
    <row r="2676" spans="7:10" x14ac:dyDescent="0.35">
      <c r="G2676" s="2"/>
      <c r="H2676" s="2"/>
      <c r="I2676" s="3"/>
      <c r="J2676" s="6"/>
    </row>
    <row r="2677" spans="7:10" x14ac:dyDescent="0.35">
      <c r="G2677" s="2"/>
      <c r="H2677" s="2"/>
      <c r="I2677" s="3"/>
      <c r="J2677" s="6"/>
    </row>
    <row r="2678" spans="7:10" x14ac:dyDescent="0.35">
      <c r="G2678" s="2"/>
      <c r="H2678" s="2"/>
      <c r="I2678" s="3"/>
      <c r="J2678" s="6"/>
    </row>
    <row r="2679" spans="7:10" x14ac:dyDescent="0.35">
      <c r="G2679" s="2"/>
      <c r="H2679" s="2"/>
      <c r="I2679" s="3"/>
      <c r="J2679" s="6"/>
    </row>
    <row r="2680" spans="7:10" x14ac:dyDescent="0.35">
      <c r="G2680" s="2"/>
      <c r="H2680" s="2"/>
      <c r="I2680" s="3"/>
      <c r="J2680" s="6"/>
    </row>
    <row r="2681" spans="7:10" x14ac:dyDescent="0.35">
      <c r="G2681" s="2"/>
      <c r="H2681" s="2"/>
      <c r="I2681" s="3"/>
      <c r="J2681" s="6"/>
    </row>
    <row r="2682" spans="7:10" x14ac:dyDescent="0.35">
      <c r="G2682" s="2"/>
      <c r="H2682" s="2"/>
      <c r="I2682" s="3"/>
      <c r="J2682" s="6"/>
    </row>
    <row r="2683" spans="7:10" x14ac:dyDescent="0.35">
      <c r="G2683" s="2"/>
      <c r="H2683" s="2"/>
      <c r="I2683" s="3"/>
      <c r="J2683" s="6"/>
    </row>
    <row r="2684" spans="7:10" x14ac:dyDescent="0.35">
      <c r="G2684" s="2"/>
      <c r="H2684" s="2"/>
      <c r="I2684" s="3"/>
      <c r="J2684" s="6"/>
    </row>
    <row r="2685" spans="7:10" x14ac:dyDescent="0.35">
      <c r="G2685" s="2"/>
      <c r="H2685" s="2"/>
      <c r="I2685" s="3"/>
      <c r="J2685" s="6"/>
    </row>
    <row r="2686" spans="7:10" x14ac:dyDescent="0.35">
      <c r="G2686" s="2"/>
      <c r="H2686" s="2"/>
      <c r="I2686" s="3"/>
      <c r="J2686" s="6"/>
    </row>
    <row r="2687" spans="7:10" x14ac:dyDescent="0.35">
      <c r="G2687" s="2"/>
      <c r="H2687" s="2"/>
      <c r="I2687" s="3"/>
      <c r="J2687" s="6"/>
    </row>
    <row r="2688" spans="7:10" x14ac:dyDescent="0.35">
      <c r="G2688" s="2"/>
      <c r="H2688" s="2"/>
      <c r="I2688" s="3"/>
      <c r="J2688" s="6"/>
    </row>
    <row r="2689" spans="7:10" x14ac:dyDescent="0.35">
      <c r="G2689" s="2"/>
      <c r="H2689" s="2"/>
      <c r="I2689" s="3"/>
      <c r="J2689" s="6"/>
    </row>
    <row r="2690" spans="7:10" x14ac:dyDescent="0.35">
      <c r="G2690" s="2"/>
      <c r="H2690" s="2"/>
      <c r="I2690" s="3"/>
      <c r="J2690" s="6"/>
    </row>
    <row r="2691" spans="7:10" x14ac:dyDescent="0.35">
      <c r="G2691" s="2"/>
      <c r="H2691" s="2"/>
      <c r="I2691" s="3"/>
      <c r="J2691" s="6"/>
    </row>
    <row r="2692" spans="7:10" x14ac:dyDescent="0.35">
      <c r="G2692" s="2"/>
      <c r="H2692" s="2"/>
      <c r="I2692" s="3"/>
      <c r="J2692" s="6"/>
    </row>
    <row r="2693" spans="7:10" x14ac:dyDescent="0.35">
      <c r="G2693" s="2"/>
      <c r="H2693" s="2"/>
      <c r="I2693" s="3"/>
      <c r="J2693" s="6"/>
    </row>
    <row r="2694" spans="7:10" x14ac:dyDescent="0.35">
      <c r="G2694" s="2"/>
      <c r="H2694" s="2"/>
      <c r="I2694" s="3"/>
      <c r="J2694" s="6"/>
    </row>
    <row r="2695" spans="7:10" x14ac:dyDescent="0.35">
      <c r="G2695" s="2"/>
      <c r="H2695" s="2"/>
      <c r="I2695" s="3"/>
      <c r="J2695" s="6"/>
    </row>
    <row r="2696" spans="7:10" x14ac:dyDescent="0.35">
      <c r="G2696" s="2"/>
      <c r="H2696" s="2"/>
      <c r="I2696" s="3"/>
      <c r="J2696" s="6"/>
    </row>
    <row r="2697" spans="7:10" x14ac:dyDescent="0.35">
      <c r="G2697" s="2"/>
      <c r="H2697" s="2"/>
      <c r="I2697" s="3"/>
      <c r="J2697" s="6"/>
    </row>
    <row r="2698" spans="7:10" x14ac:dyDescent="0.35">
      <c r="G2698" s="2"/>
      <c r="H2698" s="2"/>
      <c r="I2698" s="3"/>
      <c r="J2698" s="6"/>
    </row>
    <row r="2699" spans="7:10" x14ac:dyDescent="0.35">
      <c r="G2699" s="2"/>
      <c r="H2699" s="2"/>
      <c r="I2699" s="3"/>
      <c r="J2699" s="6"/>
    </row>
    <row r="2700" spans="7:10" x14ac:dyDescent="0.35">
      <c r="G2700" s="2"/>
      <c r="H2700" s="2"/>
      <c r="I2700" s="3"/>
      <c r="J2700" s="6"/>
    </row>
    <row r="2701" spans="7:10" x14ac:dyDescent="0.35">
      <c r="G2701" s="2"/>
      <c r="H2701" s="2"/>
      <c r="I2701" s="3"/>
      <c r="J2701" s="6"/>
    </row>
    <row r="2702" spans="7:10" x14ac:dyDescent="0.35">
      <c r="G2702" s="2"/>
      <c r="H2702" s="2"/>
      <c r="I2702" s="3"/>
      <c r="J2702" s="6"/>
    </row>
    <row r="2703" spans="7:10" x14ac:dyDescent="0.35">
      <c r="G2703" s="2"/>
      <c r="H2703" s="2"/>
      <c r="I2703" s="3"/>
      <c r="J2703" s="6"/>
    </row>
    <row r="2704" spans="7:10" x14ac:dyDescent="0.35">
      <c r="G2704" s="2"/>
      <c r="H2704" s="2"/>
      <c r="I2704" s="3"/>
      <c r="J2704" s="6"/>
    </row>
    <row r="2705" spans="7:10" x14ac:dyDescent="0.35">
      <c r="G2705" s="2"/>
      <c r="H2705" s="2"/>
      <c r="I2705" s="3"/>
      <c r="J2705" s="6"/>
    </row>
    <row r="2706" spans="7:10" x14ac:dyDescent="0.35">
      <c r="G2706" s="2"/>
      <c r="H2706" s="2"/>
      <c r="I2706" s="3"/>
      <c r="J2706" s="6"/>
    </row>
    <row r="2707" spans="7:10" x14ac:dyDescent="0.35">
      <c r="G2707" s="2"/>
      <c r="H2707" s="2"/>
      <c r="I2707" s="3"/>
      <c r="J2707" s="6"/>
    </row>
    <row r="2708" spans="7:10" x14ac:dyDescent="0.35">
      <c r="G2708" s="2"/>
      <c r="H2708" s="2"/>
      <c r="I2708" s="3"/>
      <c r="J2708" s="6"/>
    </row>
    <row r="2709" spans="7:10" x14ac:dyDescent="0.35">
      <c r="G2709" s="2"/>
      <c r="H2709" s="2"/>
      <c r="I2709" s="3"/>
      <c r="J2709" s="6"/>
    </row>
    <row r="2710" spans="7:10" x14ac:dyDescent="0.35">
      <c r="G2710" s="2"/>
      <c r="H2710" s="2"/>
      <c r="I2710" s="3"/>
      <c r="J2710" s="6"/>
    </row>
    <row r="2711" spans="7:10" x14ac:dyDescent="0.35">
      <c r="G2711" s="2"/>
      <c r="H2711" s="2"/>
      <c r="I2711" s="3"/>
      <c r="J2711" s="6"/>
    </row>
    <row r="2712" spans="7:10" x14ac:dyDescent="0.35">
      <c r="G2712" s="2"/>
      <c r="H2712" s="2"/>
      <c r="I2712" s="3"/>
      <c r="J2712" s="6"/>
    </row>
    <row r="2713" spans="7:10" x14ac:dyDescent="0.35">
      <c r="G2713" s="2"/>
      <c r="H2713" s="2"/>
      <c r="I2713" s="3"/>
      <c r="J2713" s="6"/>
    </row>
    <row r="2714" spans="7:10" x14ac:dyDescent="0.35">
      <c r="G2714" s="2"/>
      <c r="H2714" s="2"/>
      <c r="I2714" s="3"/>
      <c r="J2714" s="6"/>
    </row>
    <row r="2715" spans="7:10" x14ac:dyDescent="0.35">
      <c r="G2715" s="2"/>
      <c r="H2715" s="2"/>
      <c r="I2715" s="3"/>
      <c r="J2715" s="6"/>
    </row>
    <row r="2716" spans="7:10" x14ac:dyDescent="0.35">
      <c r="G2716" s="2"/>
      <c r="H2716" s="2"/>
      <c r="I2716" s="3"/>
      <c r="J2716" s="6"/>
    </row>
    <row r="2717" spans="7:10" x14ac:dyDescent="0.35">
      <c r="G2717" s="2"/>
      <c r="H2717" s="2"/>
      <c r="I2717" s="3"/>
      <c r="J2717" s="6"/>
    </row>
    <row r="2718" spans="7:10" x14ac:dyDescent="0.35">
      <c r="G2718" s="2"/>
      <c r="H2718" s="2"/>
      <c r="I2718" s="3"/>
      <c r="J2718" s="6"/>
    </row>
    <row r="2719" spans="7:10" x14ac:dyDescent="0.35">
      <c r="G2719" s="2"/>
      <c r="H2719" s="2"/>
      <c r="I2719" s="3"/>
      <c r="J2719" s="6"/>
    </row>
    <row r="2720" spans="7:10" x14ac:dyDescent="0.35">
      <c r="G2720" s="2"/>
      <c r="H2720" s="2"/>
      <c r="I2720" s="3"/>
      <c r="J2720" s="6"/>
    </row>
    <row r="2721" spans="7:10" x14ac:dyDescent="0.35">
      <c r="G2721" s="2"/>
      <c r="H2721" s="2"/>
      <c r="I2721" s="3"/>
      <c r="J2721" s="6"/>
    </row>
    <row r="2722" spans="7:10" x14ac:dyDescent="0.35">
      <c r="G2722" s="2"/>
      <c r="H2722" s="2"/>
      <c r="I2722" s="3"/>
      <c r="J2722" s="6"/>
    </row>
    <row r="2723" spans="7:10" x14ac:dyDescent="0.35">
      <c r="G2723" s="2"/>
      <c r="H2723" s="2"/>
      <c r="I2723" s="3"/>
      <c r="J2723" s="6"/>
    </row>
    <row r="2724" spans="7:10" x14ac:dyDescent="0.35">
      <c r="G2724" s="2"/>
      <c r="H2724" s="2"/>
      <c r="I2724" s="3"/>
      <c r="J2724" s="6"/>
    </row>
    <row r="2725" spans="7:10" x14ac:dyDescent="0.35">
      <c r="G2725" s="2"/>
      <c r="H2725" s="2"/>
      <c r="I2725" s="3"/>
      <c r="J2725" s="6"/>
    </row>
    <row r="2726" spans="7:10" x14ac:dyDescent="0.35">
      <c r="G2726" s="2"/>
      <c r="H2726" s="2"/>
      <c r="I2726" s="3"/>
      <c r="J2726" s="6"/>
    </row>
    <row r="2727" spans="7:10" x14ac:dyDescent="0.35">
      <c r="G2727" s="2"/>
      <c r="H2727" s="2"/>
      <c r="I2727" s="3"/>
      <c r="J2727" s="6"/>
    </row>
    <row r="2728" spans="7:10" x14ac:dyDescent="0.35">
      <c r="G2728" s="2"/>
      <c r="H2728" s="2"/>
      <c r="I2728" s="3"/>
      <c r="J2728" s="6"/>
    </row>
    <row r="2729" spans="7:10" x14ac:dyDescent="0.35">
      <c r="G2729" s="2"/>
      <c r="H2729" s="2"/>
      <c r="I2729" s="3"/>
      <c r="J2729" s="6"/>
    </row>
    <row r="2730" spans="7:10" x14ac:dyDescent="0.35">
      <c r="G2730" s="2"/>
      <c r="H2730" s="2"/>
      <c r="I2730" s="3"/>
      <c r="J2730" s="6"/>
    </row>
    <row r="2731" spans="7:10" x14ac:dyDescent="0.35">
      <c r="G2731" s="2"/>
      <c r="H2731" s="2"/>
      <c r="I2731" s="3"/>
      <c r="J2731" s="6"/>
    </row>
    <row r="2732" spans="7:10" x14ac:dyDescent="0.35">
      <c r="G2732" s="2"/>
      <c r="H2732" s="2"/>
      <c r="I2732" s="3"/>
      <c r="J2732" s="6"/>
    </row>
    <row r="2733" spans="7:10" x14ac:dyDescent="0.35">
      <c r="G2733" s="2"/>
      <c r="H2733" s="2"/>
      <c r="I2733" s="3"/>
      <c r="J2733" s="6"/>
    </row>
    <row r="2734" spans="7:10" x14ac:dyDescent="0.35">
      <c r="G2734" s="2"/>
      <c r="H2734" s="2"/>
      <c r="I2734" s="3"/>
      <c r="J2734" s="6"/>
    </row>
    <row r="2735" spans="7:10" x14ac:dyDescent="0.35">
      <c r="G2735" s="2"/>
      <c r="H2735" s="2"/>
      <c r="I2735" s="3"/>
      <c r="J2735" s="6"/>
    </row>
    <row r="2736" spans="7:10" x14ac:dyDescent="0.35">
      <c r="G2736" s="2"/>
      <c r="H2736" s="2"/>
      <c r="I2736" s="3"/>
      <c r="J2736" s="6"/>
    </row>
    <row r="2737" spans="7:10" x14ac:dyDescent="0.35">
      <c r="G2737" s="2"/>
      <c r="H2737" s="2"/>
      <c r="I2737" s="3"/>
      <c r="J2737" s="6"/>
    </row>
    <row r="2738" spans="7:10" x14ac:dyDescent="0.35">
      <c r="G2738" s="2"/>
      <c r="H2738" s="2"/>
      <c r="I2738" s="3"/>
      <c r="J2738" s="6"/>
    </row>
    <row r="2739" spans="7:10" x14ac:dyDescent="0.35">
      <c r="G2739" s="2"/>
      <c r="H2739" s="2"/>
      <c r="I2739" s="3"/>
      <c r="J2739" s="6"/>
    </row>
    <row r="2740" spans="7:10" x14ac:dyDescent="0.35">
      <c r="G2740" s="2"/>
      <c r="H2740" s="2"/>
      <c r="I2740" s="3"/>
      <c r="J2740" s="6"/>
    </row>
    <row r="2741" spans="7:10" x14ac:dyDescent="0.35">
      <c r="G2741" s="2"/>
      <c r="H2741" s="2"/>
      <c r="I2741" s="3"/>
      <c r="J2741" s="6"/>
    </row>
    <row r="2742" spans="7:10" x14ac:dyDescent="0.35">
      <c r="G2742" s="2"/>
      <c r="H2742" s="2"/>
      <c r="I2742" s="3"/>
      <c r="J2742" s="6"/>
    </row>
    <row r="2743" spans="7:10" x14ac:dyDescent="0.35">
      <c r="G2743" s="2"/>
      <c r="H2743" s="2"/>
      <c r="I2743" s="3"/>
      <c r="J2743" s="6"/>
    </row>
    <row r="2744" spans="7:10" x14ac:dyDescent="0.35">
      <c r="G2744" s="2"/>
      <c r="H2744" s="2"/>
      <c r="I2744" s="3"/>
      <c r="J2744" s="6"/>
    </row>
    <row r="2745" spans="7:10" x14ac:dyDescent="0.35">
      <c r="G2745" s="2"/>
      <c r="H2745" s="2"/>
      <c r="I2745" s="3"/>
      <c r="J2745" s="6"/>
    </row>
    <row r="2746" spans="7:10" x14ac:dyDescent="0.35">
      <c r="G2746" s="2"/>
      <c r="H2746" s="2"/>
      <c r="I2746" s="3"/>
      <c r="J2746" s="6"/>
    </row>
    <row r="2747" spans="7:10" x14ac:dyDescent="0.35">
      <c r="G2747" s="2"/>
      <c r="H2747" s="2"/>
      <c r="I2747" s="3"/>
      <c r="J2747" s="6"/>
    </row>
    <row r="2748" spans="7:10" x14ac:dyDescent="0.35">
      <c r="G2748" s="2"/>
      <c r="H2748" s="2"/>
      <c r="I2748" s="3"/>
      <c r="J2748" s="6"/>
    </row>
    <row r="2749" spans="7:10" x14ac:dyDescent="0.35">
      <c r="G2749" s="2"/>
      <c r="H2749" s="2"/>
      <c r="I2749" s="3"/>
      <c r="J2749" s="6"/>
    </row>
    <row r="2750" spans="7:10" x14ac:dyDescent="0.35">
      <c r="G2750" s="2"/>
      <c r="H2750" s="2"/>
      <c r="I2750" s="3"/>
      <c r="J2750" s="6"/>
    </row>
    <row r="2751" spans="7:10" x14ac:dyDescent="0.35">
      <c r="G2751" s="2"/>
      <c r="H2751" s="2"/>
      <c r="I2751" s="3"/>
      <c r="J2751" s="6"/>
    </row>
    <row r="2752" spans="7:10" x14ac:dyDescent="0.35">
      <c r="G2752" s="2"/>
      <c r="H2752" s="2"/>
      <c r="I2752" s="3"/>
      <c r="J2752" s="6"/>
    </row>
    <row r="2753" spans="7:10" x14ac:dyDescent="0.35">
      <c r="G2753" s="2"/>
      <c r="H2753" s="2"/>
      <c r="I2753" s="3"/>
      <c r="J2753" s="6"/>
    </row>
    <row r="2754" spans="7:10" x14ac:dyDescent="0.35">
      <c r="G2754" s="2"/>
      <c r="H2754" s="2"/>
      <c r="I2754" s="3"/>
      <c r="J2754" s="6"/>
    </row>
    <row r="2755" spans="7:10" x14ac:dyDescent="0.35">
      <c r="G2755" s="2"/>
      <c r="H2755" s="2"/>
      <c r="I2755" s="3"/>
      <c r="J2755" s="6"/>
    </row>
    <row r="2756" spans="7:10" x14ac:dyDescent="0.35">
      <c r="G2756" s="2"/>
      <c r="H2756" s="2"/>
      <c r="I2756" s="3"/>
      <c r="J2756" s="6"/>
    </row>
    <row r="2757" spans="7:10" x14ac:dyDescent="0.35">
      <c r="G2757" s="2"/>
      <c r="H2757" s="2"/>
      <c r="I2757" s="3"/>
      <c r="J2757" s="6"/>
    </row>
    <row r="2758" spans="7:10" x14ac:dyDescent="0.35">
      <c r="G2758" s="2"/>
      <c r="H2758" s="2"/>
      <c r="I2758" s="3"/>
      <c r="J2758" s="6"/>
    </row>
    <row r="2759" spans="7:10" x14ac:dyDescent="0.35">
      <c r="G2759" s="2"/>
      <c r="H2759" s="2"/>
      <c r="I2759" s="3"/>
      <c r="J2759" s="6"/>
    </row>
    <row r="2760" spans="7:10" x14ac:dyDescent="0.35">
      <c r="G2760" s="2"/>
      <c r="H2760" s="2"/>
      <c r="I2760" s="3"/>
      <c r="J2760" s="6"/>
    </row>
    <row r="2761" spans="7:10" x14ac:dyDescent="0.35">
      <c r="G2761" s="2"/>
      <c r="H2761" s="2"/>
      <c r="I2761" s="3"/>
      <c r="J2761" s="6"/>
    </row>
    <row r="2762" spans="7:10" x14ac:dyDescent="0.35">
      <c r="G2762" s="2"/>
      <c r="H2762" s="2"/>
      <c r="I2762" s="3"/>
      <c r="J2762" s="6"/>
    </row>
    <row r="2763" spans="7:10" x14ac:dyDescent="0.35">
      <c r="G2763" s="2"/>
      <c r="H2763" s="2"/>
      <c r="I2763" s="3"/>
      <c r="J2763" s="6"/>
    </row>
    <row r="2764" spans="7:10" x14ac:dyDescent="0.35">
      <c r="G2764" s="2"/>
      <c r="H2764" s="2"/>
      <c r="I2764" s="3"/>
      <c r="J2764" s="6"/>
    </row>
    <row r="2765" spans="7:10" x14ac:dyDescent="0.35">
      <c r="G2765" s="2"/>
      <c r="H2765" s="2"/>
      <c r="I2765" s="3"/>
      <c r="J2765" s="6"/>
    </row>
    <row r="2766" spans="7:10" x14ac:dyDescent="0.35">
      <c r="G2766" s="2"/>
      <c r="H2766" s="2"/>
      <c r="I2766" s="3"/>
      <c r="J2766" s="6"/>
    </row>
    <row r="2767" spans="7:10" x14ac:dyDescent="0.35">
      <c r="G2767" s="2"/>
      <c r="H2767" s="2"/>
      <c r="I2767" s="3"/>
      <c r="J2767" s="6"/>
    </row>
    <row r="2768" spans="7:10" x14ac:dyDescent="0.35">
      <c r="G2768" s="2"/>
      <c r="H2768" s="2"/>
      <c r="I2768" s="3"/>
      <c r="J2768" s="6"/>
    </row>
    <row r="2769" spans="7:10" x14ac:dyDescent="0.35">
      <c r="G2769" s="2"/>
      <c r="H2769" s="2"/>
      <c r="I2769" s="3"/>
      <c r="J2769" s="6"/>
    </row>
    <row r="2770" spans="7:10" x14ac:dyDescent="0.35">
      <c r="G2770" s="2"/>
      <c r="H2770" s="2"/>
      <c r="I2770" s="3"/>
      <c r="J2770" s="6"/>
    </row>
    <row r="2771" spans="7:10" x14ac:dyDescent="0.35">
      <c r="G2771" s="2"/>
      <c r="H2771" s="2"/>
      <c r="I2771" s="3"/>
      <c r="J2771" s="6"/>
    </row>
    <row r="2772" spans="7:10" x14ac:dyDescent="0.35">
      <c r="G2772" s="2"/>
      <c r="H2772" s="2"/>
      <c r="I2772" s="3"/>
      <c r="J2772" s="6"/>
    </row>
    <row r="2773" spans="7:10" x14ac:dyDescent="0.35">
      <c r="G2773" s="2"/>
      <c r="H2773" s="2"/>
      <c r="I2773" s="3"/>
      <c r="J2773" s="6"/>
    </row>
    <row r="2774" spans="7:10" x14ac:dyDescent="0.35">
      <c r="G2774" s="2"/>
      <c r="H2774" s="2"/>
      <c r="I2774" s="3"/>
      <c r="J2774" s="6"/>
    </row>
    <row r="2775" spans="7:10" x14ac:dyDescent="0.35">
      <c r="G2775" s="2"/>
      <c r="H2775" s="2"/>
      <c r="I2775" s="3"/>
      <c r="J2775" s="6"/>
    </row>
    <row r="2776" spans="7:10" x14ac:dyDescent="0.35">
      <c r="G2776" s="2"/>
      <c r="H2776" s="2"/>
      <c r="I2776" s="3"/>
      <c r="J2776" s="6"/>
    </row>
    <row r="2777" spans="7:10" x14ac:dyDescent="0.35">
      <c r="G2777" s="2"/>
      <c r="H2777" s="2"/>
      <c r="I2777" s="3"/>
      <c r="J2777" s="6"/>
    </row>
    <row r="2778" spans="7:10" x14ac:dyDescent="0.35">
      <c r="G2778" s="2"/>
      <c r="H2778" s="2"/>
      <c r="I2778" s="3"/>
      <c r="J2778" s="6"/>
    </row>
    <row r="2779" spans="7:10" x14ac:dyDescent="0.35">
      <c r="G2779" s="2"/>
      <c r="H2779" s="2"/>
      <c r="I2779" s="3"/>
      <c r="J2779" s="6"/>
    </row>
    <row r="2780" spans="7:10" x14ac:dyDescent="0.35">
      <c r="G2780" s="2"/>
      <c r="H2780" s="2"/>
      <c r="I2780" s="3"/>
      <c r="J2780" s="6"/>
    </row>
    <row r="2781" spans="7:10" x14ac:dyDescent="0.35">
      <c r="G2781" s="2"/>
      <c r="H2781" s="2"/>
      <c r="I2781" s="3"/>
      <c r="J2781" s="6"/>
    </row>
    <row r="2782" spans="7:10" x14ac:dyDescent="0.35">
      <c r="G2782" s="2"/>
      <c r="H2782" s="2"/>
      <c r="I2782" s="3"/>
      <c r="J2782" s="6"/>
    </row>
    <row r="2783" spans="7:10" x14ac:dyDescent="0.35">
      <c r="G2783" s="2"/>
      <c r="H2783" s="2"/>
      <c r="I2783" s="3"/>
      <c r="J2783" s="6"/>
    </row>
    <row r="2784" spans="7:10" x14ac:dyDescent="0.35">
      <c r="G2784" s="2"/>
      <c r="H2784" s="2"/>
      <c r="I2784" s="3"/>
      <c r="J2784" s="6"/>
    </row>
    <row r="2785" spans="7:10" x14ac:dyDescent="0.35">
      <c r="G2785" s="2"/>
      <c r="H2785" s="2"/>
      <c r="I2785" s="3"/>
      <c r="J2785" s="6"/>
    </row>
    <row r="2786" spans="7:10" x14ac:dyDescent="0.35">
      <c r="G2786" s="2"/>
      <c r="H2786" s="2"/>
      <c r="I2786" s="3"/>
      <c r="J2786" s="6"/>
    </row>
    <row r="2787" spans="7:10" x14ac:dyDescent="0.35">
      <c r="G2787" s="2"/>
      <c r="H2787" s="2"/>
      <c r="I2787" s="3"/>
      <c r="J2787" s="6"/>
    </row>
    <row r="2788" spans="7:10" x14ac:dyDescent="0.35">
      <c r="G2788" s="2"/>
      <c r="H2788" s="2"/>
      <c r="I2788" s="3"/>
      <c r="J2788" s="6"/>
    </row>
    <row r="2789" spans="7:10" x14ac:dyDescent="0.35">
      <c r="G2789" s="2"/>
      <c r="H2789" s="2"/>
      <c r="I2789" s="3"/>
      <c r="J2789" s="6"/>
    </row>
    <row r="2790" spans="7:10" x14ac:dyDescent="0.35">
      <c r="G2790" s="2"/>
      <c r="H2790" s="2"/>
      <c r="I2790" s="3"/>
      <c r="J2790" s="6"/>
    </row>
    <row r="2791" spans="7:10" x14ac:dyDescent="0.35">
      <c r="G2791" s="2"/>
      <c r="H2791" s="2"/>
      <c r="I2791" s="3"/>
      <c r="J2791" s="6"/>
    </row>
    <row r="2792" spans="7:10" x14ac:dyDescent="0.35">
      <c r="G2792" s="2"/>
      <c r="H2792" s="2"/>
      <c r="I2792" s="3"/>
      <c r="J2792" s="6"/>
    </row>
    <row r="2793" spans="7:10" x14ac:dyDescent="0.35">
      <c r="G2793" s="2"/>
      <c r="H2793" s="2"/>
      <c r="I2793" s="3"/>
      <c r="J2793" s="6"/>
    </row>
    <row r="2794" spans="7:10" x14ac:dyDescent="0.35">
      <c r="G2794" s="2"/>
      <c r="H2794" s="2"/>
      <c r="I2794" s="3"/>
      <c r="J2794" s="6"/>
    </row>
    <row r="2795" spans="7:10" x14ac:dyDescent="0.35">
      <c r="G2795" s="2"/>
      <c r="H2795" s="2"/>
      <c r="I2795" s="3"/>
      <c r="J2795" s="6"/>
    </row>
    <row r="2796" spans="7:10" x14ac:dyDescent="0.35">
      <c r="G2796" s="2"/>
      <c r="H2796" s="2"/>
      <c r="I2796" s="3"/>
      <c r="J2796" s="6"/>
    </row>
    <row r="2797" spans="7:10" x14ac:dyDescent="0.35">
      <c r="G2797" s="2"/>
      <c r="H2797" s="2"/>
      <c r="I2797" s="3"/>
      <c r="J2797" s="6"/>
    </row>
    <row r="2798" spans="7:10" x14ac:dyDescent="0.35">
      <c r="G2798" s="2"/>
      <c r="H2798" s="2"/>
      <c r="I2798" s="3"/>
      <c r="J2798" s="6"/>
    </row>
    <row r="2799" spans="7:10" x14ac:dyDescent="0.35">
      <c r="G2799" s="2"/>
      <c r="H2799" s="2"/>
      <c r="I2799" s="3"/>
      <c r="J2799" s="6"/>
    </row>
    <row r="2800" spans="7:10" x14ac:dyDescent="0.35">
      <c r="G2800" s="2"/>
      <c r="H2800" s="2"/>
      <c r="I2800" s="3"/>
      <c r="J2800" s="6"/>
    </row>
    <row r="2801" spans="7:10" x14ac:dyDescent="0.35">
      <c r="G2801" s="2"/>
      <c r="H2801" s="2"/>
      <c r="I2801" s="3"/>
      <c r="J2801" s="6"/>
    </row>
    <row r="2802" spans="7:10" x14ac:dyDescent="0.35">
      <c r="G2802" s="2"/>
      <c r="H2802" s="2"/>
      <c r="I2802" s="3"/>
      <c r="J2802" s="6"/>
    </row>
    <row r="2803" spans="7:10" x14ac:dyDescent="0.35">
      <c r="G2803" s="2"/>
      <c r="H2803" s="2"/>
      <c r="I2803" s="3"/>
      <c r="J2803" s="6"/>
    </row>
    <row r="2804" spans="7:10" x14ac:dyDescent="0.35">
      <c r="G2804" s="2"/>
      <c r="H2804" s="2"/>
      <c r="I2804" s="3"/>
      <c r="J2804" s="6"/>
    </row>
    <row r="2805" spans="7:10" x14ac:dyDescent="0.35">
      <c r="G2805" s="2"/>
      <c r="H2805" s="2"/>
      <c r="I2805" s="3"/>
      <c r="J2805" s="6"/>
    </row>
    <row r="2806" spans="7:10" x14ac:dyDescent="0.35">
      <c r="G2806" s="2"/>
      <c r="H2806" s="2"/>
      <c r="I2806" s="3"/>
      <c r="J2806" s="6"/>
    </row>
    <row r="2807" spans="7:10" x14ac:dyDescent="0.35">
      <c r="G2807" s="2"/>
      <c r="H2807" s="2"/>
      <c r="I2807" s="3"/>
      <c r="J2807" s="6"/>
    </row>
    <row r="2808" spans="7:10" x14ac:dyDescent="0.35">
      <c r="G2808" s="2"/>
      <c r="H2808" s="2"/>
      <c r="I2808" s="3"/>
      <c r="J2808" s="6"/>
    </row>
    <row r="2809" spans="7:10" x14ac:dyDescent="0.35">
      <c r="G2809" s="2"/>
      <c r="H2809" s="2"/>
      <c r="I2809" s="3"/>
      <c r="J2809" s="6"/>
    </row>
    <row r="2810" spans="7:10" x14ac:dyDescent="0.35">
      <c r="G2810" s="2"/>
      <c r="H2810" s="2"/>
      <c r="I2810" s="3"/>
      <c r="J2810" s="6"/>
    </row>
    <row r="2811" spans="7:10" x14ac:dyDescent="0.35">
      <c r="G2811" s="2"/>
      <c r="H2811" s="2"/>
      <c r="I2811" s="3"/>
      <c r="J2811" s="6"/>
    </row>
    <row r="2812" spans="7:10" x14ac:dyDescent="0.35">
      <c r="G2812" s="2"/>
      <c r="H2812" s="2"/>
      <c r="I2812" s="3"/>
      <c r="J2812" s="6"/>
    </row>
    <row r="2813" spans="7:10" x14ac:dyDescent="0.35">
      <c r="G2813" s="2"/>
      <c r="H2813" s="2"/>
      <c r="I2813" s="3"/>
      <c r="J2813" s="6"/>
    </row>
    <row r="2814" spans="7:10" x14ac:dyDescent="0.35">
      <c r="G2814" s="2"/>
      <c r="H2814" s="2"/>
      <c r="I2814" s="3"/>
      <c r="J2814" s="6"/>
    </row>
    <row r="2815" spans="7:10" x14ac:dyDescent="0.35">
      <c r="G2815" s="2"/>
      <c r="H2815" s="2"/>
      <c r="I2815" s="3"/>
      <c r="J2815" s="6"/>
    </row>
    <row r="2816" spans="7:10" x14ac:dyDescent="0.35">
      <c r="G2816" s="2"/>
      <c r="H2816" s="2"/>
      <c r="I2816" s="3"/>
      <c r="J2816" s="6"/>
    </row>
    <row r="2817" spans="7:10" x14ac:dyDescent="0.35">
      <c r="G2817" s="2"/>
      <c r="H2817" s="2"/>
      <c r="I2817" s="3"/>
      <c r="J2817" s="6"/>
    </row>
    <row r="2818" spans="7:10" x14ac:dyDescent="0.35">
      <c r="G2818" s="2"/>
      <c r="H2818" s="2"/>
      <c r="I2818" s="3"/>
      <c r="J2818" s="6"/>
    </row>
    <row r="2819" spans="7:10" x14ac:dyDescent="0.35">
      <c r="G2819" s="2"/>
      <c r="H2819" s="2"/>
      <c r="I2819" s="3"/>
      <c r="J2819" s="6"/>
    </row>
    <row r="2820" spans="7:10" x14ac:dyDescent="0.35">
      <c r="G2820" s="2"/>
      <c r="H2820" s="2"/>
      <c r="I2820" s="3"/>
      <c r="J2820" s="6"/>
    </row>
    <row r="2821" spans="7:10" x14ac:dyDescent="0.35">
      <c r="G2821" s="2"/>
      <c r="H2821" s="2"/>
      <c r="I2821" s="3"/>
      <c r="J2821" s="6"/>
    </row>
    <row r="2822" spans="7:10" x14ac:dyDescent="0.35">
      <c r="G2822" s="2"/>
      <c r="H2822" s="2"/>
      <c r="I2822" s="3"/>
      <c r="J2822" s="6"/>
    </row>
    <row r="2823" spans="7:10" x14ac:dyDescent="0.35">
      <c r="G2823" s="2"/>
      <c r="H2823" s="2"/>
      <c r="I2823" s="3"/>
      <c r="J2823" s="6"/>
    </row>
    <row r="2824" spans="7:10" x14ac:dyDescent="0.35">
      <c r="G2824" s="2"/>
      <c r="H2824" s="2"/>
      <c r="I2824" s="3"/>
      <c r="J2824" s="6"/>
    </row>
    <row r="2825" spans="7:10" x14ac:dyDescent="0.35">
      <c r="G2825" s="2"/>
      <c r="H2825" s="2"/>
      <c r="I2825" s="3"/>
      <c r="J2825" s="6"/>
    </row>
    <row r="2826" spans="7:10" x14ac:dyDescent="0.35">
      <c r="G2826" s="2"/>
      <c r="H2826" s="2"/>
      <c r="I2826" s="3"/>
      <c r="J2826" s="6"/>
    </row>
    <row r="2827" spans="7:10" x14ac:dyDescent="0.35">
      <c r="G2827" s="2"/>
      <c r="H2827" s="2"/>
      <c r="I2827" s="3"/>
      <c r="J2827" s="6"/>
    </row>
    <row r="2828" spans="7:10" x14ac:dyDescent="0.35">
      <c r="G2828" s="2"/>
      <c r="H2828" s="2"/>
      <c r="I2828" s="3"/>
      <c r="J2828" s="6"/>
    </row>
    <row r="2829" spans="7:10" x14ac:dyDescent="0.35">
      <c r="G2829" s="2"/>
      <c r="H2829" s="2"/>
      <c r="I2829" s="3"/>
      <c r="J2829" s="6"/>
    </row>
    <row r="2830" spans="7:10" x14ac:dyDescent="0.35">
      <c r="G2830" s="2"/>
      <c r="H2830" s="2"/>
      <c r="I2830" s="3"/>
      <c r="J2830" s="6"/>
    </row>
    <row r="2831" spans="7:10" x14ac:dyDescent="0.35">
      <c r="G2831" s="2"/>
      <c r="H2831" s="2"/>
      <c r="I2831" s="3"/>
      <c r="J2831" s="6"/>
    </row>
    <row r="2832" spans="7:10" x14ac:dyDescent="0.35">
      <c r="G2832" s="2"/>
      <c r="H2832" s="2"/>
      <c r="I2832" s="3"/>
      <c r="J2832" s="6"/>
    </row>
    <row r="2833" spans="7:10" x14ac:dyDescent="0.35">
      <c r="G2833" s="2"/>
      <c r="H2833" s="2"/>
      <c r="I2833" s="3"/>
      <c r="J2833" s="6"/>
    </row>
    <row r="2834" spans="7:10" x14ac:dyDescent="0.35">
      <c r="G2834" s="2"/>
      <c r="H2834" s="2"/>
      <c r="I2834" s="3"/>
      <c r="J2834" s="6"/>
    </row>
    <row r="2835" spans="7:10" x14ac:dyDescent="0.35">
      <c r="G2835" s="2"/>
      <c r="H2835" s="2"/>
      <c r="I2835" s="3"/>
      <c r="J2835" s="6"/>
    </row>
    <row r="2836" spans="7:10" x14ac:dyDescent="0.35">
      <c r="G2836" s="2"/>
      <c r="H2836" s="2"/>
      <c r="I2836" s="3"/>
      <c r="J2836" s="6"/>
    </row>
    <row r="2837" spans="7:10" x14ac:dyDescent="0.35">
      <c r="G2837" s="2"/>
      <c r="H2837" s="2"/>
      <c r="I2837" s="3"/>
      <c r="J2837" s="6"/>
    </row>
    <row r="2838" spans="7:10" x14ac:dyDescent="0.35">
      <c r="G2838" s="2"/>
      <c r="H2838" s="2"/>
      <c r="I2838" s="3"/>
      <c r="J2838" s="6"/>
    </row>
    <row r="2839" spans="7:10" x14ac:dyDescent="0.35">
      <c r="G2839" s="2"/>
      <c r="H2839" s="2"/>
      <c r="I2839" s="3"/>
      <c r="J2839" s="6"/>
    </row>
    <row r="2840" spans="7:10" x14ac:dyDescent="0.35">
      <c r="G2840" s="2"/>
      <c r="H2840" s="2"/>
      <c r="I2840" s="3"/>
      <c r="J2840" s="6"/>
    </row>
    <row r="2841" spans="7:10" x14ac:dyDescent="0.35">
      <c r="G2841" s="2"/>
      <c r="H2841" s="2"/>
      <c r="I2841" s="3"/>
      <c r="J2841" s="6"/>
    </row>
    <row r="2842" spans="7:10" x14ac:dyDescent="0.35">
      <c r="G2842" s="2"/>
      <c r="H2842" s="2"/>
      <c r="I2842" s="3"/>
      <c r="J2842" s="6"/>
    </row>
    <row r="2843" spans="7:10" x14ac:dyDescent="0.35">
      <c r="G2843" s="2"/>
      <c r="H2843" s="2"/>
      <c r="I2843" s="3"/>
      <c r="J2843" s="6"/>
    </row>
    <row r="2844" spans="7:10" x14ac:dyDescent="0.35">
      <c r="G2844" s="2"/>
      <c r="H2844" s="2"/>
      <c r="I2844" s="3"/>
      <c r="J2844" s="6"/>
    </row>
    <row r="2845" spans="7:10" x14ac:dyDescent="0.35">
      <c r="G2845" s="2"/>
      <c r="H2845" s="2"/>
      <c r="I2845" s="3"/>
      <c r="J2845" s="6"/>
    </row>
    <row r="2846" spans="7:10" x14ac:dyDescent="0.35">
      <c r="G2846" s="2"/>
      <c r="H2846" s="2"/>
      <c r="I2846" s="3"/>
      <c r="J2846" s="6"/>
    </row>
    <row r="2847" spans="7:10" x14ac:dyDescent="0.35">
      <c r="G2847" s="2"/>
      <c r="H2847" s="2"/>
      <c r="I2847" s="3"/>
      <c r="J2847" s="6"/>
    </row>
    <row r="2848" spans="7:10" x14ac:dyDescent="0.35">
      <c r="G2848" s="2"/>
      <c r="H2848" s="2"/>
      <c r="I2848" s="3"/>
      <c r="J2848" s="6"/>
    </row>
    <row r="2849" spans="7:10" x14ac:dyDescent="0.35">
      <c r="G2849" s="2"/>
      <c r="H2849" s="2"/>
      <c r="I2849" s="3"/>
      <c r="J2849" s="6"/>
    </row>
    <row r="2850" spans="7:10" x14ac:dyDescent="0.35">
      <c r="G2850" s="2"/>
      <c r="H2850" s="2"/>
      <c r="I2850" s="3"/>
      <c r="J2850" s="6"/>
    </row>
    <row r="2851" spans="7:10" x14ac:dyDescent="0.35">
      <c r="G2851" s="2"/>
      <c r="H2851" s="2"/>
      <c r="I2851" s="3"/>
      <c r="J2851" s="6"/>
    </row>
    <row r="2852" spans="7:10" x14ac:dyDescent="0.35">
      <c r="G2852" s="2"/>
      <c r="H2852" s="2"/>
      <c r="I2852" s="3"/>
      <c r="J2852" s="6"/>
    </row>
    <row r="2853" spans="7:10" x14ac:dyDescent="0.35">
      <c r="G2853" s="2"/>
      <c r="H2853" s="2"/>
      <c r="I2853" s="3"/>
      <c r="J2853" s="6"/>
    </row>
    <row r="2854" spans="7:10" x14ac:dyDescent="0.35">
      <c r="G2854" s="2"/>
      <c r="H2854" s="2"/>
      <c r="I2854" s="3"/>
      <c r="J2854" s="6"/>
    </row>
    <row r="2855" spans="7:10" x14ac:dyDescent="0.35">
      <c r="G2855" s="2"/>
      <c r="H2855" s="2"/>
      <c r="I2855" s="3"/>
      <c r="J2855" s="6"/>
    </row>
    <row r="2856" spans="7:10" x14ac:dyDescent="0.35">
      <c r="G2856" s="2"/>
      <c r="H2856" s="2"/>
      <c r="I2856" s="3"/>
      <c r="J2856" s="6"/>
    </row>
    <row r="2857" spans="7:10" x14ac:dyDescent="0.35">
      <c r="G2857" s="2"/>
      <c r="H2857" s="2"/>
      <c r="I2857" s="3"/>
      <c r="J2857" s="6"/>
    </row>
    <row r="2858" spans="7:10" x14ac:dyDescent="0.35">
      <c r="G2858" s="2"/>
      <c r="H2858" s="2"/>
      <c r="I2858" s="3"/>
      <c r="J2858" s="6"/>
    </row>
    <row r="2859" spans="7:10" x14ac:dyDescent="0.35">
      <c r="G2859" s="2"/>
      <c r="H2859" s="2"/>
      <c r="I2859" s="3"/>
      <c r="J2859" s="6"/>
    </row>
    <row r="2860" spans="7:10" x14ac:dyDescent="0.35">
      <c r="G2860" s="2"/>
      <c r="H2860" s="2"/>
      <c r="I2860" s="3"/>
      <c r="J2860" s="6"/>
    </row>
    <row r="2861" spans="7:10" x14ac:dyDescent="0.35">
      <c r="G2861" s="2"/>
      <c r="H2861" s="2"/>
      <c r="I2861" s="3"/>
      <c r="J2861" s="6"/>
    </row>
    <row r="2862" spans="7:10" x14ac:dyDescent="0.35">
      <c r="G2862" s="2"/>
      <c r="H2862" s="2"/>
      <c r="I2862" s="3"/>
      <c r="J2862" s="6"/>
    </row>
    <row r="2863" spans="7:10" x14ac:dyDescent="0.35">
      <c r="G2863" s="2"/>
      <c r="H2863" s="2"/>
      <c r="I2863" s="3"/>
      <c r="J2863" s="6"/>
    </row>
    <row r="2864" spans="7:10" x14ac:dyDescent="0.35">
      <c r="G2864" s="2"/>
      <c r="H2864" s="2"/>
      <c r="I2864" s="3"/>
      <c r="J2864" s="6"/>
    </row>
    <row r="2865" spans="7:10" x14ac:dyDescent="0.35">
      <c r="G2865" s="2"/>
      <c r="H2865" s="2"/>
      <c r="I2865" s="3"/>
      <c r="J2865" s="6"/>
    </row>
    <row r="2866" spans="7:10" x14ac:dyDescent="0.35">
      <c r="G2866" s="2"/>
      <c r="H2866" s="2"/>
      <c r="I2866" s="3"/>
      <c r="J2866" s="6"/>
    </row>
    <row r="2867" spans="7:10" x14ac:dyDescent="0.35">
      <c r="G2867" s="2"/>
      <c r="H2867" s="2"/>
      <c r="I2867" s="3"/>
      <c r="J2867" s="6"/>
    </row>
    <row r="2868" spans="7:10" x14ac:dyDescent="0.35">
      <c r="G2868" s="2"/>
      <c r="H2868" s="2"/>
      <c r="I2868" s="3"/>
      <c r="J2868" s="6"/>
    </row>
    <row r="2869" spans="7:10" x14ac:dyDescent="0.35">
      <c r="G2869" s="2"/>
      <c r="H2869" s="2"/>
      <c r="I2869" s="3"/>
      <c r="J2869" s="6"/>
    </row>
    <row r="2870" spans="7:10" x14ac:dyDescent="0.35">
      <c r="G2870" s="2"/>
      <c r="H2870" s="2"/>
      <c r="I2870" s="3"/>
      <c r="J2870" s="6"/>
    </row>
    <row r="2871" spans="7:10" x14ac:dyDescent="0.35">
      <c r="G2871" s="2"/>
      <c r="H2871" s="2"/>
      <c r="I2871" s="3"/>
      <c r="J2871" s="6"/>
    </row>
    <row r="2872" spans="7:10" x14ac:dyDescent="0.35">
      <c r="G2872" s="2"/>
      <c r="H2872" s="2"/>
      <c r="I2872" s="3"/>
      <c r="J2872" s="6"/>
    </row>
    <row r="2873" spans="7:10" x14ac:dyDescent="0.35">
      <c r="G2873" s="2"/>
      <c r="H2873" s="2"/>
      <c r="I2873" s="3"/>
      <c r="J2873" s="6"/>
    </row>
    <row r="2874" spans="7:10" x14ac:dyDescent="0.35">
      <c r="G2874" s="2"/>
      <c r="H2874" s="2"/>
      <c r="I2874" s="3"/>
      <c r="J2874" s="6"/>
    </row>
    <row r="2875" spans="7:10" x14ac:dyDescent="0.35">
      <c r="G2875" s="2"/>
      <c r="H2875" s="2"/>
      <c r="I2875" s="3"/>
      <c r="J2875" s="6"/>
    </row>
    <row r="2876" spans="7:10" x14ac:dyDescent="0.35">
      <c r="G2876" s="2"/>
      <c r="H2876" s="2"/>
      <c r="I2876" s="3"/>
      <c r="J2876" s="6"/>
    </row>
    <row r="2877" spans="7:10" x14ac:dyDescent="0.35">
      <c r="G2877" s="2"/>
      <c r="H2877" s="2"/>
      <c r="I2877" s="3"/>
      <c r="J2877" s="6"/>
    </row>
    <row r="2878" spans="7:10" x14ac:dyDescent="0.35">
      <c r="G2878" s="2"/>
      <c r="H2878" s="2"/>
      <c r="I2878" s="3"/>
      <c r="J2878" s="6"/>
    </row>
    <row r="2879" spans="7:10" x14ac:dyDescent="0.35">
      <c r="G2879" s="2"/>
      <c r="H2879" s="2"/>
      <c r="I2879" s="3"/>
      <c r="J2879" s="6"/>
    </row>
    <row r="2880" spans="7:10" x14ac:dyDescent="0.35">
      <c r="G2880" s="2"/>
      <c r="H2880" s="2"/>
      <c r="I2880" s="3"/>
      <c r="J2880" s="6"/>
    </row>
    <row r="2881" spans="7:10" x14ac:dyDescent="0.35">
      <c r="G2881" s="2"/>
      <c r="H2881" s="2"/>
      <c r="I2881" s="3"/>
      <c r="J2881" s="6"/>
    </row>
    <row r="2882" spans="7:10" x14ac:dyDescent="0.35">
      <c r="G2882" s="2"/>
      <c r="H2882" s="2"/>
      <c r="I2882" s="3"/>
      <c r="J2882" s="6"/>
    </row>
    <row r="2883" spans="7:10" x14ac:dyDescent="0.35">
      <c r="G2883" s="2"/>
      <c r="H2883" s="2"/>
      <c r="I2883" s="3"/>
      <c r="J2883" s="6"/>
    </row>
    <row r="2884" spans="7:10" x14ac:dyDescent="0.35">
      <c r="G2884" s="2"/>
      <c r="H2884" s="2"/>
      <c r="I2884" s="3"/>
      <c r="J2884" s="6"/>
    </row>
    <row r="2885" spans="7:10" x14ac:dyDescent="0.35">
      <c r="G2885" s="2"/>
      <c r="H2885" s="2"/>
      <c r="I2885" s="3"/>
      <c r="J2885" s="6"/>
    </row>
    <row r="2886" spans="7:10" x14ac:dyDescent="0.35">
      <c r="G2886" s="2"/>
      <c r="H2886" s="2"/>
      <c r="I2886" s="3"/>
      <c r="J2886" s="6"/>
    </row>
    <row r="2887" spans="7:10" x14ac:dyDescent="0.35">
      <c r="G2887" s="2"/>
      <c r="H2887" s="2"/>
      <c r="I2887" s="3"/>
      <c r="J2887" s="6"/>
    </row>
    <row r="2888" spans="7:10" x14ac:dyDescent="0.35">
      <c r="G2888" s="2"/>
      <c r="H2888" s="2"/>
      <c r="I2888" s="3"/>
      <c r="J2888" s="6"/>
    </row>
    <row r="2889" spans="7:10" x14ac:dyDescent="0.35">
      <c r="G2889" s="2"/>
      <c r="H2889" s="2"/>
      <c r="I2889" s="3"/>
      <c r="J2889" s="6"/>
    </row>
    <row r="2890" spans="7:10" x14ac:dyDescent="0.35">
      <c r="G2890" s="2"/>
      <c r="H2890" s="2"/>
      <c r="I2890" s="3"/>
      <c r="J2890" s="6"/>
    </row>
    <row r="2891" spans="7:10" x14ac:dyDescent="0.35">
      <c r="G2891" s="2"/>
      <c r="H2891" s="2"/>
      <c r="I2891" s="3"/>
      <c r="J2891" s="6"/>
    </row>
    <row r="2892" spans="7:10" x14ac:dyDescent="0.35">
      <c r="G2892" s="2"/>
      <c r="H2892" s="2"/>
      <c r="I2892" s="3"/>
      <c r="J2892" s="6"/>
    </row>
    <row r="2893" spans="7:10" x14ac:dyDescent="0.35">
      <c r="G2893" s="2"/>
      <c r="H2893" s="2"/>
      <c r="I2893" s="3"/>
      <c r="J2893" s="6"/>
    </row>
    <row r="2894" spans="7:10" x14ac:dyDescent="0.35">
      <c r="G2894" s="2"/>
      <c r="H2894" s="2"/>
      <c r="I2894" s="3"/>
      <c r="J2894" s="6"/>
    </row>
    <row r="2895" spans="7:10" x14ac:dyDescent="0.35">
      <c r="G2895" s="2"/>
      <c r="H2895" s="2"/>
      <c r="I2895" s="3"/>
      <c r="J2895" s="6"/>
    </row>
    <row r="2896" spans="7:10" x14ac:dyDescent="0.35">
      <c r="G2896" s="2"/>
      <c r="H2896" s="2"/>
      <c r="I2896" s="3"/>
      <c r="J2896" s="6"/>
    </row>
    <row r="2897" spans="7:10" x14ac:dyDescent="0.35">
      <c r="G2897" s="2"/>
      <c r="H2897" s="2"/>
      <c r="I2897" s="3"/>
      <c r="J2897" s="6"/>
    </row>
    <row r="2898" spans="7:10" x14ac:dyDescent="0.35">
      <c r="G2898" s="2"/>
      <c r="H2898" s="2"/>
      <c r="I2898" s="3"/>
      <c r="J2898" s="6"/>
    </row>
    <row r="2899" spans="7:10" x14ac:dyDescent="0.35">
      <c r="G2899" s="2"/>
      <c r="H2899" s="2"/>
      <c r="I2899" s="3"/>
      <c r="J2899" s="6"/>
    </row>
    <row r="2900" spans="7:10" x14ac:dyDescent="0.35">
      <c r="G2900" s="2"/>
      <c r="H2900" s="2"/>
      <c r="I2900" s="3"/>
      <c r="J2900" s="6"/>
    </row>
    <row r="2901" spans="7:10" x14ac:dyDescent="0.35">
      <c r="G2901" s="2"/>
      <c r="H2901" s="2"/>
      <c r="I2901" s="3"/>
      <c r="J2901" s="6"/>
    </row>
    <row r="2902" spans="7:10" x14ac:dyDescent="0.35">
      <c r="G2902" s="2"/>
      <c r="H2902" s="2"/>
      <c r="I2902" s="3"/>
      <c r="J2902" s="6"/>
    </row>
    <row r="2903" spans="7:10" x14ac:dyDescent="0.35">
      <c r="G2903" s="2"/>
      <c r="H2903" s="2"/>
      <c r="I2903" s="3"/>
      <c r="J2903" s="6"/>
    </row>
    <row r="2904" spans="7:10" x14ac:dyDescent="0.35">
      <c r="G2904" s="2"/>
      <c r="H2904" s="2"/>
      <c r="I2904" s="3"/>
      <c r="J2904" s="6"/>
    </row>
    <row r="2905" spans="7:10" x14ac:dyDescent="0.35">
      <c r="G2905" s="2"/>
      <c r="H2905" s="2"/>
      <c r="I2905" s="3"/>
      <c r="J2905" s="6"/>
    </row>
    <row r="2906" spans="7:10" x14ac:dyDescent="0.35">
      <c r="G2906" s="2"/>
      <c r="H2906" s="2"/>
      <c r="I2906" s="3"/>
      <c r="J2906" s="6"/>
    </row>
    <row r="2907" spans="7:10" x14ac:dyDescent="0.35">
      <c r="G2907" s="2"/>
      <c r="H2907" s="2"/>
      <c r="I2907" s="3"/>
      <c r="J2907" s="6"/>
    </row>
    <row r="2908" spans="7:10" x14ac:dyDescent="0.35">
      <c r="G2908" s="2"/>
      <c r="H2908" s="2"/>
      <c r="I2908" s="3"/>
      <c r="J2908" s="6"/>
    </row>
    <row r="2909" spans="7:10" x14ac:dyDescent="0.35">
      <c r="G2909" s="2"/>
      <c r="H2909" s="2"/>
      <c r="I2909" s="3"/>
      <c r="J2909" s="6"/>
    </row>
    <row r="2910" spans="7:10" x14ac:dyDescent="0.35">
      <c r="G2910" s="2"/>
      <c r="H2910" s="2"/>
      <c r="I2910" s="3"/>
      <c r="J2910" s="6"/>
    </row>
    <row r="2911" spans="7:10" x14ac:dyDescent="0.35">
      <c r="G2911" s="2"/>
      <c r="H2911" s="2"/>
      <c r="I2911" s="3"/>
      <c r="J2911" s="6"/>
    </row>
    <row r="2912" spans="7:10" x14ac:dyDescent="0.35">
      <c r="G2912" s="2"/>
      <c r="H2912" s="2"/>
      <c r="I2912" s="3"/>
      <c r="J2912" s="6"/>
    </row>
    <row r="2913" spans="7:10" x14ac:dyDescent="0.35">
      <c r="G2913" s="2"/>
      <c r="H2913" s="2"/>
      <c r="I2913" s="3"/>
      <c r="J2913" s="6"/>
    </row>
    <row r="2914" spans="7:10" x14ac:dyDescent="0.35">
      <c r="G2914" s="2"/>
      <c r="H2914" s="2"/>
      <c r="I2914" s="3"/>
      <c r="J2914" s="6"/>
    </row>
    <row r="2915" spans="7:10" x14ac:dyDescent="0.35">
      <c r="G2915" s="2"/>
      <c r="H2915" s="2"/>
      <c r="I2915" s="3"/>
      <c r="J2915" s="6"/>
    </row>
    <row r="2916" spans="7:10" x14ac:dyDescent="0.35">
      <c r="G2916" s="2"/>
      <c r="H2916" s="2"/>
      <c r="I2916" s="3"/>
      <c r="J2916" s="6"/>
    </row>
    <row r="2917" spans="7:10" x14ac:dyDescent="0.35">
      <c r="G2917" s="2"/>
      <c r="H2917" s="2"/>
      <c r="I2917" s="3"/>
      <c r="J2917" s="6"/>
    </row>
    <row r="2918" spans="7:10" x14ac:dyDescent="0.35">
      <c r="G2918" s="2"/>
      <c r="H2918" s="2"/>
      <c r="I2918" s="3"/>
      <c r="J2918" s="6"/>
    </row>
    <row r="2919" spans="7:10" x14ac:dyDescent="0.35">
      <c r="G2919" s="2"/>
      <c r="H2919" s="2"/>
      <c r="I2919" s="3"/>
      <c r="J2919" s="6"/>
    </row>
    <row r="2920" spans="7:10" x14ac:dyDescent="0.35">
      <c r="G2920" s="2"/>
      <c r="H2920" s="2"/>
      <c r="I2920" s="3"/>
      <c r="J2920" s="6"/>
    </row>
    <row r="2921" spans="7:10" x14ac:dyDescent="0.35">
      <c r="G2921" s="2"/>
      <c r="H2921" s="2"/>
      <c r="I2921" s="3"/>
      <c r="J2921" s="6"/>
    </row>
    <row r="2922" spans="7:10" x14ac:dyDescent="0.35">
      <c r="G2922" s="2"/>
      <c r="H2922" s="2"/>
      <c r="I2922" s="3"/>
      <c r="J2922" s="6"/>
    </row>
    <row r="2923" spans="7:10" x14ac:dyDescent="0.35">
      <c r="G2923" s="2"/>
      <c r="H2923" s="2"/>
      <c r="I2923" s="3"/>
      <c r="J2923" s="6"/>
    </row>
    <row r="2924" spans="7:10" x14ac:dyDescent="0.35">
      <c r="G2924" s="2"/>
      <c r="H2924" s="2"/>
      <c r="I2924" s="3"/>
      <c r="J2924" s="6"/>
    </row>
    <row r="2925" spans="7:10" x14ac:dyDescent="0.35">
      <c r="G2925" s="2"/>
      <c r="H2925" s="2"/>
      <c r="I2925" s="3"/>
      <c r="J2925" s="6"/>
    </row>
    <row r="2926" spans="7:10" x14ac:dyDescent="0.35">
      <c r="G2926" s="2"/>
      <c r="H2926" s="2"/>
      <c r="I2926" s="3"/>
      <c r="J2926" s="6"/>
    </row>
    <row r="2927" spans="7:10" x14ac:dyDescent="0.35">
      <c r="G2927" s="2"/>
      <c r="H2927" s="2"/>
      <c r="I2927" s="3"/>
      <c r="J2927" s="6"/>
    </row>
    <row r="2928" spans="7:10" x14ac:dyDescent="0.35">
      <c r="G2928" s="2"/>
      <c r="H2928" s="2"/>
      <c r="I2928" s="3"/>
      <c r="J2928" s="6"/>
    </row>
    <row r="2929" spans="7:10" x14ac:dyDescent="0.35">
      <c r="G2929" s="2"/>
      <c r="H2929" s="2"/>
      <c r="I2929" s="3"/>
      <c r="J2929" s="6"/>
    </row>
    <row r="2930" spans="7:10" x14ac:dyDescent="0.35">
      <c r="G2930" s="2"/>
      <c r="H2930" s="2"/>
      <c r="I2930" s="3"/>
      <c r="J2930" s="6"/>
    </row>
    <row r="2931" spans="7:10" x14ac:dyDescent="0.35">
      <c r="G2931" s="2"/>
      <c r="H2931" s="2"/>
      <c r="I2931" s="3"/>
      <c r="J2931" s="6"/>
    </row>
    <row r="2932" spans="7:10" x14ac:dyDescent="0.35">
      <c r="G2932" s="2"/>
      <c r="H2932" s="2"/>
      <c r="I2932" s="3"/>
      <c r="J2932" s="6"/>
    </row>
    <row r="2933" spans="7:10" x14ac:dyDescent="0.35">
      <c r="G2933" s="2"/>
      <c r="H2933" s="2"/>
      <c r="I2933" s="3"/>
      <c r="J2933" s="6"/>
    </row>
    <row r="2934" spans="7:10" x14ac:dyDescent="0.35">
      <c r="G2934" s="2"/>
      <c r="H2934" s="2"/>
      <c r="I2934" s="3"/>
      <c r="J2934" s="6"/>
    </row>
    <row r="2935" spans="7:10" x14ac:dyDescent="0.35">
      <c r="G2935" s="2"/>
      <c r="H2935" s="2"/>
      <c r="I2935" s="3"/>
      <c r="J2935" s="6"/>
    </row>
    <row r="2936" spans="7:10" x14ac:dyDescent="0.35">
      <c r="G2936" s="2"/>
      <c r="H2936" s="2"/>
      <c r="I2936" s="3"/>
      <c r="J2936" s="6"/>
    </row>
    <row r="2937" spans="7:10" x14ac:dyDescent="0.35">
      <c r="G2937" s="2"/>
      <c r="H2937" s="2"/>
      <c r="I2937" s="3"/>
      <c r="J2937" s="6"/>
    </row>
    <row r="2938" spans="7:10" x14ac:dyDescent="0.35">
      <c r="G2938" s="2"/>
      <c r="H2938" s="2"/>
      <c r="I2938" s="3"/>
      <c r="J2938" s="6"/>
    </row>
    <row r="2939" spans="7:10" x14ac:dyDescent="0.35">
      <c r="G2939" s="2"/>
      <c r="H2939" s="2"/>
      <c r="I2939" s="3"/>
      <c r="J2939" s="6"/>
    </row>
    <row r="2940" spans="7:10" x14ac:dyDescent="0.35">
      <c r="G2940" s="2"/>
      <c r="H2940" s="2"/>
      <c r="I2940" s="3"/>
      <c r="J2940" s="6"/>
    </row>
    <row r="2941" spans="7:10" x14ac:dyDescent="0.35">
      <c r="G2941" s="2"/>
      <c r="H2941" s="2"/>
      <c r="I2941" s="3"/>
      <c r="J2941" s="6"/>
    </row>
    <row r="2942" spans="7:10" x14ac:dyDescent="0.35">
      <c r="G2942" s="2"/>
      <c r="H2942" s="2"/>
      <c r="I2942" s="3"/>
      <c r="J2942" s="6"/>
    </row>
    <row r="2943" spans="7:10" x14ac:dyDescent="0.35">
      <c r="G2943" s="2"/>
      <c r="H2943" s="2"/>
      <c r="I2943" s="3"/>
      <c r="J2943" s="6"/>
    </row>
    <row r="2944" spans="7:10" x14ac:dyDescent="0.35">
      <c r="G2944" s="2"/>
      <c r="H2944" s="2"/>
      <c r="I2944" s="3"/>
      <c r="J2944" s="6"/>
    </row>
    <row r="2945" spans="7:10" x14ac:dyDescent="0.35">
      <c r="G2945" s="2"/>
      <c r="H2945" s="2"/>
      <c r="I2945" s="3"/>
      <c r="J2945" s="6"/>
    </row>
    <row r="2946" spans="7:10" x14ac:dyDescent="0.35">
      <c r="G2946" s="2"/>
      <c r="H2946" s="2"/>
      <c r="I2946" s="3"/>
      <c r="J2946" s="6"/>
    </row>
    <row r="2947" spans="7:10" x14ac:dyDescent="0.35">
      <c r="G2947" s="2"/>
      <c r="H2947" s="2"/>
      <c r="I2947" s="3"/>
      <c r="J2947" s="6"/>
    </row>
    <row r="2948" spans="7:10" x14ac:dyDescent="0.35">
      <c r="G2948" s="2"/>
      <c r="H2948" s="2"/>
      <c r="I2948" s="3"/>
      <c r="J2948" s="6"/>
    </row>
    <row r="2949" spans="7:10" x14ac:dyDescent="0.35">
      <c r="G2949" s="2"/>
      <c r="H2949" s="2"/>
      <c r="I2949" s="3"/>
      <c r="J2949" s="6"/>
    </row>
    <row r="2950" spans="7:10" x14ac:dyDescent="0.35">
      <c r="G2950" s="2"/>
      <c r="H2950" s="2"/>
      <c r="I2950" s="3"/>
      <c r="J2950" s="6"/>
    </row>
    <row r="2951" spans="7:10" x14ac:dyDescent="0.35">
      <c r="G2951" s="2"/>
      <c r="H2951" s="2"/>
      <c r="I2951" s="3"/>
      <c r="J2951" s="6"/>
    </row>
    <row r="2952" spans="7:10" x14ac:dyDescent="0.35">
      <c r="G2952" s="2"/>
      <c r="H2952" s="2"/>
      <c r="I2952" s="3"/>
      <c r="J2952" s="6"/>
    </row>
    <row r="2953" spans="7:10" x14ac:dyDescent="0.35">
      <c r="G2953" s="2"/>
      <c r="H2953" s="2"/>
      <c r="I2953" s="3"/>
      <c r="J2953" s="6"/>
    </row>
    <row r="2954" spans="7:10" x14ac:dyDescent="0.35">
      <c r="G2954" s="2"/>
      <c r="H2954" s="2"/>
      <c r="I2954" s="3"/>
      <c r="J2954" s="6"/>
    </row>
    <row r="2955" spans="7:10" x14ac:dyDescent="0.35">
      <c r="G2955" s="2"/>
      <c r="H2955" s="2"/>
      <c r="I2955" s="3"/>
      <c r="J2955" s="6"/>
    </row>
    <row r="2956" spans="7:10" x14ac:dyDescent="0.35">
      <c r="G2956" s="2"/>
      <c r="H2956" s="2"/>
      <c r="I2956" s="3"/>
      <c r="J2956" s="6"/>
    </row>
    <row r="2957" spans="7:10" x14ac:dyDescent="0.35">
      <c r="G2957" s="2"/>
      <c r="H2957" s="2"/>
      <c r="I2957" s="3"/>
      <c r="J2957" s="6"/>
    </row>
    <row r="2958" spans="7:10" x14ac:dyDescent="0.35">
      <c r="G2958" s="2"/>
      <c r="H2958" s="2"/>
      <c r="I2958" s="3"/>
      <c r="J2958" s="6"/>
    </row>
    <row r="2959" spans="7:10" x14ac:dyDescent="0.35">
      <c r="G2959" s="2"/>
      <c r="H2959" s="2"/>
      <c r="I2959" s="3"/>
      <c r="J2959" s="6"/>
    </row>
    <row r="2960" spans="7:10" x14ac:dyDescent="0.35">
      <c r="G2960" s="2"/>
      <c r="H2960" s="2"/>
      <c r="I2960" s="3"/>
      <c r="J2960" s="6"/>
    </row>
    <row r="2961" spans="7:10" x14ac:dyDescent="0.35">
      <c r="G2961" s="2"/>
      <c r="H2961" s="2"/>
      <c r="I2961" s="3"/>
      <c r="J2961" s="6"/>
    </row>
    <row r="2962" spans="7:10" x14ac:dyDescent="0.35">
      <c r="G2962" s="2"/>
      <c r="H2962" s="2"/>
      <c r="I2962" s="3"/>
      <c r="J2962" s="6"/>
    </row>
    <row r="2963" spans="7:10" x14ac:dyDescent="0.35">
      <c r="G2963" s="2"/>
      <c r="H2963" s="2"/>
      <c r="I2963" s="3"/>
      <c r="J2963" s="6"/>
    </row>
    <row r="2964" spans="7:10" x14ac:dyDescent="0.35">
      <c r="G2964" s="2"/>
      <c r="H2964" s="2"/>
      <c r="I2964" s="3"/>
      <c r="J2964" s="6"/>
    </row>
    <row r="2965" spans="7:10" x14ac:dyDescent="0.35">
      <c r="G2965" s="2"/>
      <c r="H2965" s="2"/>
      <c r="I2965" s="3"/>
      <c r="J2965" s="6"/>
    </row>
    <row r="2966" spans="7:10" x14ac:dyDescent="0.35">
      <c r="G2966" s="2"/>
      <c r="H2966" s="2"/>
      <c r="I2966" s="3"/>
      <c r="J2966" s="6"/>
    </row>
    <row r="2967" spans="7:10" x14ac:dyDescent="0.35">
      <c r="G2967" s="2"/>
      <c r="H2967" s="2"/>
      <c r="I2967" s="3"/>
      <c r="J2967" s="6"/>
    </row>
    <row r="2968" spans="7:10" x14ac:dyDescent="0.35">
      <c r="G2968" s="2"/>
      <c r="H2968" s="2"/>
      <c r="I2968" s="3"/>
      <c r="J2968" s="6"/>
    </row>
    <row r="2969" spans="7:10" x14ac:dyDescent="0.35">
      <c r="G2969" s="2"/>
      <c r="H2969" s="2"/>
      <c r="I2969" s="3"/>
      <c r="J2969" s="6"/>
    </row>
    <row r="2970" spans="7:10" x14ac:dyDescent="0.35">
      <c r="G2970" s="2"/>
      <c r="H2970" s="2"/>
      <c r="I2970" s="3"/>
      <c r="J2970" s="6"/>
    </row>
    <row r="2971" spans="7:10" x14ac:dyDescent="0.35">
      <c r="G2971" s="2"/>
      <c r="H2971" s="2"/>
      <c r="I2971" s="3"/>
      <c r="J2971" s="6"/>
    </row>
    <row r="2972" spans="7:10" x14ac:dyDescent="0.35">
      <c r="G2972" s="2"/>
      <c r="H2972" s="2"/>
      <c r="I2972" s="3"/>
      <c r="J2972" s="6"/>
    </row>
    <row r="2973" spans="7:10" x14ac:dyDescent="0.35">
      <c r="G2973" s="2"/>
      <c r="H2973" s="2"/>
      <c r="I2973" s="3"/>
      <c r="J2973" s="6"/>
    </row>
    <row r="2974" spans="7:10" x14ac:dyDescent="0.35">
      <c r="G2974" s="2"/>
      <c r="H2974" s="2"/>
      <c r="I2974" s="3"/>
      <c r="J2974" s="6"/>
    </row>
    <row r="2975" spans="7:10" x14ac:dyDescent="0.35">
      <c r="G2975" s="2"/>
      <c r="H2975" s="2"/>
      <c r="I2975" s="3"/>
      <c r="J2975" s="6"/>
    </row>
    <row r="2976" spans="7:10" x14ac:dyDescent="0.35">
      <c r="G2976" s="2"/>
      <c r="H2976" s="2"/>
      <c r="I2976" s="3"/>
      <c r="J2976" s="6"/>
    </row>
    <row r="2977" spans="7:10" x14ac:dyDescent="0.35">
      <c r="G2977" s="2"/>
      <c r="H2977" s="2"/>
      <c r="I2977" s="3"/>
      <c r="J2977" s="6"/>
    </row>
    <row r="2978" spans="7:10" x14ac:dyDescent="0.35">
      <c r="G2978" s="2"/>
      <c r="H2978" s="2"/>
      <c r="I2978" s="3"/>
      <c r="J2978" s="6"/>
    </row>
    <row r="2979" spans="7:10" x14ac:dyDescent="0.35">
      <c r="G2979" s="2"/>
      <c r="H2979" s="2"/>
      <c r="I2979" s="3"/>
      <c r="J2979" s="6"/>
    </row>
    <row r="2980" spans="7:10" x14ac:dyDescent="0.35">
      <c r="G2980" s="2"/>
      <c r="H2980" s="2"/>
      <c r="I2980" s="3"/>
      <c r="J2980" s="6"/>
    </row>
    <row r="2981" spans="7:10" x14ac:dyDescent="0.35">
      <c r="G2981" s="2"/>
      <c r="H2981" s="2"/>
      <c r="I2981" s="3"/>
      <c r="J2981" s="6"/>
    </row>
    <row r="2982" spans="7:10" x14ac:dyDescent="0.35">
      <c r="G2982" s="2"/>
      <c r="H2982" s="2"/>
      <c r="I2982" s="3"/>
      <c r="J2982" s="6"/>
    </row>
    <row r="2983" spans="7:10" x14ac:dyDescent="0.35">
      <c r="G2983" s="2"/>
      <c r="H2983" s="2"/>
      <c r="I2983" s="3"/>
      <c r="J2983" s="6"/>
    </row>
    <row r="2984" spans="7:10" x14ac:dyDescent="0.35">
      <c r="G2984" s="2"/>
      <c r="H2984" s="2"/>
      <c r="I2984" s="3"/>
      <c r="J2984" s="6"/>
    </row>
    <row r="2985" spans="7:10" x14ac:dyDescent="0.35">
      <c r="G2985" s="2"/>
      <c r="H2985" s="2"/>
      <c r="I2985" s="3"/>
      <c r="J2985" s="6"/>
    </row>
    <row r="2986" spans="7:10" x14ac:dyDescent="0.35">
      <c r="G2986" s="2"/>
      <c r="H2986" s="2"/>
      <c r="I2986" s="3"/>
      <c r="J2986" s="6"/>
    </row>
    <row r="2987" spans="7:10" x14ac:dyDescent="0.35">
      <c r="G2987" s="2"/>
      <c r="H2987" s="2"/>
      <c r="I2987" s="3"/>
      <c r="J2987" s="6"/>
    </row>
    <row r="2988" spans="7:10" x14ac:dyDescent="0.35">
      <c r="G2988" s="2"/>
      <c r="H2988" s="2"/>
      <c r="I2988" s="3"/>
      <c r="J2988" s="6"/>
    </row>
    <row r="2989" spans="7:10" x14ac:dyDescent="0.35">
      <c r="G2989" s="2"/>
      <c r="H2989" s="2"/>
      <c r="I2989" s="3"/>
      <c r="J2989" s="6"/>
    </row>
    <row r="2990" spans="7:10" x14ac:dyDescent="0.35">
      <c r="G2990" s="2"/>
      <c r="H2990" s="2"/>
      <c r="I2990" s="3"/>
      <c r="J2990" s="6"/>
    </row>
    <row r="2991" spans="7:10" x14ac:dyDescent="0.35">
      <c r="G2991" s="2"/>
      <c r="H2991" s="2"/>
      <c r="I2991" s="3"/>
      <c r="J2991" s="6"/>
    </row>
    <row r="2992" spans="7:10" x14ac:dyDescent="0.35">
      <c r="G2992" s="2"/>
      <c r="H2992" s="2"/>
      <c r="I2992" s="3"/>
      <c r="J2992" s="6"/>
    </row>
    <row r="2993" spans="7:10" x14ac:dyDescent="0.35">
      <c r="G2993" s="2"/>
      <c r="H2993" s="2"/>
      <c r="I2993" s="3"/>
      <c r="J2993" s="6"/>
    </row>
    <row r="2994" spans="7:10" x14ac:dyDescent="0.35">
      <c r="G2994" s="2"/>
      <c r="H2994" s="2"/>
      <c r="I2994" s="3"/>
      <c r="J2994" s="6"/>
    </row>
    <row r="2995" spans="7:10" x14ac:dyDescent="0.35">
      <c r="G2995" s="2"/>
      <c r="H2995" s="2"/>
      <c r="I2995" s="3"/>
      <c r="J2995" s="6"/>
    </row>
    <row r="2996" spans="7:10" x14ac:dyDescent="0.35">
      <c r="G2996" s="2"/>
      <c r="H2996" s="2"/>
      <c r="I2996" s="3"/>
      <c r="J2996" s="6"/>
    </row>
    <row r="2997" spans="7:10" x14ac:dyDescent="0.35">
      <c r="G2997" s="2"/>
      <c r="H2997" s="2"/>
      <c r="I2997" s="3"/>
      <c r="J2997" s="6"/>
    </row>
    <row r="2998" spans="7:10" x14ac:dyDescent="0.35">
      <c r="G2998" s="2"/>
      <c r="H2998" s="2"/>
      <c r="I2998" s="3"/>
      <c r="J2998" s="6"/>
    </row>
    <row r="2999" spans="7:10" x14ac:dyDescent="0.35">
      <c r="G2999" s="2"/>
      <c r="H2999" s="2"/>
      <c r="I2999" s="3"/>
      <c r="J2999" s="6"/>
    </row>
    <row r="3000" spans="7:10" x14ac:dyDescent="0.35">
      <c r="G3000" s="2"/>
      <c r="H3000" s="2"/>
      <c r="I3000" s="3"/>
      <c r="J3000" s="6"/>
    </row>
    <row r="3001" spans="7:10" x14ac:dyDescent="0.35">
      <c r="G3001" s="2"/>
      <c r="H3001" s="2"/>
      <c r="I3001" s="3"/>
      <c r="J3001" s="6"/>
    </row>
    <row r="3002" spans="7:10" x14ac:dyDescent="0.35">
      <c r="G3002" s="2"/>
      <c r="H3002" s="2"/>
      <c r="I3002" s="3"/>
      <c r="J3002" s="6"/>
    </row>
    <row r="3003" spans="7:10" x14ac:dyDescent="0.35">
      <c r="G3003" s="2"/>
      <c r="H3003" s="2"/>
      <c r="I3003" s="3"/>
      <c r="J3003" s="6"/>
    </row>
    <row r="3004" spans="7:10" x14ac:dyDescent="0.35">
      <c r="G3004" s="2"/>
      <c r="H3004" s="2"/>
      <c r="I3004" s="3"/>
      <c r="J3004" s="6"/>
    </row>
    <row r="3005" spans="7:10" x14ac:dyDescent="0.35">
      <c r="G3005" s="2"/>
      <c r="H3005" s="2"/>
      <c r="I3005" s="3"/>
      <c r="J3005" s="6"/>
    </row>
    <row r="3006" spans="7:10" x14ac:dyDescent="0.35">
      <c r="G3006" s="2"/>
      <c r="H3006" s="2"/>
      <c r="I3006" s="3"/>
      <c r="J3006" s="6"/>
    </row>
    <row r="3007" spans="7:10" x14ac:dyDescent="0.35">
      <c r="G3007" s="2"/>
      <c r="H3007" s="2"/>
      <c r="I3007" s="3"/>
      <c r="J3007" s="6"/>
    </row>
    <row r="3008" spans="7:10" x14ac:dyDescent="0.35">
      <c r="G3008" s="2"/>
      <c r="H3008" s="2"/>
      <c r="I3008" s="3"/>
      <c r="J3008" s="6"/>
    </row>
    <row r="3009" spans="7:10" x14ac:dyDescent="0.35">
      <c r="G3009" s="2"/>
      <c r="H3009" s="2"/>
      <c r="I3009" s="3"/>
      <c r="J3009" s="6"/>
    </row>
    <row r="3010" spans="7:10" x14ac:dyDescent="0.35">
      <c r="G3010" s="2"/>
      <c r="H3010" s="2"/>
      <c r="I3010" s="3"/>
      <c r="J3010" s="6"/>
    </row>
    <row r="3011" spans="7:10" x14ac:dyDescent="0.35">
      <c r="G3011" s="2"/>
      <c r="H3011" s="2"/>
      <c r="I3011" s="3"/>
      <c r="J3011" s="6"/>
    </row>
    <row r="3012" spans="7:10" x14ac:dyDescent="0.35">
      <c r="G3012" s="2"/>
      <c r="H3012" s="2"/>
      <c r="I3012" s="3"/>
      <c r="J3012" s="6"/>
    </row>
    <row r="3013" spans="7:10" x14ac:dyDescent="0.35">
      <c r="G3013" s="2"/>
      <c r="H3013" s="2"/>
      <c r="I3013" s="3"/>
      <c r="J3013" s="6"/>
    </row>
    <row r="3014" spans="7:10" x14ac:dyDescent="0.35">
      <c r="G3014" s="2"/>
      <c r="H3014" s="2"/>
      <c r="I3014" s="3"/>
      <c r="J3014" s="6"/>
    </row>
    <row r="3015" spans="7:10" x14ac:dyDescent="0.35">
      <c r="G3015" s="2"/>
      <c r="H3015" s="2"/>
      <c r="I3015" s="3"/>
      <c r="J3015" s="6"/>
    </row>
    <row r="3016" spans="7:10" x14ac:dyDescent="0.35">
      <c r="G3016" s="2"/>
      <c r="H3016" s="2"/>
      <c r="I3016" s="3"/>
      <c r="J3016" s="6"/>
    </row>
    <row r="3017" spans="7:10" x14ac:dyDescent="0.35">
      <c r="G3017" s="2"/>
      <c r="H3017" s="2"/>
      <c r="I3017" s="3"/>
      <c r="J3017" s="6"/>
    </row>
    <row r="3018" spans="7:10" x14ac:dyDescent="0.35">
      <c r="G3018" s="2"/>
      <c r="H3018" s="2"/>
      <c r="I3018" s="3"/>
      <c r="J3018" s="6"/>
    </row>
    <row r="3019" spans="7:10" x14ac:dyDescent="0.35">
      <c r="G3019" s="2"/>
      <c r="H3019" s="2"/>
      <c r="I3019" s="3"/>
      <c r="J3019" s="6"/>
    </row>
    <row r="3020" spans="7:10" x14ac:dyDescent="0.35">
      <c r="G3020" s="2"/>
      <c r="H3020" s="2"/>
      <c r="I3020" s="3"/>
      <c r="J3020" s="6"/>
    </row>
    <row r="3021" spans="7:10" x14ac:dyDescent="0.35">
      <c r="G3021" s="2"/>
      <c r="H3021" s="2"/>
      <c r="I3021" s="3"/>
      <c r="J3021" s="6"/>
    </row>
    <row r="3022" spans="7:10" x14ac:dyDescent="0.35">
      <c r="G3022" s="2"/>
      <c r="H3022" s="2"/>
      <c r="I3022" s="3"/>
      <c r="J3022" s="6"/>
    </row>
    <row r="3023" spans="7:10" x14ac:dyDescent="0.35">
      <c r="G3023" s="2"/>
      <c r="H3023" s="2"/>
      <c r="I3023" s="3"/>
      <c r="J3023" s="6"/>
    </row>
    <row r="3024" spans="7:10" x14ac:dyDescent="0.35">
      <c r="G3024" s="2"/>
      <c r="H3024" s="2"/>
      <c r="I3024" s="3"/>
      <c r="J3024" s="6"/>
    </row>
    <row r="3025" spans="7:10" x14ac:dyDescent="0.35">
      <c r="G3025" s="2"/>
      <c r="H3025" s="2"/>
      <c r="I3025" s="3"/>
      <c r="J3025" s="6"/>
    </row>
    <row r="3026" spans="7:10" x14ac:dyDescent="0.35">
      <c r="G3026" s="2"/>
      <c r="H3026" s="2"/>
      <c r="I3026" s="3"/>
      <c r="J3026" s="6"/>
    </row>
    <row r="3027" spans="7:10" x14ac:dyDescent="0.35">
      <c r="G3027" s="2"/>
      <c r="H3027" s="2"/>
      <c r="I3027" s="3"/>
      <c r="J3027" s="6"/>
    </row>
    <row r="3028" spans="7:10" x14ac:dyDescent="0.35">
      <c r="G3028" s="2"/>
      <c r="H3028" s="2"/>
      <c r="I3028" s="3"/>
      <c r="J3028" s="6"/>
    </row>
    <row r="3029" spans="7:10" x14ac:dyDescent="0.35">
      <c r="G3029" s="2"/>
      <c r="H3029" s="2"/>
      <c r="I3029" s="3"/>
      <c r="J3029" s="6"/>
    </row>
    <row r="3030" spans="7:10" x14ac:dyDescent="0.35">
      <c r="G3030" s="2"/>
      <c r="H3030" s="2"/>
      <c r="I3030" s="3"/>
      <c r="J3030" s="6"/>
    </row>
    <row r="3031" spans="7:10" x14ac:dyDescent="0.35">
      <c r="G3031" s="2"/>
      <c r="H3031" s="2"/>
      <c r="I3031" s="3"/>
      <c r="J3031" s="6"/>
    </row>
    <row r="3032" spans="7:10" x14ac:dyDescent="0.35">
      <c r="G3032" s="2"/>
      <c r="H3032" s="2"/>
      <c r="I3032" s="3"/>
      <c r="J3032" s="6"/>
    </row>
    <row r="3033" spans="7:10" x14ac:dyDescent="0.35">
      <c r="G3033" s="2"/>
      <c r="H3033" s="2"/>
      <c r="I3033" s="3"/>
      <c r="J3033" s="6"/>
    </row>
    <row r="3034" spans="7:10" x14ac:dyDescent="0.35">
      <c r="G3034" s="2"/>
      <c r="H3034" s="2"/>
      <c r="I3034" s="3"/>
      <c r="J3034" s="6"/>
    </row>
    <row r="3035" spans="7:10" x14ac:dyDescent="0.35">
      <c r="G3035" s="2"/>
      <c r="H3035" s="2"/>
      <c r="I3035" s="3"/>
      <c r="J3035" s="6"/>
    </row>
    <row r="3036" spans="7:10" x14ac:dyDescent="0.35">
      <c r="G3036" s="2"/>
      <c r="H3036" s="2"/>
      <c r="I3036" s="3"/>
      <c r="J3036" s="6"/>
    </row>
    <row r="3037" spans="7:10" x14ac:dyDescent="0.35">
      <c r="G3037" s="2"/>
      <c r="H3037" s="2"/>
      <c r="I3037" s="3"/>
      <c r="J3037" s="6"/>
    </row>
    <row r="3038" spans="7:10" x14ac:dyDescent="0.35">
      <c r="G3038" s="2"/>
      <c r="H3038" s="2"/>
      <c r="I3038" s="3"/>
      <c r="J3038" s="6"/>
    </row>
    <row r="3039" spans="7:10" x14ac:dyDescent="0.35">
      <c r="G3039" s="2"/>
      <c r="H3039" s="2"/>
      <c r="I3039" s="3"/>
      <c r="J3039" s="6"/>
    </row>
    <row r="3040" spans="7:10" x14ac:dyDescent="0.35">
      <c r="G3040" s="2"/>
      <c r="H3040" s="2"/>
      <c r="I3040" s="3"/>
      <c r="J3040" s="6"/>
    </row>
    <row r="3041" spans="7:10" x14ac:dyDescent="0.35">
      <c r="G3041" s="2"/>
      <c r="H3041" s="2"/>
      <c r="I3041" s="3"/>
      <c r="J3041" s="6"/>
    </row>
    <row r="3042" spans="7:10" x14ac:dyDescent="0.35">
      <c r="G3042" s="2"/>
      <c r="H3042" s="2"/>
      <c r="I3042" s="3"/>
      <c r="J3042" s="6"/>
    </row>
    <row r="3043" spans="7:10" x14ac:dyDescent="0.35">
      <c r="G3043" s="2"/>
      <c r="H3043" s="2"/>
      <c r="I3043" s="3"/>
      <c r="J3043" s="6"/>
    </row>
    <row r="3044" spans="7:10" x14ac:dyDescent="0.35">
      <c r="G3044" s="2"/>
      <c r="H3044" s="2"/>
      <c r="I3044" s="3"/>
      <c r="J3044" s="6"/>
    </row>
    <row r="3045" spans="7:10" x14ac:dyDescent="0.35">
      <c r="G3045" s="2"/>
      <c r="H3045" s="2"/>
      <c r="I3045" s="3"/>
      <c r="J3045" s="6"/>
    </row>
    <row r="3046" spans="7:10" x14ac:dyDescent="0.35">
      <c r="G3046" s="2"/>
      <c r="H3046" s="2"/>
      <c r="I3046" s="3"/>
      <c r="J3046" s="6"/>
    </row>
    <row r="3047" spans="7:10" x14ac:dyDescent="0.35">
      <c r="G3047" s="2"/>
      <c r="H3047" s="2"/>
      <c r="I3047" s="3"/>
      <c r="J3047" s="6"/>
    </row>
    <row r="3048" spans="7:10" x14ac:dyDescent="0.35">
      <c r="G3048" s="2"/>
      <c r="H3048" s="2"/>
      <c r="I3048" s="3"/>
      <c r="J3048" s="6"/>
    </row>
    <row r="3049" spans="7:10" x14ac:dyDescent="0.35">
      <c r="G3049" s="2"/>
      <c r="H3049" s="2"/>
      <c r="I3049" s="3"/>
      <c r="J3049" s="6"/>
    </row>
    <row r="3050" spans="7:10" x14ac:dyDescent="0.35">
      <c r="G3050" s="2"/>
      <c r="H3050" s="2"/>
      <c r="I3050" s="3"/>
      <c r="J3050" s="6"/>
    </row>
    <row r="3051" spans="7:10" x14ac:dyDescent="0.35">
      <c r="G3051" s="2"/>
      <c r="H3051" s="2"/>
      <c r="I3051" s="3"/>
      <c r="J3051" s="6"/>
    </row>
    <row r="3052" spans="7:10" x14ac:dyDescent="0.35">
      <c r="G3052" s="2"/>
      <c r="H3052" s="2"/>
      <c r="I3052" s="3"/>
      <c r="J3052" s="6"/>
    </row>
    <row r="3053" spans="7:10" x14ac:dyDescent="0.35">
      <c r="G3053" s="2"/>
      <c r="H3053" s="2"/>
      <c r="I3053" s="3"/>
      <c r="J3053" s="6"/>
    </row>
    <row r="3054" spans="7:10" x14ac:dyDescent="0.35">
      <c r="G3054" s="2"/>
      <c r="H3054" s="2"/>
      <c r="I3054" s="3"/>
      <c r="J3054" s="6"/>
    </row>
    <row r="3055" spans="7:10" x14ac:dyDescent="0.35">
      <c r="G3055" s="2"/>
      <c r="H3055" s="2"/>
      <c r="I3055" s="3"/>
      <c r="J3055" s="6"/>
    </row>
    <row r="3056" spans="7:10" x14ac:dyDescent="0.35">
      <c r="G3056" s="2"/>
      <c r="H3056" s="2"/>
      <c r="I3056" s="3"/>
      <c r="J3056" s="6"/>
    </row>
    <row r="3057" spans="7:10" x14ac:dyDescent="0.35">
      <c r="G3057" s="2"/>
      <c r="H3057" s="2"/>
      <c r="I3057" s="3"/>
      <c r="J3057" s="6"/>
    </row>
    <row r="3058" spans="7:10" x14ac:dyDescent="0.35">
      <c r="G3058" s="2"/>
      <c r="H3058" s="2"/>
      <c r="I3058" s="3"/>
      <c r="J3058" s="6"/>
    </row>
    <row r="3059" spans="7:10" x14ac:dyDescent="0.35">
      <c r="G3059" s="2"/>
      <c r="H3059" s="2"/>
      <c r="I3059" s="3"/>
      <c r="J3059" s="6"/>
    </row>
    <row r="3060" spans="7:10" x14ac:dyDescent="0.35">
      <c r="G3060" s="2"/>
      <c r="H3060" s="2"/>
      <c r="I3060" s="3"/>
      <c r="J3060" s="6"/>
    </row>
    <row r="3061" spans="7:10" x14ac:dyDescent="0.35">
      <c r="G3061" s="2"/>
      <c r="H3061" s="2"/>
      <c r="I3061" s="3"/>
      <c r="J3061" s="6"/>
    </row>
    <row r="3062" spans="7:10" x14ac:dyDescent="0.35">
      <c r="G3062" s="2"/>
      <c r="H3062" s="2"/>
      <c r="I3062" s="3"/>
      <c r="J3062" s="6"/>
    </row>
    <row r="3063" spans="7:10" x14ac:dyDescent="0.35">
      <c r="G3063" s="2"/>
      <c r="H3063" s="2"/>
      <c r="I3063" s="3"/>
      <c r="J3063" s="6"/>
    </row>
    <row r="3064" spans="7:10" x14ac:dyDescent="0.35">
      <c r="G3064" s="2"/>
      <c r="H3064" s="2"/>
      <c r="I3064" s="3"/>
      <c r="J3064" s="6"/>
    </row>
    <row r="3065" spans="7:10" x14ac:dyDescent="0.35">
      <c r="G3065" s="2"/>
      <c r="H3065" s="2"/>
      <c r="I3065" s="3"/>
      <c r="J3065" s="6"/>
    </row>
    <row r="3066" spans="7:10" x14ac:dyDescent="0.35">
      <c r="G3066" s="2"/>
      <c r="H3066" s="2"/>
      <c r="I3066" s="3"/>
      <c r="J3066" s="6"/>
    </row>
    <row r="3067" spans="7:10" x14ac:dyDescent="0.35">
      <c r="G3067" s="2"/>
      <c r="H3067" s="2"/>
      <c r="I3067" s="3"/>
      <c r="J3067" s="6"/>
    </row>
    <row r="3068" spans="7:10" x14ac:dyDescent="0.35">
      <c r="G3068" s="2"/>
      <c r="H3068" s="2"/>
      <c r="I3068" s="3"/>
      <c r="J3068" s="6"/>
    </row>
    <row r="3069" spans="7:10" x14ac:dyDescent="0.35">
      <c r="G3069" s="2"/>
      <c r="H3069" s="2"/>
      <c r="I3069" s="3"/>
      <c r="J3069" s="6"/>
    </row>
    <row r="3070" spans="7:10" x14ac:dyDescent="0.35">
      <c r="G3070" s="2"/>
      <c r="H3070" s="2"/>
      <c r="I3070" s="3"/>
      <c r="J3070" s="6"/>
    </row>
    <row r="3071" spans="7:10" x14ac:dyDescent="0.35">
      <c r="G3071" s="2"/>
      <c r="H3071" s="2"/>
      <c r="I3071" s="3"/>
      <c r="J3071" s="6"/>
    </row>
    <row r="3072" spans="7:10" x14ac:dyDescent="0.35">
      <c r="G3072" s="2"/>
      <c r="H3072" s="2"/>
      <c r="I3072" s="3"/>
      <c r="J3072" s="6"/>
    </row>
    <row r="3073" spans="7:10" x14ac:dyDescent="0.35">
      <c r="G3073" s="2"/>
      <c r="H3073" s="2"/>
      <c r="I3073" s="3"/>
      <c r="J3073" s="6"/>
    </row>
    <row r="3074" spans="7:10" x14ac:dyDescent="0.35">
      <c r="G3074" s="2"/>
      <c r="H3074" s="2"/>
      <c r="I3074" s="3"/>
      <c r="J3074" s="6"/>
    </row>
    <row r="3075" spans="7:10" x14ac:dyDescent="0.35">
      <c r="G3075" s="2"/>
      <c r="H3075" s="2"/>
      <c r="I3075" s="3"/>
      <c r="J3075" s="6"/>
    </row>
    <row r="3076" spans="7:10" x14ac:dyDescent="0.35">
      <c r="G3076" s="2"/>
      <c r="H3076" s="2"/>
      <c r="I3076" s="3"/>
      <c r="J3076" s="6"/>
    </row>
    <row r="3077" spans="7:10" x14ac:dyDescent="0.35">
      <c r="G3077" s="2"/>
      <c r="H3077" s="2"/>
      <c r="I3077" s="3"/>
      <c r="J3077" s="6"/>
    </row>
    <row r="3078" spans="7:10" x14ac:dyDescent="0.35">
      <c r="G3078" s="2"/>
      <c r="H3078" s="2"/>
      <c r="I3078" s="3"/>
      <c r="J3078" s="6"/>
    </row>
    <row r="3079" spans="7:10" x14ac:dyDescent="0.35">
      <c r="G3079" s="2"/>
      <c r="H3079" s="2"/>
      <c r="I3079" s="3"/>
      <c r="J3079" s="6"/>
    </row>
    <row r="3080" spans="7:10" x14ac:dyDescent="0.35">
      <c r="G3080" s="2"/>
      <c r="H3080" s="2"/>
      <c r="I3080" s="3"/>
      <c r="J3080" s="6"/>
    </row>
    <row r="3081" spans="7:10" x14ac:dyDescent="0.35">
      <c r="G3081" s="2"/>
      <c r="H3081" s="2"/>
      <c r="I3081" s="3"/>
      <c r="J3081" s="6"/>
    </row>
    <row r="3082" spans="7:10" x14ac:dyDescent="0.35">
      <c r="G3082" s="2"/>
      <c r="H3082" s="2"/>
      <c r="I3082" s="3"/>
      <c r="J3082" s="6"/>
    </row>
    <row r="3083" spans="7:10" x14ac:dyDescent="0.35">
      <c r="G3083" s="2"/>
      <c r="H3083" s="2"/>
      <c r="I3083" s="3"/>
      <c r="J3083" s="6"/>
    </row>
    <row r="3084" spans="7:10" x14ac:dyDescent="0.35">
      <c r="G3084" s="2"/>
      <c r="H3084" s="2"/>
      <c r="I3084" s="3"/>
      <c r="J3084" s="6"/>
    </row>
    <row r="3085" spans="7:10" x14ac:dyDescent="0.35">
      <c r="G3085" s="2"/>
      <c r="H3085" s="2"/>
      <c r="I3085" s="3"/>
      <c r="J3085" s="6"/>
    </row>
    <row r="3086" spans="7:10" x14ac:dyDescent="0.35">
      <c r="G3086" s="2"/>
      <c r="H3086" s="2"/>
      <c r="I3086" s="3"/>
      <c r="J3086" s="6"/>
    </row>
    <row r="3087" spans="7:10" x14ac:dyDescent="0.35">
      <c r="G3087" s="2"/>
      <c r="H3087" s="2"/>
      <c r="I3087" s="3"/>
      <c r="J3087" s="6"/>
    </row>
    <row r="3088" spans="7:10" x14ac:dyDescent="0.35">
      <c r="G3088" s="2"/>
      <c r="H3088" s="2"/>
      <c r="I3088" s="3"/>
      <c r="J3088" s="6"/>
    </row>
    <row r="3089" spans="7:10" x14ac:dyDescent="0.35">
      <c r="G3089" s="2"/>
      <c r="H3089" s="2"/>
      <c r="I3089" s="3"/>
      <c r="J3089" s="6"/>
    </row>
    <row r="3090" spans="7:10" x14ac:dyDescent="0.35">
      <c r="G3090" s="2"/>
      <c r="H3090" s="2"/>
      <c r="I3090" s="3"/>
      <c r="J3090" s="6"/>
    </row>
    <row r="3091" spans="7:10" x14ac:dyDescent="0.35">
      <c r="G3091" s="2"/>
      <c r="H3091" s="2"/>
      <c r="I3091" s="3"/>
      <c r="J3091" s="6"/>
    </row>
    <row r="3092" spans="7:10" x14ac:dyDescent="0.35">
      <c r="G3092" s="2"/>
      <c r="H3092" s="2"/>
      <c r="I3092" s="3"/>
      <c r="J3092" s="6"/>
    </row>
    <row r="3093" spans="7:10" x14ac:dyDescent="0.35">
      <c r="G3093" s="2"/>
      <c r="H3093" s="2"/>
      <c r="I3093" s="3"/>
      <c r="J3093" s="6"/>
    </row>
    <row r="3094" spans="7:10" x14ac:dyDescent="0.35">
      <c r="G3094" s="2"/>
      <c r="H3094" s="2"/>
      <c r="I3094" s="3"/>
      <c r="J3094" s="6"/>
    </row>
    <row r="3095" spans="7:10" x14ac:dyDescent="0.35">
      <c r="G3095" s="2"/>
      <c r="H3095" s="2"/>
      <c r="I3095" s="3"/>
      <c r="J3095" s="6"/>
    </row>
    <row r="3096" spans="7:10" x14ac:dyDescent="0.35">
      <c r="G3096" s="2"/>
      <c r="H3096" s="2"/>
      <c r="I3096" s="3"/>
      <c r="J3096" s="6"/>
    </row>
    <row r="3097" spans="7:10" x14ac:dyDescent="0.35">
      <c r="G3097" s="2"/>
      <c r="H3097" s="2"/>
      <c r="I3097" s="3"/>
      <c r="J3097" s="6"/>
    </row>
    <row r="3098" spans="7:10" x14ac:dyDescent="0.35">
      <c r="G3098" s="2"/>
      <c r="H3098" s="2"/>
      <c r="I3098" s="3"/>
      <c r="J3098" s="6"/>
    </row>
    <row r="3099" spans="7:10" x14ac:dyDescent="0.35">
      <c r="G3099" s="2"/>
      <c r="H3099" s="2"/>
      <c r="I3099" s="3"/>
      <c r="J3099" s="6"/>
    </row>
    <row r="3100" spans="7:10" x14ac:dyDescent="0.35">
      <c r="G3100" s="2"/>
      <c r="H3100" s="2"/>
      <c r="I3100" s="3"/>
      <c r="J3100" s="6"/>
    </row>
    <row r="3101" spans="7:10" x14ac:dyDescent="0.35">
      <c r="G3101" s="2"/>
      <c r="H3101" s="2"/>
      <c r="I3101" s="3"/>
      <c r="J3101" s="6"/>
    </row>
    <row r="3102" spans="7:10" x14ac:dyDescent="0.35">
      <c r="G3102" s="2"/>
      <c r="H3102" s="2"/>
      <c r="I3102" s="3"/>
      <c r="J3102" s="6"/>
    </row>
    <row r="3103" spans="7:10" x14ac:dyDescent="0.35">
      <c r="G3103" s="2"/>
      <c r="H3103" s="2"/>
      <c r="I3103" s="3"/>
      <c r="J3103" s="6"/>
    </row>
    <row r="3104" spans="7:10" x14ac:dyDescent="0.35">
      <c r="G3104" s="2"/>
      <c r="H3104" s="2"/>
      <c r="I3104" s="3"/>
      <c r="J3104" s="6"/>
    </row>
    <row r="3105" spans="7:10" x14ac:dyDescent="0.35">
      <c r="G3105" s="2"/>
      <c r="H3105" s="2"/>
      <c r="I3105" s="3"/>
      <c r="J3105" s="6"/>
    </row>
    <row r="3106" spans="7:10" x14ac:dyDescent="0.35">
      <c r="G3106" s="2"/>
      <c r="H3106" s="2"/>
      <c r="I3106" s="3"/>
      <c r="J3106" s="6"/>
    </row>
    <row r="3107" spans="7:10" x14ac:dyDescent="0.35">
      <c r="G3107" s="2"/>
      <c r="H3107" s="2"/>
      <c r="I3107" s="3"/>
      <c r="J3107" s="6"/>
    </row>
    <row r="3108" spans="7:10" x14ac:dyDescent="0.35">
      <c r="G3108" s="2"/>
      <c r="H3108" s="2"/>
      <c r="I3108" s="3"/>
      <c r="J3108" s="6"/>
    </row>
    <row r="3109" spans="7:10" x14ac:dyDescent="0.35">
      <c r="G3109" s="2"/>
      <c r="H3109" s="2"/>
      <c r="I3109" s="3"/>
      <c r="J3109" s="6"/>
    </row>
    <row r="3110" spans="7:10" x14ac:dyDescent="0.35">
      <c r="G3110" s="2"/>
      <c r="H3110" s="2"/>
      <c r="I3110" s="3"/>
      <c r="J3110" s="6"/>
    </row>
    <row r="3111" spans="7:10" x14ac:dyDescent="0.35">
      <c r="G3111" s="2"/>
      <c r="H3111" s="2"/>
      <c r="I3111" s="3"/>
      <c r="J3111" s="6"/>
    </row>
    <row r="3112" spans="7:10" x14ac:dyDescent="0.35">
      <c r="G3112" s="2"/>
      <c r="H3112" s="2"/>
      <c r="I3112" s="3"/>
      <c r="J3112" s="6"/>
    </row>
    <row r="3113" spans="7:10" x14ac:dyDescent="0.35">
      <c r="G3113" s="2"/>
      <c r="H3113" s="2"/>
      <c r="I3113" s="3"/>
      <c r="J3113" s="6"/>
    </row>
    <row r="3114" spans="7:10" x14ac:dyDescent="0.35">
      <c r="G3114" s="2"/>
      <c r="H3114" s="2"/>
      <c r="I3114" s="3"/>
      <c r="J3114" s="6"/>
    </row>
    <row r="3115" spans="7:10" x14ac:dyDescent="0.35">
      <c r="G3115" s="2"/>
      <c r="H3115" s="2"/>
      <c r="I3115" s="3"/>
      <c r="J3115" s="6"/>
    </row>
    <row r="3116" spans="7:10" x14ac:dyDescent="0.35">
      <c r="G3116" s="2"/>
      <c r="H3116" s="2"/>
      <c r="I3116" s="3"/>
      <c r="J3116" s="6"/>
    </row>
    <row r="3117" spans="7:10" x14ac:dyDescent="0.35">
      <c r="G3117" s="2"/>
      <c r="H3117" s="2"/>
      <c r="I3117" s="3"/>
      <c r="J3117" s="6"/>
    </row>
    <row r="3118" spans="7:10" x14ac:dyDescent="0.35">
      <c r="G3118" s="2"/>
      <c r="H3118" s="2"/>
      <c r="I3118" s="3"/>
      <c r="J3118" s="6"/>
    </row>
    <row r="3119" spans="7:10" x14ac:dyDescent="0.35">
      <c r="G3119" s="2"/>
      <c r="H3119" s="2"/>
      <c r="I3119" s="3"/>
      <c r="J3119" s="6"/>
    </row>
    <row r="3120" spans="7:10" x14ac:dyDescent="0.35">
      <c r="G3120" s="2"/>
      <c r="H3120" s="2"/>
      <c r="I3120" s="3"/>
      <c r="J3120" s="6"/>
    </row>
    <row r="3121" spans="7:10" x14ac:dyDescent="0.35">
      <c r="G3121" s="2"/>
      <c r="H3121" s="2"/>
      <c r="I3121" s="3"/>
      <c r="J3121" s="6"/>
    </row>
    <row r="3122" spans="7:10" x14ac:dyDescent="0.35">
      <c r="G3122" s="2"/>
      <c r="H3122" s="2"/>
      <c r="I3122" s="3"/>
      <c r="J3122" s="6"/>
    </row>
    <row r="3123" spans="7:10" x14ac:dyDescent="0.35">
      <c r="G3123" s="2"/>
      <c r="H3123" s="2"/>
      <c r="I3123" s="3"/>
      <c r="J3123" s="6"/>
    </row>
    <row r="3124" spans="7:10" x14ac:dyDescent="0.35">
      <c r="G3124" s="2"/>
      <c r="H3124" s="2"/>
      <c r="I3124" s="3"/>
      <c r="J3124" s="6"/>
    </row>
    <row r="3125" spans="7:10" x14ac:dyDescent="0.35">
      <c r="G3125" s="2"/>
      <c r="H3125" s="2"/>
      <c r="I3125" s="3"/>
      <c r="J3125" s="6"/>
    </row>
    <row r="3126" spans="7:10" x14ac:dyDescent="0.35">
      <c r="G3126" s="2"/>
      <c r="H3126" s="2"/>
      <c r="I3126" s="3"/>
      <c r="J3126" s="6"/>
    </row>
    <row r="3127" spans="7:10" x14ac:dyDescent="0.35">
      <c r="G3127" s="2"/>
      <c r="H3127" s="2"/>
      <c r="I3127" s="3"/>
      <c r="J3127" s="6"/>
    </row>
    <row r="3128" spans="7:10" x14ac:dyDescent="0.35">
      <c r="G3128" s="2"/>
      <c r="H3128" s="2"/>
      <c r="I3128" s="3"/>
      <c r="J3128" s="6"/>
    </row>
    <row r="3129" spans="7:10" x14ac:dyDescent="0.35">
      <c r="G3129" s="2"/>
      <c r="H3129" s="2"/>
      <c r="I3129" s="3"/>
      <c r="J3129" s="6"/>
    </row>
    <row r="3130" spans="7:10" x14ac:dyDescent="0.35">
      <c r="G3130" s="2"/>
      <c r="H3130" s="2"/>
      <c r="I3130" s="3"/>
      <c r="J3130" s="6"/>
    </row>
    <row r="3131" spans="7:10" x14ac:dyDescent="0.35">
      <c r="G3131" s="2"/>
      <c r="H3131" s="2"/>
      <c r="I3131" s="3"/>
      <c r="J3131" s="6"/>
    </row>
    <row r="3132" spans="7:10" x14ac:dyDescent="0.35">
      <c r="G3132" s="2"/>
      <c r="H3132" s="2"/>
      <c r="I3132" s="3"/>
      <c r="J3132" s="6"/>
    </row>
    <row r="3133" spans="7:10" x14ac:dyDescent="0.35">
      <c r="G3133" s="2"/>
      <c r="H3133" s="2"/>
      <c r="I3133" s="3"/>
      <c r="J3133" s="6"/>
    </row>
    <row r="3134" spans="7:10" x14ac:dyDescent="0.35">
      <c r="G3134" s="2"/>
      <c r="H3134" s="2"/>
      <c r="I3134" s="3"/>
      <c r="J3134" s="6"/>
    </row>
    <row r="3135" spans="7:10" x14ac:dyDescent="0.35">
      <c r="G3135" s="2"/>
      <c r="H3135" s="2"/>
      <c r="I3135" s="3"/>
      <c r="J3135" s="6"/>
    </row>
    <row r="3136" spans="7:10" x14ac:dyDescent="0.35">
      <c r="G3136" s="2"/>
      <c r="H3136" s="2"/>
      <c r="I3136" s="3"/>
      <c r="J3136" s="6"/>
    </row>
    <row r="3137" spans="7:10" x14ac:dyDescent="0.35">
      <c r="G3137" s="2"/>
      <c r="H3137" s="2"/>
      <c r="I3137" s="3"/>
      <c r="J3137" s="6"/>
    </row>
    <row r="3138" spans="7:10" x14ac:dyDescent="0.35">
      <c r="G3138" s="2"/>
      <c r="H3138" s="2"/>
      <c r="I3138" s="3"/>
      <c r="J3138" s="6"/>
    </row>
    <row r="3139" spans="7:10" x14ac:dyDescent="0.35">
      <c r="G3139" s="2"/>
      <c r="H3139" s="2"/>
      <c r="I3139" s="3"/>
      <c r="J3139" s="6"/>
    </row>
    <row r="3140" spans="7:10" x14ac:dyDescent="0.35">
      <c r="G3140" s="2"/>
      <c r="H3140" s="2"/>
      <c r="I3140" s="3"/>
      <c r="J3140" s="6"/>
    </row>
    <row r="3141" spans="7:10" x14ac:dyDescent="0.35">
      <c r="G3141" s="2"/>
      <c r="H3141" s="2"/>
      <c r="I3141" s="3"/>
      <c r="J3141" s="6"/>
    </row>
    <row r="3142" spans="7:10" x14ac:dyDescent="0.35">
      <c r="G3142" s="2"/>
      <c r="H3142" s="2"/>
      <c r="I3142" s="3"/>
      <c r="J3142" s="6"/>
    </row>
    <row r="3143" spans="7:10" x14ac:dyDescent="0.35">
      <c r="G3143" s="2"/>
      <c r="H3143" s="2"/>
      <c r="I3143" s="3"/>
      <c r="J3143" s="6"/>
    </row>
    <row r="3144" spans="7:10" x14ac:dyDescent="0.35">
      <c r="G3144" s="2"/>
      <c r="H3144" s="2"/>
      <c r="I3144" s="3"/>
      <c r="J3144" s="6"/>
    </row>
    <row r="3145" spans="7:10" x14ac:dyDescent="0.35">
      <c r="G3145" s="2"/>
      <c r="H3145" s="2"/>
      <c r="I3145" s="3"/>
      <c r="J3145" s="6"/>
    </row>
    <row r="3146" spans="7:10" x14ac:dyDescent="0.35">
      <c r="G3146" s="2"/>
      <c r="H3146" s="2"/>
      <c r="I3146" s="3"/>
      <c r="J3146" s="6"/>
    </row>
    <row r="3147" spans="7:10" x14ac:dyDescent="0.35">
      <c r="G3147" s="2"/>
      <c r="H3147" s="2"/>
      <c r="I3147" s="3"/>
      <c r="J3147" s="6"/>
    </row>
    <row r="3148" spans="7:10" x14ac:dyDescent="0.35">
      <c r="G3148" s="2"/>
      <c r="H3148" s="2"/>
      <c r="I3148" s="3"/>
      <c r="J3148" s="6"/>
    </row>
    <row r="3149" spans="7:10" x14ac:dyDescent="0.35">
      <c r="G3149" s="2"/>
      <c r="H3149" s="2"/>
      <c r="I3149" s="3"/>
      <c r="J3149" s="6"/>
    </row>
    <row r="3150" spans="7:10" x14ac:dyDescent="0.35">
      <c r="G3150" s="2"/>
      <c r="H3150" s="2"/>
      <c r="I3150" s="3"/>
      <c r="J3150" s="6"/>
    </row>
    <row r="3151" spans="7:10" x14ac:dyDescent="0.35">
      <c r="G3151" s="2"/>
      <c r="H3151" s="2"/>
      <c r="I3151" s="3"/>
      <c r="J3151" s="6"/>
    </row>
    <row r="3152" spans="7:10" x14ac:dyDescent="0.35">
      <c r="G3152" s="2"/>
      <c r="H3152" s="2"/>
      <c r="I3152" s="3"/>
      <c r="J3152" s="6"/>
    </row>
    <row r="3153" spans="7:10" x14ac:dyDescent="0.35">
      <c r="G3153" s="2"/>
      <c r="H3153" s="2"/>
      <c r="I3153" s="3"/>
      <c r="J3153" s="6"/>
    </row>
    <row r="3154" spans="7:10" x14ac:dyDescent="0.35">
      <c r="G3154" s="2"/>
      <c r="H3154" s="2"/>
      <c r="I3154" s="3"/>
      <c r="J3154" s="6"/>
    </row>
    <row r="3155" spans="7:10" x14ac:dyDescent="0.35">
      <c r="G3155" s="2"/>
      <c r="H3155" s="2"/>
      <c r="I3155" s="3"/>
      <c r="J3155" s="6"/>
    </row>
    <row r="3156" spans="7:10" x14ac:dyDescent="0.35">
      <c r="G3156" s="2"/>
      <c r="H3156" s="2"/>
      <c r="I3156" s="3"/>
      <c r="J3156" s="6"/>
    </row>
    <row r="3157" spans="7:10" x14ac:dyDescent="0.35">
      <c r="G3157" s="2"/>
      <c r="H3157" s="2"/>
      <c r="I3157" s="3"/>
      <c r="J3157" s="6"/>
    </row>
    <row r="3158" spans="7:10" x14ac:dyDescent="0.35">
      <c r="G3158" s="2"/>
      <c r="H3158" s="2"/>
      <c r="I3158" s="3"/>
      <c r="J3158" s="6"/>
    </row>
    <row r="3159" spans="7:10" x14ac:dyDescent="0.35">
      <c r="G3159" s="2"/>
      <c r="H3159" s="2"/>
      <c r="I3159" s="3"/>
      <c r="J3159" s="6"/>
    </row>
    <row r="3160" spans="7:10" x14ac:dyDescent="0.35">
      <c r="G3160" s="2"/>
      <c r="H3160" s="2"/>
      <c r="I3160" s="3"/>
      <c r="J3160" s="6"/>
    </row>
    <row r="3161" spans="7:10" x14ac:dyDescent="0.35">
      <c r="G3161" s="2"/>
      <c r="H3161" s="2"/>
      <c r="I3161" s="3"/>
      <c r="J3161" s="6"/>
    </row>
    <row r="3162" spans="7:10" x14ac:dyDescent="0.35">
      <c r="G3162" s="2"/>
      <c r="H3162" s="2"/>
      <c r="I3162" s="3"/>
      <c r="J3162" s="6"/>
    </row>
    <row r="3163" spans="7:10" x14ac:dyDescent="0.35">
      <c r="G3163" s="2"/>
      <c r="H3163" s="2"/>
      <c r="I3163" s="3"/>
      <c r="J3163" s="6"/>
    </row>
    <row r="3164" spans="7:10" x14ac:dyDescent="0.35">
      <c r="G3164" s="2"/>
      <c r="H3164" s="2"/>
      <c r="I3164" s="3"/>
      <c r="J3164" s="6"/>
    </row>
    <row r="3165" spans="7:10" x14ac:dyDescent="0.35">
      <c r="G3165" s="2"/>
      <c r="H3165" s="2"/>
      <c r="I3165" s="3"/>
      <c r="J3165" s="6"/>
    </row>
    <row r="3166" spans="7:10" x14ac:dyDescent="0.35">
      <c r="G3166" s="2"/>
      <c r="H3166" s="2"/>
      <c r="I3166" s="3"/>
      <c r="J3166" s="6"/>
    </row>
    <row r="3167" spans="7:10" x14ac:dyDescent="0.35">
      <c r="G3167" s="2"/>
      <c r="H3167" s="2"/>
      <c r="I3167" s="3"/>
      <c r="J3167" s="6"/>
    </row>
    <row r="3168" spans="7:10" x14ac:dyDescent="0.35">
      <c r="G3168" s="2"/>
      <c r="H3168" s="2"/>
      <c r="I3168" s="3"/>
      <c r="J3168" s="6"/>
    </row>
    <row r="3169" spans="7:10" x14ac:dyDescent="0.35">
      <c r="G3169" s="2"/>
      <c r="H3169" s="2"/>
      <c r="I3169" s="3"/>
      <c r="J3169" s="6"/>
    </row>
    <row r="3170" spans="7:10" x14ac:dyDescent="0.35">
      <c r="G3170" s="2"/>
      <c r="H3170" s="2"/>
      <c r="I3170" s="3"/>
      <c r="J3170" s="6"/>
    </row>
    <row r="3171" spans="7:10" x14ac:dyDescent="0.35">
      <c r="G3171" s="2"/>
      <c r="H3171" s="2"/>
      <c r="I3171" s="3"/>
      <c r="J3171" s="6"/>
    </row>
    <row r="3172" spans="7:10" x14ac:dyDescent="0.35">
      <c r="G3172" s="2"/>
      <c r="H3172" s="2"/>
      <c r="I3172" s="3"/>
      <c r="J3172" s="6"/>
    </row>
    <row r="3173" spans="7:10" x14ac:dyDescent="0.35">
      <c r="G3173" s="2"/>
      <c r="H3173" s="2"/>
      <c r="I3173" s="3"/>
      <c r="J3173" s="6"/>
    </row>
    <row r="3174" spans="7:10" x14ac:dyDescent="0.35">
      <c r="G3174" s="2"/>
      <c r="H3174" s="2"/>
      <c r="I3174" s="3"/>
      <c r="J3174" s="6"/>
    </row>
    <row r="3175" spans="7:10" x14ac:dyDescent="0.35">
      <c r="G3175" s="2"/>
      <c r="H3175" s="2"/>
      <c r="I3175" s="3"/>
      <c r="J3175" s="6"/>
    </row>
    <row r="3176" spans="7:10" x14ac:dyDescent="0.35">
      <c r="G3176" s="2"/>
      <c r="H3176" s="2"/>
      <c r="I3176" s="3"/>
      <c r="J3176" s="6"/>
    </row>
    <row r="3177" spans="7:10" x14ac:dyDescent="0.35">
      <c r="G3177" s="2"/>
      <c r="H3177" s="2"/>
      <c r="I3177" s="3"/>
      <c r="J3177" s="6"/>
    </row>
    <row r="3178" spans="7:10" x14ac:dyDescent="0.35">
      <c r="G3178" s="2"/>
      <c r="H3178" s="2"/>
      <c r="I3178" s="3"/>
      <c r="J3178" s="6"/>
    </row>
    <row r="3179" spans="7:10" x14ac:dyDescent="0.35">
      <c r="G3179" s="2"/>
      <c r="H3179" s="2"/>
      <c r="I3179" s="3"/>
      <c r="J3179" s="6"/>
    </row>
    <row r="3180" spans="7:10" x14ac:dyDescent="0.35">
      <c r="G3180" s="2"/>
      <c r="H3180" s="2"/>
      <c r="I3180" s="3"/>
      <c r="J3180" s="6"/>
    </row>
    <row r="3181" spans="7:10" x14ac:dyDescent="0.35">
      <c r="G3181" s="2"/>
      <c r="H3181" s="2"/>
      <c r="I3181" s="3"/>
      <c r="J3181" s="6"/>
    </row>
    <row r="3182" spans="7:10" x14ac:dyDescent="0.35">
      <c r="G3182" s="2"/>
      <c r="H3182" s="2"/>
      <c r="I3182" s="3"/>
      <c r="J3182" s="6"/>
    </row>
    <row r="3183" spans="7:10" x14ac:dyDescent="0.35">
      <c r="G3183" s="2"/>
      <c r="H3183" s="2"/>
      <c r="I3183" s="3"/>
      <c r="J3183" s="6"/>
    </row>
    <row r="3184" spans="7:10" x14ac:dyDescent="0.35">
      <c r="G3184" s="2"/>
      <c r="H3184" s="2"/>
      <c r="I3184" s="3"/>
      <c r="J3184" s="6"/>
    </row>
    <row r="3185" spans="7:10" x14ac:dyDescent="0.35">
      <c r="G3185" s="2"/>
      <c r="H3185" s="2"/>
      <c r="I3185" s="3"/>
      <c r="J3185" s="6"/>
    </row>
    <row r="3186" spans="7:10" x14ac:dyDescent="0.35">
      <c r="G3186" s="2"/>
      <c r="H3186" s="2"/>
      <c r="I3186" s="3"/>
      <c r="J3186" s="6"/>
    </row>
    <row r="3187" spans="7:10" x14ac:dyDescent="0.35">
      <c r="G3187" s="2"/>
      <c r="H3187" s="2"/>
      <c r="I3187" s="3"/>
      <c r="J3187" s="6"/>
    </row>
    <row r="3188" spans="7:10" x14ac:dyDescent="0.35">
      <c r="G3188" s="2"/>
      <c r="H3188" s="2"/>
      <c r="I3188" s="3"/>
      <c r="J3188" s="6"/>
    </row>
    <row r="3189" spans="7:10" x14ac:dyDescent="0.35">
      <c r="G3189" s="2"/>
      <c r="H3189" s="2"/>
      <c r="I3189" s="3"/>
      <c r="J3189" s="6"/>
    </row>
    <row r="3190" spans="7:10" x14ac:dyDescent="0.35">
      <c r="G3190" s="2"/>
      <c r="H3190" s="2"/>
      <c r="I3190" s="3"/>
      <c r="J3190" s="6"/>
    </row>
    <row r="3191" spans="7:10" x14ac:dyDescent="0.35">
      <c r="G3191" s="2"/>
      <c r="H3191" s="2"/>
      <c r="I3191" s="3"/>
      <c r="J3191" s="6"/>
    </row>
    <row r="3192" spans="7:10" x14ac:dyDescent="0.35">
      <c r="G3192" s="2"/>
      <c r="H3192" s="2"/>
      <c r="I3192" s="3"/>
      <c r="J3192" s="6"/>
    </row>
    <row r="3193" spans="7:10" x14ac:dyDescent="0.35">
      <c r="G3193" s="2"/>
      <c r="H3193" s="2"/>
      <c r="I3193" s="3"/>
      <c r="J3193" s="6"/>
    </row>
    <row r="3194" spans="7:10" x14ac:dyDescent="0.35">
      <c r="G3194" s="2"/>
      <c r="H3194" s="2"/>
      <c r="I3194" s="3"/>
      <c r="J3194" s="6"/>
    </row>
    <row r="3195" spans="7:10" x14ac:dyDescent="0.35">
      <c r="G3195" s="2"/>
      <c r="H3195" s="2"/>
      <c r="I3195" s="3"/>
      <c r="J3195" s="6"/>
    </row>
    <row r="3196" spans="7:10" x14ac:dyDescent="0.35">
      <c r="G3196" s="2"/>
      <c r="H3196" s="2"/>
      <c r="I3196" s="3"/>
      <c r="J3196" s="6"/>
    </row>
    <row r="3197" spans="7:10" x14ac:dyDescent="0.35">
      <c r="G3197" s="2"/>
      <c r="H3197" s="2"/>
      <c r="I3197" s="3"/>
      <c r="J3197" s="6"/>
    </row>
    <row r="3198" spans="7:10" x14ac:dyDescent="0.35">
      <c r="G3198" s="2"/>
      <c r="H3198" s="2"/>
      <c r="I3198" s="3"/>
      <c r="J3198" s="6"/>
    </row>
    <row r="3199" spans="7:10" x14ac:dyDescent="0.35">
      <c r="G3199" s="2"/>
      <c r="H3199" s="2"/>
      <c r="I3199" s="3"/>
      <c r="J3199" s="6"/>
    </row>
    <row r="3200" spans="7:10" x14ac:dyDescent="0.35">
      <c r="G3200" s="2"/>
      <c r="H3200" s="2"/>
      <c r="I3200" s="3"/>
      <c r="J3200" s="6"/>
    </row>
    <row r="3201" spans="7:10" x14ac:dyDescent="0.35">
      <c r="G3201" s="2"/>
      <c r="H3201" s="2"/>
      <c r="I3201" s="3"/>
      <c r="J3201" s="6"/>
    </row>
    <row r="3202" spans="7:10" x14ac:dyDescent="0.35">
      <c r="G3202" s="2"/>
      <c r="H3202" s="2"/>
      <c r="I3202" s="3"/>
      <c r="J3202" s="6"/>
    </row>
    <row r="3203" spans="7:10" x14ac:dyDescent="0.35">
      <c r="G3203" s="2"/>
      <c r="H3203" s="2"/>
      <c r="I3203" s="3"/>
      <c r="J3203" s="6"/>
    </row>
    <row r="3204" spans="7:10" x14ac:dyDescent="0.35">
      <c r="G3204" s="2"/>
      <c r="H3204" s="2"/>
      <c r="I3204" s="3"/>
      <c r="J3204" s="6"/>
    </row>
    <row r="3205" spans="7:10" x14ac:dyDescent="0.35">
      <c r="G3205" s="2"/>
      <c r="H3205" s="2"/>
      <c r="I3205" s="3"/>
      <c r="J3205" s="6"/>
    </row>
    <row r="3206" spans="7:10" x14ac:dyDescent="0.35">
      <c r="G3206" s="2"/>
      <c r="H3206" s="2"/>
      <c r="I3206" s="3"/>
      <c r="J3206" s="6"/>
    </row>
    <row r="3207" spans="7:10" x14ac:dyDescent="0.35">
      <c r="G3207" s="2"/>
      <c r="H3207" s="2"/>
      <c r="I3207" s="3"/>
      <c r="J3207" s="6"/>
    </row>
    <row r="3208" spans="7:10" x14ac:dyDescent="0.35">
      <c r="G3208" s="2"/>
      <c r="H3208" s="2"/>
      <c r="I3208" s="3"/>
      <c r="J3208" s="6"/>
    </row>
    <row r="3209" spans="7:10" x14ac:dyDescent="0.35">
      <c r="G3209" s="2"/>
      <c r="H3209" s="2"/>
      <c r="I3209" s="3"/>
      <c r="J3209" s="6"/>
    </row>
    <row r="3210" spans="7:10" x14ac:dyDescent="0.35">
      <c r="G3210" s="2"/>
      <c r="H3210" s="2"/>
      <c r="I3210" s="3"/>
      <c r="J3210" s="6"/>
    </row>
    <row r="3211" spans="7:10" x14ac:dyDescent="0.35">
      <c r="G3211" s="2"/>
      <c r="H3211" s="2"/>
      <c r="I3211" s="3"/>
      <c r="J3211" s="6"/>
    </row>
    <row r="3212" spans="7:10" x14ac:dyDescent="0.35">
      <c r="G3212" s="2"/>
      <c r="H3212" s="2"/>
      <c r="I3212" s="3"/>
      <c r="J3212" s="6"/>
    </row>
    <row r="3213" spans="7:10" x14ac:dyDescent="0.35">
      <c r="G3213" s="2"/>
      <c r="H3213" s="2"/>
      <c r="I3213" s="3"/>
      <c r="J3213" s="6"/>
    </row>
    <row r="3214" spans="7:10" x14ac:dyDescent="0.35">
      <c r="G3214" s="2"/>
      <c r="H3214" s="2"/>
      <c r="I3214" s="3"/>
      <c r="J3214" s="6"/>
    </row>
    <row r="3215" spans="7:10" x14ac:dyDescent="0.35">
      <c r="G3215" s="2"/>
      <c r="H3215" s="2"/>
      <c r="I3215" s="3"/>
      <c r="J3215" s="6"/>
    </row>
    <row r="3216" spans="7:10" x14ac:dyDescent="0.35">
      <c r="G3216" s="2"/>
      <c r="H3216" s="2"/>
      <c r="I3216" s="3"/>
      <c r="J3216" s="6"/>
    </row>
    <row r="3217" spans="7:10" x14ac:dyDescent="0.35">
      <c r="G3217" s="2"/>
      <c r="H3217" s="2"/>
      <c r="I3217" s="3"/>
      <c r="J3217" s="6"/>
    </row>
    <row r="3218" spans="7:10" x14ac:dyDescent="0.35">
      <c r="G3218" s="2"/>
      <c r="H3218" s="2"/>
      <c r="I3218" s="3"/>
      <c r="J3218" s="6"/>
    </row>
    <row r="3219" spans="7:10" x14ac:dyDescent="0.35">
      <c r="G3219" s="2"/>
      <c r="H3219" s="2"/>
      <c r="I3219" s="3"/>
      <c r="J3219" s="6"/>
    </row>
    <row r="3220" spans="7:10" x14ac:dyDescent="0.35">
      <c r="G3220" s="2"/>
      <c r="H3220" s="2"/>
      <c r="I3220" s="3"/>
      <c r="J3220" s="6"/>
    </row>
    <row r="3221" spans="7:10" x14ac:dyDescent="0.35">
      <c r="G3221" s="2"/>
      <c r="H3221" s="2"/>
      <c r="I3221" s="3"/>
      <c r="J3221" s="6"/>
    </row>
    <row r="3222" spans="7:10" x14ac:dyDescent="0.35">
      <c r="G3222" s="2"/>
      <c r="H3222" s="2"/>
      <c r="I3222" s="3"/>
      <c r="J3222" s="6"/>
    </row>
    <row r="3223" spans="7:10" x14ac:dyDescent="0.35">
      <c r="G3223" s="2"/>
      <c r="H3223" s="2"/>
      <c r="I3223" s="3"/>
      <c r="J3223" s="6"/>
    </row>
    <row r="3224" spans="7:10" x14ac:dyDescent="0.35">
      <c r="G3224" s="2"/>
      <c r="H3224" s="2"/>
      <c r="I3224" s="3"/>
      <c r="J3224" s="6"/>
    </row>
    <row r="3225" spans="7:10" x14ac:dyDescent="0.35">
      <c r="G3225" s="2"/>
      <c r="H3225" s="2"/>
      <c r="I3225" s="3"/>
      <c r="J3225" s="6"/>
    </row>
    <row r="3226" spans="7:10" x14ac:dyDescent="0.35">
      <c r="G3226" s="2"/>
      <c r="H3226" s="2"/>
      <c r="I3226" s="3"/>
      <c r="J3226" s="6"/>
    </row>
    <row r="3227" spans="7:10" x14ac:dyDescent="0.35">
      <c r="G3227" s="2"/>
      <c r="H3227" s="2"/>
      <c r="I3227" s="3"/>
      <c r="J3227" s="6"/>
    </row>
    <row r="3228" spans="7:10" x14ac:dyDescent="0.35">
      <c r="G3228" s="2"/>
      <c r="H3228" s="2"/>
      <c r="I3228" s="3"/>
      <c r="J3228" s="6"/>
    </row>
    <row r="3229" spans="7:10" x14ac:dyDescent="0.35">
      <c r="G3229" s="2"/>
      <c r="H3229" s="2"/>
      <c r="I3229" s="3"/>
      <c r="J3229" s="6"/>
    </row>
    <row r="3230" spans="7:10" x14ac:dyDescent="0.35">
      <c r="G3230" s="2"/>
      <c r="H3230" s="2"/>
      <c r="I3230" s="3"/>
      <c r="J3230" s="6"/>
    </row>
    <row r="3231" spans="7:10" x14ac:dyDescent="0.35">
      <c r="G3231" s="2"/>
      <c r="H3231" s="2"/>
      <c r="I3231" s="3"/>
      <c r="J3231" s="6"/>
    </row>
    <row r="3232" spans="7:10" x14ac:dyDescent="0.35">
      <c r="G3232" s="2"/>
      <c r="H3232" s="2"/>
      <c r="I3232" s="3"/>
      <c r="J3232" s="6"/>
    </row>
    <row r="3233" spans="7:10" x14ac:dyDescent="0.35">
      <c r="G3233" s="2"/>
      <c r="H3233" s="2"/>
      <c r="I3233" s="3"/>
      <c r="J3233" s="6"/>
    </row>
    <row r="3234" spans="7:10" x14ac:dyDescent="0.35">
      <c r="G3234" s="2"/>
      <c r="H3234" s="2"/>
      <c r="I3234" s="3"/>
      <c r="J3234" s="6"/>
    </row>
    <row r="3235" spans="7:10" x14ac:dyDescent="0.35">
      <c r="G3235" s="2"/>
      <c r="H3235" s="2"/>
      <c r="I3235" s="3"/>
      <c r="J3235" s="6"/>
    </row>
    <row r="3236" spans="7:10" x14ac:dyDescent="0.35">
      <c r="G3236" s="2"/>
      <c r="H3236" s="2"/>
      <c r="I3236" s="3"/>
      <c r="J3236" s="6"/>
    </row>
    <row r="3237" spans="7:10" x14ac:dyDescent="0.35">
      <c r="G3237" s="2"/>
      <c r="H3237" s="2"/>
      <c r="I3237" s="3"/>
      <c r="J3237" s="6"/>
    </row>
    <row r="3238" spans="7:10" x14ac:dyDescent="0.35">
      <c r="G3238" s="2"/>
      <c r="H3238" s="2"/>
      <c r="I3238" s="3"/>
      <c r="J3238" s="6"/>
    </row>
    <row r="3239" spans="7:10" x14ac:dyDescent="0.35">
      <c r="G3239" s="2"/>
      <c r="H3239" s="2"/>
      <c r="I3239" s="3"/>
      <c r="J3239" s="6"/>
    </row>
    <row r="3240" spans="7:10" x14ac:dyDescent="0.35">
      <c r="G3240" s="2"/>
      <c r="H3240" s="2"/>
      <c r="I3240" s="3"/>
      <c r="J3240" s="6"/>
    </row>
    <row r="3241" spans="7:10" x14ac:dyDescent="0.35">
      <c r="G3241" s="2"/>
      <c r="H3241" s="2"/>
      <c r="I3241" s="3"/>
      <c r="J3241" s="6"/>
    </row>
    <row r="3242" spans="7:10" x14ac:dyDescent="0.35">
      <c r="G3242" s="2"/>
      <c r="H3242" s="2"/>
      <c r="I3242" s="3"/>
      <c r="J3242" s="6"/>
    </row>
    <row r="3243" spans="7:10" x14ac:dyDescent="0.35">
      <c r="G3243" s="2"/>
      <c r="H3243" s="2"/>
      <c r="I3243" s="3"/>
      <c r="J3243" s="6"/>
    </row>
    <row r="3244" spans="7:10" x14ac:dyDescent="0.35">
      <c r="G3244" s="2"/>
      <c r="H3244" s="2"/>
      <c r="I3244" s="3"/>
      <c r="J3244" s="6"/>
    </row>
    <row r="3245" spans="7:10" x14ac:dyDescent="0.35">
      <c r="G3245" s="2"/>
      <c r="H3245" s="2"/>
      <c r="I3245" s="3"/>
      <c r="J3245" s="6"/>
    </row>
    <row r="3246" spans="7:10" x14ac:dyDescent="0.35">
      <c r="G3246" s="2"/>
      <c r="H3246" s="2"/>
      <c r="I3246" s="3"/>
      <c r="J3246" s="6"/>
    </row>
    <row r="3247" spans="7:10" x14ac:dyDescent="0.35">
      <c r="G3247" s="2"/>
      <c r="H3247" s="2"/>
      <c r="I3247" s="3"/>
      <c r="J3247" s="6"/>
    </row>
    <row r="3248" spans="7:10" x14ac:dyDescent="0.35">
      <c r="G3248" s="2"/>
      <c r="H3248" s="2"/>
      <c r="I3248" s="3"/>
      <c r="J3248" s="6"/>
    </row>
    <row r="3249" spans="7:10" x14ac:dyDescent="0.35">
      <c r="G3249" s="2"/>
      <c r="H3249" s="2"/>
      <c r="I3249" s="3"/>
      <c r="J3249" s="6"/>
    </row>
    <row r="3250" spans="7:10" x14ac:dyDescent="0.35">
      <c r="G3250" s="2"/>
      <c r="H3250" s="2"/>
      <c r="I3250" s="3"/>
      <c r="J3250" s="6"/>
    </row>
    <row r="3251" spans="7:10" x14ac:dyDescent="0.35">
      <c r="G3251" s="2"/>
      <c r="H3251" s="2"/>
      <c r="I3251" s="3"/>
      <c r="J3251" s="6"/>
    </row>
    <row r="3252" spans="7:10" x14ac:dyDescent="0.35">
      <c r="G3252" s="2"/>
      <c r="H3252" s="2"/>
      <c r="I3252" s="3"/>
      <c r="J3252" s="6"/>
    </row>
    <row r="3253" spans="7:10" x14ac:dyDescent="0.35">
      <c r="G3253" s="2"/>
      <c r="H3253" s="2"/>
      <c r="I3253" s="3"/>
      <c r="J3253" s="6"/>
    </row>
    <row r="3254" spans="7:10" x14ac:dyDescent="0.35">
      <c r="G3254" s="2"/>
      <c r="H3254" s="2"/>
      <c r="I3254" s="3"/>
      <c r="J3254" s="6"/>
    </row>
    <row r="3255" spans="7:10" x14ac:dyDescent="0.35">
      <c r="G3255" s="2"/>
      <c r="H3255" s="2"/>
      <c r="I3255" s="3"/>
      <c r="J3255" s="6"/>
    </row>
    <row r="3256" spans="7:10" x14ac:dyDescent="0.35">
      <c r="G3256" s="2"/>
      <c r="H3256" s="2"/>
      <c r="I3256" s="3"/>
      <c r="J3256" s="6"/>
    </row>
    <row r="3257" spans="7:10" x14ac:dyDescent="0.35">
      <c r="G3257" s="2"/>
      <c r="H3257" s="2"/>
      <c r="I3257" s="3"/>
      <c r="J3257" s="6"/>
    </row>
    <row r="3258" spans="7:10" x14ac:dyDescent="0.35">
      <c r="G3258" s="2"/>
      <c r="H3258" s="2"/>
      <c r="I3258" s="3"/>
      <c r="J3258" s="6"/>
    </row>
    <row r="3259" spans="7:10" x14ac:dyDescent="0.35">
      <c r="G3259" s="2"/>
      <c r="H3259" s="2"/>
      <c r="I3259" s="3"/>
      <c r="J3259" s="6"/>
    </row>
    <row r="3260" spans="7:10" x14ac:dyDescent="0.35">
      <c r="G3260" s="2"/>
      <c r="H3260" s="2"/>
      <c r="I3260" s="3"/>
      <c r="J3260" s="6"/>
    </row>
    <row r="3261" spans="7:10" x14ac:dyDescent="0.35">
      <c r="G3261" s="2"/>
      <c r="H3261" s="2"/>
      <c r="I3261" s="3"/>
      <c r="J3261" s="6"/>
    </row>
    <row r="3262" spans="7:10" x14ac:dyDescent="0.35">
      <c r="G3262" s="2"/>
      <c r="H3262" s="2"/>
      <c r="I3262" s="3"/>
      <c r="J3262" s="6"/>
    </row>
    <row r="3263" spans="7:10" x14ac:dyDescent="0.35">
      <c r="G3263" s="2"/>
      <c r="H3263" s="2"/>
      <c r="I3263" s="3"/>
      <c r="J3263" s="6"/>
    </row>
    <row r="3264" spans="7:10" x14ac:dyDescent="0.35">
      <c r="G3264" s="2"/>
      <c r="H3264" s="2"/>
      <c r="I3264" s="3"/>
      <c r="J3264" s="6"/>
    </row>
    <row r="3265" spans="7:10" x14ac:dyDescent="0.35">
      <c r="G3265" s="2"/>
      <c r="H3265" s="2"/>
      <c r="I3265" s="3"/>
      <c r="J3265" s="6"/>
    </row>
    <row r="3266" spans="7:10" x14ac:dyDescent="0.35">
      <c r="G3266" s="2"/>
      <c r="H3266" s="2"/>
      <c r="I3266" s="3"/>
      <c r="J3266" s="6"/>
    </row>
    <row r="3267" spans="7:10" x14ac:dyDescent="0.35">
      <c r="G3267" s="2"/>
      <c r="H3267" s="2"/>
      <c r="I3267" s="3"/>
      <c r="J3267" s="6"/>
    </row>
    <row r="3268" spans="7:10" x14ac:dyDescent="0.35">
      <c r="G3268" s="2"/>
      <c r="H3268" s="2"/>
      <c r="I3268" s="3"/>
      <c r="J3268" s="6"/>
    </row>
    <row r="3269" spans="7:10" x14ac:dyDescent="0.35">
      <c r="G3269" s="2"/>
      <c r="H3269" s="2"/>
      <c r="I3269" s="3"/>
      <c r="J3269" s="6"/>
    </row>
    <row r="3270" spans="7:10" x14ac:dyDescent="0.35">
      <c r="G3270" s="2"/>
      <c r="H3270" s="2"/>
      <c r="I3270" s="3"/>
      <c r="J3270" s="6"/>
    </row>
    <row r="3271" spans="7:10" x14ac:dyDescent="0.35">
      <c r="G3271" s="2"/>
      <c r="H3271" s="2"/>
      <c r="I3271" s="3"/>
      <c r="J3271" s="6"/>
    </row>
    <row r="3272" spans="7:10" x14ac:dyDescent="0.35">
      <c r="G3272" s="2"/>
      <c r="H3272" s="2"/>
      <c r="I3272" s="3"/>
      <c r="J3272" s="6"/>
    </row>
    <row r="3273" spans="7:10" x14ac:dyDescent="0.35">
      <c r="G3273" s="2"/>
      <c r="H3273" s="2"/>
      <c r="I3273" s="3"/>
      <c r="J3273" s="6"/>
    </row>
    <row r="3274" spans="7:10" x14ac:dyDescent="0.35">
      <c r="G3274" s="2"/>
      <c r="H3274" s="2"/>
      <c r="I3274" s="3"/>
      <c r="J3274" s="6"/>
    </row>
    <row r="3275" spans="7:10" x14ac:dyDescent="0.35">
      <c r="G3275" s="2"/>
      <c r="H3275" s="2"/>
      <c r="I3275" s="3"/>
      <c r="J3275" s="6"/>
    </row>
    <row r="3276" spans="7:10" x14ac:dyDescent="0.35">
      <c r="G3276" s="2"/>
      <c r="H3276" s="2"/>
      <c r="I3276" s="3"/>
      <c r="J3276" s="6"/>
    </row>
    <row r="3277" spans="7:10" x14ac:dyDescent="0.35">
      <c r="G3277" s="2"/>
      <c r="H3277" s="2"/>
      <c r="I3277" s="3"/>
      <c r="J3277" s="6"/>
    </row>
    <row r="3278" spans="7:10" x14ac:dyDescent="0.35">
      <c r="G3278" s="2"/>
      <c r="H3278" s="2"/>
      <c r="I3278" s="3"/>
      <c r="J3278" s="6"/>
    </row>
    <row r="3279" spans="7:10" x14ac:dyDescent="0.35">
      <c r="G3279" s="2"/>
      <c r="H3279" s="2"/>
      <c r="I3279" s="3"/>
      <c r="J3279" s="6"/>
    </row>
    <row r="3280" spans="7:10" x14ac:dyDescent="0.35">
      <c r="G3280" s="2"/>
      <c r="H3280" s="2"/>
      <c r="I3280" s="3"/>
      <c r="J3280" s="6"/>
    </row>
    <row r="3281" spans="7:10" x14ac:dyDescent="0.35">
      <c r="G3281" s="2"/>
      <c r="H3281" s="2"/>
      <c r="I3281" s="3"/>
      <c r="J3281" s="6"/>
    </row>
    <row r="3282" spans="7:10" x14ac:dyDescent="0.35">
      <c r="G3282" s="2"/>
      <c r="H3282" s="2"/>
      <c r="I3282" s="3"/>
      <c r="J3282" s="6"/>
    </row>
    <row r="3283" spans="7:10" x14ac:dyDescent="0.35">
      <c r="G3283" s="2"/>
      <c r="H3283" s="2"/>
      <c r="I3283" s="3"/>
      <c r="J3283" s="6"/>
    </row>
    <row r="3284" spans="7:10" x14ac:dyDescent="0.35">
      <c r="G3284" s="2"/>
      <c r="H3284" s="2"/>
      <c r="I3284" s="3"/>
      <c r="J3284" s="6"/>
    </row>
    <row r="3285" spans="7:10" x14ac:dyDescent="0.35">
      <c r="G3285" s="2"/>
      <c r="H3285" s="2"/>
      <c r="I3285" s="3"/>
      <c r="J3285" s="6"/>
    </row>
    <row r="3286" spans="7:10" x14ac:dyDescent="0.35">
      <c r="G3286" s="2"/>
      <c r="H3286" s="2"/>
      <c r="I3286" s="3"/>
      <c r="J3286" s="6"/>
    </row>
    <row r="3287" spans="7:10" x14ac:dyDescent="0.35">
      <c r="G3287" s="2"/>
      <c r="H3287" s="2"/>
      <c r="I3287" s="3"/>
      <c r="J3287" s="6"/>
    </row>
    <row r="3288" spans="7:10" x14ac:dyDescent="0.35">
      <c r="G3288" s="2"/>
      <c r="H3288" s="2"/>
      <c r="I3288" s="3"/>
      <c r="J3288" s="6"/>
    </row>
    <row r="3289" spans="7:10" x14ac:dyDescent="0.35">
      <c r="G3289" s="2"/>
      <c r="H3289" s="2"/>
      <c r="I3289" s="3"/>
      <c r="J3289" s="6"/>
    </row>
    <row r="3290" spans="7:10" x14ac:dyDescent="0.35">
      <c r="G3290" s="2"/>
      <c r="H3290" s="2"/>
      <c r="I3290" s="3"/>
      <c r="J3290" s="6"/>
    </row>
    <row r="3291" spans="7:10" x14ac:dyDescent="0.35">
      <c r="G3291" s="2"/>
      <c r="H3291" s="2"/>
      <c r="I3291" s="3"/>
      <c r="J3291" s="6"/>
    </row>
    <row r="3292" spans="7:10" x14ac:dyDescent="0.35">
      <c r="G3292" s="2"/>
      <c r="H3292" s="2"/>
      <c r="I3292" s="3"/>
      <c r="J3292" s="6"/>
    </row>
    <row r="3293" spans="7:10" x14ac:dyDescent="0.35">
      <c r="G3293" s="2"/>
      <c r="H3293" s="2"/>
      <c r="I3293" s="3"/>
      <c r="J3293" s="6"/>
    </row>
    <row r="3294" spans="7:10" x14ac:dyDescent="0.35">
      <c r="G3294" s="2"/>
      <c r="H3294" s="2"/>
      <c r="I3294" s="3"/>
      <c r="J3294" s="6"/>
    </row>
    <row r="3295" spans="7:10" x14ac:dyDescent="0.35">
      <c r="G3295" s="2"/>
      <c r="H3295" s="2"/>
      <c r="I3295" s="3"/>
      <c r="J3295" s="6"/>
    </row>
    <row r="3296" spans="7:10" x14ac:dyDescent="0.35">
      <c r="G3296" s="2"/>
      <c r="H3296" s="2"/>
      <c r="I3296" s="3"/>
      <c r="J3296" s="6"/>
    </row>
    <row r="3297" spans="7:10" x14ac:dyDescent="0.35">
      <c r="G3297" s="2"/>
      <c r="H3297" s="2"/>
      <c r="I3297" s="3"/>
      <c r="J3297" s="6"/>
    </row>
    <row r="3298" spans="7:10" x14ac:dyDescent="0.35">
      <c r="G3298" s="2"/>
      <c r="H3298" s="2"/>
      <c r="I3298" s="3"/>
      <c r="J3298" s="6"/>
    </row>
    <row r="3299" spans="7:10" x14ac:dyDescent="0.35">
      <c r="G3299" s="2"/>
      <c r="H3299" s="2"/>
      <c r="I3299" s="3"/>
      <c r="J3299" s="6"/>
    </row>
    <row r="3300" spans="7:10" x14ac:dyDescent="0.35">
      <c r="G3300" s="2"/>
      <c r="H3300" s="2"/>
      <c r="I3300" s="3"/>
      <c r="J3300" s="6"/>
    </row>
    <row r="3301" spans="7:10" x14ac:dyDescent="0.35">
      <c r="G3301" s="2"/>
      <c r="H3301" s="2"/>
      <c r="I3301" s="3"/>
      <c r="J3301" s="6"/>
    </row>
    <row r="3302" spans="7:10" x14ac:dyDescent="0.35">
      <c r="G3302" s="2"/>
      <c r="H3302" s="2"/>
      <c r="I3302" s="3"/>
      <c r="J3302" s="6"/>
    </row>
    <row r="3303" spans="7:10" x14ac:dyDescent="0.35">
      <c r="G3303" s="2"/>
      <c r="H3303" s="2"/>
      <c r="I3303" s="3"/>
      <c r="J3303" s="6"/>
    </row>
    <row r="3304" spans="7:10" x14ac:dyDescent="0.35">
      <c r="G3304" s="2"/>
      <c r="H3304" s="2"/>
      <c r="I3304" s="3"/>
      <c r="J3304" s="6"/>
    </row>
    <row r="3305" spans="7:10" x14ac:dyDescent="0.35">
      <c r="G3305" s="2"/>
      <c r="H3305" s="2"/>
      <c r="I3305" s="3"/>
      <c r="J3305" s="6"/>
    </row>
    <row r="3306" spans="7:10" x14ac:dyDescent="0.35">
      <c r="G3306" s="2"/>
      <c r="H3306" s="2"/>
      <c r="I3306" s="3"/>
      <c r="J3306" s="6"/>
    </row>
    <row r="3307" spans="7:10" x14ac:dyDescent="0.35">
      <c r="G3307" s="2"/>
      <c r="H3307" s="2"/>
      <c r="I3307" s="3"/>
      <c r="J3307" s="6"/>
    </row>
    <row r="3308" spans="7:10" x14ac:dyDescent="0.35">
      <c r="G3308" s="2"/>
      <c r="H3308" s="2"/>
      <c r="I3308" s="3"/>
      <c r="J3308" s="6"/>
    </row>
    <row r="3309" spans="7:10" x14ac:dyDescent="0.35">
      <c r="G3309" s="2"/>
      <c r="H3309" s="2"/>
      <c r="I3309" s="3"/>
      <c r="J3309" s="6"/>
    </row>
    <row r="3310" spans="7:10" x14ac:dyDescent="0.35">
      <c r="G3310" s="2"/>
      <c r="H3310" s="2"/>
      <c r="I3310" s="3"/>
      <c r="J3310" s="6"/>
    </row>
    <row r="3311" spans="7:10" x14ac:dyDescent="0.35">
      <c r="G3311" s="2"/>
      <c r="H3311" s="2"/>
      <c r="I3311" s="3"/>
      <c r="J3311" s="6"/>
    </row>
    <row r="3312" spans="7:10" x14ac:dyDescent="0.35">
      <c r="G3312" s="2"/>
      <c r="H3312" s="2"/>
      <c r="I3312" s="3"/>
      <c r="J3312" s="6"/>
    </row>
    <row r="3313" spans="7:10" x14ac:dyDescent="0.35">
      <c r="G3313" s="2"/>
      <c r="H3313" s="2"/>
      <c r="I3313" s="3"/>
      <c r="J3313" s="6"/>
    </row>
    <row r="3314" spans="7:10" x14ac:dyDescent="0.35">
      <c r="G3314" s="2"/>
      <c r="H3314" s="2"/>
      <c r="I3314" s="3"/>
      <c r="J3314" s="6"/>
    </row>
    <row r="3315" spans="7:10" x14ac:dyDescent="0.35">
      <c r="G3315" s="2"/>
      <c r="H3315" s="2"/>
      <c r="I3315" s="3"/>
      <c r="J3315" s="6"/>
    </row>
    <row r="3316" spans="7:10" x14ac:dyDescent="0.35">
      <c r="G3316" s="2"/>
      <c r="H3316" s="2"/>
      <c r="I3316" s="3"/>
      <c r="J3316" s="6"/>
    </row>
    <row r="3317" spans="7:10" x14ac:dyDescent="0.35">
      <c r="G3317" s="2"/>
      <c r="H3317" s="2"/>
      <c r="I3317" s="3"/>
      <c r="J3317" s="6"/>
    </row>
    <row r="3318" spans="7:10" x14ac:dyDescent="0.35">
      <c r="G3318" s="2"/>
      <c r="H3318" s="2"/>
      <c r="I3318" s="3"/>
      <c r="J3318" s="6"/>
    </row>
    <row r="3319" spans="7:10" x14ac:dyDescent="0.35">
      <c r="G3319" s="2"/>
      <c r="H3319" s="2"/>
      <c r="I3319" s="3"/>
      <c r="J3319" s="6"/>
    </row>
    <row r="3320" spans="7:10" x14ac:dyDescent="0.35">
      <c r="G3320" s="2"/>
      <c r="H3320" s="2"/>
      <c r="I3320" s="3"/>
      <c r="J3320" s="6"/>
    </row>
    <row r="3321" spans="7:10" x14ac:dyDescent="0.35">
      <c r="G3321" s="2"/>
      <c r="H3321" s="2"/>
      <c r="I3321" s="3"/>
      <c r="J3321" s="6"/>
    </row>
    <row r="3322" spans="7:10" x14ac:dyDescent="0.35">
      <c r="G3322" s="2"/>
      <c r="H3322" s="2"/>
      <c r="I3322" s="3"/>
      <c r="J3322" s="6"/>
    </row>
    <row r="3323" spans="7:10" x14ac:dyDescent="0.35">
      <c r="G3323" s="2"/>
      <c r="H3323" s="2"/>
      <c r="I3323" s="3"/>
      <c r="J3323" s="6"/>
    </row>
    <row r="3324" spans="7:10" x14ac:dyDescent="0.35">
      <c r="G3324" s="2"/>
      <c r="H3324" s="2"/>
      <c r="I3324" s="3"/>
      <c r="J3324" s="6"/>
    </row>
    <row r="3325" spans="7:10" x14ac:dyDescent="0.35">
      <c r="G3325" s="2"/>
      <c r="H3325" s="2"/>
      <c r="I3325" s="3"/>
      <c r="J3325" s="6"/>
    </row>
    <row r="3326" spans="7:10" x14ac:dyDescent="0.35">
      <c r="G3326" s="2"/>
      <c r="H3326" s="2"/>
      <c r="I3326" s="3"/>
      <c r="J3326" s="6"/>
    </row>
    <row r="3327" spans="7:10" x14ac:dyDescent="0.35">
      <c r="G3327" s="2"/>
      <c r="H3327" s="2"/>
      <c r="I3327" s="3"/>
      <c r="J3327" s="6"/>
    </row>
    <row r="3328" spans="7:10" x14ac:dyDescent="0.35">
      <c r="G3328" s="2"/>
      <c r="H3328" s="2"/>
      <c r="I3328" s="3"/>
      <c r="J3328" s="6"/>
    </row>
    <row r="3329" spans="7:10" x14ac:dyDescent="0.35">
      <c r="G3329" s="2"/>
      <c r="H3329" s="2"/>
      <c r="I3329" s="3"/>
      <c r="J3329" s="6"/>
    </row>
    <row r="3330" spans="7:10" x14ac:dyDescent="0.35">
      <c r="G3330" s="2"/>
      <c r="H3330" s="2"/>
      <c r="I3330" s="3"/>
      <c r="J3330" s="6"/>
    </row>
    <row r="3331" spans="7:10" x14ac:dyDescent="0.35">
      <c r="G3331" s="2"/>
      <c r="H3331" s="2"/>
      <c r="I3331" s="3"/>
      <c r="J3331" s="6"/>
    </row>
    <row r="3332" spans="7:10" x14ac:dyDescent="0.35">
      <c r="G3332" s="2"/>
      <c r="H3332" s="2"/>
      <c r="I3332" s="3"/>
      <c r="J3332" s="6"/>
    </row>
    <row r="3333" spans="7:10" x14ac:dyDescent="0.35">
      <c r="G3333" s="2"/>
      <c r="H3333" s="2"/>
      <c r="I3333" s="3"/>
      <c r="J3333" s="6"/>
    </row>
    <row r="3334" spans="7:10" x14ac:dyDescent="0.35">
      <c r="G3334" s="2"/>
      <c r="H3334" s="2"/>
      <c r="I3334" s="3"/>
      <c r="J3334" s="6"/>
    </row>
    <row r="3335" spans="7:10" x14ac:dyDescent="0.35">
      <c r="G3335" s="2"/>
      <c r="H3335" s="2"/>
      <c r="I3335" s="3"/>
      <c r="J3335" s="6"/>
    </row>
    <row r="3336" spans="7:10" x14ac:dyDescent="0.35">
      <c r="G3336" s="2"/>
      <c r="H3336" s="2"/>
      <c r="I3336" s="3"/>
      <c r="J3336" s="6"/>
    </row>
    <row r="3337" spans="7:10" x14ac:dyDescent="0.35">
      <c r="G3337" s="2"/>
      <c r="H3337" s="2"/>
      <c r="I3337" s="3"/>
      <c r="J3337" s="6"/>
    </row>
    <row r="3338" spans="7:10" x14ac:dyDescent="0.35">
      <c r="G3338" s="2"/>
      <c r="H3338" s="2"/>
      <c r="I3338" s="3"/>
      <c r="J3338" s="6"/>
    </row>
    <row r="3339" spans="7:10" x14ac:dyDescent="0.35">
      <c r="G3339" s="2"/>
      <c r="H3339" s="2"/>
      <c r="I3339" s="3"/>
      <c r="J3339" s="6"/>
    </row>
    <row r="3340" spans="7:10" x14ac:dyDescent="0.35">
      <c r="G3340" s="2"/>
      <c r="H3340" s="2"/>
      <c r="I3340" s="3"/>
      <c r="J3340" s="6"/>
    </row>
    <row r="3341" spans="7:10" x14ac:dyDescent="0.35">
      <c r="G3341" s="2"/>
      <c r="H3341" s="2"/>
      <c r="I3341" s="3"/>
      <c r="J3341" s="6"/>
    </row>
    <row r="3342" spans="7:10" x14ac:dyDescent="0.35">
      <c r="G3342" s="2"/>
      <c r="H3342" s="2"/>
      <c r="I3342" s="3"/>
      <c r="J3342" s="6"/>
    </row>
    <row r="3343" spans="7:10" x14ac:dyDescent="0.35">
      <c r="G3343" s="2"/>
      <c r="H3343" s="2"/>
      <c r="I3343" s="3"/>
      <c r="J3343" s="6"/>
    </row>
    <row r="3344" spans="7:10" x14ac:dyDescent="0.35">
      <c r="G3344" s="2"/>
      <c r="H3344" s="2"/>
      <c r="I3344" s="3"/>
      <c r="J3344" s="6"/>
    </row>
    <row r="3345" spans="7:10" x14ac:dyDescent="0.35">
      <c r="G3345" s="2"/>
      <c r="H3345" s="2"/>
      <c r="I3345" s="3"/>
      <c r="J3345" s="6"/>
    </row>
    <row r="3346" spans="7:10" x14ac:dyDescent="0.35">
      <c r="G3346" s="2"/>
      <c r="H3346" s="2"/>
      <c r="I3346" s="3"/>
      <c r="J3346" s="6"/>
    </row>
    <row r="3347" spans="7:10" x14ac:dyDescent="0.35">
      <c r="G3347" s="2"/>
      <c r="H3347" s="2"/>
      <c r="I3347" s="3"/>
      <c r="J3347" s="6"/>
    </row>
    <row r="3348" spans="7:10" x14ac:dyDescent="0.35">
      <c r="G3348" s="2"/>
      <c r="H3348" s="2"/>
      <c r="I3348" s="3"/>
      <c r="J3348" s="6"/>
    </row>
    <row r="3349" spans="7:10" x14ac:dyDescent="0.35">
      <c r="G3349" s="2"/>
      <c r="H3349" s="2"/>
      <c r="I3349" s="3"/>
      <c r="J3349" s="6"/>
    </row>
    <row r="3350" spans="7:10" x14ac:dyDescent="0.35">
      <c r="G3350" s="2"/>
      <c r="H3350" s="2"/>
      <c r="I3350" s="3"/>
      <c r="J3350" s="6"/>
    </row>
    <row r="3351" spans="7:10" x14ac:dyDescent="0.35">
      <c r="G3351" s="2"/>
      <c r="H3351" s="2"/>
      <c r="I3351" s="3"/>
      <c r="J3351" s="6"/>
    </row>
    <row r="3352" spans="7:10" x14ac:dyDescent="0.35">
      <c r="G3352" s="2"/>
      <c r="H3352" s="2"/>
      <c r="I3352" s="3"/>
      <c r="J3352" s="6"/>
    </row>
    <row r="3353" spans="7:10" x14ac:dyDescent="0.35">
      <c r="G3353" s="2"/>
      <c r="H3353" s="2"/>
      <c r="I3353" s="3"/>
      <c r="J3353" s="6"/>
    </row>
    <row r="3354" spans="7:10" x14ac:dyDescent="0.35">
      <c r="G3354" s="2"/>
      <c r="H3354" s="2"/>
      <c r="I3354" s="3"/>
      <c r="J3354" s="6"/>
    </row>
    <row r="3355" spans="7:10" x14ac:dyDescent="0.35">
      <c r="G3355" s="2"/>
      <c r="H3355" s="2"/>
      <c r="I3355" s="3"/>
      <c r="J3355" s="6"/>
    </row>
    <row r="3356" spans="7:10" x14ac:dyDescent="0.35">
      <c r="G3356" s="2"/>
      <c r="H3356" s="2"/>
      <c r="I3356" s="3"/>
      <c r="J3356" s="6"/>
    </row>
    <row r="3357" spans="7:10" x14ac:dyDescent="0.35">
      <c r="G3357" s="2"/>
      <c r="H3357" s="2"/>
      <c r="I3357" s="3"/>
      <c r="J3357" s="6"/>
    </row>
    <row r="3358" spans="7:10" x14ac:dyDescent="0.35">
      <c r="G3358" s="2"/>
      <c r="H3358" s="2"/>
      <c r="I3358" s="3"/>
      <c r="J3358" s="6"/>
    </row>
    <row r="3359" spans="7:10" x14ac:dyDescent="0.35">
      <c r="G3359" s="2"/>
      <c r="H3359" s="2"/>
      <c r="I3359" s="3"/>
      <c r="J3359" s="6"/>
    </row>
    <row r="3360" spans="7:10" x14ac:dyDescent="0.35">
      <c r="G3360" s="2"/>
      <c r="H3360" s="2"/>
      <c r="I3360" s="3"/>
      <c r="J3360" s="6"/>
    </row>
    <row r="3361" spans="7:10" x14ac:dyDescent="0.35">
      <c r="G3361" s="2"/>
      <c r="H3361" s="2"/>
      <c r="I3361" s="3"/>
      <c r="J3361" s="6"/>
    </row>
    <row r="3362" spans="7:10" x14ac:dyDescent="0.35">
      <c r="G3362" s="2"/>
      <c r="H3362" s="2"/>
      <c r="I3362" s="3"/>
      <c r="J3362" s="6"/>
    </row>
    <row r="3363" spans="7:10" x14ac:dyDescent="0.35">
      <c r="G3363" s="2"/>
      <c r="H3363" s="2"/>
      <c r="I3363" s="3"/>
      <c r="J3363" s="6"/>
    </row>
    <row r="3364" spans="7:10" x14ac:dyDescent="0.35">
      <c r="G3364" s="2"/>
      <c r="H3364" s="2"/>
      <c r="I3364" s="3"/>
      <c r="J3364" s="6"/>
    </row>
    <row r="3365" spans="7:10" x14ac:dyDescent="0.35">
      <c r="G3365" s="2"/>
      <c r="H3365" s="2"/>
      <c r="I3365" s="3"/>
      <c r="J3365" s="6"/>
    </row>
    <row r="3366" spans="7:10" x14ac:dyDescent="0.35">
      <c r="G3366" s="2"/>
      <c r="H3366" s="2"/>
      <c r="I3366" s="3"/>
      <c r="J3366" s="6"/>
    </row>
    <row r="3367" spans="7:10" x14ac:dyDescent="0.35">
      <c r="G3367" s="2"/>
      <c r="H3367" s="2"/>
      <c r="I3367" s="3"/>
      <c r="J3367" s="6"/>
    </row>
    <row r="3368" spans="7:10" x14ac:dyDescent="0.35">
      <c r="G3368" s="2"/>
      <c r="H3368" s="2"/>
      <c r="I3368" s="3"/>
      <c r="J3368" s="6"/>
    </row>
    <row r="3369" spans="7:10" x14ac:dyDescent="0.35">
      <c r="G3369" s="2"/>
      <c r="H3369" s="2"/>
      <c r="I3369" s="3"/>
      <c r="J3369" s="6"/>
    </row>
    <row r="3370" spans="7:10" x14ac:dyDescent="0.35">
      <c r="G3370" s="2"/>
      <c r="H3370" s="2"/>
      <c r="I3370" s="3"/>
      <c r="J3370" s="6"/>
    </row>
    <row r="3371" spans="7:10" x14ac:dyDescent="0.35">
      <c r="G3371" s="2"/>
      <c r="H3371" s="2"/>
      <c r="I3371" s="3"/>
      <c r="J3371" s="6"/>
    </row>
    <row r="3372" spans="7:10" x14ac:dyDescent="0.35">
      <c r="G3372" s="2"/>
      <c r="H3372" s="2"/>
      <c r="I3372" s="3"/>
      <c r="J3372" s="6"/>
    </row>
    <row r="3373" spans="7:10" x14ac:dyDescent="0.35">
      <c r="G3373" s="2"/>
      <c r="H3373" s="2"/>
      <c r="I3373" s="3"/>
      <c r="J3373" s="6"/>
    </row>
    <row r="3374" spans="7:10" x14ac:dyDescent="0.35">
      <c r="G3374" s="2"/>
      <c r="H3374" s="2"/>
      <c r="I3374" s="3"/>
      <c r="J3374" s="6"/>
    </row>
    <row r="3375" spans="7:10" x14ac:dyDescent="0.35">
      <c r="G3375" s="2"/>
      <c r="H3375" s="2"/>
      <c r="I3375" s="3"/>
      <c r="J3375" s="6"/>
    </row>
    <row r="3376" spans="7:10" x14ac:dyDescent="0.35">
      <c r="G3376" s="2"/>
      <c r="H3376" s="2"/>
      <c r="I3376" s="3"/>
      <c r="J3376" s="6"/>
    </row>
    <row r="3377" spans="7:10" x14ac:dyDescent="0.35">
      <c r="G3377" s="2"/>
      <c r="H3377" s="2"/>
      <c r="I3377" s="3"/>
      <c r="J3377" s="6"/>
    </row>
    <row r="3378" spans="7:10" x14ac:dyDescent="0.35">
      <c r="G3378" s="2"/>
      <c r="H3378" s="2"/>
      <c r="I3378" s="3"/>
      <c r="J3378" s="6"/>
    </row>
    <row r="3379" spans="7:10" x14ac:dyDescent="0.35">
      <c r="G3379" s="2"/>
      <c r="H3379" s="2"/>
      <c r="I3379" s="3"/>
      <c r="J3379" s="6"/>
    </row>
    <row r="3380" spans="7:10" x14ac:dyDescent="0.35">
      <c r="G3380" s="2"/>
      <c r="H3380" s="2"/>
      <c r="I3380" s="3"/>
      <c r="J3380" s="6"/>
    </row>
    <row r="3381" spans="7:10" x14ac:dyDescent="0.35">
      <c r="G3381" s="2"/>
      <c r="H3381" s="2"/>
      <c r="I3381" s="3"/>
      <c r="J3381" s="6"/>
    </row>
    <row r="3382" spans="7:10" x14ac:dyDescent="0.35">
      <c r="G3382" s="2"/>
      <c r="H3382" s="2"/>
      <c r="I3382" s="3"/>
      <c r="J3382" s="6"/>
    </row>
    <row r="3383" spans="7:10" x14ac:dyDescent="0.35">
      <c r="G3383" s="2"/>
      <c r="H3383" s="2"/>
      <c r="I3383" s="3"/>
      <c r="J3383" s="6"/>
    </row>
    <row r="3384" spans="7:10" x14ac:dyDescent="0.35">
      <c r="G3384" s="2"/>
      <c r="H3384" s="2"/>
      <c r="I3384" s="3"/>
      <c r="J3384" s="6"/>
    </row>
    <row r="3385" spans="7:10" x14ac:dyDescent="0.35">
      <c r="G3385" s="2"/>
      <c r="H3385" s="2"/>
      <c r="I3385" s="3"/>
      <c r="J3385" s="6"/>
    </row>
    <row r="3386" spans="7:10" x14ac:dyDescent="0.35">
      <c r="G3386" s="2"/>
      <c r="H3386" s="2"/>
      <c r="I3386" s="3"/>
      <c r="J3386" s="6"/>
    </row>
    <row r="3387" spans="7:10" x14ac:dyDescent="0.35">
      <c r="G3387" s="2"/>
      <c r="H3387" s="2"/>
      <c r="I3387" s="3"/>
      <c r="J3387" s="6"/>
    </row>
    <row r="3388" spans="7:10" x14ac:dyDescent="0.35">
      <c r="G3388" s="2"/>
      <c r="H3388" s="2"/>
      <c r="I3388" s="3"/>
      <c r="J3388" s="6"/>
    </row>
    <row r="3389" spans="7:10" x14ac:dyDescent="0.35">
      <c r="G3389" s="2"/>
      <c r="H3389" s="2"/>
      <c r="I3389" s="3"/>
      <c r="J3389" s="6"/>
    </row>
    <row r="3390" spans="7:10" x14ac:dyDescent="0.35">
      <c r="G3390" s="2"/>
      <c r="H3390" s="2"/>
      <c r="I3390" s="3"/>
      <c r="J3390" s="6"/>
    </row>
    <row r="3391" spans="7:10" x14ac:dyDescent="0.35">
      <c r="G3391" s="2"/>
      <c r="H3391" s="2"/>
      <c r="I3391" s="3"/>
      <c r="J3391" s="6"/>
    </row>
    <row r="3392" spans="7:10" x14ac:dyDescent="0.35">
      <c r="G3392" s="2"/>
      <c r="H3392" s="2"/>
      <c r="I3392" s="3"/>
      <c r="J3392" s="6"/>
    </row>
    <row r="3393" spans="7:10" x14ac:dyDescent="0.35">
      <c r="G3393" s="2"/>
      <c r="H3393" s="2"/>
      <c r="I3393" s="3"/>
      <c r="J3393" s="6"/>
    </row>
    <row r="3394" spans="7:10" x14ac:dyDescent="0.35">
      <c r="G3394" s="2"/>
      <c r="H3394" s="2"/>
      <c r="I3394" s="3"/>
      <c r="J3394" s="6"/>
    </row>
    <row r="3395" spans="7:10" x14ac:dyDescent="0.35">
      <c r="G3395" s="2"/>
      <c r="H3395" s="2"/>
      <c r="I3395" s="3"/>
      <c r="J3395" s="6"/>
    </row>
    <row r="3396" spans="7:10" x14ac:dyDescent="0.35">
      <c r="G3396" s="2"/>
      <c r="H3396" s="2"/>
      <c r="I3396" s="3"/>
      <c r="J3396" s="6"/>
    </row>
    <row r="3397" spans="7:10" x14ac:dyDescent="0.35">
      <c r="G3397" s="2"/>
      <c r="H3397" s="2"/>
      <c r="I3397" s="3"/>
      <c r="J3397" s="6"/>
    </row>
    <row r="3398" spans="7:10" x14ac:dyDescent="0.35">
      <c r="G3398" s="2"/>
      <c r="H3398" s="2"/>
      <c r="I3398" s="3"/>
      <c r="J3398" s="6"/>
    </row>
    <row r="3399" spans="7:10" x14ac:dyDescent="0.35">
      <c r="G3399" s="2"/>
      <c r="H3399" s="2"/>
      <c r="I3399" s="3"/>
      <c r="J3399" s="6"/>
    </row>
    <row r="3400" spans="7:10" x14ac:dyDescent="0.35">
      <c r="G3400" s="2"/>
      <c r="H3400" s="2"/>
      <c r="I3400" s="3"/>
      <c r="J3400" s="6"/>
    </row>
    <row r="3401" spans="7:10" x14ac:dyDescent="0.35">
      <c r="G3401" s="2"/>
      <c r="H3401" s="2"/>
      <c r="I3401" s="3"/>
      <c r="J3401" s="6"/>
    </row>
    <row r="3402" spans="7:10" x14ac:dyDescent="0.35">
      <c r="G3402" s="2"/>
      <c r="H3402" s="2"/>
      <c r="I3402" s="3"/>
      <c r="J3402" s="6"/>
    </row>
    <row r="3403" spans="7:10" x14ac:dyDescent="0.35">
      <c r="G3403" s="2"/>
      <c r="H3403" s="2"/>
      <c r="I3403" s="3"/>
      <c r="J3403" s="6"/>
    </row>
    <row r="3404" spans="7:10" x14ac:dyDescent="0.35">
      <c r="G3404" s="2"/>
      <c r="H3404" s="2"/>
      <c r="I3404" s="3"/>
      <c r="J3404" s="6"/>
    </row>
    <row r="3405" spans="7:10" x14ac:dyDescent="0.35">
      <c r="G3405" s="2"/>
      <c r="H3405" s="2"/>
      <c r="I3405" s="3"/>
      <c r="J3405" s="6"/>
    </row>
    <row r="3406" spans="7:10" x14ac:dyDescent="0.35">
      <c r="G3406" s="2"/>
      <c r="H3406" s="2"/>
      <c r="I3406" s="3"/>
      <c r="J3406" s="6"/>
    </row>
    <row r="3407" spans="7:10" x14ac:dyDescent="0.35">
      <c r="G3407" s="2"/>
      <c r="H3407" s="2"/>
      <c r="I3407" s="3"/>
      <c r="J3407" s="6"/>
    </row>
    <row r="3408" spans="7:10" x14ac:dyDescent="0.35">
      <c r="G3408" s="2"/>
      <c r="H3408" s="2"/>
      <c r="I3408" s="3"/>
      <c r="J3408" s="6"/>
    </row>
    <row r="3409" spans="7:10" x14ac:dyDescent="0.35">
      <c r="G3409" s="2"/>
      <c r="H3409" s="2"/>
      <c r="I3409" s="3"/>
      <c r="J3409" s="6"/>
    </row>
    <row r="3410" spans="7:10" x14ac:dyDescent="0.35">
      <c r="G3410" s="2"/>
      <c r="H3410" s="2"/>
      <c r="I3410" s="3"/>
      <c r="J3410" s="6"/>
    </row>
    <row r="3411" spans="7:10" x14ac:dyDescent="0.35">
      <c r="G3411" s="2"/>
      <c r="H3411" s="2"/>
      <c r="I3411" s="3"/>
      <c r="J3411" s="6"/>
    </row>
    <row r="3412" spans="7:10" x14ac:dyDescent="0.35">
      <c r="G3412" s="2"/>
      <c r="H3412" s="2"/>
      <c r="I3412" s="3"/>
      <c r="J3412" s="6"/>
    </row>
    <row r="3413" spans="7:10" x14ac:dyDescent="0.35">
      <c r="G3413" s="2"/>
      <c r="H3413" s="2"/>
      <c r="I3413" s="3"/>
      <c r="J3413" s="6"/>
    </row>
    <row r="3414" spans="7:10" x14ac:dyDescent="0.35">
      <c r="G3414" s="2"/>
      <c r="H3414" s="2"/>
      <c r="I3414" s="3"/>
      <c r="J3414" s="6"/>
    </row>
    <row r="3415" spans="7:10" x14ac:dyDescent="0.35">
      <c r="G3415" s="2"/>
      <c r="H3415" s="2"/>
      <c r="I3415" s="3"/>
      <c r="J3415" s="6"/>
    </row>
    <row r="3416" spans="7:10" x14ac:dyDescent="0.35">
      <c r="G3416" s="2"/>
      <c r="H3416" s="2"/>
      <c r="I3416" s="3"/>
      <c r="J3416" s="6"/>
    </row>
    <row r="3417" spans="7:10" x14ac:dyDescent="0.35">
      <c r="G3417" s="2"/>
      <c r="H3417" s="2"/>
      <c r="I3417" s="3"/>
      <c r="J3417" s="6"/>
    </row>
    <row r="3418" spans="7:10" x14ac:dyDescent="0.35">
      <c r="G3418" s="2"/>
      <c r="H3418" s="2"/>
      <c r="I3418" s="3"/>
      <c r="J3418" s="6"/>
    </row>
    <row r="3419" spans="7:10" x14ac:dyDescent="0.35">
      <c r="G3419" s="2"/>
      <c r="H3419" s="2"/>
      <c r="I3419" s="3"/>
      <c r="J3419" s="6"/>
    </row>
    <row r="3420" spans="7:10" x14ac:dyDescent="0.35">
      <c r="G3420" s="2"/>
      <c r="H3420" s="2"/>
      <c r="I3420" s="3"/>
      <c r="J3420" s="6"/>
    </row>
    <row r="3421" spans="7:10" x14ac:dyDescent="0.35">
      <c r="G3421" s="2"/>
      <c r="H3421" s="2"/>
      <c r="I3421" s="3"/>
      <c r="J3421" s="6"/>
    </row>
    <row r="3422" spans="7:10" x14ac:dyDescent="0.35">
      <c r="G3422" s="2"/>
      <c r="H3422" s="2"/>
      <c r="I3422" s="3"/>
      <c r="J3422" s="6"/>
    </row>
    <row r="3423" spans="7:10" x14ac:dyDescent="0.35">
      <c r="G3423" s="2"/>
      <c r="H3423" s="2"/>
      <c r="I3423" s="3"/>
      <c r="J3423" s="6"/>
    </row>
    <row r="3424" spans="7:10" x14ac:dyDescent="0.35">
      <c r="G3424" s="2"/>
      <c r="H3424" s="2"/>
      <c r="I3424" s="3"/>
      <c r="J3424" s="6"/>
    </row>
    <row r="3425" spans="7:10" x14ac:dyDescent="0.35">
      <c r="G3425" s="2"/>
      <c r="H3425" s="2"/>
      <c r="I3425" s="3"/>
      <c r="J3425" s="6"/>
    </row>
    <row r="3426" spans="7:10" x14ac:dyDescent="0.35">
      <c r="G3426" s="2"/>
      <c r="H3426" s="2"/>
      <c r="I3426" s="3"/>
      <c r="J3426" s="6"/>
    </row>
    <row r="3427" spans="7:10" x14ac:dyDescent="0.35">
      <c r="G3427" s="2"/>
      <c r="H3427" s="2"/>
      <c r="I3427" s="3"/>
      <c r="J3427" s="6"/>
    </row>
    <row r="3428" spans="7:10" x14ac:dyDescent="0.35">
      <c r="G3428" s="2"/>
      <c r="H3428" s="2"/>
      <c r="I3428" s="3"/>
      <c r="J3428" s="6"/>
    </row>
    <row r="3429" spans="7:10" x14ac:dyDescent="0.35">
      <c r="G3429" s="2"/>
      <c r="H3429" s="2"/>
      <c r="I3429" s="3"/>
      <c r="J3429" s="6"/>
    </row>
    <row r="3430" spans="7:10" x14ac:dyDescent="0.35">
      <c r="G3430" s="2"/>
      <c r="H3430" s="2"/>
      <c r="I3430" s="3"/>
      <c r="J3430" s="6"/>
    </row>
    <row r="3431" spans="7:10" x14ac:dyDescent="0.35">
      <c r="G3431" s="2"/>
      <c r="H3431" s="2"/>
      <c r="I3431" s="3"/>
      <c r="J3431" s="6"/>
    </row>
    <row r="3432" spans="7:10" x14ac:dyDescent="0.35">
      <c r="G3432" s="2"/>
      <c r="H3432" s="2"/>
      <c r="I3432" s="3"/>
      <c r="J3432" s="6"/>
    </row>
    <row r="3433" spans="7:10" x14ac:dyDescent="0.35">
      <c r="G3433" s="2"/>
      <c r="H3433" s="2"/>
      <c r="I3433" s="3"/>
      <c r="J3433" s="6"/>
    </row>
    <row r="3434" spans="7:10" x14ac:dyDescent="0.35">
      <c r="G3434" s="2"/>
      <c r="H3434" s="2"/>
      <c r="I3434" s="3"/>
      <c r="J3434" s="6"/>
    </row>
    <row r="3435" spans="7:10" x14ac:dyDescent="0.35">
      <c r="G3435" s="2"/>
      <c r="H3435" s="2"/>
      <c r="I3435" s="3"/>
      <c r="J3435" s="6"/>
    </row>
    <row r="3436" spans="7:10" x14ac:dyDescent="0.35">
      <c r="G3436" s="2"/>
      <c r="H3436" s="2"/>
      <c r="I3436" s="3"/>
      <c r="J3436" s="6"/>
    </row>
    <row r="3437" spans="7:10" x14ac:dyDescent="0.35">
      <c r="G3437" s="2"/>
      <c r="H3437" s="2"/>
      <c r="I3437" s="3"/>
      <c r="J3437" s="6"/>
    </row>
    <row r="3438" spans="7:10" x14ac:dyDescent="0.35">
      <c r="G3438" s="2"/>
      <c r="H3438" s="2"/>
      <c r="I3438" s="3"/>
      <c r="J3438" s="6"/>
    </row>
    <row r="3439" spans="7:10" x14ac:dyDescent="0.35">
      <c r="G3439" s="2"/>
      <c r="H3439" s="2"/>
      <c r="I3439" s="3"/>
      <c r="J3439" s="6"/>
    </row>
    <row r="3440" spans="7:10" x14ac:dyDescent="0.35">
      <c r="G3440" s="2"/>
      <c r="H3440" s="2"/>
      <c r="I3440" s="3"/>
      <c r="J3440" s="6"/>
    </row>
    <row r="3441" spans="7:10" x14ac:dyDescent="0.35">
      <c r="G3441" s="2"/>
      <c r="H3441" s="2"/>
      <c r="I3441" s="3"/>
      <c r="J3441" s="6"/>
    </row>
    <row r="3442" spans="7:10" x14ac:dyDescent="0.35">
      <c r="G3442" s="2"/>
      <c r="H3442" s="2"/>
      <c r="I3442" s="3"/>
      <c r="J3442" s="6"/>
    </row>
    <row r="3443" spans="7:10" x14ac:dyDescent="0.35">
      <c r="G3443" s="2"/>
      <c r="H3443" s="2"/>
      <c r="I3443" s="3"/>
      <c r="J3443" s="6"/>
    </row>
    <row r="3444" spans="7:10" x14ac:dyDescent="0.35">
      <c r="G3444" s="2"/>
      <c r="H3444" s="2"/>
      <c r="I3444" s="3"/>
      <c r="J3444" s="6"/>
    </row>
    <row r="3445" spans="7:10" x14ac:dyDescent="0.35">
      <c r="G3445" s="2"/>
      <c r="H3445" s="2"/>
      <c r="I3445" s="3"/>
      <c r="J3445" s="6"/>
    </row>
    <row r="3446" spans="7:10" x14ac:dyDescent="0.35">
      <c r="G3446" s="2"/>
      <c r="H3446" s="2"/>
      <c r="I3446" s="3"/>
      <c r="J3446" s="6"/>
    </row>
    <row r="3447" spans="7:10" x14ac:dyDescent="0.35">
      <c r="G3447" s="2"/>
      <c r="H3447" s="2"/>
      <c r="I3447" s="3"/>
      <c r="J3447" s="6"/>
    </row>
    <row r="3448" spans="7:10" x14ac:dyDescent="0.35">
      <c r="G3448" s="2"/>
      <c r="H3448" s="2"/>
      <c r="I3448" s="3"/>
      <c r="J3448" s="6"/>
    </row>
    <row r="3449" spans="7:10" x14ac:dyDescent="0.35">
      <c r="G3449" s="2"/>
      <c r="H3449" s="2"/>
      <c r="I3449" s="3"/>
      <c r="J3449" s="6"/>
    </row>
    <row r="3450" spans="7:10" x14ac:dyDescent="0.35">
      <c r="G3450" s="2"/>
      <c r="H3450" s="2"/>
      <c r="I3450" s="3"/>
      <c r="J3450" s="6"/>
    </row>
    <row r="3451" spans="7:10" x14ac:dyDescent="0.35">
      <c r="G3451" s="2"/>
      <c r="H3451" s="2"/>
      <c r="I3451" s="3"/>
      <c r="J3451" s="6"/>
    </row>
    <row r="3452" spans="7:10" x14ac:dyDescent="0.35">
      <c r="G3452" s="2"/>
      <c r="H3452" s="2"/>
      <c r="I3452" s="3"/>
      <c r="J3452" s="6"/>
    </row>
    <row r="3453" spans="7:10" x14ac:dyDescent="0.35">
      <c r="G3453" s="2"/>
      <c r="H3453" s="2"/>
      <c r="I3453" s="3"/>
      <c r="J3453" s="6"/>
    </row>
    <row r="3454" spans="7:10" x14ac:dyDescent="0.35">
      <c r="G3454" s="2"/>
      <c r="H3454" s="2"/>
      <c r="I3454" s="3"/>
      <c r="J3454" s="6"/>
    </row>
    <row r="3455" spans="7:10" x14ac:dyDescent="0.35">
      <c r="G3455" s="2"/>
      <c r="H3455" s="2"/>
      <c r="I3455" s="3"/>
      <c r="J3455" s="6"/>
    </row>
    <row r="3456" spans="7:10" x14ac:dyDescent="0.35">
      <c r="G3456" s="2"/>
      <c r="H3456" s="2"/>
      <c r="I3456" s="3"/>
      <c r="J3456" s="6"/>
    </row>
    <row r="3457" spans="7:10" x14ac:dyDescent="0.35">
      <c r="G3457" s="2"/>
      <c r="H3457" s="2"/>
      <c r="I3457" s="3"/>
      <c r="J3457" s="6"/>
    </row>
    <row r="3458" spans="7:10" x14ac:dyDescent="0.35">
      <c r="G3458" s="2"/>
      <c r="H3458" s="2"/>
      <c r="I3458" s="3"/>
      <c r="J3458" s="6"/>
    </row>
    <row r="3459" spans="7:10" x14ac:dyDescent="0.35">
      <c r="G3459" s="2"/>
      <c r="H3459" s="2"/>
      <c r="I3459" s="3"/>
      <c r="J3459" s="6"/>
    </row>
    <row r="3460" spans="7:10" x14ac:dyDescent="0.35">
      <c r="G3460" s="2"/>
      <c r="H3460" s="2"/>
      <c r="I3460" s="3"/>
      <c r="J3460" s="6"/>
    </row>
    <row r="3461" spans="7:10" x14ac:dyDescent="0.35">
      <c r="G3461" s="2"/>
      <c r="H3461" s="2"/>
      <c r="I3461" s="3"/>
      <c r="J3461" s="6"/>
    </row>
    <row r="3462" spans="7:10" x14ac:dyDescent="0.35">
      <c r="G3462" s="2"/>
      <c r="H3462" s="2"/>
      <c r="I3462" s="3"/>
      <c r="J3462" s="6"/>
    </row>
    <row r="3463" spans="7:10" x14ac:dyDescent="0.35">
      <c r="G3463" s="2"/>
      <c r="H3463" s="2"/>
      <c r="I3463" s="3"/>
      <c r="J3463" s="6"/>
    </row>
    <row r="3464" spans="7:10" x14ac:dyDescent="0.35">
      <c r="G3464" s="2"/>
      <c r="H3464" s="2"/>
      <c r="I3464" s="3"/>
      <c r="J3464" s="6"/>
    </row>
    <row r="3465" spans="7:10" x14ac:dyDescent="0.35">
      <c r="G3465" s="2"/>
      <c r="H3465" s="2"/>
      <c r="I3465" s="3"/>
      <c r="J3465" s="6"/>
    </row>
    <row r="3466" spans="7:10" x14ac:dyDescent="0.35">
      <c r="G3466" s="2"/>
      <c r="H3466" s="2"/>
      <c r="I3466" s="3"/>
      <c r="J3466" s="6"/>
    </row>
    <row r="3467" spans="7:10" x14ac:dyDescent="0.35">
      <c r="G3467" s="2"/>
      <c r="H3467" s="2"/>
      <c r="I3467" s="3"/>
      <c r="J3467" s="6"/>
    </row>
    <row r="3468" spans="7:10" x14ac:dyDescent="0.35">
      <c r="G3468" s="2"/>
      <c r="H3468" s="2"/>
      <c r="I3468" s="3"/>
      <c r="J3468" s="6"/>
    </row>
    <row r="3469" spans="7:10" x14ac:dyDescent="0.35">
      <c r="G3469" s="2"/>
      <c r="H3469" s="2"/>
      <c r="I3469" s="3"/>
      <c r="J3469" s="6"/>
    </row>
    <row r="3470" spans="7:10" x14ac:dyDescent="0.35">
      <c r="G3470" s="2"/>
      <c r="H3470" s="2"/>
      <c r="I3470" s="3"/>
      <c r="J3470" s="6"/>
    </row>
    <row r="3471" spans="7:10" x14ac:dyDescent="0.35">
      <c r="G3471" s="2"/>
      <c r="H3471" s="2"/>
      <c r="I3471" s="3"/>
      <c r="J3471" s="6"/>
    </row>
    <row r="3472" spans="7:10" x14ac:dyDescent="0.35">
      <c r="G3472" s="2"/>
      <c r="H3472" s="2"/>
      <c r="I3472" s="3"/>
      <c r="J3472" s="6"/>
    </row>
    <row r="3473" spans="7:10" x14ac:dyDescent="0.35">
      <c r="G3473" s="2"/>
      <c r="H3473" s="2"/>
      <c r="I3473" s="3"/>
      <c r="J3473" s="6"/>
    </row>
    <row r="3474" spans="7:10" x14ac:dyDescent="0.35">
      <c r="G3474" s="2"/>
      <c r="H3474" s="2"/>
      <c r="I3474" s="3"/>
      <c r="J3474" s="6"/>
    </row>
    <row r="3475" spans="7:10" x14ac:dyDescent="0.35">
      <c r="G3475" s="2"/>
      <c r="H3475" s="2"/>
      <c r="I3475" s="3"/>
      <c r="J3475" s="6"/>
    </row>
    <row r="3476" spans="7:10" x14ac:dyDescent="0.35">
      <c r="G3476" s="2"/>
      <c r="H3476" s="2"/>
      <c r="I3476" s="3"/>
      <c r="J3476" s="6"/>
    </row>
    <row r="3477" spans="7:10" x14ac:dyDescent="0.35">
      <c r="G3477" s="2"/>
      <c r="H3477" s="2"/>
      <c r="I3477" s="3"/>
      <c r="J3477" s="6"/>
    </row>
    <row r="3478" spans="7:10" x14ac:dyDescent="0.35">
      <c r="G3478" s="2"/>
      <c r="H3478" s="2"/>
      <c r="I3478" s="3"/>
      <c r="J3478" s="6"/>
    </row>
    <row r="3479" spans="7:10" x14ac:dyDescent="0.35">
      <c r="G3479" s="2"/>
      <c r="H3479" s="2"/>
      <c r="I3479" s="3"/>
      <c r="J3479" s="6"/>
    </row>
    <row r="3480" spans="7:10" x14ac:dyDescent="0.35">
      <c r="G3480" s="2"/>
      <c r="H3480" s="2"/>
      <c r="I3480" s="3"/>
      <c r="J3480" s="6"/>
    </row>
    <row r="3481" spans="7:10" x14ac:dyDescent="0.35">
      <c r="G3481" s="2"/>
      <c r="H3481" s="2"/>
      <c r="I3481" s="3"/>
      <c r="J3481" s="6"/>
    </row>
    <row r="3482" spans="7:10" x14ac:dyDescent="0.35">
      <c r="G3482" s="2"/>
      <c r="H3482" s="2"/>
      <c r="I3482" s="3"/>
      <c r="J3482" s="6"/>
    </row>
    <row r="3483" spans="7:10" x14ac:dyDescent="0.35">
      <c r="G3483" s="2"/>
      <c r="H3483" s="2"/>
      <c r="I3483" s="3"/>
      <c r="J3483" s="6"/>
    </row>
    <row r="3484" spans="7:10" x14ac:dyDescent="0.35">
      <c r="G3484" s="2"/>
      <c r="H3484" s="2"/>
      <c r="I3484" s="3"/>
      <c r="J3484" s="6"/>
    </row>
    <row r="3485" spans="7:10" x14ac:dyDescent="0.35">
      <c r="G3485" s="2"/>
      <c r="H3485" s="2"/>
      <c r="I3485" s="3"/>
      <c r="J3485" s="6"/>
    </row>
    <row r="3486" spans="7:10" x14ac:dyDescent="0.35">
      <c r="G3486" s="2"/>
      <c r="H3486" s="2"/>
      <c r="I3486" s="3"/>
      <c r="J3486" s="6"/>
    </row>
    <row r="3487" spans="7:10" x14ac:dyDescent="0.35">
      <c r="G3487" s="2"/>
      <c r="H3487" s="2"/>
      <c r="I3487" s="3"/>
      <c r="J3487" s="6"/>
    </row>
    <row r="3488" spans="7:10" x14ac:dyDescent="0.35">
      <c r="G3488" s="2"/>
      <c r="H3488" s="2"/>
      <c r="I3488" s="3"/>
      <c r="J3488" s="6"/>
    </row>
    <row r="3489" spans="7:10" x14ac:dyDescent="0.35">
      <c r="G3489" s="2"/>
      <c r="H3489" s="2"/>
      <c r="I3489" s="3"/>
      <c r="J3489" s="6"/>
    </row>
    <row r="3490" spans="7:10" x14ac:dyDescent="0.35">
      <c r="G3490" s="2"/>
      <c r="H3490" s="2"/>
      <c r="I3490" s="3"/>
      <c r="J3490" s="6"/>
    </row>
    <row r="3491" spans="7:10" x14ac:dyDescent="0.35">
      <c r="G3491" s="2"/>
      <c r="H3491" s="2"/>
      <c r="I3491" s="3"/>
      <c r="J3491" s="6"/>
    </row>
    <row r="3492" spans="7:10" x14ac:dyDescent="0.35">
      <c r="G3492" s="2"/>
      <c r="H3492" s="2"/>
      <c r="I3492" s="3"/>
      <c r="J3492" s="6"/>
    </row>
    <row r="3493" spans="7:10" x14ac:dyDescent="0.35">
      <c r="G3493" s="2"/>
      <c r="H3493" s="2"/>
      <c r="I3493" s="3"/>
      <c r="J3493" s="6"/>
    </row>
    <row r="3494" spans="7:10" x14ac:dyDescent="0.35">
      <c r="G3494" s="2"/>
      <c r="H3494" s="2"/>
      <c r="I3494" s="3"/>
      <c r="J3494" s="6"/>
    </row>
    <row r="3495" spans="7:10" x14ac:dyDescent="0.35">
      <c r="G3495" s="2"/>
      <c r="H3495" s="2"/>
      <c r="I3495" s="3"/>
      <c r="J3495" s="6"/>
    </row>
    <row r="3496" spans="7:10" x14ac:dyDescent="0.35">
      <c r="G3496" s="2"/>
      <c r="H3496" s="2"/>
      <c r="I3496" s="3"/>
      <c r="J3496" s="6"/>
    </row>
    <row r="3497" spans="7:10" x14ac:dyDescent="0.35">
      <c r="G3497" s="2"/>
      <c r="H3497" s="2"/>
      <c r="I3497" s="3"/>
      <c r="J3497" s="6"/>
    </row>
    <row r="3498" spans="7:10" x14ac:dyDescent="0.35">
      <c r="G3498" s="2"/>
      <c r="H3498" s="2"/>
      <c r="I3498" s="3"/>
      <c r="J3498" s="6"/>
    </row>
    <row r="3499" spans="7:10" x14ac:dyDescent="0.35">
      <c r="G3499" s="2"/>
      <c r="H3499" s="2"/>
      <c r="I3499" s="3"/>
      <c r="J3499" s="6"/>
    </row>
    <row r="3500" spans="7:10" x14ac:dyDescent="0.35">
      <c r="G3500" s="2"/>
      <c r="H3500" s="2"/>
      <c r="I3500" s="3"/>
      <c r="J3500" s="6"/>
    </row>
    <row r="3501" spans="7:10" x14ac:dyDescent="0.35">
      <c r="G3501" s="2"/>
      <c r="H3501" s="2"/>
      <c r="I3501" s="3"/>
      <c r="J3501" s="6"/>
    </row>
    <row r="3502" spans="7:10" x14ac:dyDescent="0.35">
      <c r="G3502" s="2"/>
      <c r="H3502" s="2"/>
      <c r="I3502" s="3"/>
      <c r="J3502" s="6"/>
    </row>
    <row r="3503" spans="7:10" x14ac:dyDescent="0.35">
      <c r="G3503" s="2"/>
      <c r="H3503" s="2"/>
      <c r="I3503" s="3"/>
      <c r="J3503" s="6"/>
    </row>
    <row r="3504" spans="7:10" x14ac:dyDescent="0.35">
      <c r="G3504" s="2"/>
      <c r="H3504" s="2"/>
      <c r="I3504" s="3"/>
      <c r="J3504" s="6"/>
    </row>
    <row r="3505" spans="7:10" x14ac:dyDescent="0.35">
      <c r="G3505" s="2"/>
      <c r="H3505" s="2"/>
      <c r="I3505" s="3"/>
      <c r="J3505" s="6"/>
    </row>
    <row r="3506" spans="7:10" x14ac:dyDescent="0.35">
      <c r="G3506" s="2"/>
      <c r="H3506" s="2"/>
      <c r="I3506" s="3"/>
      <c r="J3506" s="6"/>
    </row>
    <row r="3507" spans="7:10" x14ac:dyDescent="0.35">
      <c r="G3507" s="2"/>
      <c r="H3507" s="2"/>
      <c r="I3507" s="3"/>
      <c r="J3507" s="6"/>
    </row>
    <row r="3508" spans="7:10" x14ac:dyDescent="0.35">
      <c r="G3508" s="2"/>
      <c r="H3508" s="2"/>
      <c r="I3508" s="3"/>
      <c r="J3508" s="6"/>
    </row>
    <row r="3509" spans="7:10" x14ac:dyDescent="0.35">
      <c r="G3509" s="2"/>
      <c r="H3509" s="2"/>
      <c r="I3509" s="3"/>
      <c r="J3509" s="6"/>
    </row>
    <row r="3510" spans="7:10" x14ac:dyDescent="0.35">
      <c r="G3510" s="2"/>
      <c r="H3510" s="2"/>
      <c r="I3510" s="3"/>
      <c r="J3510" s="6"/>
    </row>
    <row r="3511" spans="7:10" x14ac:dyDescent="0.35">
      <c r="G3511" s="2"/>
      <c r="H3511" s="2"/>
      <c r="I3511" s="3"/>
      <c r="J3511" s="6"/>
    </row>
    <row r="3512" spans="7:10" x14ac:dyDescent="0.35">
      <c r="G3512" s="2"/>
      <c r="H3512" s="2"/>
      <c r="I3512" s="3"/>
      <c r="J3512" s="6"/>
    </row>
    <row r="3513" spans="7:10" x14ac:dyDescent="0.35">
      <c r="G3513" s="2"/>
      <c r="H3513" s="2"/>
      <c r="I3513" s="3"/>
      <c r="J3513" s="6"/>
    </row>
    <row r="3514" spans="7:10" x14ac:dyDescent="0.35">
      <c r="G3514" s="2"/>
      <c r="H3514" s="2"/>
      <c r="I3514" s="3"/>
      <c r="J3514" s="6"/>
    </row>
    <row r="3515" spans="7:10" x14ac:dyDescent="0.35">
      <c r="G3515" s="2"/>
      <c r="H3515" s="2"/>
      <c r="I3515" s="3"/>
      <c r="J3515" s="6"/>
    </row>
    <row r="3516" spans="7:10" x14ac:dyDescent="0.35">
      <c r="G3516" s="2"/>
      <c r="H3516" s="2"/>
      <c r="I3516" s="3"/>
      <c r="J3516" s="6"/>
    </row>
    <row r="3517" spans="7:10" x14ac:dyDescent="0.35">
      <c r="G3517" s="2"/>
      <c r="H3517" s="2"/>
      <c r="I3517" s="3"/>
      <c r="J3517" s="6"/>
    </row>
    <row r="3518" spans="7:10" x14ac:dyDescent="0.35">
      <c r="G3518" s="2"/>
      <c r="H3518" s="2"/>
      <c r="I3518" s="3"/>
      <c r="J3518" s="6"/>
    </row>
    <row r="3519" spans="7:10" x14ac:dyDescent="0.35">
      <c r="G3519" s="2"/>
      <c r="H3519" s="2"/>
      <c r="I3519" s="3"/>
      <c r="J3519" s="6"/>
    </row>
    <row r="3520" spans="7:10" x14ac:dyDescent="0.35">
      <c r="G3520" s="2"/>
      <c r="H3520" s="2"/>
      <c r="I3520" s="3"/>
      <c r="J3520" s="6"/>
    </row>
    <row r="3521" spans="7:10" x14ac:dyDescent="0.35">
      <c r="G3521" s="2"/>
      <c r="H3521" s="2"/>
      <c r="I3521" s="3"/>
      <c r="J3521" s="6"/>
    </row>
    <row r="3522" spans="7:10" x14ac:dyDescent="0.35">
      <c r="G3522" s="2"/>
      <c r="H3522" s="2"/>
      <c r="I3522" s="3"/>
      <c r="J3522" s="6"/>
    </row>
    <row r="3523" spans="7:10" x14ac:dyDescent="0.35">
      <c r="G3523" s="2"/>
      <c r="H3523" s="2"/>
      <c r="I3523" s="3"/>
      <c r="J3523" s="6"/>
    </row>
    <row r="3524" spans="7:10" x14ac:dyDescent="0.35">
      <c r="G3524" s="2"/>
      <c r="H3524" s="2"/>
      <c r="I3524" s="3"/>
      <c r="J3524" s="6"/>
    </row>
    <row r="3525" spans="7:10" x14ac:dyDescent="0.35">
      <c r="G3525" s="2"/>
      <c r="H3525" s="2"/>
      <c r="I3525" s="3"/>
      <c r="J3525" s="6"/>
    </row>
    <row r="3526" spans="7:10" x14ac:dyDescent="0.35">
      <c r="G3526" s="2"/>
      <c r="H3526" s="2"/>
      <c r="I3526" s="3"/>
      <c r="J3526" s="6"/>
    </row>
    <row r="3527" spans="7:10" x14ac:dyDescent="0.35">
      <c r="G3527" s="2"/>
      <c r="H3527" s="2"/>
      <c r="I3527" s="3"/>
      <c r="J3527" s="6"/>
    </row>
    <row r="3528" spans="7:10" x14ac:dyDescent="0.35">
      <c r="G3528" s="2"/>
      <c r="H3528" s="2"/>
      <c r="I3528" s="3"/>
      <c r="J3528" s="6"/>
    </row>
    <row r="3529" spans="7:10" x14ac:dyDescent="0.35">
      <c r="G3529" s="2"/>
      <c r="H3529" s="2"/>
      <c r="I3529" s="3"/>
      <c r="J3529" s="6"/>
    </row>
    <row r="3530" spans="7:10" x14ac:dyDescent="0.35">
      <c r="G3530" s="2"/>
      <c r="H3530" s="2"/>
      <c r="I3530" s="3"/>
      <c r="J3530" s="6"/>
    </row>
    <row r="3531" spans="7:10" x14ac:dyDescent="0.35">
      <c r="G3531" s="2"/>
      <c r="H3531" s="2"/>
      <c r="I3531" s="3"/>
      <c r="J3531" s="6"/>
    </row>
    <row r="3532" spans="7:10" x14ac:dyDescent="0.35">
      <c r="G3532" s="2"/>
      <c r="H3532" s="2"/>
      <c r="I3532" s="3"/>
      <c r="J3532" s="6"/>
    </row>
    <row r="3533" spans="7:10" x14ac:dyDescent="0.35">
      <c r="G3533" s="2"/>
      <c r="H3533" s="2"/>
      <c r="I3533" s="3"/>
      <c r="J3533" s="6"/>
    </row>
    <row r="3534" spans="7:10" x14ac:dyDescent="0.35">
      <c r="G3534" s="2"/>
      <c r="H3534" s="2"/>
      <c r="I3534" s="3"/>
      <c r="J3534" s="6"/>
    </row>
    <row r="3535" spans="7:10" x14ac:dyDescent="0.35">
      <c r="G3535" s="2"/>
      <c r="H3535" s="2"/>
      <c r="I3535" s="3"/>
      <c r="J3535" s="6"/>
    </row>
    <row r="3536" spans="7:10" x14ac:dyDescent="0.35">
      <c r="G3536" s="2"/>
      <c r="H3536" s="2"/>
      <c r="I3536" s="3"/>
      <c r="J3536" s="6"/>
    </row>
    <row r="3537" spans="7:10" x14ac:dyDescent="0.35">
      <c r="G3537" s="2"/>
      <c r="H3537" s="2"/>
      <c r="I3537" s="3"/>
      <c r="J3537" s="6"/>
    </row>
    <row r="3538" spans="7:10" x14ac:dyDescent="0.35">
      <c r="G3538" s="2"/>
      <c r="H3538" s="2"/>
      <c r="I3538" s="3"/>
      <c r="J3538" s="6"/>
    </row>
    <row r="3539" spans="7:10" x14ac:dyDescent="0.35">
      <c r="G3539" s="2"/>
      <c r="H3539" s="2"/>
      <c r="I3539" s="3"/>
      <c r="J3539" s="6"/>
    </row>
    <row r="3540" spans="7:10" x14ac:dyDescent="0.35">
      <c r="G3540" s="2"/>
      <c r="H3540" s="2"/>
      <c r="I3540" s="3"/>
      <c r="J3540" s="6"/>
    </row>
    <row r="3541" spans="7:10" x14ac:dyDescent="0.35">
      <c r="G3541" s="2"/>
      <c r="H3541" s="2"/>
      <c r="I3541" s="3"/>
      <c r="J3541" s="6"/>
    </row>
    <row r="3542" spans="7:10" x14ac:dyDescent="0.35">
      <c r="G3542" s="2"/>
      <c r="H3542" s="2"/>
      <c r="I3542" s="3"/>
      <c r="J3542" s="6"/>
    </row>
    <row r="3543" spans="7:10" x14ac:dyDescent="0.35">
      <c r="G3543" s="2"/>
      <c r="H3543" s="2"/>
      <c r="I3543" s="3"/>
      <c r="J3543" s="6"/>
    </row>
    <row r="3544" spans="7:10" x14ac:dyDescent="0.35">
      <c r="G3544" s="2"/>
      <c r="H3544" s="2"/>
      <c r="I3544" s="3"/>
      <c r="J3544" s="6"/>
    </row>
    <row r="3545" spans="7:10" x14ac:dyDescent="0.35">
      <c r="G3545" s="2"/>
      <c r="H3545" s="2"/>
      <c r="I3545" s="3"/>
      <c r="J3545" s="6"/>
    </row>
    <row r="3546" spans="7:10" x14ac:dyDescent="0.35">
      <c r="G3546" s="2"/>
      <c r="H3546" s="2"/>
      <c r="I3546" s="3"/>
      <c r="J3546" s="6"/>
    </row>
    <row r="3547" spans="7:10" x14ac:dyDescent="0.35">
      <c r="G3547" s="2"/>
      <c r="H3547" s="2"/>
      <c r="I3547" s="3"/>
      <c r="J3547" s="6"/>
    </row>
    <row r="3548" spans="7:10" x14ac:dyDescent="0.35">
      <c r="G3548" s="2"/>
      <c r="H3548" s="2"/>
      <c r="I3548" s="3"/>
      <c r="J3548" s="6"/>
    </row>
    <row r="3549" spans="7:10" x14ac:dyDescent="0.35">
      <c r="G3549" s="2"/>
      <c r="H3549" s="2"/>
      <c r="I3549" s="3"/>
      <c r="J3549" s="6"/>
    </row>
    <row r="3550" spans="7:10" x14ac:dyDescent="0.35">
      <c r="G3550" s="2"/>
      <c r="H3550" s="2"/>
      <c r="I3550" s="3"/>
      <c r="J3550" s="6"/>
    </row>
    <row r="3551" spans="7:10" x14ac:dyDescent="0.35">
      <c r="G3551" s="2"/>
      <c r="H3551" s="2"/>
      <c r="I3551" s="3"/>
      <c r="J3551" s="6"/>
    </row>
    <row r="3552" spans="7:10" x14ac:dyDescent="0.35">
      <c r="G3552" s="2"/>
      <c r="H3552" s="2"/>
      <c r="I3552" s="3"/>
      <c r="J3552" s="6"/>
    </row>
    <row r="3553" spans="7:10" x14ac:dyDescent="0.35">
      <c r="G3553" s="2"/>
      <c r="H3553" s="2"/>
      <c r="I3553" s="3"/>
      <c r="J3553" s="6"/>
    </row>
    <row r="3554" spans="7:10" x14ac:dyDescent="0.35">
      <c r="G3554" s="2"/>
      <c r="H3554" s="2"/>
      <c r="I3554" s="3"/>
      <c r="J3554" s="6"/>
    </row>
    <row r="3555" spans="7:10" x14ac:dyDescent="0.35">
      <c r="G3555" s="2"/>
      <c r="H3555" s="2"/>
      <c r="I3555" s="3"/>
      <c r="J3555" s="6"/>
    </row>
    <row r="3556" spans="7:10" x14ac:dyDescent="0.35">
      <c r="G3556" s="2"/>
      <c r="H3556" s="2"/>
      <c r="I3556" s="3"/>
      <c r="J3556" s="6"/>
    </row>
    <row r="3557" spans="7:10" x14ac:dyDescent="0.35">
      <c r="G3557" s="2"/>
      <c r="H3557" s="2"/>
      <c r="I3557" s="3"/>
      <c r="J3557" s="6"/>
    </row>
    <row r="3558" spans="7:10" x14ac:dyDescent="0.35">
      <c r="G3558" s="2"/>
      <c r="H3558" s="2"/>
      <c r="I3558" s="3"/>
      <c r="J3558" s="6"/>
    </row>
    <row r="3559" spans="7:10" x14ac:dyDescent="0.35">
      <c r="G3559" s="2"/>
      <c r="H3559" s="2"/>
      <c r="I3559" s="3"/>
      <c r="J3559" s="6"/>
    </row>
    <row r="3560" spans="7:10" x14ac:dyDescent="0.35">
      <c r="G3560" s="2"/>
      <c r="H3560" s="2"/>
      <c r="I3560" s="3"/>
      <c r="J3560" s="6"/>
    </row>
    <row r="3561" spans="7:10" x14ac:dyDescent="0.35">
      <c r="G3561" s="2"/>
      <c r="H3561" s="2"/>
      <c r="I3561" s="3"/>
      <c r="J3561" s="6"/>
    </row>
    <row r="3562" spans="7:10" x14ac:dyDescent="0.35">
      <c r="G3562" s="2"/>
      <c r="H3562" s="2"/>
      <c r="I3562" s="3"/>
      <c r="J3562" s="6"/>
    </row>
    <row r="3563" spans="7:10" x14ac:dyDescent="0.35">
      <c r="G3563" s="2"/>
      <c r="H3563" s="2"/>
      <c r="I3563" s="3"/>
      <c r="J3563" s="6"/>
    </row>
    <row r="3564" spans="7:10" x14ac:dyDescent="0.35">
      <c r="G3564" s="2"/>
      <c r="H3564" s="2"/>
      <c r="I3564" s="3"/>
      <c r="J3564" s="6"/>
    </row>
    <row r="3565" spans="7:10" x14ac:dyDescent="0.35">
      <c r="G3565" s="2"/>
      <c r="H3565" s="2"/>
      <c r="I3565" s="3"/>
      <c r="J3565" s="6"/>
    </row>
    <row r="3566" spans="7:10" x14ac:dyDescent="0.35">
      <c r="G3566" s="2"/>
      <c r="H3566" s="2"/>
      <c r="I3566" s="3"/>
      <c r="J3566" s="6"/>
    </row>
    <row r="3567" spans="7:10" x14ac:dyDescent="0.35">
      <c r="G3567" s="2"/>
      <c r="H3567" s="2"/>
      <c r="I3567" s="3"/>
      <c r="J3567" s="6"/>
    </row>
    <row r="3568" spans="7:10" x14ac:dyDescent="0.35">
      <c r="G3568" s="2"/>
      <c r="H3568" s="2"/>
      <c r="I3568" s="3"/>
      <c r="J3568" s="6"/>
    </row>
    <row r="3569" spans="7:10" x14ac:dyDescent="0.35">
      <c r="G3569" s="2"/>
      <c r="H3569" s="2"/>
      <c r="I3569" s="3"/>
      <c r="J3569" s="6"/>
    </row>
    <row r="3570" spans="7:10" x14ac:dyDescent="0.35">
      <c r="G3570" s="2"/>
      <c r="H3570" s="2"/>
      <c r="I3570" s="3"/>
      <c r="J3570" s="6"/>
    </row>
    <row r="3571" spans="7:10" x14ac:dyDescent="0.35">
      <c r="G3571" s="2"/>
      <c r="H3571" s="2"/>
      <c r="I3571" s="3"/>
      <c r="J3571" s="6"/>
    </row>
    <row r="3572" spans="7:10" x14ac:dyDescent="0.35">
      <c r="G3572" s="2"/>
      <c r="H3572" s="2"/>
      <c r="I3572" s="3"/>
      <c r="J3572" s="6"/>
    </row>
    <row r="3573" spans="7:10" x14ac:dyDescent="0.35">
      <c r="G3573" s="2"/>
      <c r="H3573" s="2"/>
      <c r="I3573" s="3"/>
      <c r="J3573" s="6"/>
    </row>
    <row r="3574" spans="7:10" x14ac:dyDescent="0.35">
      <c r="G3574" s="2"/>
      <c r="H3574" s="2"/>
      <c r="I3574" s="3"/>
      <c r="J3574" s="6"/>
    </row>
    <row r="3575" spans="7:10" x14ac:dyDescent="0.35">
      <c r="G3575" s="2"/>
      <c r="H3575" s="2"/>
      <c r="I3575" s="3"/>
      <c r="J3575" s="6"/>
    </row>
    <row r="3576" spans="7:10" x14ac:dyDescent="0.35">
      <c r="G3576" s="2"/>
      <c r="H3576" s="2"/>
      <c r="I3576" s="3"/>
      <c r="J3576" s="6"/>
    </row>
    <row r="3577" spans="7:10" x14ac:dyDescent="0.35">
      <c r="G3577" s="2"/>
      <c r="H3577" s="2"/>
      <c r="I3577" s="3"/>
      <c r="J3577" s="6"/>
    </row>
    <row r="3578" spans="7:10" x14ac:dyDescent="0.35">
      <c r="G3578" s="2"/>
      <c r="H3578" s="2"/>
      <c r="I3578" s="3"/>
      <c r="J3578" s="6"/>
    </row>
    <row r="3579" spans="7:10" x14ac:dyDescent="0.35">
      <c r="G3579" s="2"/>
      <c r="H3579" s="2"/>
      <c r="I3579" s="3"/>
      <c r="J3579" s="6"/>
    </row>
    <row r="3580" spans="7:10" x14ac:dyDescent="0.35">
      <c r="G3580" s="2"/>
      <c r="H3580" s="2"/>
      <c r="I3580" s="3"/>
      <c r="J3580" s="6"/>
    </row>
    <row r="3581" spans="7:10" x14ac:dyDescent="0.35">
      <c r="G3581" s="2"/>
      <c r="H3581" s="2"/>
      <c r="I3581" s="3"/>
      <c r="J3581" s="6"/>
    </row>
    <row r="3582" spans="7:10" x14ac:dyDescent="0.35">
      <c r="G3582" s="2"/>
      <c r="H3582" s="2"/>
      <c r="I3582" s="3"/>
      <c r="J3582" s="6"/>
    </row>
    <row r="3583" spans="7:10" x14ac:dyDescent="0.35">
      <c r="G3583" s="2"/>
      <c r="H3583" s="2"/>
      <c r="I3583" s="3"/>
      <c r="J3583" s="6"/>
    </row>
    <row r="3584" spans="7:10" x14ac:dyDescent="0.35">
      <c r="G3584" s="2"/>
      <c r="H3584" s="2"/>
      <c r="I3584" s="3"/>
      <c r="J3584" s="6"/>
    </row>
    <row r="3585" spans="7:10" x14ac:dyDescent="0.35">
      <c r="G3585" s="2"/>
      <c r="H3585" s="2"/>
      <c r="I3585" s="3"/>
      <c r="J3585" s="6"/>
    </row>
    <row r="3586" spans="7:10" x14ac:dyDescent="0.35">
      <c r="G3586" s="2"/>
      <c r="H3586" s="2"/>
      <c r="I3586" s="3"/>
      <c r="J3586" s="6"/>
    </row>
    <row r="3587" spans="7:10" x14ac:dyDescent="0.35">
      <c r="G3587" s="2"/>
      <c r="H3587" s="2"/>
      <c r="I3587" s="3"/>
      <c r="J3587" s="6"/>
    </row>
    <row r="3588" spans="7:10" x14ac:dyDescent="0.35">
      <c r="G3588" s="2"/>
      <c r="H3588" s="2"/>
      <c r="I3588" s="3"/>
      <c r="J3588" s="6"/>
    </row>
    <row r="3589" spans="7:10" x14ac:dyDescent="0.35">
      <c r="G3589" s="2"/>
      <c r="H3589" s="2"/>
      <c r="I3589" s="3"/>
      <c r="J3589" s="6"/>
    </row>
    <row r="3590" spans="7:10" x14ac:dyDescent="0.35">
      <c r="G3590" s="2"/>
      <c r="H3590" s="2"/>
      <c r="I3590" s="3"/>
      <c r="J3590" s="6"/>
    </row>
    <row r="3591" spans="7:10" x14ac:dyDescent="0.35">
      <c r="G3591" s="2"/>
      <c r="H3591" s="2"/>
      <c r="I3591" s="3"/>
      <c r="J3591" s="6"/>
    </row>
    <row r="3592" spans="7:10" x14ac:dyDescent="0.35">
      <c r="G3592" s="2"/>
      <c r="H3592" s="2"/>
      <c r="I3592" s="3"/>
      <c r="J3592" s="6"/>
    </row>
    <row r="3593" spans="7:10" x14ac:dyDescent="0.35">
      <c r="G3593" s="2"/>
      <c r="H3593" s="2"/>
      <c r="I3593" s="3"/>
      <c r="J3593" s="6"/>
    </row>
    <row r="3594" spans="7:10" x14ac:dyDescent="0.35">
      <c r="G3594" s="2"/>
      <c r="H3594" s="2"/>
      <c r="I3594" s="3"/>
      <c r="J3594" s="6"/>
    </row>
    <row r="3595" spans="7:10" x14ac:dyDescent="0.35">
      <c r="G3595" s="2"/>
      <c r="H3595" s="2"/>
      <c r="I3595" s="3"/>
      <c r="J3595" s="6"/>
    </row>
    <row r="3596" spans="7:10" x14ac:dyDescent="0.35">
      <c r="G3596" s="2"/>
      <c r="H3596" s="2"/>
      <c r="I3596" s="3"/>
      <c r="J3596" s="6"/>
    </row>
    <row r="3597" spans="7:10" x14ac:dyDescent="0.35">
      <c r="G3597" s="2"/>
      <c r="H3597" s="2"/>
      <c r="I3597" s="3"/>
      <c r="J3597" s="6"/>
    </row>
    <row r="3598" spans="7:10" x14ac:dyDescent="0.35">
      <c r="G3598" s="2"/>
      <c r="H3598" s="2"/>
      <c r="I3598" s="3"/>
      <c r="J3598" s="6"/>
    </row>
    <row r="3599" spans="7:10" x14ac:dyDescent="0.35">
      <c r="G3599" s="2"/>
      <c r="H3599" s="2"/>
      <c r="I3599" s="3"/>
      <c r="J3599" s="6"/>
    </row>
    <row r="3600" spans="7:10" x14ac:dyDescent="0.35">
      <c r="G3600" s="2"/>
      <c r="H3600" s="2"/>
      <c r="I3600" s="3"/>
      <c r="J3600" s="6"/>
    </row>
    <row r="3601" spans="7:10" x14ac:dyDescent="0.35">
      <c r="G3601" s="2"/>
      <c r="H3601" s="2"/>
      <c r="I3601" s="3"/>
      <c r="J3601" s="6"/>
    </row>
    <row r="3602" spans="7:10" x14ac:dyDescent="0.35">
      <c r="G3602" s="2"/>
      <c r="H3602" s="2"/>
      <c r="I3602" s="3"/>
      <c r="J3602" s="6"/>
    </row>
    <row r="3603" spans="7:10" x14ac:dyDescent="0.35">
      <c r="G3603" s="2"/>
      <c r="H3603" s="2"/>
      <c r="I3603" s="3"/>
      <c r="J3603" s="6"/>
    </row>
    <row r="3604" spans="7:10" x14ac:dyDescent="0.35">
      <c r="G3604" s="2"/>
      <c r="H3604" s="2"/>
      <c r="I3604" s="3"/>
      <c r="J3604" s="6"/>
    </row>
    <row r="3605" spans="7:10" x14ac:dyDescent="0.35">
      <c r="G3605" s="2"/>
      <c r="H3605" s="2"/>
      <c r="I3605" s="3"/>
      <c r="J3605" s="6"/>
    </row>
    <row r="3606" spans="7:10" x14ac:dyDescent="0.35">
      <c r="G3606" s="2"/>
      <c r="H3606" s="2"/>
      <c r="I3606" s="3"/>
      <c r="J3606" s="6"/>
    </row>
    <row r="3607" spans="7:10" x14ac:dyDescent="0.35">
      <c r="G3607" s="2"/>
      <c r="H3607" s="2"/>
      <c r="I3607" s="3"/>
      <c r="J3607" s="6"/>
    </row>
    <row r="3608" spans="7:10" x14ac:dyDescent="0.35">
      <c r="G3608" s="2"/>
      <c r="H3608" s="2"/>
      <c r="I3608" s="3"/>
      <c r="J3608" s="6"/>
    </row>
    <row r="3609" spans="7:10" x14ac:dyDescent="0.35">
      <c r="G3609" s="2"/>
      <c r="H3609" s="2"/>
      <c r="I3609" s="3"/>
      <c r="J3609" s="6"/>
    </row>
    <row r="3610" spans="7:10" x14ac:dyDescent="0.35">
      <c r="G3610" s="2"/>
      <c r="H3610" s="2"/>
      <c r="I3610" s="3"/>
      <c r="J3610" s="6"/>
    </row>
    <row r="3611" spans="7:10" x14ac:dyDescent="0.35">
      <c r="G3611" s="2"/>
      <c r="H3611" s="2"/>
      <c r="I3611" s="3"/>
      <c r="J3611" s="6"/>
    </row>
    <row r="3612" spans="7:10" x14ac:dyDescent="0.35">
      <c r="G3612" s="2"/>
      <c r="H3612" s="2"/>
      <c r="I3612" s="3"/>
      <c r="J3612" s="6"/>
    </row>
    <row r="3613" spans="7:10" x14ac:dyDescent="0.35">
      <c r="G3613" s="2"/>
      <c r="H3613" s="2"/>
      <c r="I3613" s="3"/>
      <c r="J3613" s="6"/>
    </row>
    <row r="3614" spans="7:10" x14ac:dyDescent="0.35">
      <c r="G3614" s="2"/>
      <c r="H3614" s="2"/>
      <c r="I3614" s="3"/>
      <c r="J3614" s="6"/>
    </row>
    <row r="3615" spans="7:10" x14ac:dyDescent="0.35">
      <c r="G3615" s="2"/>
      <c r="H3615" s="2"/>
      <c r="I3615" s="3"/>
      <c r="J3615" s="6"/>
    </row>
    <row r="3616" spans="7:10" x14ac:dyDescent="0.35">
      <c r="G3616" s="2"/>
      <c r="H3616" s="2"/>
      <c r="I3616" s="3"/>
      <c r="J3616" s="6"/>
    </row>
    <row r="3617" spans="7:10" x14ac:dyDescent="0.35">
      <c r="G3617" s="2"/>
      <c r="H3617" s="2"/>
      <c r="I3617" s="3"/>
      <c r="J3617" s="6"/>
    </row>
    <row r="3618" spans="7:10" x14ac:dyDescent="0.35">
      <c r="G3618" s="2"/>
      <c r="H3618" s="2"/>
      <c r="I3618" s="3"/>
      <c r="J3618" s="6"/>
    </row>
    <row r="3619" spans="7:10" x14ac:dyDescent="0.35">
      <c r="G3619" s="2"/>
      <c r="H3619" s="2"/>
      <c r="I3619" s="3"/>
      <c r="J3619" s="6"/>
    </row>
    <row r="3620" spans="7:10" x14ac:dyDescent="0.35">
      <c r="G3620" s="2"/>
      <c r="H3620" s="2"/>
      <c r="I3620" s="3"/>
      <c r="J3620" s="6"/>
    </row>
    <row r="3621" spans="7:10" x14ac:dyDescent="0.35">
      <c r="G3621" s="2"/>
      <c r="H3621" s="2"/>
      <c r="I3621" s="3"/>
      <c r="J3621" s="6"/>
    </row>
    <row r="3622" spans="7:10" x14ac:dyDescent="0.35">
      <c r="G3622" s="2"/>
      <c r="H3622" s="2"/>
      <c r="I3622" s="3"/>
      <c r="J3622" s="6"/>
    </row>
    <row r="3623" spans="7:10" x14ac:dyDescent="0.35">
      <c r="G3623" s="2"/>
      <c r="H3623" s="2"/>
      <c r="I3623" s="3"/>
      <c r="J3623" s="6"/>
    </row>
    <row r="3624" spans="7:10" x14ac:dyDescent="0.35">
      <c r="G3624" s="2"/>
      <c r="H3624" s="2"/>
      <c r="I3624" s="3"/>
      <c r="J3624" s="6"/>
    </row>
    <row r="3625" spans="7:10" x14ac:dyDescent="0.35">
      <c r="G3625" s="2"/>
      <c r="H3625" s="2"/>
      <c r="I3625" s="3"/>
      <c r="J3625" s="6"/>
    </row>
    <row r="3626" spans="7:10" x14ac:dyDescent="0.35">
      <c r="G3626" s="2"/>
      <c r="H3626" s="2"/>
      <c r="I3626" s="3"/>
      <c r="J3626" s="6"/>
    </row>
    <row r="3627" spans="7:10" x14ac:dyDescent="0.35">
      <c r="G3627" s="2"/>
      <c r="H3627" s="2"/>
      <c r="I3627" s="3"/>
      <c r="J3627" s="6"/>
    </row>
    <row r="3628" spans="7:10" x14ac:dyDescent="0.35">
      <c r="G3628" s="2"/>
      <c r="H3628" s="2"/>
      <c r="I3628" s="3"/>
      <c r="J3628" s="6"/>
    </row>
    <row r="3629" spans="7:10" x14ac:dyDescent="0.35">
      <c r="G3629" s="2"/>
      <c r="H3629" s="2"/>
      <c r="I3629" s="3"/>
      <c r="J3629" s="6"/>
    </row>
    <row r="3630" spans="7:10" x14ac:dyDescent="0.35">
      <c r="G3630" s="2"/>
      <c r="H3630" s="2"/>
      <c r="I3630" s="3"/>
      <c r="J3630" s="6"/>
    </row>
    <row r="3631" spans="7:10" x14ac:dyDescent="0.35">
      <c r="G3631" s="2"/>
      <c r="H3631" s="2"/>
      <c r="I3631" s="3"/>
      <c r="J3631" s="6"/>
    </row>
    <row r="3632" spans="7:10" x14ac:dyDescent="0.35">
      <c r="G3632" s="2"/>
      <c r="H3632" s="2"/>
      <c r="I3632" s="3"/>
      <c r="J3632" s="6"/>
    </row>
    <row r="3633" spans="7:10" x14ac:dyDescent="0.35">
      <c r="G3633" s="2"/>
      <c r="H3633" s="2"/>
      <c r="I3633" s="3"/>
      <c r="J3633" s="6"/>
    </row>
    <row r="3634" spans="7:10" x14ac:dyDescent="0.35">
      <c r="G3634" s="2"/>
      <c r="H3634" s="2"/>
      <c r="I3634" s="3"/>
      <c r="J3634" s="6"/>
    </row>
    <row r="3635" spans="7:10" x14ac:dyDescent="0.35">
      <c r="G3635" s="2"/>
      <c r="H3635" s="2"/>
      <c r="I3635" s="3"/>
      <c r="J3635" s="6"/>
    </row>
    <row r="3636" spans="7:10" x14ac:dyDescent="0.35">
      <c r="G3636" s="2"/>
      <c r="H3636" s="2"/>
      <c r="I3636" s="3"/>
      <c r="J3636" s="6"/>
    </row>
    <row r="3637" spans="7:10" x14ac:dyDescent="0.35">
      <c r="G3637" s="2"/>
      <c r="H3637" s="2"/>
      <c r="I3637" s="3"/>
      <c r="J3637" s="6"/>
    </row>
    <row r="3638" spans="7:10" x14ac:dyDescent="0.35">
      <c r="G3638" s="2"/>
      <c r="H3638" s="2"/>
      <c r="I3638" s="3"/>
      <c r="J3638" s="6"/>
    </row>
    <row r="3639" spans="7:10" x14ac:dyDescent="0.35">
      <c r="G3639" s="2"/>
      <c r="H3639" s="2"/>
      <c r="I3639" s="3"/>
      <c r="J3639" s="6"/>
    </row>
    <row r="3640" spans="7:10" x14ac:dyDescent="0.35">
      <c r="G3640" s="2"/>
      <c r="H3640" s="2"/>
      <c r="I3640" s="3"/>
      <c r="J3640" s="6"/>
    </row>
    <row r="3641" spans="7:10" x14ac:dyDescent="0.35">
      <c r="G3641" s="2"/>
      <c r="H3641" s="2"/>
      <c r="I3641" s="3"/>
      <c r="J3641" s="6"/>
    </row>
    <row r="3642" spans="7:10" x14ac:dyDescent="0.35">
      <c r="G3642" s="2"/>
      <c r="H3642" s="2"/>
      <c r="I3642" s="3"/>
      <c r="J3642" s="6"/>
    </row>
    <row r="3643" spans="7:10" x14ac:dyDescent="0.35">
      <c r="G3643" s="2"/>
      <c r="H3643" s="2"/>
      <c r="I3643" s="3"/>
      <c r="J3643" s="6"/>
    </row>
    <row r="3644" spans="7:10" x14ac:dyDescent="0.35">
      <c r="G3644" s="2"/>
      <c r="H3644" s="2"/>
      <c r="I3644" s="3"/>
      <c r="J3644" s="6"/>
    </row>
    <row r="3645" spans="7:10" x14ac:dyDescent="0.35">
      <c r="G3645" s="2"/>
      <c r="H3645" s="2"/>
      <c r="I3645" s="3"/>
      <c r="J3645" s="6"/>
    </row>
    <row r="3646" spans="7:10" x14ac:dyDescent="0.35">
      <c r="G3646" s="2"/>
      <c r="H3646" s="2"/>
      <c r="I3646" s="3"/>
      <c r="J3646" s="6"/>
    </row>
    <row r="3647" spans="7:10" x14ac:dyDescent="0.35">
      <c r="G3647" s="2"/>
      <c r="H3647" s="2"/>
      <c r="I3647" s="3"/>
      <c r="J3647" s="6"/>
    </row>
    <row r="3648" spans="7:10" x14ac:dyDescent="0.35">
      <c r="G3648" s="2"/>
      <c r="H3648" s="2"/>
      <c r="I3648" s="3"/>
      <c r="J3648" s="6"/>
    </row>
    <row r="3649" spans="7:10" x14ac:dyDescent="0.35">
      <c r="G3649" s="2"/>
      <c r="H3649" s="2"/>
      <c r="I3649" s="3"/>
      <c r="J3649" s="6"/>
    </row>
    <row r="3650" spans="7:10" x14ac:dyDescent="0.35">
      <c r="G3650" s="2"/>
      <c r="H3650" s="2"/>
      <c r="I3650" s="3"/>
      <c r="J3650" s="6"/>
    </row>
    <row r="3651" spans="7:10" x14ac:dyDescent="0.35">
      <c r="G3651" s="2"/>
      <c r="H3651" s="2"/>
      <c r="I3651" s="3"/>
      <c r="J3651" s="6"/>
    </row>
    <row r="3652" spans="7:10" x14ac:dyDescent="0.35">
      <c r="G3652" s="2"/>
      <c r="H3652" s="2"/>
      <c r="I3652" s="3"/>
      <c r="J3652" s="6"/>
    </row>
    <row r="3653" spans="7:10" x14ac:dyDescent="0.35">
      <c r="G3653" s="2"/>
      <c r="H3653" s="2"/>
      <c r="I3653" s="3"/>
      <c r="J3653" s="6"/>
    </row>
    <row r="3654" spans="7:10" x14ac:dyDescent="0.35">
      <c r="G3654" s="2"/>
      <c r="H3654" s="2"/>
      <c r="I3654" s="3"/>
      <c r="J3654" s="6"/>
    </row>
    <row r="3655" spans="7:10" x14ac:dyDescent="0.35">
      <c r="G3655" s="2"/>
      <c r="H3655" s="2"/>
      <c r="I3655" s="3"/>
      <c r="J3655" s="6"/>
    </row>
    <row r="3656" spans="7:10" x14ac:dyDescent="0.35">
      <c r="G3656" s="2"/>
      <c r="H3656" s="2"/>
      <c r="I3656" s="3"/>
      <c r="J3656" s="6"/>
    </row>
    <row r="3657" spans="7:10" x14ac:dyDescent="0.35">
      <c r="G3657" s="2"/>
      <c r="H3657" s="2"/>
      <c r="I3657" s="3"/>
      <c r="J3657" s="6"/>
    </row>
    <row r="3658" spans="7:10" x14ac:dyDescent="0.35">
      <c r="G3658" s="2"/>
      <c r="H3658" s="2"/>
      <c r="I3658" s="3"/>
      <c r="J3658" s="6"/>
    </row>
    <row r="3659" spans="7:10" x14ac:dyDescent="0.35">
      <c r="G3659" s="2"/>
      <c r="H3659" s="2"/>
      <c r="I3659" s="3"/>
      <c r="J3659" s="6"/>
    </row>
    <row r="3660" spans="7:10" x14ac:dyDescent="0.35">
      <c r="G3660" s="2"/>
      <c r="H3660" s="2"/>
      <c r="I3660" s="3"/>
      <c r="J3660" s="6"/>
    </row>
    <row r="3661" spans="7:10" x14ac:dyDescent="0.35">
      <c r="G3661" s="2"/>
      <c r="H3661" s="2"/>
      <c r="I3661" s="3"/>
      <c r="J3661" s="6"/>
    </row>
    <row r="3662" spans="7:10" x14ac:dyDescent="0.35">
      <c r="G3662" s="2"/>
      <c r="H3662" s="2"/>
      <c r="I3662" s="3"/>
      <c r="J3662" s="6"/>
    </row>
    <row r="3663" spans="7:10" x14ac:dyDescent="0.35">
      <c r="G3663" s="2"/>
      <c r="H3663" s="2"/>
      <c r="I3663" s="3"/>
      <c r="J3663" s="6"/>
    </row>
    <row r="3664" spans="7:10" x14ac:dyDescent="0.35">
      <c r="G3664" s="2"/>
      <c r="H3664" s="2"/>
      <c r="I3664" s="3"/>
      <c r="J3664" s="6"/>
    </row>
    <row r="3665" spans="7:10" x14ac:dyDescent="0.35">
      <c r="G3665" s="2"/>
      <c r="H3665" s="2"/>
      <c r="I3665" s="3"/>
      <c r="J3665" s="6"/>
    </row>
    <row r="3666" spans="7:10" x14ac:dyDescent="0.35">
      <c r="G3666" s="2"/>
      <c r="H3666" s="2"/>
      <c r="I3666" s="3"/>
      <c r="J3666" s="6"/>
    </row>
    <row r="3667" spans="7:10" x14ac:dyDescent="0.35">
      <c r="G3667" s="2"/>
      <c r="H3667" s="2"/>
      <c r="I3667" s="3"/>
      <c r="J3667" s="6"/>
    </row>
    <row r="3668" spans="7:10" x14ac:dyDescent="0.35">
      <c r="G3668" s="2"/>
      <c r="H3668" s="2"/>
      <c r="I3668" s="3"/>
      <c r="J3668" s="6"/>
    </row>
    <row r="3669" spans="7:10" x14ac:dyDescent="0.35">
      <c r="G3669" s="2"/>
      <c r="H3669" s="2"/>
      <c r="I3669" s="3"/>
      <c r="J3669" s="6"/>
    </row>
    <row r="3670" spans="7:10" x14ac:dyDescent="0.35">
      <c r="G3670" s="2"/>
      <c r="H3670" s="2"/>
      <c r="I3670" s="3"/>
      <c r="J3670" s="6"/>
    </row>
    <row r="3671" spans="7:10" x14ac:dyDescent="0.35">
      <c r="G3671" s="2"/>
      <c r="H3671" s="2"/>
      <c r="I3671" s="3"/>
      <c r="J3671" s="6"/>
    </row>
    <row r="3672" spans="7:10" x14ac:dyDescent="0.35">
      <c r="G3672" s="2"/>
      <c r="H3672" s="2"/>
      <c r="I3672" s="3"/>
      <c r="J3672" s="6"/>
    </row>
    <row r="3673" spans="7:10" x14ac:dyDescent="0.35">
      <c r="G3673" s="2"/>
      <c r="H3673" s="2"/>
      <c r="I3673" s="3"/>
      <c r="J3673" s="6"/>
    </row>
    <row r="3674" spans="7:10" x14ac:dyDescent="0.35">
      <c r="G3674" s="2"/>
      <c r="H3674" s="2"/>
      <c r="I3674" s="3"/>
      <c r="J3674" s="6"/>
    </row>
    <row r="3675" spans="7:10" x14ac:dyDescent="0.35">
      <c r="G3675" s="2"/>
      <c r="H3675" s="2"/>
      <c r="I3675" s="3"/>
      <c r="J3675" s="6"/>
    </row>
    <row r="3676" spans="7:10" x14ac:dyDescent="0.35">
      <c r="G3676" s="2"/>
      <c r="H3676" s="2"/>
      <c r="I3676" s="3"/>
      <c r="J3676" s="6"/>
    </row>
    <row r="3677" spans="7:10" x14ac:dyDescent="0.35">
      <c r="G3677" s="2"/>
      <c r="H3677" s="2"/>
      <c r="I3677" s="3"/>
      <c r="J3677" s="6"/>
    </row>
    <row r="3678" spans="7:10" x14ac:dyDescent="0.35">
      <c r="G3678" s="2"/>
      <c r="H3678" s="2"/>
      <c r="I3678" s="3"/>
      <c r="J3678" s="6"/>
    </row>
    <row r="3679" spans="7:10" x14ac:dyDescent="0.35">
      <c r="G3679" s="2"/>
      <c r="H3679" s="2"/>
      <c r="I3679" s="3"/>
      <c r="J3679" s="6"/>
    </row>
    <row r="3680" spans="7:10" x14ac:dyDescent="0.35">
      <c r="G3680" s="2"/>
      <c r="H3680" s="2"/>
      <c r="I3680" s="3"/>
      <c r="J3680" s="6"/>
    </row>
    <row r="3681" spans="7:10" x14ac:dyDescent="0.35">
      <c r="G3681" s="2"/>
      <c r="H3681" s="2"/>
      <c r="I3681" s="3"/>
      <c r="J3681" s="6"/>
    </row>
    <row r="3682" spans="7:10" x14ac:dyDescent="0.35">
      <c r="G3682" s="2"/>
      <c r="H3682" s="2"/>
      <c r="I3682" s="3"/>
      <c r="J3682" s="6"/>
    </row>
    <row r="3683" spans="7:10" x14ac:dyDescent="0.35">
      <c r="G3683" s="2"/>
      <c r="H3683" s="2"/>
      <c r="I3683" s="3"/>
      <c r="J3683" s="6"/>
    </row>
    <row r="3684" spans="7:10" x14ac:dyDescent="0.35">
      <c r="G3684" s="2"/>
      <c r="H3684" s="2"/>
      <c r="I3684" s="3"/>
      <c r="J3684" s="6"/>
    </row>
    <row r="3685" spans="7:10" x14ac:dyDescent="0.35">
      <c r="G3685" s="2"/>
      <c r="H3685" s="2"/>
      <c r="I3685" s="3"/>
      <c r="J3685" s="6"/>
    </row>
    <row r="3686" spans="7:10" x14ac:dyDescent="0.35">
      <c r="G3686" s="2"/>
      <c r="H3686" s="2"/>
      <c r="I3686" s="3"/>
      <c r="J3686" s="6"/>
    </row>
    <row r="3687" spans="7:10" x14ac:dyDescent="0.35">
      <c r="G3687" s="2"/>
      <c r="H3687" s="2"/>
      <c r="I3687" s="3"/>
      <c r="J3687" s="6"/>
    </row>
    <row r="3688" spans="7:10" x14ac:dyDescent="0.35">
      <c r="G3688" s="2"/>
      <c r="H3688" s="2"/>
      <c r="I3688" s="3"/>
      <c r="J3688" s="6"/>
    </row>
    <row r="3689" spans="7:10" x14ac:dyDescent="0.35">
      <c r="G3689" s="2"/>
      <c r="H3689" s="2"/>
      <c r="I3689" s="3"/>
      <c r="J3689" s="6"/>
    </row>
    <row r="3690" spans="7:10" x14ac:dyDescent="0.35">
      <c r="G3690" s="2"/>
      <c r="H3690" s="2"/>
      <c r="I3690" s="3"/>
      <c r="J3690" s="6"/>
    </row>
    <row r="3691" spans="7:10" x14ac:dyDescent="0.35">
      <c r="G3691" s="2"/>
      <c r="H3691" s="2"/>
      <c r="I3691" s="3"/>
      <c r="J3691" s="6"/>
    </row>
    <row r="3692" spans="7:10" x14ac:dyDescent="0.35">
      <c r="G3692" s="2"/>
      <c r="H3692" s="2"/>
      <c r="I3692" s="3"/>
      <c r="J3692" s="6"/>
    </row>
    <row r="3693" spans="7:10" x14ac:dyDescent="0.35">
      <c r="G3693" s="2"/>
      <c r="H3693" s="2"/>
      <c r="I3693" s="3"/>
      <c r="J3693" s="6"/>
    </row>
    <row r="3694" spans="7:10" x14ac:dyDescent="0.35">
      <c r="G3694" s="2"/>
      <c r="H3694" s="2"/>
      <c r="I3694" s="3"/>
      <c r="J3694" s="6"/>
    </row>
    <row r="3695" spans="7:10" x14ac:dyDescent="0.35">
      <c r="G3695" s="2"/>
      <c r="H3695" s="2"/>
      <c r="I3695" s="3"/>
      <c r="J3695" s="6"/>
    </row>
    <row r="3696" spans="7:10" x14ac:dyDescent="0.35">
      <c r="G3696" s="2"/>
      <c r="H3696" s="2"/>
      <c r="I3696" s="3"/>
      <c r="J3696" s="6"/>
    </row>
    <row r="3697" spans="7:10" x14ac:dyDescent="0.35">
      <c r="G3697" s="2"/>
      <c r="H3697" s="2"/>
      <c r="I3697" s="3"/>
      <c r="J3697" s="6"/>
    </row>
    <row r="3698" spans="7:10" x14ac:dyDescent="0.35">
      <c r="G3698" s="2"/>
      <c r="H3698" s="2"/>
      <c r="I3698" s="3"/>
      <c r="J3698" s="6"/>
    </row>
    <row r="3699" spans="7:10" x14ac:dyDescent="0.35">
      <c r="G3699" s="2"/>
      <c r="H3699" s="2"/>
      <c r="I3699" s="3"/>
      <c r="J3699" s="6"/>
    </row>
    <row r="3700" spans="7:10" x14ac:dyDescent="0.35">
      <c r="G3700" s="2"/>
      <c r="H3700" s="2"/>
      <c r="I3700" s="3"/>
      <c r="J3700" s="6"/>
    </row>
    <row r="3701" spans="7:10" x14ac:dyDescent="0.35">
      <c r="G3701" s="2"/>
      <c r="H3701" s="2"/>
      <c r="I3701" s="3"/>
      <c r="J3701" s="6"/>
    </row>
    <row r="3702" spans="7:10" x14ac:dyDescent="0.35">
      <c r="G3702" s="2"/>
      <c r="H3702" s="2"/>
      <c r="I3702" s="3"/>
      <c r="J3702" s="6"/>
    </row>
    <row r="3703" spans="7:10" x14ac:dyDescent="0.35">
      <c r="G3703" s="2"/>
      <c r="H3703" s="2"/>
      <c r="I3703" s="3"/>
      <c r="J3703" s="6"/>
    </row>
    <row r="3704" spans="7:10" x14ac:dyDescent="0.35">
      <c r="G3704" s="2"/>
      <c r="H3704" s="2"/>
      <c r="I3704" s="3"/>
      <c r="J3704" s="6"/>
    </row>
    <row r="3705" spans="7:10" x14ac:dyDescent="0.35">
      <c r="G3705" s="2"/>
      <c r="H3705" s="2"/>
      <c r="I3705" s="3"/>
      <c r="J3705" s="6"/>
    </row>
    <row r="3706" spans="7:10" x14ac:dyDescent="0.35">
      <c r="G3706" s="2"/>
      <c r="H3706" s="2"/>
      <c r="I3706" s="3"/>
      <c r="J3706" s="6"/>
    </row>
    <row r="3707" spans="7:10" x14ac:dyDescent="0.35">
      <c r="G3707" s="2"/>
      <c r="H3707" s="2"/>
      <c r="I3707" s="3"/>
      <c r="J3707" s="6"/>
    </row>
    <row r="3708" spans="7:10" x14ac:dyDescent="0.35">
      <c r="G3708" s="2"/>
      <c r="H3708" s="2"/>
      <c r="I3708" s="3"/>
      <c r="J3708" s="6"/>
    </row>
    <row r="3709" spans="7:10" x14ac:dyDescent="0.35">
      <c r="G3709" s="2"/>
      <c r="H3709" s="2"/>
      <c r="I3709" s="3"/>
      <c r="J3709" s="6"/>
    </row>
    <row r="3710" spans="7:10" x14ac:dyDescent="0.35">
      <c r="G3710" s="2"/>
      <c r="H3710" s="2"/>
      <c r="I3710" s="3"/>
      <c r="J3710" s="6"/>
    </row>
    <row r="3711" spans="7:10" x14ac:dyDescent="0.35">
      <c r="G3711" s="2"/>
      <c r="H3711" s="2"/>
      <c r="I3711" s="3"/>
      <c r="J3711" s="6"/>
    </row>
    <row r="3712" spans="7:10" x14ac:dyDescent="0.35">
      <c r="G3712" s="2"/>
      <c r="H3712" s="2"/>
      <c r="I3712" s="3"/>
      <c r="J3712" s="6"/>
    </row>
    <row r="3713" spans="7:10" x14ac:dyDescent="0.35">
      <c r="G3713" s="2"/>
      <c r="H3713" s="2"/>
      <c r="I3713" s="3"/>
      <c r="J3713" s="6"/>
    </row>
    <row r="3714" spans="7:10" x14ac:dyDescent="0.35">
      <c r="G3714" s="2"/>
      <c r="H3714" s="2"/>
      <c r="I3714" s="3"/>
      <c r="J3714" s="6"/>
    </row>
    <row r="3715" spans="7:10" x14ac:dyDescent="0.35">
      <c r="G3715" s="2"/>
      <c r="H3715" s="2"/>
      <c r="I3715" s="3"/>
      <c r="J3715" s="6"/>
    </row>
    <row r="3716" spans="7:10" x14ac:dyDescent="0.35">
      <c r="G3716" s="2"/>
      <c r="H3716" s="2"/>
      <c r="I3716" s="3"/>
      <c r="J3716" s="6"/>
    </row>
    <row r="3717" spans="7:10" x14ac:dyDescent="0.35">
      <c r="G3717" s="2"/>
      <c r="H3717" s="2"/>
      <c r="I3717" s="3"/>
      <c r="J3717" s="6"/>
    </row>
    <row r="3718" spans="7:10" x14ac:dyDescent="0.35">
      <c r="G3718" s="2"/>
      <c r="H3718" s="2"/>
      <c r="I3718" s="3"/>
      <c r="J3718" s="6"/>
    </row>
    <row r="3719" spans="7:10" x14ac:dyDescent="0.35">
      <c r="G3719" s="2"/>
      <c r="H3719" s="2"/>
      <c r="I3719" s="3"/>
      <c r="J3719" s="6"/>
    </row>
    <row r="3720" spans="7:10" x14ac:dyDescent="0.35">
      <c r="G3720" s="2"/>
      <c r="H3720" s="2"/>
      <c r="I3720" s="3"/>
      <c r="J3720" s="6"/>
    </row>
    <row r="3721" spans="7:10" x14ac:dyDescent="0.35">
      <c r="G3721" s="2"/>
      <c r="H3721" s="2"/>
      <c r="I3721" s="3"/>
      <c r="J3721" s="6"/>
    </row>
    <row r="3722" spans="7:10" x14ac:dyDescent="0.35">
      <c r="G3722" s="2"/>
      <c r="H3722" s="2"/>
      <c r="I3722" s="3"/>
      <c r="J3722" s="6"/>
    </row>
    <row r="3723" spans="7:10" x14ac:dyDescent="0.35">
      <c r="G3723" s="2"/>
      <c r="H3723" s="2"/>
      <c r="I3723" s="3"/>
      <c r="J3723" s="6"/>
    </row>
    <row r="3724" spans="7:10" x14ac:dyDescent="0.35">
      <c r="G3724" s="2"/>
      <c r="H3724" s="2"/>
      <c r="I3724" s="3"/>
      <c r="J3724" s="6"/>
    </row>
    <row r="3725" spans="7:10" x14ac:dyDescent="0.35">
      <c r="G3725" s="2"/>
      <c r="H3725" s="2"/>
      <c r="I3725" s="3"/>
      <c r="J3725" s="6"/>
    </row>
    <row r="3726" spans="7:10" x14ac:dyDescent="0.35">
      <c r="G3726" s="2"/>
      <c r="H3726" s="2"/>
      <c r="I3726" s="3"/>
      <c r="J3726" s="6"/>
    </row>
    <row r="3727" spans="7:10" x14ac:dyDescent="0.35">
      <c r="G3727" s="2"/>
      <c r="H3727" s="2"/>
      <c r="I3727" s="3"/>
      <c r="J3727" s="6"/>
    </row>
    <row r="3728" spans="7:10" x14ac:dyDescent="0.35">
      <c r="G3728" s="2"/>
      <c r="H3728" s="2"/>
      <c r="I3728" s="3"/>
      <c r="J3728" s="6"/>
    </row>
    <row r="3729" spans="7:10" x14ac:dyDescent="0.35">
      <c r="G3729" s="2"/>
      <c r="H3729" s="2"/>
      <c r="I3729" s="3"/>
      <c r="J3729" s="6"/>
    </row>
    <row r="3730" spans="7:10" x14ac:dyDescent="0.35">
      <c r="G3730" s="2"/>
      <c r="H3730" s="2"/>
      <c r="I3730" s="3"/>
      <c r="J3730" s="6"/>
    </row>
    <row r="3731" spans="7:10" x14ac:dyDescent="0.35">
      <c r="G3731" s="2"/>
      <c r="H3731" s="2"/>
      <c r="I3731" s="3"/>
      <c r="J3731" s="6"/>
    </row>
    <row r="3732" spans="7:10" x14ac:dyDescent="0.35">
      <c r="G3732" s="2"/>
      <c r="H3732" s="2"/>
      <c r="I3732" s="3"/>
      <c r="J3732" s="6"/>
    </row>
    <row r="3733" spans="7:10" x14ac:dyDescent="0.35">
      <c r="G3733" s="2"/>
      <c r="H3733" s="2"/>
      <c r="I3733" s="3"/>
      <c r="J3733" s="6"/>
    </row>
    <row r="3734" spans="7:10" x14ac:dyDescent="0.35">
      <c r="G3734" s="2"/>
      <c r="H3734" s="2"/>
      <c r="I3734" s="3"/>
      <c r="J3734" s="6"/>
    </row>
    <row r="3735" spans="7:10" x14ac:dyDescent="0.35">
      <c r="G3735" s="2"/>
      <c r="H3735" s="2"/>
      <c r="I3735" s="3"/>
      <c r="J3735" s="6"/>
    </row>
    <row r="3736" spans="7:10" x14ac:dyDescent="0.35">
      <c r="G3736" s="2"/>
      <c r="H3736" s="2"/>
      <c r="I3736" s="3"/>
      <c r="J3736" s="6"/>
    </row>
    <row r="3737" spans="7:10" x14ac:dyDescent="0.35">
      <c r="G3737" s="2"/>
      <c r="H3737" s="2"/>
      <c r="I3737" s="3"/>
      <c r="J3737" s="6"/>
    </row>
    <row r="3738" spans="7:10" x14ac:dyDescent="0.35">
      <c r="G3738" s="2"/>
      <c r="H3738" s="2"/>
      <c r="I3738" s="3"/>
      <c r="J3738" s="6"/>
    </row>
    <row r="3739" spans="7:10" x14ac:dyDescent="0.35">
      <c r="G3739" s="2"/>
      <c r="H3739" s="2"/>
      <c r="I3739" s="3"/>
      <c r="J3739" s="6"/>
    </row>
    <row r="3740" spans="7:10" x14ac:dyDescent="0.35">
      <c r="G3740" s="2"/>
      <c r="H3740" s="2"/>
      <c r="I3740" s="3"/>
      <c r="J3740" s="6"/>
    </row>
    <row r="3741" spans="7:10" x14ac:dyDescent="0.35">
      <c r="G3741" s="2"/>
      <c r="H3741" s="2"/>
      <c r="I3741" s="3"/>
      <c r="J3741" s="6"/>
    </row>
    <row r="3742" spans="7:10" x14ac:dyDescent="0.35">
      <c r="G3742" s="2"/>
      <c r="H3742" s="2"/>
      <c r="I3742" s="3"/>
      <c r="J3742" s="6"/>
    </row>
    <row r="3743" spans="7:10" x14ac:dyDescent="0.35">
      <c r="G3743" s="2"/>
      <c r="H3743" s="2"/>
      <c r="I3743" s="3"/>
      <c r="J3743" s="6"/>
    </row>
    <row r="3744" spans="7:10" x14ac:dyDescent="0.35">
      <c r="G3744" s="2"/>
      <c r="H3744" s="2"/>
      <c r="I3744" s="3"/>
      <c r="J3744" s="6"/>
    </row>
    <row r="3745" spans="7:10" x14ac:dyDescent="0.35">
      <c r="G3745" s="2"/>
      <c r="H3745" s="2"/>
      <c r="I3745" s="3"/>
      <c r="J3745" s="6"/>
    </row>
    <row r="3746" spans="7:10" x14ac:dyDescent="0.35">
      <c r="G3746" s="2"/>
      <c r="H3746" s="2"/>
      <c r="I3746" s="3"/>
      <c r="J3746" s="6"/>
    </row>
    <row r="3747" spans="7:10" x14ac:dyDescent="0.35">
      <c r="G3747" s="2"/>
      <c r="H3747" s="2"/>
      <c r="I3747" s="3"/>
      <c r="J3747" s="6"/>
    </row>
    <row r="3748" spans="7:10" x14ac:dyDescent="0.35">
      <c r="G3748" s="2"/>
      <c r="H3748" s="2"/>
      <c r="I3748" s="3"/>
      <c r="J3748" s="6"/>
    </row>
    <row r="3749" spans="7:10" x14ac:dyDescent="0.35">
      <c r="G3749" s="2"/>
      <c r="H3749" s="2"/>
      <c r="I3749" s="3"/>
      <c r="J3749" s="6"/>
    </row>
    <row r="3750" spans="7:10" x14ac:dyDescent="0.35">
      <c r="G3750" s="2"/>
      <c r="H3750" s="2"/>
      <c r="I3750" s="3"/>
      <c r="J3750" s="6"/>
    </row>
    <row r="3751" spans="7:10" x14ac:dyDescent="0.35">
      <c r="G3751" s="2"/>
      <c r="H3751" s="2"/>
      <c r="I3751" s="3"/>
      <c r="J3751" s="6"/>
    </row>
    <row r="3752" spans="7:10" x14ac:dyDescent="0.35">
      <c r="G3752" s="2"/>
      <c r="H3752" s="2"/>
      <c r="I3752" s="3"/>
      <c r="J3752" s="6"/>
    </row>
    <row r="3753" spans="7:10" x14ac:dyDescent="0.35">
      <c r="G3753" s="2"/>
      <c r="H3753" s="2"/>
      <c r="I3753" s="3"/>
      <c r="J3753" s="6"/>
    </row>
    <row r="3754" spans="7:10" x14ac:dyDescent="0.35">
      <c r="G3754" s="2"/>
      <c r="H3754" s="2"/>
      <c r="I3754" s="3"/>
      <c r="J3754" s="6"/>
    </row>
    <row r="3755" spans="7:10" x14ac:dyDescent="0.35">
      <c r="G3755" s="2"/>
      <c r="H3755" s="2"/>
      <c r="I3755" s="3"/>
      <c r="J3755" s="6"/>
    </row>
    <row r="3756" spans="7:10" x14ac:dyDescent="0.35">
      <c r="G3756" s="2"/>
      <c r="H3756" s="2"/>
      <c r="I3756" s="3"/>
      <c r="J3756" s="6"/>
    </row>
    <row r="3757" spans="7:10" x14ac:dyDescent="0.35">
      <c r="G3757" s="2"/>
      <c r="H3757" s="2"/>
      <c r="I3757" s="3"/>
      <c r="J3757" s="6"/>
    </row>
    <row r="3758" spans="7:10" x14ac:dyDescent="0.35">
      <c r="G3758" s="2"/>
      <c r="H3758" s="2"/>
      <c r="I3758" s="3"/>
      <c r="J3758" s="6"/>
    </row>
    <row r="3759" spans="7:10" x14ac:dyDescent="0.35">
      <c r="G3759" s="2"/>
      <c r="H3759" s="2"/>
      <c r="I3759" s="3"/>
      <c r="J3759" s="6"/>
    </row>
    <row r="3760" spans="7:10" x14ac:dyDescent="0.35">
      <c r="G3760" s="2"/>
      <c r="H3760" s="2"/>
      <c r="I3760" s="3"/>
      <c r="J3760" s="6"/>
    </row>
    <row r="3761" spans="7:10" x14ac:dyDescent="0.35">
      <c r="G3761" s="2"/>
      <c r="H3761" s="2"/>
      <c r="I3761" s="3"/>
      <c r="J3761" s="6"/>
    </row>
    <row r="3762" spans="7:10" x14ac:dyDescent="0.35">
      <c r="G3762" s="2"/>
      <c r="H3762" s="2"/>
      <c r="I3762" s="3"/>
      <c r="J3762" s="6"/>
    </row>
    <row r="3763" spans="7:10" x14ac:dyDescent="0.35">
      <c r="G3763" s="2"/>
      <c r="H3763" s="2"/>
      <c r="I3763" s="3"/>
      <c r="J3763" s="6"/>
    </row>
    <row r="3764" spans="7:10" x14ac:dyDescent="0.35">
      <c r="G3764" s="2"/>
      <c r="H3764" s="2"/>
      <c r="I3764" s="3"/>
      <c r="J3764" s="6"/>
    </row>
    <row r="3765" spans="7:10" x14ac:dyDescent="0.35">
      <c r="G3765" s="2"/>
      <c r="H3765" s="2"/>
      <c r="I3765" s="3"/>
      <c r="J3765" s="6"/>
    </row>
    <row r="3766" spans="7:10" x14ac:dyDescent="0.35">
      <c r="G3766" s="2"/>
      <c r="H3766" s="2"/>
      <c r="I3766" s="3"/>
      <c r="J3766" s="6"/>
    </row>
    <row r="3767" spans="7:10" x14ac:dyDescent="0.35">
      <c r="G3767" s="2"/>
      <c r="H3767" s="2"/>
      <c r="I3767" s="3"/>
      <c r="J3767" s="6"/>
    </row>
    <row r="3768" spans="7:10" x14ac:dyDescent="0.35">
      <c r="G3768" s="2"/>
      <c r="H3768" s="2"/>
      <c r="I3768" s="3"/>
      <c r="J3768" s="6"/>
    </row>
    <row r="3769" spans="7:10" x14ac:dyDescent="0.35">
      <c r="G3769" s="2"/>
      <c r="H3769" s="2"/>
      <c r="I3769" s="3"/>
      <c r="J3769" s="6"/>
    </row>
    <row r="3770" spans="7:10" x14ac:dyDescent="0.35">
      <c r="G3770" s="2"/>
      <c r="H3770" s="2"/>
      <c r="I3770" s="3"/>
      <c r="J3770" s="6"/>
    </row>
    <row r="3771" spans="7:10" x14ac:dyDescent="0.35">
      <c r="G3771" s="2"/>
      <c r="H3771" s="2"/>
      <c r="I3771" s="3"/>
      <c r="J3771" s="6"/>
    </row>
    <row r="3772" spans="7:10" x14ac:dyDescent="0.35">
      <c r="G3772" s="2"/>
      <c r="H3772" s="2"/>
      <c r="I3772" s="3"/>
      <c r="J3772" s="6"/>
    </row>
    <row r="3773" spans="7:10" x14ac:dyDescent="0.35">
      <c r="G3773" s="2"/>
      <c r="H3773" s="2"/>
      <c r="I3773" s="3"/>
      <c r="J3773" s="6"/>
    </row>
    <row r="3774" spans="7:10" x14ac:dyDescent="0.35">
      <c r="G3774" s="2"/>
      <c r="H3774" s="2"/>
      <c r="I3774" s="3"/>
      <c r="J3774" s="6"/>
    </row>
    <row r="3775" spans="7:10" x14ac:dyDescent="0.35">
      <c r="G3775" s="2"/>
      <c r="H3775" s="2"/>
      <c r="I3775" s="3"/>
      <c r="J3775" s="6"/>
    </row>
    <row r="3776" spans="7:10" x14ac:dyDescent="0.35">
      <c r="G3776" s="2"/>
      <c r="H3776" s="2"/>
      <c r="I3776" s="3"/>
      <c r="J3776" s="6"/>
    </row>
    <row r="3777" spans="7:10" x14ac:dyDescent="0.35">
      <c r="G3777" s="2"/>
      <c r="H3777" s="2"/>
      <c r="I3777" s="3"/>
      <c r="J3777" s="6"/>
    </row>
    <row r="3778" spans="7:10" x14ac:dyDescent="0.35">
      <c r="G3778" s="2"/>
      <c r="H3778" s="2"/>
      <c r="I3778" s="3"/>
      <c r="J3778" s="6"/>
    </row>
    <row r="3779" spans="7:10" x14ac:dyDescent="0.35">
      <c r="G3779" s="2"/>
      <c r="H3779" s="2"/>
      <c r="I3779" s="3"/>
      <c r="J3779" s="6"/>
    </row>
    <row r="3780" spans="7:10" x14ac:dyDescent="0.35">
      <c r="G3780" s="2"/>
      <c r="H3780" s="2"/>
      <c r="I3780" s="3"/>
      <c r="J3780" s="6"/>
    </row>
    <row r="3781" spans="7:10" x14ac:dyDescent="0.35">
      <c r="G3781" s="2"/>
      <c r="H3781" s="2"/>
      <c r="I3781" s="3"/>
      <c r="J3781" s="6"/>
    </row>
    <row r="3782" spans="7:10" x14ac:dyDescent="0.35">
      <c r="G3782" s="2"/>
      <c r="H3782" s="2"/>
      <c r="I3782" s="3"/>
      <c r="J3782" s="6"/>
    </row>
    <row r="3783" spans="7:10" x14ac:dyDescent="0.35">
      <c r="G3783" s="2"/>
      <c r="H3783" s="2"/>
      <c r="I3783" s="3"/>
      <c r="J3783" s="6"/>
    </row>
    <row r="3784" spans="7:10" x14ac:dyDescent="0.35">
      <c r="G3784" s="2"/>
      <c r="H3784" s="2"/>
      <c r="I3784" s="3"/>
      <c r="J3784" s="6"/>
    </row>
    <row r="3785" spans="7:10" x14ac:dyDescent="0.35">
      <c r="G3785" s="2"/>
      <c r="H3785" s="2"/>
      <c r="I3785" s="3"/>
      <c r="J3785" s="6"/>
    </row>
    <row r="3786" spans="7:10" x14ac:dyDescent="0.35">
      <c r="G3786" s="2"/>
      <c r="H3786" s="2"/>
      <c r="I3786" s="3"/>
      <c r="J3786" s="6"/>
    </row>
    <row r="3787" spans="7:10" x14ac:dyDescent="0.35">
      <c r="G3787" s="2"/>
      <c r="H3787" s="2"/>
      <c r="I3787" s="3"/>
      <c r="J3787" s="6"/>
    </row>
    <row r="3788" spans="7:10" x14ac:dyDescent="0.35">
      <c r="G3788" s="2"/>
      <c r="H3788" s="2"/>
      <c r="I3788" s="3"/>
      <c r="J3788" s="6"/>
    </row>
    <row r="3789" spans="7:10" x14ac:dyDescent="0.35">
      <c r="G3789" s="2"/>
      <c r="H3789" s="2"/>
      <c r="I3789" s="3"/>
      <c r="J3789" s="6"/>
    </row>
    <row r="3790" spans="7:10" x14ac:dyDescent="0.35">
      <c r="G3790" s="2"/>
      <c r="H3790" s="2"/>
      <c r="I3790" s="3"/>
      <c r="J3790" s="6"/>
    </row>
    <row r="3791" spans="7:10" x14ac:dyDescent="0.35">
      <c r="G3791" s="2"/>
      <c r="H3791" s="2"/>
      <c r="I3791" s="3"/>
      <c r="J3791" s="6"/>
    </row>
    <row r="3792" spans="7:10" x14ac:dyDescent="0.35">
      <c r="G3792" s="2"/>
      <c r="H3792" s="2"/>
      <c r="I3792" s="3"/>
      <c r="J3792" s="6"/>
    </row>
    <row r="3793" spans="7:10" x14ac:dyDescent="0.35">
      <c r="G3793" s="2"/>
      <c r="H3793" s="2"/>
      <c r="I3793" s="3"/>
      <c r="J3793" s="6"/>
    </row>
    <row r="3794" spans="7:10" x14ac:dyDescent="0.35">
      <c r="G3794" s="2"/>
      <c r="H3794" s="2"/>
      <c r="I3794" s="3"/>
      <c r="J3794" s="6"/>
    </row>
    <row r="3795" spans="7:10" x14ac:dyDescent="0.35">
      <c r="G3795" s="2"/>
      <c r="H3795" s="2"/>
      <c r="I3795" s="3"/>
      <c r="J3795" s="6"/>
    </row>
    <row r="3796" spans="7:10" x14ac:dyDescent="0.35">
      <c r="G3796" s="2"/>
      <c r="H3796" s="2"/>
      <c r="I3796" s="3"/>
      <c r="J3796" s="6"/>
    </row>
    <row r="3797" spans="7:10" x14ac:dyDescent="0.35">
      <c r="G3797" s="2"/>
      <c r="H3797" s="2"/>
      <c r="I3797" s="3"/>
      <c r="J3797" s="6"/>
    </row>
    <row r="3798" spans="7:10" x14ac:dyDescent="0.35">
      <c r="G3798" s="2"/>
      <c r="H3798" s="2"/>
      <c r="I3798" s="3"/>
      <c r="J3798" s="6"/>
    </row>
    <row r="3799" spans="7:10" x14ac:dyDescent="0.35">
      <c r="G3799" s="2"/>
      <c r="H3799" s="2"/>
      <c r="I3799" s="3"/>
      <c r="J3799" s="6"/>
    </row>
    <row r="3800" spans="7:10" x14ac:dyDescent="0.35">
      <c r="G3800" s="2"/>
      <c r="H3800" s="2"/>
      <c r="I3800" s="3"/>
      <c r="J3800" s="6"/>
    </row>
    <row r="3801" spans="7:10" x14ac:dyDescent="0.35">
      <c r="G3801" s="2"/>
      <c r="H3801" s="2"/>
      <c r="I3801" s="3"/>
      <c r="J3801" s="6"/>
    </row>
    <row r="3802" spans="7:10" x14ac:dyDescent="0.35">
      <c r="G3802" s="2"/>
      <c r="H3802" s="2"/>
      <c r="I3802" s="3"/>
      <c r="J3802" s="6"/>
    </row>
    <row r="3803" spans="7:10" x14ac:dyDescent="0.35">
      <c r="G3803" s="2"/>
      <c r="H3803" s="2"/>
      <c r="I3803" s="3"/>
      <c r="J3803" s="6"/>
    </row>
    <row r="3804" spans="7:10" x14ac:dyDescent="0.35">
      <c r="G3804" s="2"/>
      <c r="H3804" s="2"/>
      <c r="I3804" s="3"/>
      <c r="J3804" s="6"/>
    </row>
    <row r="3805" spans="7:10" x14ac:dyDescent="0.35">
      <c r="G3805" s="2"/>
      <c r="H3805" s="2"/>
      <c r="I3805" s="3"/>
      <c r="J3805" s="6"/>
    </row>
    <row r="3806" spans="7:10" x14ac:dyDescent="0.35">
      <c r="G3806" s="2"/>
      <c r="H3806" s="2"/>
      <c r="I3806" s="3"/>
      <c r="J3806" s="6"/>
    </row>
    <row r="3807" spans="7:10" x14ac:dyDescent="0.35">
      <c r="G3807" s="2"/>
      <c r="H3807" s="2"/>
      <c r="I3807" s="3"/>
      <c r="J3807" s="6"/>
    </row>
    <row r="3808" spans="7:10" x14ac:dyDescent="0.35">
      <c r="G3808" s="2"/>
      <c r="H3808" s="2"/>
      <c r="I3808" s="3"/>
      <c r="J3808" s="6"/>
    </row>
    <row r="3809" spans="7:10" x14ac:dyDescent="0.35">
      <c r="G3809" s="2"/>
      <c r="H3809" s="2"/>
      <c r="I3809" s="3"/>
      <c r="J3809" s="6"/>
    </row>
    <row r="3810" spans="7:10" x14ac:dyDescent="0.35">
      <c r="G3810" s="2"/>
      <c r="H3810" s="2"/>
      <c r="I3810" s="3"/>
      <c r="J3810" s="6"/>
    </row>
    <row r="3811" spans="7:10" x14ac:dyDescent="0.35">
      <c r="G3811" s="2"/>
      <c r="H3811" s="2"/>
      <c r="I3811" s="3"/>
      <c r="J3811" s="6"/>
    </row>
    <row r="3812" spans="7:10" x14ac:dyDescent="0.35">
      <c r="G3812" s="2"/>
      <c r="H3812" s="2"/>
      <c r="I3812" s="3"/>
      <c r="J3812" s="6"/>
    </row>
    <row r="3813" spans="7:10" x14ac:dyDescent="0.35">
      <c r="G3813" s="2"/>
      <c r="H3813" s="2"/>
      <c r="I3813" s="3"/>
      <c r="J3813" s="6"/>
    </row>
    <row r="3814" spans="7:10" x14ac:dyDescent="0.35">
      <c r="G3814" s="2"/>
      <c r="H3814" s="2"/>
      <c r="I3814" s="3"/>
      <c r="J3814" s="6"/>
    </row>
    <row r="3815" spans="7:10" x14ac:dyDescent="0.35">
      <c r="G3815" s="2"/>
      <c r="H3815" s="2"/>
      <c r="I3815" s="3"/>
      <c r="J3815" s="6"/>
    </row>
    <row r="3816" spans="7:10" x14ac:dyDescent="0.35">
      <c r="G3816" s="2"/>
      <c r="H3816" s="2"/>
      <c r="I3816" s="3"/>
      <c r="J3816" s="6"/>
    </row>
    <row r="3817" spans="7:10" x14ac:dyDescent="0.35">
      <c r="G3817" s="2"/>
      <c r="H3817" s="2"/>
      <c r="I3817" s="3"/>
      <c r="J3817" s="6"/>
    </row>
    <row r="3818" spans="7:10" x14ac:dyDescent="0.35">
      <c r="G3818" s="2"/>
      <c r="H3818" s="2"/>
      <c r="I3818" s="3"/>
      <c r="J3818" s="6"/>
    </row>
    <row r="3819" spans="7:10" x14ac:dyDescent="0.35">
      <c r="G3819" s="2"/>
      <c r="H3819" s="2"/>
      <c r="I3819" s="3"/>
      <c r="J3819" s="6"/>
    </row>
    <row r="3820" spans="7:10" x14ac:dyDescent="0.35">
      <c r="G3820" s="2"/>
      <c r="H3820" s="2"/>
      <c r="I3820" s="3"/>
      <c r="J3820" s="6"/>
    </row>
    <row r="3821" spans="7:10" x14ac:dyDescent="0.35">
      <c r="G3821" s="2"/>
      <c r="H3821" s="2"/>
      <c r="I3821" s="3"/>
      <c r="J3821" s="6"/>
    </row>
    <row r="3822" spans="7:10" x14ac:dyDescent="0.35">
      <c r="G3822" s="2"/>
      <c r="H3822" s="2"/>
      <c r="I3822" s="3"/>
      <c r="J3822" s="6"/>
    </row>
    <row r="3823" spans="7:10" x14ac:dyDescent="0.35">
      <c r="G3823" s="2"/>
      <c r="H3823" s="2"/>
      <c r="I3823" s="3"/>
      <c r="J3823" s="6"/>
    </row>
    <row r="3824" spans="7:10" x14ac:dyDescent="0.35">
      <c r="G3824" s="2"/>
      <c r="H3824" s="2"/>
      <c r="I3824" s="3"/>
      <c r="J3824" s="6"/>
    </row>
    <row r="3825" spans="7:10" x14ac:dyDescent="0.35">
      <c r="G3825" s="2"/>
      <c r="H3825" s="2"/>
      <c r="I3825" s="3"/>
      <c r="J3825" s="6"/>
    </row>
    <row r="3826" spans="7:10" x14ac:dyDescent="0.35">
      <c r="G3826" s="2"/>
      <c r="H3826" s="2"/>
      <c r="I3826" s="3"/>
      <c r="J3826" s="6"/>
    </row>
    <row r="3827" spans="7:10" x14ac:dyDescent="0.35">
      <c r="G3827" s="2"/>
      <c r="H3827" s="2"/>
      <c r="I3827" s="3"/>
      <c r="J3827" s="6"/>
    </row>
    <row r="3828" spans="7:10" x14ac:dyDescent="0.35">
      <c r="G3828" s="2"/>
      <c r="H3828" s="2"/>
      <c r="I3828" s="3"/>
      <c r="J3828" s="6"/>
    </row>
    <row r="3829" spans="7:10" x14ac:dyDescent="0.35">
      <c r="G3829" s="2"/>
      <c r="H3829" s="2"/>
      <c r="I3829" s="3"/>
      <c r="J3829" s="6"/>
    </row>
    <row r="3830" spans="7:10" x14ac:dyDescent="0.35">
      <c r="G3830" s="2"/>
      <c r="H3830" s="2"/>
      <c r="I3830" s="3"/>
      <c r="J3830" s="6"/>
    </row>
    <row r="3831" spans="7:10" x14ac:dyDescent="0.35">
      <c r="G3831" s="2"/>
      <c r="H3831" s="2"/>
      <c r="I3831" s="3"/>
      <c r="J3831" s="6"/>
    </row>
    <row r="3832" spans="7:10" x14ac:dyDescent="0.35">
      <c r="G3832" s="2"/>
      <c r="H3832" s="2"/>
      <c r="I3832" s="3"/>
      <c r="J3832" s="6"/>
    </row>
    <row r="3833" spans="7:10" x14ac:dyDescent="0.35">
      <c r="G3833" s="2"/>
      <c r="H3833" s="2"/>
      <c r="I3833" s="3"/>
      <c r="J3833" s="6"/>
    </row>
    <row r="3834" spans="7:10" x14ac:dyDescent="0.35">
      <c r="G3834" s="2"/>
      <c r="H3834" s="2"/>
      <c r="I3834" s="3"/>
      <c r="J3834" s="6"/>
    </row>
    <row r="3835" spans="7:10" x14ac:dyDescent="0.35">
      <c r="G3835" s="2"/>
      <c r="H3835" s="2"/>
      <c r="I3835" s="3"/>
      <c r="J3835" s="6"/>
    </row>
    <row r="3836" spans="7:10" x14ac:dyDescent="0.35">
      <c r="G3836" s="2"/>
      <c r="H3836" s="2"/>
      <c r="I3836" s="3"/>
      <c r="J3836" s="6"/>
    </row>
    <row r="3837" spans="7:10" x14ac:dyDescent="0.35">
      <c r="G3837" s="2"/>
      <c r="H3837" s="2"/>
      <c r="I3837" s="3"/>
      <c r="J3837" s="6"/>
    </row>
    <row r="3838" spans="7:10" x14ac:dyDescent="0.35">
      <c r="G3838" s="2"/>
      <c r="H3838" s="2"/>
      <c r="I3838" s="3"/>
      <c r="J3838" s="6"/>
    </row>
    <row r="3839" spans="7:10" x14ac:dyDescent="0.35">
      <c r="G3839" s="2"/>
      <c r="H3839" s="2"/>
      <c r="I3839" s="3"/>
      <c r="J3839" s="6"/>
    </row>
    <row r="3840" spans="7:10" x14ac:dyDescent="0.35">
      <c r="G3840" s="2"/>
      <c r="H3840" s="2"/>
      <c r="I3840" s="3"/>
      <c r="J3840" s="6"/>
    </row>
    <row r="3841" spans="7:10" x14ac:dyDescent="0.35">
      <c r="G3841" s="2"/>
      <c r="H3841" s="2"/>
      <c r="I3841" s="3"/>
      <c r="J3841" s="6"/>
    </row>
    <row r="3842" spans="7:10" x14ac:dyDescent="0.35">
      <c r="G3842" s="2"/>
      <c r="H3842" s="2"/>
      <c r="I3842" s="3"/>
      <c r="J3842" s="6"/>
    </row>
    <row r="3843" spans="7:10" x14ac:dyDescent="0.35">
      <c r="G3843" s="2"/>
      <c r="H3843" s="2"/>
      <c r="I3843" s="3"/>
      <c r="J3843" s="6"/>
    </row>
    <row r="3844" spans="7:10" x14ac:dyDescent="0.35">
      <c r="G3844" s="2"/>
      <c r="H3844" s="2"/>
      <c r="I3844" s="3"/>
      <c r="J3844" s="6"/>
    </row>
    <row r="3845" spans="7:10" x14ac:dyDescent="0.35">
      <c r="G3845" s="2"/>
      <c r="H3845" s="2"/>
      <c r="I3845" s="3"/>
      <c r="J3845" s="6"/>
    </row>
    <row r="3846" spans="7:10" x14ac:dyDescent="0.35">
      <c r="G3846" s="2"/>
      <c r="H3846" s="2"/>
      <c r="I3846" s="3"/>
      <c r="J3846" s="6"/>
    </row>
    <row r="3847" spans="7:10" x14ac:dyDescent="0.35">
      <c r="G3847" s="2"/>
      <c r="H3847" s="2"/>
      <c r="I3847" s="3"/>
      <c r="J3847" s="6"/>
    </row>
    <row r="3848" spans="7:10" x14ac:dyDescent="0.35">
      <c r="G3848" s="2"/>
      <c r="H3848" s="2"/>
      <c r="I3848" s="3"/>
      <c r="J3848" s="6"/>
    </row>
    <row r="3849" spans="7:10" x14ac:dyDescent="0.35">
      <c r="G3849" s="2"/>
      <c r="H3849" s="2"/>
      <c r="I3849" s="3"/>
      <c r="J3849" s="6"/>
    </row>
    <row r="3850" spans="7:10" x14ac:dyDescent="0.35">
      <c r="G3850" s="2"/>
      <c r="H3850" s="2"/>
      <c r="I3850" s="3"/>
      <c r="J3850" s="6"/>
    </row>
    <row r="3851" spans="7:10" x14ac:dyDescent="0.35">
      <c r="G3851" s="2"/>
      <c r="H3851" s="2"/>
      <c r="I3851" s="3"/>
      <c r="J3851" s="6"/>
    </row>
    <row r="3852" spans="7:10" x14ac:dyDescent="0.35">
      <c r="G3852" s="2"/>
      <c r="H3852" s="2"/>
      <c r="I3852" s="3"/>
      <c r="J3852" s="6"/>
    </row>
    <row r="3853" spans="7:10" x14ac:dyDescent="0.35">
      <c r="G3853" s="2"/>
      <c r="H3853" s="2"/>
      <c r="I3853" s="3"/>
      <c r="J3853" s="6"/>
    </row>
    <row r="3854" spans="7:10" x14ac:dyDescent="0.35">
      <c r="G3854" s="2"/>
      <c r="H3854" s="2"/>
      <c r="I3854" s="3"/>
      <c r="J3854" s="6"/>
    </row>
    <row r="3855" spans="7:10" x14ac:dyDescent="0.35">
      <c r="G3855" s="2"/>
      <c r="H3855" s="2"/>
      <c r="I3855" s="3"/>
      <c r="J3855" s="6"/>
    </row>
    <row r="3856" spans="7:10" x14ac:dyDescent="0.35">
      <c r="G3856" s="2"/>
      <c r="H3856" s="2"/>
      <c r="I3856" s="3"/>
      <c r="J3856" s="6"/>
    </row>
    <row r="3857" spans="7:10" x14ac:dyDescent="0.35">
      <c r="G3857" s="2"/>
      <c r="H3857" s="2"/>
      <c r="I3857" s="3"/>
      <c r="J3857" s="6"/>
    </row>
    <row r="3858" spans="7:10" x14ac:dyDescent="0.35">
      <c r="G3858" s="2"/>
      <c r="H3858" s="2"/>
      <c r="I3858" s="3"/>
      <c r="J3858" s="6"/>
    </row>
    <row r="3859" spans="7:10" x14ac:dyDescent="0.35">
      <c r="G3859" s="2"/>
      <c r="H3859" s="2"/>
      <c r="I3859" s="3"/>
      <c r="J3859" s="6"/>
    </row>
    <row r="3860" spans="7:10" x14ac:dyDescent="0.35">
      <c r="G3860" s="2"/>
      <c r="H3860" s="2"/>
      <c r="I3860" s="3"/>
      <c r="J3860" s="6"/>
    </row>
    <row r="3861" spans="7:10" x14ac:dyDescent="0.35">
      <c r="G3861" s="2"/>
      <c r="H3861" s="2"/>
      <c r="I3861" s="3"/>
      <c r="J3861" s="6"/>
    </row>
    <row r="3862" spans="7:10" x14ac:dyDescent="0.35">
      <c r="G3862" s="2"/>
      <c r="H3862" s="2"/>
      <c r="I3862" s="3"/>
      <c r="J3862" s="6"/>
    </row>
    <row r="3863" spans="7:10" x14ac:dyDescent="0.35">
      <c r="G3863" s="2"/>
      <c r="H3863" s="2"/>
      <c r="I3863" s="3"/>
      <c r="J3863" s="6"/>
    </row>
    <row r="3864" spans="7:10" x14ac:dyDescent="0.35">
      <c r="G3864" s="2"/>
      <c r="H3864" s="2"/>
      <c r="I3864" s="3"/>
      <c r="J3864" s="6"/>
    </row>
    <row r="3865" spans="7:10" x14ac:dyDescent="0.35">
      <c r="G3865" s="2"/>
      <c r="H3865" s="2"/>
      <c r="I3865" s="3"/>
      <c r="J3865" s="6"/>
    </row>
    <row r="3866" spans="7:10" x14ac:dyDescent="0.35">
      <c r="G3866" s="2"/>
      <c r="H3866" s="2"/>
      <c r="I3866" s="3"/>
      <c r="J3866" s="6"/>
    </row>
    <row r="3867" spans="7:10" x14ac:dyDescent="0.35">
      <c r="G3867" s="2"/>
      <c r="H3867" s="2"/>
      <c r="I3867" s="3"/>
      <c r="J3867" s="6"/>
    </row>
    <row r="3868" spans="7:10" x14ac:dyDescent="0.35">
      <c r="G3868" s="2"/>
      <c r="H3868" s="2"/>
      <c r="I3868" s="3"/>
      <c r="J3868" s="6"/>
    </row>
    <row r="3869" spans="7:10" x14ac:dyDescent="0.35">
      <c r="G3869" s="2"/>
      <c r="H3869" s="2"/>
      <c r="I3869" s="3"/>
      <c r="J3869" s="6"/>
    </row>
    <row r="3870" spans="7:10" x14ac:dyDescent="0.35">
      <c r="G3870" s="2"/>
      <c r="H3870" s="2"/>
      <c r="I3870" s="3"/>
      <c r="J3870" s="6"/>
    </row>
    <row r="3871" spans="7:10" x14ac:dyDescent="0.35">
      <c r="G3871" s="2"/>
      <c r="H3871" s="2"/>
      <c r="I3871" s="3"/>
      <c r="J3871" s="6"/>
    </row>
    <row r="3872" spans="7:10" x14ac:dyDescent="0.35">
      <c r="G3872" s="2"/>
      <c r="H3872" s="2"/>
      <c r="I3872" s="3"/>
      <c r="J3872" s="6"/>
    </row>
    <row r="3873" spans="7:10" x14ac:dyDescent="0.35">
      <c r="G3873" s="2"/>
      <c r="H3873" s="2"/>
      <c r="I3873" s="3"/>
      <c r="J3873" s="6"/>
    </row>
    <row r="3874" spans="7:10" x14ac:dyDescent="0.35">
      <c r="G3874" s="2"/>
      <c r="H3874" s="2"/>
      <c r="I3874" s="3"/>
      <c r="J3874" s="6"/>
    </row>
    <row r="3875" spans="7:10" x14ac:dyDescent="0.35">
      <c r="G3875" s="2"/>
      <c r="H3875" s="2"/>
      <c r="I3875" s="3"/>
      <c r="J3875" s="6"/>
    </row>
    <row r="3876" spans="7:10" x14ac:dyDescent="0.35">
      <c r="G3876" s="2"/>
      <c r="H3876" s="2"/>
      <c r="I3876" s="3"/>
      <c r="J3876" s="6"/>
    </row>
    <row r="3877" spans="7:10" x14ac:dyDescent="0.35">
      <c r="G3877" s="2"/>
      <c r="H3877" s="2"/>
      <c r="I3877" s="3"/>
      <c r="J3877" s="6"/>
    </row>
    <row r="3878" spans="7:10" x14ac:dyDescent="0.35">
      <c r="G3878" s="2"/>
      <c r="H3878" s="2"/>
      <c r="I3878" s="3"/>
      <c r="J3878" s="6"/>
    </row>
    <row r="3879" spans="7:10" x14ac:dyDescent="0.35">
      <c r="G3879" s="2"/>
      <c r="H3879" s="2"/>
      <c r="I3879" s="3"/>
      <c r="J3879" s="6"/>
    </row>
    <row r="3880" spans="7:10" x14ac:dyDescent="0.35">
      <c r="G3880" s="2"/>
      <c r="H3880" s="2"/>
      <c r="I3880" s="3"/>
      <c r="J3880" s="6"/>
    </row>
    <row r="3881" spans="7:10" x14ac:dyDescent="0.35">
      <c r="G3881" s="2"/>
      <c r="H3881" s="2"/>
      <c r="I3881" s="3"/>
      <c r="J3881" s="6"/>
    </row>
    <row r="3882" spans="7:10" x14ac:dyDescent="0.35">
      <c r="G3882" s="2"/>
      <c r="H3882" s="2"/>
      <c r="I3882" s="3"/>
      <c r="J3882" s="6"/>
    </row>
    <row r="3883" spans="7:10" x14ac:dyDescent="0.35">
      <c r="G3883" s="2"/>
      <c r="H3883" s="2"/>
      <c r="I3883" s="3"/>
      <c r="J3883" s="6"/>
    </row>
    <row r="3884" spans="7:10" x14ac:dyDescent="0.35">
      <c r="G3884" s="2"/>
      <c r="H3884" s="2"/>
      <c r="I3884" s="3"/>
      <c r="J3884" s="6"/>
    </row>
    <row r="3885" spans="7:10" x14ac:dyDescent="0.35">
      <c r="G3885" s="2"/>
      <c r="H3885" s="2"/>
      <c r="I3885" s="3"/>
      <c r="J3885" s="6"/>
    </row>
    <row r="3886" spans="7:10" x14ac:dyDescent="0.35">
      <c r="G3886" s="2"/>
      <c r="H3886" s="2"/>
      <c r="I3886" s="3"/>
      <c r="J3886" s="6"/>
    </row>
    <row r="3887" spans="7:10" x14ac:dyDescent="0.35">
      <c r="G3887" s="2"/>
      <c r="H3887" s="2"/>
      <c r="I3887" s="3"/>
      <c r="J3887" s="6"/>
    </row>
    <row r="3888" spans="7:10" x14ac:dyDescent="0.35">
      <c r="G3888" s="2"/>
      <c r="H3888" s="2"/>
      <c r="I3888" s="3"/>
      <c r="J3888" s="6"/>
    </row>
    <row r="3889" spans="7:10" x14ac:dyDescent="0.35">
      <c r="G3889" s="2"/>
      <c r="H3889" s="2"/>
      <c r="I3889" s="3"/>
      <c r="J3889" s="6"/>
    </row>
    <row r="3890" spans="7:10" x14ac:dyDescent="0.35">
      <c r="G3890" s="2"/>
      <c r="H3890" s="2"/>
      <c r="I3890" s="3"/>
      <c r="J3890" s="6"/>
    </row>
    <row r="3891" spans="7:10" x14ac:dyDescent="0.35">
      <c r="G3891" s="2"/>
      <c r="H3891" s="2"/>
      <c r="I3891" s="3"/>
      <c r="J3891" s="6"/>
    </row>
    <row r="3892" spans="7:10" x14ac:dyDescent="0.35">
      <c r="G3892" s="2"/>
      <c r="H3892" s="2"/>
      <c r="I3892" s="3"/>
      <c r="J3892" s="6"/>
    </row>
    <row r="3893" spans="7:10" x14ac:dyDescent="0.35">
      <c r="G3893" s="2"/>
      <c r="H3893" s="2"/>
      <c r="I3893" s="3"/>
      <c r="J3893" s="6"/>
    </row>
    <row r="3894" spans="7:10" x14ac:dyDescent="0.35">
      <c r="G3894" s="2"/>
      <c r="H3894" s="2"/>
      <c r="I3894" s="3"/>
      <c r="J3894" s="6"/>
    </row>
    <row r="3895" spans="7:10" x14ac:dyDescent="0.35">
      <c r="G3895" s="2"/>
      <c r="H3895" s="2"/>
      <c r="I3895" s="3"/>
      <c r="J3895" s="6"/>
    </row>
    <row r="3896" spans="7:10" x14ac:dyDescent="0.35">
      <c r="G3896" s="2"/>
      <c r="H3896" s="2"/>
      <c r="I3896" s="3"/>
      <c r="J3896" s="6"/>
    </row>
    <row r="3897" spans="7:10" x14ac:dyDescent="0.35">
      <c r="G3897" s="2"/>
      <c r="H3897" s="2"/>
      <c r="I3897" s="3"/>
      <c r="J3897" s="6"/>
    </row>
    <row r="3898" spans="7:10" x14ac:dyDescent="0.35">
      <c r="G3898" s="2"/>
      <c r="H3898" s="2"/>
      <c r="I3898" s="3"/>
      <c r="J3898" s="6"/>
    </row>
    <row r="3899" spans="7:10" x14ac:dyDescent="0.35">
      <c r="G3899" s="2"/>
      <c r="H3899" s="2"/>
      <c r="I3899" s="3"/>
      <c r="J3899" s="6"/>
    </row>
    <row r="3900" spans="7:10" x14ac:dyDescent="0.35">
      <c r="G3900" s="2"/>
      <c r="H3900" s="2"/>
      <c r="I3900" s="3"/>
      <c r="J3900" s="6"/>
    </row>
    <row r="3901" spans="7:10" x14ac:dyDescent="0.35">
      <c r="G3901" s="2"/>
      <c r="H3901" s="2"/>
      <c r="I3901" s="3"/>
      <c r="J3901" s="6"/>
    </row>
    <row r="3902" spans="7:10" x14ac:dyDescent="0.35">
      <c r="G3902" s="2"/>
      <c r="H3902" s="2"/>
      <c r="I3902" s="3"/>
      <c r="J3902" s="6"/>
    </row>
    <row r="3903" spans="7:10" x14ac:dyDescent="0.35">
      <c r="G3903" s="2"/>
      <c r="H3903" s="2"/>
      <c r="I3903" s="3"/>
      <c r="J3903" s="6"/>
    </row>
    <row r="3904" spans="7:10" x14ac:dyDescent="0.35">
      <c r="G3904" s="2"/>
      <c r="H3904" s="2"/>
      <c r="I3904" s="3"/>
      <c r="J3904" s="6"/>
    </row>
    <row r="3905" spans="7:10" x14ac:dyDescent="0.35">
      <c r="G3905" s="2"/>
      <c r="H3905" s="2"/>
      <c r="I3905" s="3"/>
      <c r="J3905" s="6"/>
    </row>
    <row r="3906" spans="7:10" x14ac:dyDescent="0.35">
      <c r="G3906" s="2"/>
      <c r="H3906" s="2"/>
      <c r="I3906" s="3"/>
      <c r="J3906" s="6"/>
    </row>
    <row r="3907" spans="7:10" x14ac:dyDescent="0.35">
      <c r="G3907" s="2"/>
      <c r="H3907" s="2"/>
      <c r="I3907" s="3"/>
      <c r="J3907" s="6"/>
    </row>
    <row r="3908" spans="7:10" x14ac:dyDescent="0.35">
      <c r="G3908" s="2"/>
      <c r="H3908" s="2"/>
      <c r="I3908" s="3"/>
      <c r="J3908" s="6"/>
    </row>
    <row r="3909" spans="7:10" x14ac:dyDescent="0.35">
      <c r="G3909" s="2"/>
      <c r="H3909" s="2"/>
      <c r="I3909" s="3"/>
      <c r="J3909" s="6"/>
    </row>
    <row r="3910" spans="7:10" x14ac:dyDescent="0.35">
      <c r="G3910" s="2"/>
      <c r="H3910" s="2"/>
      <c r="I3910" s="3"/>
      <c r="J3910" s="6"/>
    </row>
    <row r="3911" spans="7:10" x14ac:dyDescent="0.35">
      <c r="G3911" s="2"/>
      <c r="H3911" s="2"/>
      <c r="I3911" s="3"/>
      <c r="J3911" s="6"/>
    </row>
    <row r="3912" spans="7:10" x14ac:dyDescent="0.35">
      <c r="G3912" s="2"/>
      <c r="H3912" s="2"/>
      <c r="I3912" s="3"/>
      <c r="J3912" s="6"/>
    </row>
    <row r="3913" spans="7:10" x14ac:dyDescent="0.35">
      <c r="G3913" s="2"/>
      <c r="H3913" s="2"/>
      <c r="I3913" s="3"/>
      <c r="J3913" s="6"/>
    </row>
    <row r="3914" spans="7:10" x14ac:dyDescent="0.35">
      <c r="G3914" s="2"/>
      <c r="H3914" s="2"/>
      <c r="I3914" s="3"/>
      <c r="J3914" s="6"/>
    </row>
    <row r="3915" spans="7:10" x14ac:dyDescent="0.35">
      <c r="G3915" s="2"/>
      <c r="H3915" s="2"/>
      <c r="I3915" s="3"/>
      <c r="J3915" s="6"/>
    </row>
    <row r="3916" spans="7:10" x14ac:dyDescent="0.35">
      <c r="G3916" s="2"/>
      <c r="H3916" s="2"/>
      <c r="I3916" s="3"/>
      <c r="J3916" s="6"/>
    </row>
    <row r="3917" spans="7:10" x14ac:dyDescent="0.35">
      <c r="G3917" s="2"/>
      <c r="H3917" s="2"/>
      <c r="I3917" s="3"/>
      <c r="J3917" s="6"/>
    </row>
    <row r="3918" spans="7:10" x14ac:dyDescent="0.35">
      <c r="G3918" s="2"/>
      <c r="H3918" s="2"/>
      <c r="I3918" s="3"/>
      <c r="J3918" s="6"/>
    </row>
    <row r="3919" spans="7:10" x14ac:dyDescent="0.35">
      <c r="G3919" s="2"/>
      <c r="H3919" s="2"/>
      <c r="I3919" s="3"/>
      <c r="J3919" s="6"/>
    </row>
    <row r="3920" spans="7:10" x14ac:dyDescent="0.35">
      <c r="G3920" s="2"/>
      <c r="H3920" s="2"/>
      <c r="I3920" s="3"/>
      <c r="J3920" s="6"/>
    </row>
    <row r="3921" spans="7:10" x14ac:dyDescent="0.35">
      <c r="G3921" s="2"/>
      <c r="H3921" s="2"/>
      <c r="I3921" s="3"/>
      <c r="J3921" s="6"/>
    </row>
    <row r="3922" spans="7:10" x14ac:dyDescent="0.35">
      <c r="G3922" s="2"/>
      <c r="H3922" s="2"/>
      <c r="I3922" s="3"/>
      <c r="J3922" s="6"/>
    </row>
    <row r="3923" spans="7:10" x14ac:dyDescent="0.35">
      <c r="G3923" s="2"/>
      <c r="H3923" s="2"/>
      <c r="I3923" s="3"/>
      <c r="J3923" s="6"/>
    </row>
    <row r="3924" spans="7:10" x14ac:dyDescent="0.35">
      <c r="G3924" s="2"/>
      <c r="H3924" s="2"/>
      <c r="I3924" s="3"/>
      <c r="J3924" s="6"/>
    </row>
    <row r="3925" spans="7:10" x14ac:dyDescent="0.35">
      <c r="G3925" s="2"/>
      <c r="H3925" s="2"/>
      <c r="I3925" s="3"/>
      <c r="J3925" s="6"/>
    </row>
    <row r="3926" spans="7:10" x14ac:dyDescent="0.35">
      <c r="G3926" s="2"/>
      <c r="H3926" s="2"/>
      <c r="I3926" s="3"/>
      <c r="J3926" s="6"/>
    </row>
    <row r="3927" spans="7:10" x14ac:dyDescent="0.35">
      <c r="G3927" s="2"/>
      <c r="H3927" s="2"/>
      <c r="I3927" s="3"/>
      <c r="J3927" s="6"/>
    </row>
    <row r="3928" spans="7:10" x14ac:dyDescent="0.35">
      <c r="G3928" s="2"/>
      <c r="H3928" s="2"/>
      <c r="I3928" s="3"/>
      <c r="J3928" s="6"/>
    </row>
    <row r="3929" spans="7:10" x14ac:dyDescent="0.35">
      <c r="G3929" s="2"/>
      <c r="H3929" s="2"/>
      <c r="I3929" s="3"/>
      <c r="J3929" s="6"/>
    </row>
    <row r="3930" spans="7:10" x14ac:dyDescent="0.35">
      <c r="G3930" s="2"/>
      <c r="H3930" s="2"/>
      <c r="I3930" s="3"/>
      <c r="J3930" s="6"/>
    </row>
    <row r="3931" spans="7:10" x14ac:dyDescent="0.35">
      <c r="G3931" s="2"/>
      <c r="H3931" s="2"/>
      <c r="I3931" s="3"/>
      <c r="J3931" s="6"/>
    </row>
    <row r="3932" spans="7:10" x14ac:dyDescent="0.35">
      <c r="G3932" s="2"/>
      <c r="H3932" s="2"/>
      <c r="I3932" s="3"/>
      <c r="J3932" s="6"/>
    </row>
    <row r="3933" spans="7:10" x14ac:dyDescent="0.35">
      <c r="G3933" s="2"/>
      <c r="H3933" s="2"/>
      <c r="I3933" s="3"/>
      <c r="J3933" s="6"/>
    </row>
    <row r="3934" spans="7:10" x14ac:dyDescent="0.35">
      <c r="G3934" s="2"/>
      <c r="H3934" s="2"/>
      <c r="I3934" s="3"/>
      <c r="J3934" s="6"/>
    </row>
    <row r="3935" spans="7:10" x14ac:dyDescent="0.35">
      <c r="G3935" s="2"/>
      <c r="H3935" s="2"/>
      <c r="I3935" s="3"/>
      <c r="J3935" s="6"/>
    </row>
    <row r="3936" spans="7:10" x14ac:dyDescent="0.35">
      <c r="G3936" s="2"/>
      <c r="H3936" s="2"/>
      <c r="I3936" s="3"/>
      <c r="J3936" s="6"/>
    </row>
    <row r="3937" spans="7:10" x14ac:dyDescent="0.35">
      <c r="G3937" s="2"/>
      <c r="H3937" s="2"/>
      <c r="I3937" s="3"/>
      <c r="J3937" s="6"/>
    </row>
    <row r="3938" spans="7:10" x14ac:dyDescent="0.35">
      <c r="G3938" s="2"/>
      <c r="H3938" s="2"/>
      <c r="I3938" s="3"/>
      <c r="J3938" s="6"/>
    </row>
    <row r="3939" spans="7:10" x14ac:dyDescent="0.35">
      <c r="G3939" s="2"/>
      <c r="H3939" s="2"/>
      <c r="I3939" s="3"/>
      <c r="J3939" s="6"/>
    </row>
    <row r="3940" spans="7:10" x14ac:dyDescent="0.35">
      <c r="G3940" s="2"/>
      <c r="H3940" s="2"/>
      <c r="I3940" s="3"/>
      <c r="J3940" s="6"/>
    </row>
    <row r="3941" spans="7:10" x14ac:dyDescent="0.35">
      <c r="G3941" s="2"/>
      <c r="H3941" s="2"/>
      <c r="I3941" s="3"/>
      <c r="J3941" s="6"/>
    </row>
    <row r="3942" spans="7:10" x14ac:dyDescent="0.35">
      <c r="G3942" s="2"/>
      <c r="H3942" s="2"/>
      <c r="I3942" s="3"/>
      <c r="J3942" s="6"/>
    </row>
    <row r="3943" spans="7:10" x14ac:dyDescent="0.35">
      <c r="G3943" s="2"/>
      <c r="H3943" s="2"/>
      <c r="I3943" s="3"/>
      <c r="J3943" s="6"/>
    </row>
    <row r="3944" spans="7:10" x14ac:dyDescent="0.35">
      <c r="G3944" s="2"/>
      <c r="H3944" s="2"/>
      <c r="I3944" s="3"/>
      <c r="J3944" s="6"/>
    </row>
    <row r="3945" spans="7:10" x14ac:dyDescent="0.35">
      <c r="G3945" s="2"/>
      <c r="H3945" s="2"/>
      <c r="I3945" s="3"/>
      <c r="J3945" s="6"/>
    </row>
    <row r="3946" spans="7:10" x14ac:dyDescent="0.35">
      <c r="G3946" s="2"/>
      <c r="H3946" s="2"/>
      <c r="I3946" s="3"/>
      <c r="J3946" s="6"/>
    </row>
    <row r="3947" spans="7:10" x14ac:dyDescent="0.35">
      <c r="G3947" s="2"/>
      <c r="H3947" s="2"/>
      <c r="I3947" s="3"/>
      <c r="J3947" s="6"/>
    </row>
    <row r="3948" spans="7:10" x14ac:dyDescent="0.35">
      <c r="G3948" s="2"/>
      <c r="H3948" s="2"/>
      <c r="I3948" s="3"/>
      <c r="J3948" s="6"/>
    </row>
    <row r="3949" spans="7:10" x14ac:dyDescent="0.35">
      <c r="G3949" s="2"/>
      <c r="H3949" s="2"/>
      <c r="I3949" s="3"/>
      <c r="J3949" s="6"/>
    </row>
    <row r="3950" spans="7:10" x14ac:dyDescent="0.35">
      <c r="G3950" s="2"/>
      <c r="H3950" s="2"/>
      <c r="I3950" s="3"/>
      <c r="J3950" s="6"/>
    </row>
    <row r="3951" spans="7:10" x14ac:dyDescent="0.35">
      <c r="G3951" s="2"/>
      <c r="H3951" s="2"/>
      <c r="I3951" s="3"/>
      <c r="J3951" s="6"/>
    </row>
    <row r="3952" spans="7:10" x14ac:dyDescent="0.35">
      <c r="G3952" s="2"/>
      <c r="H3952" s="2"/>
      <c r="I3952" s="3"/>
      <c r="J3952" s="6"/>
    </row>
    <row r="3953" spans="7:10" x14ac:dyDescent="0.35">
      <c r="G3953" s="2"/>
      <c r="H3953" s="2"/>
      <c r="I3953" s="3"/>
      <c r="J3953" s="6"/>
    </row>
    <row r="3954" spans="7:10" x14ac:dyDescent="0.35">
      <c r="G3954" s="2"/>
      <c r="H3954" s="2"/>
      <c r="I3954" s="3"/>
      <c r="J3954" s="6"/>
    </row>
    <row r="3955" spans="7:10" x14ac:dyDescent="0.35">
      <c r="G3955" s="2"/>
      <c r="H3955" s="2"/>
      <c r="I3955" s="3"/>
      <c r="J3955" s="6"/>
    </row>
    <row r="3956" spans="7:10" x14ac:dyDescent="0.35">
      <c r="G3956" s="2"/>
      <c r="H3956" s="2"/>
      <c r="I3956" s="3"/>
      <c r="J3956" s="6"/>
    </row>
    <row r="3957" spans="7:10" x14ac:dyDescent="0.35">
      <c r="G3957" s="2"/>
      <c r="H3957" s="2"/>
      <c r="I3957" s="3"/>
      <c r="J3957" s="6"/>
    </row>
    <row r="3958" spans="7:10" x14ac:dyDescent="0.35">
      <c r="G3958" s="2"/>
      <c r="H3958" s="2"/>
      <c r="I3958" s="3"/>
      <c r="J3958" s="6"/>
    </row>
    <row r="3959" spans="7:10" x14ac:dyDescent="0.35">
      <c r="G3959" s="2"/>
      <c r="H3959" s="2"/>
      <c r="I3959" s="3"/>
      <c r="J3959" s="6"/>
    </row>
    <row r="3960" spans="7:10" x14ac:dyDescent="0.35">
      <c r="G3960" s="2"/>
      <c r="H3960" s="2"/>
      <c r="I3960" s="3"/>
      <c r="J3960" s="6"/>
    </row>
    <row r="3961" spans="7:10" x14ac:dyDescent="0.35">
      <c r="G3961" s="2"/>
      <c r="H3961" s="2"/>
      <c r="I3961" s="3"/>
      <c r="J3961" s="6"/>
    </row>
    <row r="3962" spans="7:10" x14ac:dyDescent="0.35">
      <c r="G3962" s="2"/>
      <c r="H3962" s="2"/>
      <c r="I3962" s="3"/>
      <c r="J3962" s="6"/>
    </row>
    <row r="3963" spans="7:10" x14ac:dyDescent="0.35">
      <c r="G3963" s="2"/>
      <c r="H3963" s="2"/>
      <c r="I3963" s="3"/>
      <c r="J3963" s="6"/>
    </row>
    <row r="3964" spans="7:10" x14ac:dyDescent="0.35">
      <c r="G3964" s="2"/>
      <c r="H3964" s="2"/>
      <c r="I3964" s="3"/>
      <c r="J3964" s="6"/>
    </row>
    <row r="3965" spans="7:10" x14ac:dyDescent="0.35">
      <c r="G3965" s="2"/>
      <c r="H3965" s="2"/>
      <c r="I3965" s="3"/>
      <c r="J3965" s="6"/>
    </row>
    <row r="3966" spans="7:10" x14ac:dyDescent="0.35">
      <c r="G3966" s="2"/>
      <c r="H3966" s="2"/>
      <c r="I3966" s="3"/>
      <c r="J3966" s="6"/>
    </row>
    <row r="3967" spans="7:10" x14ac:dyDescent="0.35">
      <c r="G3967" s="2"/>
      <c r="H3967" s="2"/>
      <c r="I3967" s="3"/>
      <c r="J3967" s="6"/>
    </row>
    <row r="3968" spans="7:10" x14ac:dyDescent="0.35">
      <c r="G3968" s="2"/>
      <c r="H3968" s="2"/>
      <c r="I3968" s="3"/>
      <c r="J3968" s="6"/>
    </row>
    <row r="3969" spans="7:10" x14ac:dyDescent="0.35">
      <c r="G3969" s="2"/>
      <c r="H3969" s="2"/>
      <c r="I3969" s="3"/>
      <c r="J3969" s="6"/>
    </row>
    <row r="3970" spans="7:10" x14ac:dyDescent="0.35">
      <c r="G3970" s="2"/>
      <c r="H3970" s="2"/>
      <c r="I3970" s="3"/>
      <c r="J3970" s="6"/>
    </row>
    <row r="3971" spans="7:10" x14ac:dyDescent="0.35">
      <c r="G3971" s="2"/>
      <c r="H3971" s="2"/>
      <c r="I3971" s="3"/>
      <c r="J3971" s="6"/>
    </row>
    <row r="3972" spans="7:10" x14ac:dyDescent="0.35">
      <c r="G3972" s="2"/>
      <c r="H3972" s="2"/>
      <c r="I3972" s="3"/>
      <c r="J3972" s="6"/>
    </row>
    <row r="3973" spans="7:10" x14ac:dyDescent="0.35">
      <c r="G3973" s="2"/>
      <c r="H3973" s="2"/>
      <c r="I3973" s="3"/>
      <c r="J3973" s="6"/>
    </row>
    <row r="3974" spans="7:10" x14ac:dyDescent="0.35">
      <c r="G3974" s="2"/>
      <c r="H3974" s="2"/>
      <c r="I3974" s="3"/>
      <c r="J3974" s="6"/>
    </row>
    <row r="3975" spans="7:10" x14ac:dyDescent="0.35">
      <c r="G3975" s="2"/>
      <c r="H3975" s="2"/>
      <c r="I3975" s="3"/>
      <c r="J3975" s="6"/>
    </row>
    <row r="3976" spans="7:10" x14ac:dyDescent="0.35">
      <c r="G3976" s="2"/>
      <c r="H3976" s="2"/>
      <c r="I3976" s="3"/>
      <c r="J3976" s="6"/>
    </row>
    <row r="3977" spans="7:10" x14ac:dyDescent="0.35">
      <c r="G3977" s="2"/>
      <c r="H3977" s="2"/>
      <c r="I3977" s="3"/>
      <c r="J3977" s="6"/>
    </row>
    <row r="3978" spans="7:10" x14ac:dyDescent="0.35">
      <c r="G3978" s="2"/>
      <c r="H3978" s="2"/>
      <c r="I3978" s="3"/>
      <c r="J3978" s="6"/>
    </row>
    <row r="3979" spans="7:10" x14ac:dyDescent="0.35">
      <c r="G3979" s="2"/>
      <c r="H3979" s="2"/>
      <c r="I3979" s="3"/>
      <c r="J3979" s="6"/>
    </row>
    <row r="3980" spans="7:10" x14ac:dyDescent="0.35">
      <c r="G3980" s="2"/>
      <c r="H3980" s="2"/>
      <c r="I3980" s="3"/>
      <c r="J3980" s="6"/>
    </row>
    <row r="3981" spans="7:10" x14ac:dyDescent="0.35">
      <c r="G3981" s="2"/>
      <c r="H3981" s="2"/>
      <c r="I3981" s="3"/>
      <c r="J3981" s="6"/>
    </row>
    <row r="3982" spans="7:10" x14ac:dyDescent="0.35">
      <c r="G3982" s="2"/>
      <c r="H3982" s="2"/>
      <c r="I3982" s="3"/>
      <c r="J3982" s="6"/>
    </row>
    <row r="3983" spans="7:10" x14ac:dyDescent="0.35">
      <c r="G3983" s="2"/>
      <c r="H3983" s="2"/>
      <c r="I3983" s="3"/>
      <c r="J3983" s="6"/>
    </row>
    <row r="3984" spans="7:10" x14ac:dyDescent="0.35">
      <c r="G3984" s="2"/>
      <c r="H3984" s="2"/>
      <c r="I3984" s="3"/>
      <c r="J3984" s="6"/>
    </row>
    <row r="3985" spans="7:10" x14ac:dyDescent="0.35">
      <c r="G3985" s="2"/>
      <c r="H3985" s="2"/>
      <c r="I3985" s="3"/>
      <c r="J3985" s="6"/>
    </row>
    <row r="3986" spans="7:10" x14ac:dyDescent="0.35">
      <c r="G3986" s="2"/>
      <c r="H3986" s="2"/>
      <c r="I3986" s="3"/>
      <c r="J3986" s="6"/>
    </row>
    <row r="3987" spans="7:10" x14ac:dyDescent="0.35">
      <c r="G3987" s="2"/>
      <c r="H3987" s="2"/>
      <c r="I3987" s="3"/>
      <c r="J3987" s="6"/>
    </row>
    <row r="3988" spans="7:10" x14ac:dyDescent="0.35">
      <c r="G3988" s="2"/>
      <c r="H3988" s="2"/>
      <c r="I3988" s="3"/>
      <c r="J3988" s="6"/>
    </row>
    <row r="3989" spans="7:10" x14ac:dyDescent="0.35">
      <c r="G3989" s="2"/>
      <c r="H3989" s="2"/>
      <c r="I3989" s="3"/>
      <c r="J3989" s="6"/>
    </row>
    <row r="3990" spans="7:10" x14ac:dyDescent="0.35">
      <c r="G3990" s="2"/>
      <c r="H3990" s="2"/>
      <c r="I3990" s="3"/>
      <c r="J3990" s="6"/>
    </row>
    <row r="3991" spans="7:10" x14ac:dyDescent="0.35">
      <c r="G3991" s="2"/>
      <c r="H3991" s="2"/>
      <c r="I3991" s="3"/>
      <c r="J3991" s="6"/>
    </row>
    <row r="3992" spans="7:10" x14ac:dyDescent="0.35">
      <c r="G3992" s="2"/>
      <c r="H3992" s="2"/>
      <c r="I3992" s="3"/>
      <c r="J3992" s="6"/>
    </row>
    <row r="3993" spans="7:10" x14ac:dyDescent="0.35">
      <c r="G3993" s="2"/>
      <c r="H3993" s="2"/>
      <c r="I3993" s="3"/>
      <c r="J3993" s="6"/>
    </row>
    <row r="3994" spans="7:10" x14ac:dyDescent="0.35">
      <c r="G3994" s="2"/>
      <c r="H3994" s="2"/>
      <c r="I3994" s="3"/>
      <c r="J3994" s="6"/>
    </row>
    <row r="3995" spans="7:10" x14ac:dyDescent="0.35">
      <c r="G3995" s="2"/>
      <c r="H3995" s="2"/>
      <c r="I3995" s="3"/>
      <c r="J3995" s="6"/>
    </row>
    <row r="3996" spans="7:10" x14ac:dyDescent="0.35">
      <c r="G3996" s="2"/>
      <c r="H3996" s="2"/>
      <c r="I3996" s="3"/>
      <c r="J3996" s="6"/>
    </row>
    <row r="3997" spans="7:10" x14ac:dyDescent="0.35">
      <c r="G3997" s="2"/>
      <c r="H3997" s="2"/>
      <c r="I3997" s="3"/>
      <c r="J3997" s="6"/>
    </row>
    <row r="3998" spans="7:10" x14ac:dyDescent="0.35">
      <c r="G3998" s="2"/>
      <c r="H3998" s="2"/>
      <c r="I3998" s="3"/>
      <c r="J3998" s="6"/>
    </row>
    <row r="3999" spans="7:10" x14ac:dyDescent="0.35">
      <c r="G3999" s="2"/>
      <c r="H3999" s="2"/>
      <c r="I3999" s="3"/>
      <c r="J3999" s="6"/>
    </row>
    <row r="4000" spans="7:10" x14ac:dyDescent="0.35">
      <c r="G4000" s="2"/>
      <c r="H4000" s="2"/>
      <c r="I4000" s="3"/>
      <c r="J4000" s="6"/>
    </row>
    <row r="4001" spans="7:10" x14ac:dyDescent="0.35">
      <c r="G4001" s="2"/>
      <c r="H4001" s="2"/>
      <c r="I4001" s="3"/>
      <c r="J4001" s="6"/>
    </row>
    <row r="4002" spans="7:10" x14ac:dyDescent="0.35">
      <c r="G4002" s="2"/>
      <c r="H4002" s="2"/>
      <c r="I4002" s="3"/>
      <c r="J4002" s="6"/>
    </row>
    <row r="4003" spans="7:10" x14ac:dyDescent="0.35">
      <c r="G4003" s="2"/>
      <c r="H4003" s="2"/>
      <c r="I4003" s="3"/>
      <c r="J4003" s="6"/>
    </row>
    <row r="4004" spans="7:10" x14ac:dyDescent="0.35">
      <c r="G4004" s="2"/>
      <c r="H4004" s="2"/>
      <c r="I4004" s="3"/>
      <c r="J4004" s="6"/>
    </row>
    <row r="4005" spans="7:10" x14ac:dyDescent="0.35">
      <c r="G4005" s="2"/>
      <c r="H4005" s="2"/>
      <c r="I4005" s="3"/>
      <c r="J4005" s="6"/>
    </row>
    <row r="4006" spans="7:10" x14ac:dyDescent="0.35">
      <c r="G4006" s="2"/>
      <c r="H4006" s="2"/>
      <c r="I4006" s="3"/>
      <c r="J4006" s="6"/>
    </row>
    <row r="4007" spans="7:10" x14ac:dyDescent="0.35">
      <c r="G4007" s="2"/>
      <c r="H4007" s="2"/>
      <c r="I4007" s="3"/>
      <c r="J4007" s="6"/>
    </row>
    <row r="4008" spans="7:10" x14ac:dyDescent="0.35">
      <c r="G4008" s="2"/>
      <c r="H4008" s="2"/>
      <c r="I4008" s="3"/>
      <c r="J4008" s="6"/>
    </row>
    <row r="4009" spans="7:10" x14ac:dyDescent="0.35">
      <c r="G4009" s="2"/>
      <c r="H4009" s="2"/>
      <c r="I4009" s="3"/>
      <c r="J4009" s="6"/>
    </row>
    <row r="4010" spans="7:10" x14ac:dyDescent="0.35">
      <c r="G4010" s="2"/>
      <c r="H4010" s="2"/>
      <c r="I4010" s="3"/>
      <c r="J4010" s="6"/>
    </row>
    <row r="4011" spans="7:10" x14ac:dyDescent="0.35">
      <c r="G4011" s="2"/>
      <c r="H4011" s="2"/>
      <c r="I4011" s="3"/>
      <c r="J4011" s="6"/>
    </row>
    <row r="4012" spans="7:10" x14ac:dyDescent="0.35">
      <c r="G4012" s="2"/>
      <c r="H4012" s="2"/>
      <c r="I4012" s="3"/>
      <c r="J4012" s="6"/>
    </row>
    <row r="4013" spans="7:10" x14ac:dyDescent="0.35">
      <c r="G4013" s="2"/>
      <c r="H4013" s="2"/>
      <c r="I4013" s="3"/>
      <c r="J4013" s="6"/>
    </row>
    <row r="4014" spans="7:10" x14ac:dyDescent="0.35">
      <c r="G4014" s="2"/>
      <c r="H4014" s="2"/>
      <c r="I4014" s="3"/>
      <c r="J4014" s="6"/>
    </row>
    <row r="4015" spans="7:10" x14ac:dyDescent="0.35">
      <c r="G4015" s="2"/>
      <c r="H4015" s="2"/>
      <c r="I4015" s="3"/>
      <c r="J4015" s="6"/>
    </row>
    <row r="4016" spans="7:10" x14ac:dyDescent="0.35">
      <c r="G4016" s="2"/>
      <c r="H4016" s="2"/>
      <c r="I4016" s="3"/>
      <c r="J4016" s="6"/>
    </row>
    <row r="4017" spans="7:10" x14ac:dyDescent="0.35">
      <c r="G4017" s="2"/>
      <c r="H4017" s="2"/>
      <c r="I4017" s="3"/>
      <c r="J4017" s="6"/>
    </row>
    <row r="4018" spans="7:10" x14ac:dyDescent="0.35">
      <c r="G4018" s="2"/>
      <c r="H4018" s="2"/>
      <c r="I4018" s="3"/>
      <c r="J4018" s="6"/>
    </row>
    <row r="4019" spans="7:10" x14ac:dyDescent="0.35">
      <c r="G4019" s="2"/>
      <c r="H4019" s="2"/>
      <c r="I4019" s="3"/>
      <c r="J4019" s="6"/>
    </row>
    <row r="4020" spans="7:10" x14ac:dyDescent="0.35">
      <c r="G4020" s="2"/>
      <c r="H4020" s="2"/>
      <c r="I4020" s="3"/>
      <c r="J4020" s="6"/>
    </row>
    <row r="4021" spans="7:10" x14ac:dyDescent="0.35">
      <c r="G4021" s="2"/>
      <c r="H4021" s="2"/>
      <c r="I4021" s="3"/>
      <c r="J4021" s="6"/>
    </row>
    <row r="4022" spans="7:10" x14ac:dyDescent="0.35">
      <c r="G4022" s="2"/>
      <c r="H4022" s="2"/>
      <c r="I4022" s="3"/>
      <c r="J4022" s="6"/>
    </row>
    <row r="4023" spans="7:10" x14ac:dyDescent="0.35">
      <c r="G4023" s="2"/>
      <c r="H4023" s="2"/>
      <c r="I4023" s="3"/>
      <c r="J4023" s="6"/>
    </row>
    <row r="4024" spans="7:10" x14ac:dyDescent="0.35">
      <c r="G4024" s="2"/>
      <c r="H4024" s="2"/>
      <c r="I4024" s="3"/>
      <c r="J4024" s="6"/>
    </row>
    <row r="4025" spans="7:10" x14ac:dyDescent="0.35">
      <c r="G4025" s="2"/>
      <c r="H4025" s="2"/>
      <c r="I4025" s="3"/>
      <c r="J4025" s="6"/>
    </row>
    <row r="4026" spans="7:10" x14ac:dyDescent="0.35">
      <c r="G4026" s="2"/>
      <c r="H4026" s="2"/>
      <c r="I4026" s="3"/>
      <c r="J4026" s="6"/>
    </row>
    <row r="4027" spans="7:10" x14ac:dyDescent="0.35">
      <c r="G4027" s="2"/>
      <c r="H4027" s="2"/>
      <c r="I4027" s="3"/>
      <c r="J4027" s="6"/>
    </row>
    <row r="4028" spans="7:10" x14ac:dyDescent="0.35">
      <c r="G4028" s="2"/>
      <c r="H4028" s="2"/>
      <c r="I4028" s="3"/>
      <c r="J4028" s="6"/>
    </row>
    <row r="4029" spans="7:10" x14ac:dyDescent="0.35">
      <c r="G4029" s="2"/>
      <c r="H4029" s="2"/>
      <c r="I4029" s="3"/>
      <c r="J4029" s="6"/>
    </row>
    <row r="4030" spans="7:10" x14ac:dyDescent="0.35">
      <c r="G4030" s="2"/>
      <c r="H4030" s="2"/>
      <c r="I4030" s="3"/>
      <c r="J4030" s="6"/>
    </row>
    <row r="4031" spans="7:10" x14ac:dyDescent="0.35">
      <c r="G4031" s="2"/>
      <c r="H4031" s="2"/>
      <c r="I4031" s="3"/>
      <c r="J4031" s="6"/>
    </row>
    <row r="4032" spans="7:10" x14ac:dyDescent="0.35">
      <c r="G4032" s="2"/>
      <c r="H4032" s="2"/>
      <c r="I4032" s="3"/>
      <c r="J4032" s="6"/>
    </row>
    <row r="4033" spans="7:10" x14ac:dyDescent="0.35">
      <c r="G4033" s="2"/>
      <c r="H4033" s="2"/>
      <c r="I4033" s="3"/>
      <c r="J4033" s="6"/>
    </row>
    <row r="4034" spans="7:10" x14ac:dyDescent="0.35">
      <c r="G4034" s="2"/>
      <c r="H4034" s="2"/>
      <c r="I4034" s="3"/>
      <c r="J4034" s="6"/>
    </row>
    <row r="4035" spans="7:10" x14ac:dyDescent="0.35">
      <c r="G4035" s="2"/>
      <c r="H4035" s="2"/>
      <c r="I4035" s="3"/>
      <c r="J4035" s="6"/>
    </row>
    <row r="4036" spans="7:10" x14ac:dyDescent="0.35">
      <c r="G4036" s="2"/>
      <c r="H4036" s="2"/>
      <c r="I4036" s="3"/>
      <c r="J4036" s="6"/>
    </row>
    <row r="4037" spans="7:10" x14ac:dyDescent="0.35">
      <c r="G4037" s="2"/>
      <c r="H4037" s="2"/>
      <c r="I4037" s="3"/>
      <c r="J4037" s="6"/>
    </row>
    <row r="4038" spans="7:10" x14ac:dyDescent="0.35">
      <c r="G4038" s="2"/>
      <c r="H4038" s="2"/>
      <c r="I4038" s="3"/>
      <c r="J4038" s="6"/>
    </row>
    <row r="4039" spans="7:10" x14ac:dyDescent="0.35">
      <c r="G4039" s="2"/>
      <c r="H4039" s="2"/>
      <c r="I4039" s="3"/>
      <c r="J4039" s="6"/>
    </row>
    <row r="4040" spans="7:10" x14ac:dyDescent="0.35">
      <c r="G4040" s="2"/>
      <c r="H4040" s="2"/>
      <c r="I4040" s="3"/>
      <c r="J4040" s="6"/>
    </row>
    <row r="4041" spans="7:10" x14ac:dyDescent="0.35">
      <c r="G4041" s="2"/>
      <c r="H4041" s="2"/>
      <c r="I4041" s="3"/>
      <c r="J4041" s="6"/>
    </row>
    <row r="4042" spans="7:10" x14ac:dyDescent="0.35">
      <c r="G4042" s="2"/>
      <c r="H4042" s="2"/>
      <c r="I4042" s="3"/>
      <c r="J4042" s="6"/>
    </row>
    <row r="4043" spans="7:10" x14ac:dyDescent="0.35">
      <c r="G4043" s="2"/>
      <c r="H4043" s="2"/>
      <c r="I4043" s="3"/>
      <c r="J4043" s="6"/>
    </row>
    <row r="4044" spans="7:10" x14ac:dyDescent="0.35">
      <c r="G4044" s="2"/>
      <c r="H4044" s="2"/>
      <c r="I4044" s="3"/>
      <c r="J4044" s="6"/>
    </row>
    <row r="4045" spans="7:10" x14ac:dyDescent="0.35">
      <c r="G4045" s="2"/>
      <c r="H4045" s="2"/>
      <c r="I4045" s="3"/>
      <c r="J4045" s="6"/>
    </row>
    <row r="4046" spans="7:10" x14ac:dyDescent="0.35">
      <c r="G4046" s="2"/>
      <c r="H4046" s="2"/>
      <c r="I4046" s="3"/>
      <c r="J4046" s="6"/>
    </row>
    <row r="4047" spans="7:10" x14ac:dyDescent="0.35">
      <c r="G4047" s="2"/>
      <c r="H4047" s="2"/>
      <c r="I4047" s="3"/>
      <c r="J4047" s="6"/>
    </row>
    <row r="4048" spans="7:10" x14ac:dyDescent="0.35">
      <c r="G4048" s="2"/>
      <c r="H4048" s="2"/>
      <c r="I4048" s="3"/>
      <c r="J4048" s="6"/>
    </row>
    <row r="4049" spans="7:10" x14ac:dyDescent="0.35">
      <c r="G4049" s="2"/>
      <c r="H4049" s="2"/>
      <c r="I4049" s="3"/>
      <c r="J4049" s="6"/>
    </row>
    <row r="4050" spans="7:10" x14ac:dyDescent="0.35">
      <c r="G4050" s="2"/>
      <c r="H4050" s="2"/>
      <c r="I4050" s="3"/>
      <c r="J4050" s="6"/>
    </row>
    <row r="4051" spans="7:10" x14ac:dyDescent="0.35">
      <c r="G4051" s="2"/>
      <c r="H4051" s="2"/>
      <c r="I4051" s="3"/>
      <c r="J4051" s="6"/>
    </row>
    <row r="4052" spans="7:10" x14ac:dyDescent="0.35">
      <c r="G4052" s="2"/>
      <c r="H4052" s="2"/>
      <c r="I4052" s="3"/>
      <c r="J4052" s="6"/>
    </row>
    <row r="4053" spans="7:10" x14ac:dyDescent="0.35">
      <c r="G4053" s="2"/>
      <c r="H4053" s="2"/>
      <c r="I4053" s="3"/>
      <c r="J4053" s="6"/>
    </row>
    <row r="4054" spans="7:10" x14ac:dyDescent="0.35">
      <c r="G4054" s="2"/>
      <c r="H4054" s="2"/>
      <c r="I4054" s="3"/>
      <c r="J4054" s="6"/>
    </row>
    <row r="4055" spans="7:10" x14ac:dyDescent="0.35">
      <c r="G4055" s="2"/>
      <c r="H4055" s="2"/>
      <c r="I4055" s="3"/>
      <c r="J4055" s="6"/>
    </row>
    <row r="4056" spans="7:10" x14ac:dyDescent="0.35">
      <c r="G4056" s="2"/>
      <c r="H4056" s="2"/>
      <c r="I4056" s="3"/>
      <c r="J4056" s="6"/>
    </row>
    <row r="4057" spans="7:10" x14ac:dyDescent="0.35">
      <c r="G4057" s="2"/>
      <c r="H4057" s="2"/>
      <c r="I4057" s="3"/>
      <c r="J4057" s="6"/>
    </row>
    <row r="4058" spans="7:10" x14ac:dyDescent="0.35">
      <c r="G4058" s="2"/>
      <c r="H4058" s="2"/>
      <c r="I4058" s="3"/>
      <c r="J4058" s="6"/>
    </row>
    <row r="4059" spans="7:10" x14ac:dyDescent="0.35">
      <c r="G4059" s="2"/>
      <c r="H4059" s="2"/>
      <c r="I4059" s="3"/>
      <c r="J4059" s="6"/>
    </row>
    <row r="4060" spans="7:10" x14ac:dyDescent="0.35">
      <c r="G4060" s="2"/>
      <c r="H4060" s="2"/>
      <c r="I4060" s="3"/>
      <c r="J4060" s="6"/>
    </row>
    <row r="4061" spans="7:10" x14ac:dyDescent="0.35">
      <c r="G4061" s="2"/>
      <c r="H4061" s="2"/>
      <c r="I4061" s="3"/>
      <c r="J4061" s="6"/>
    </row>
    <row r="4062" spans="7:10" x14ac:dyDescent="0.35">
      <c r="G4062" s="2"/>
      <c r="H4062" s="2"/>
      <c r="I4062" s="3"/>
      <c r="J4062" s="6"/>
    </row>
    <row r="4063" spans="7:10" x14ac:dyDescent="0.35">
      <c r="G4063" s="2"/>
      <c r="H4063" s="2"/>
      <c r="I4063" s="3"/>
      <c r="J4063" s="6"/>
    </row>
    <row r="4064" spans="7:10" x14ac:dyDescent="0.35">
      <c r="G4064" s="2"/>
      <c r="H4064" s="2"/>
      <c r="I4064" s="3"/>
      <c r="J4064" s="6"/>
    </row>
    <row r="4065" spans="7:10" x14ac:dyDescent="0.35">
      <c r="G4065" s="2"/>
      <c r="H4065" s="2"/>
      <c r="I4065" s="3"/>
      <c r="J4065" s="6"/>
    </row>
    <row r="4066" spans="7:10" x14ac:dyDescent="0.35">
      <c r="G4066" s="2"/>
      <c r="H4066" s="2"/>
      <c r="I4066" s="3"/>
      <c r="J4066" s="6"/>
    </row>
    <row r="4067" spans="7:10" x14ac:dyDescent="0.35">
      <c r="G4067" s="2"/>
      <c r="H4067" s="2"/>
      <c r="I4067" s="3"/>
      <c r="J4067" s="6"/>
    </row>
    <row r="4068" spans="7:10" x14ac:dyDescent="0.35">
      <c r="G4068" s="2"/>
      <c r="H4068" s="2"/>
      <c r="I4068" s="3"/>
      <c r="J4068" s="6"/>
    </row>
    <row r="4069" spans="7:10" x14ac:dyDescent="0.35">
      <c r="G4069" s="2"/>
      <c r="H4069" s="2"/>
      <c r="I4069" s="3"/>
      <c r="J4069" s="6"/>
    </row>
    <row r="4070" spans="7:10" x14ac:dyDescent="0.35">
      <c r="G4070" s="2"/>
      <c r="H4070" s="2"/>
      <c r="I4070" s="3"/>
      <c r="J4070" s="6"/>
    </row>
    <row r="4071" spans="7:10" x14ac:dyDescent="0.35">
      <c r="G4071" s="2"/>
      <c r="H4071" s="2"/>
      <c r="I4071" s="3"/>
      <c r="J4071" s="6"/>
    </row>
    <row r="4072" spans="7:10" x14ac:dyDescent="0.35">
      <c r="G4072" s="2"/>
      <c r="H4072" s="2"/>
      <c r="I4072" s="3"/>
      <c r="J4072" s="6"/>
    </row>
    <row r="4073" spans="7:10" x14ac:dyDescent="0.35">
      <c r="G4073" s="2"/>
      <c r="H4073" s="2"/>
      <c r="I4073" s="3"/>
      <c r="J4073" s="6"/>
    </row>
    <row r="4074" spans="7:10" x14ac:dyDescent="0.35">
      <c r="G4074" s="2"/>
      <c r="H4074" s="2"/>
      <c r="I4074" s="3"/>
      <c r="J4074" s="6"/>
    </row>
    <row r="4075" spans="7:10" x14ac:dyDescent="0.35">
      <c r="G4075" s="2"/>
      <c r="H4075" s="2"/>
      <c r="I4075" s="3"/>
      <c r="J4075" s="6"/>
    </row>
    <row r="4076" spans="7:10" x14ac:dyDescent="0.35">
      <c r="G4076" s="2"/>
      <c r="H4076" s="2"/>
      <c r="I4076" s="3"/>
      <c r="J4076" s="6"/>
    </row>
    <row r="4077" spans="7:10" x14ac:dyDescent="0.35">
      <c r="G4077" s="2"/>
      <c r="H4077" s="2"/>
      <c r="I4077" s="3"/>
      <c r="J4077" s="6"/>
    </row>
    <row r="4078" spans="7:10" x14ac:dyDescent="0.35">
      <c r="G4078" s="2"/>
      <c r="H4078" s="2"/>
      <c r="I4078" s="3"/>
      <c r="J4078" s="6"/>
    </row>
    <row r="4079" spans="7:10" x14ac:dyDescent="0.35">
      <c r="G4079" s="2"/>
      <c r="H4079" s="2"/>
      <c r="I4079" s="3"/>
      <c r="J4079" s="6"/>
    </row>
    <row r="4080" spans="7:10" x14ac:dyDescent="0.35">
      <c r="G4080" s="2"/>
      <c r="H4080" s="2"/>
      <c r="I4080" s="3"/>
      <c r="J4080" s="6"/>
    </row>
    <row r="4081" spans="7:10" x14ac:dyDescent="0.35">
      <c r="G4081" s="2"/>
      <c r="H4081" s="2"/>
      <c r="I4081" s="3"/>
      <c r="J4081" s="6"/>
    </row>
    <row r="4082" spans="7:10" x14ac:dyDescent="0.35">
      <c r="G4082" s="2"/>
      <c r="H4082" s="2"/>
      <c r="I4082" s="3"/>
      <c r="J4082" s="6"/>
    </row>
    <row r="4083" spans="7:10" x14ac:dyDescent="0.35">
      <c r="G4083" s="2"/>
      <c r="H4083" s="2"/>
      <c r="I4083" s="3"/>
      <c r="J4083" s="6"/>
    </row>
    <row r="4084" spans="7:10" x14ac:dyDescent="0.35">
      <c r="G4084" s="2"/>
      <c r="H4084" s="2"/>
      <c r="I4084" s="3"/>
      <c r="J4084" s="6"/>
    </row>
    <row r="4085" spans="7:10" x14ac:dyDescent="0.35">
      <c r="G4085" s="2"/>
      <c r="H4085" s="2"/>
      <c r="I4085" s="3"/>
      <c r="J4085" s="6"/>
    </row>
    <row r="4086" spans="7:10" x14ac:dyDescent="0.35">
      <c r="G4086" s="2"/>
      <c r="H4086" s="2"/>
      <c r="I4086" s="3"/>
      <c r="J4086" s="6"/>
    </row>
    <row r="4087" spans="7:10" x14ac:dyDescent="0.35">
      <c r="G4087" s="2"/>
      <c r="H4087" s="2"/>
      <c r="I4087" s="3"/>
      <c r="J4087" s="6"/>
    </row>
    <row r="4088" spans="7:10" x14ac:dyDescent="0.35">
      <c r="G4088" s="2"/>
      <c r="H4088" s="2"/>
      <c r="I4088" s="3"/>
      <c r="J4088" s="6"/>
    </row>
    <row r="4089" spans="7:10" x14ac:dyDescent="0.35">
      <c r="G4089" s="2"/>
      <c r="H4089" s="2"/>
      <c r="I4089" s="3"/>
      <c r="J4089" s="6"/>
    </row>
    <row r="4090" spans="7:10" x14ac:dyDescent="0.35">
      <c r="G4090" s="2"/>
      <c r="H4090" s="2"/>
      <c r="I4090" s="3"/>
      <c r="J4090" s="6"/>
    </row>
    <row r="4091" spans="7:10" x14ac:dyDescent="0.35">
      <c r="G4091" s="2"/>
      <c r="H4091" s="2"/>
      <c r="I4091" s="3"/>
      <c r="J4091" s="6"/>
    </row>
    <row r="4092" spans="7:10" x14ac:dyDescent="0.35">
      <c r="G4092" s="2"/>
      <c r="H4092" s="2"/>
      <c r="I4092" s="3"/>
      <c r="J4092" s="6"/>
    </row>
    <row r="4093" spans="7:10" x14ac:dyDescent="0.35">
      <c r="G4093" s="2"/>
      <c r="H4093" s="2"/>
      <c r="I4093" s="3"/>
      <c r="J4093" s="6"/>
    </row>
    <row r="4094" spans="7:10" x14ac:dyDescent="0.35">
      <c r="G4094" s="2"/>
      <c r="H4094" s="2"/>
      <c r="I4094" s="3"/>
      <c r="J4094" s="6"/>
    </row>
    <row r="4095" spans="7:10" x14ac:dyDescent="0.35">
      <c r="G4095" s="2"/>
      <c r="H4095" s="2"/>
      <c r="I4095" s="3"/>
      <c r="J4095" s="6"/>
    </row>
    <row r="4096" spans="7:10" x14ac:dyDescent="0.35">
      <c r="G4096" s="2"/>
      <c r="H4096" s="2"/>
      <c r="I4096" s="3"/>
      <c r="J4096" s="6"/>
    </row>
    <row r="4097" spans="7:10" x14ac:dyDescent="0.35">
      <c r="G4097" s="2"/>
      <c r="H4097" s="2"/>
      <c r="I4097" s="3"/>
      <c r="J4097" s="6"/>
    </row>
    <row r="4098" spans="7:10" x14ac:dyDescent="0.35">
      <c r="G4098" s="2"/>
      <c r="H4098" s="2"/>
      <c r="I4098" s="3"/>
      <c r="J4098" s="6"/>
    </row>
    <row r="4099" spans="7:10" x14ac:dyDescent="0.35">
      <c r="G4099" s="2"/>
      <c r="H4099" s="2"/>
      <c r="I4099" s="3"/>
      <c r="J4099" s="6"/>
    </row>
    <row r="4100" spans="7:10" x14ac:dyDescent="0.35">
      <c r="G4100" s="2"/>
      <c r="H4100" s="2"/>
      <c r="I4100" s="3"/>
      <c r="J4100" s="6"/>
    </row>
    <row r="4101" spans="7:10" x14ac:dyDescent="0.35">
      <c r="G4101" s="2"/>
      <c r="H4101" s="2"/>
      <c r="I4101" s="3"/>
      <c r="J4101" s="6"/>
    </row>
    <row r="4102" spans="7:10" x14ac:dyDescent="0.35">
      <c r="G4102" s="2"/>
      <c r="H4102" s="2"/>
      <c r="I4102" s="3"/>
      <c r="J4102" s="6"/>
    </row>
    <row r="4103" spans="7:10" x14ac:dyDescent="0.35">
      <c r="G4103" s="2"/>
      <c r="H4103" s="2"/>
      <c r="I4103" s="3"/>
      <c r="J4103" s="6"/>
    </row>
    <row r="4104" spans="7:10" x14ac:dyDescent="0.35">
      <c r="G4104" s="2"/>
      <c r="H4104" s="2"/>
      <c r="I4104" s="3"/>
      <c r="J4104" s="6"/>
    </row>
    <row r="4105" spans="7:10" x14ac:dyDescent="0.35">
      <c r="G4105" s="2"/>
      <c r="H4105" s="2"/>
      <c r="I4105" s="3"/>
      <c r="J4105" s="6"/>
    </row>
    <row r="4106" spans="7:10" x14ac:dyDescent="0.35">
      <c r="G4106" s="2"/>
      <c r="H4106" s="2"/>
      <c r="I4106" s="3"/>
      <c r="J4106" s="6"/>
    </row>
    <row r="4107" spans="7:10" x14ac:dyDescent="0.35">
      <c r="G4107" s="2"/>
      <c r="H4107" s="2"/>
      <c r="I4107" s="3"/>
      <c r="J4107" s="6"/>
    </row>
    <row r="4108" spans="7:10" x14ac:dyDescent="0.35">
      <c r="G4108" s="2"/>
      <c r="H4108" s="2"/>
      <c r="I4108" s="3"/>
      <c r="J4108" s="6"/>
    </row>
    <row r="4109" spans="7:10" x14ac:dyDescent="0.35">
      <c r="G4109" s="2"/>
      <c r="H4109" s="2"/>
      <c r="I4109" s="3"/>
      <c r="J4109" s="6"/>
    </row>
    <row r="4110" spans="7:10" x14ac:dyDescent="0.35">
      <c r="G4110" s="2"/>
      <c r="H4110" s="2"/>
      <c r="I4110" s="3"/>
      <c r="J4110" s="6"/>
    </row>
    <row r="4111" spans="7:10" x14ac:dyDescent="0.35">
      <c r="G4111" s="2"/>
      <c r="H4111" s="2"/>
      <c r="I4111" s="3"/>
      <c r="J4111" s="6"/>
    </row>
    <row r="4112" spans="7:10" x14ac:dyDescent="0.35">
      <c r="G4112" s="2"/>
      <c r="H4112" s="2"/>
      <c r="I4112" s="3"/>
      <c r="J4112" s="6"/>
    </row>
    <row r="4113" spans="7:10" x14ac:dyDescent="0.35">
      <c r="G4113" s="2"/>
      <c r="H4113" s="2"/>
      <c r="I4113" s="3"/>
      <c r="J4113" s="6"/>
    </row>
    <row r="4114" spans="7:10" x14ac:dyDescent="0.35">
      <c r="G4114" s="2"/>
      <c r="H4114" s="2"/>
      <c r="I4114" s="3"/>
      <c r="J4114" s="6"/>
    </row>
    <row r="4115" spans="7:10" x14ac:dyDescent="0.35">
      <c r="G4115" s="2"/>
      <c r="H4115" s="2"/>
      <c r="I4115" s="3"/>
      <c r="J4115" s="6"/>
    </row>
    <row r="4116" spans="7:10" x14ac:dyDescent="0.35">
      <c r="G4116" s="2"/>
      <c r="H4116" s="2"/>
      <c r="I4116" s="3"/>
      <c r="J4116" s="6"/>
    </row>
    <row r="4117" spans="7:10" x14ac:dyDescent="0.35">
      <c r="G4117" s="2"/>
      <c r="H4117" s="2"/>
      <c r="I4117" s="3"/>
      <c r="J4117" s="6"/>
    </row>
    <row r="4118" spans="7:10" x14ac:dyDescent="0.35">
      <c r="G4118" s="2"/>
      <c r="H4118" s="2"/>
      <c r="I4118" s="3"/>
      <c r="J4118" s="6"/>
    </row>
    <row r="4119" spans="7:10" x14ac:dyDescent="0.35">
      <c r="G4119" s="2"/>
      <c r="H4119" s="2"/>
      <c r="I4119" s="3"/>
      <c r="J4119" s="6"/>
    </row>
    <row r="4120" spans="7:10" x14ac:dyDescent="0.35">
      <c r="G4120" s="2"/>
      <c r="H4120" s="2"/>
      <c r="I4120" s="3"/>
      <c r="J4120" s="6"/>
    </row>
    <row r="4121" spans="7:10" x14ac:dyDescent="0.35">
      <c r="G4121" s="2"/>
      <c r="H4121" s="2"/>
      <c r="I4121" s="3"/>
      <c r="J4121" s="6"/>
    </row>
    <row r="4122" spans="7:10" x14ac:dyDescent="0.35">
      <c r="G4122" s="2"/>
      <c r="H4122" s="2"/>
      <c r="I4122" s="3"/>
      <c r="J4122" s="6"/>
    </row>
    <row r="4123" spans="7:10" x14ac:dyDescent="0.35">
      <c r="G4123" s="2"/>
      <c r="H4123" s="2"/>
      <c r="I4123" s="3"/>
      <c r="J4123" s="6"/>
    </row>
    <row r="4124" spans="7:10" x14ac:dyDescent="0.35">
      <c r="G4124" s="2"/>
      <c r="H4124" s="2"/>
      <c r="I4124" s="3"/>
      <c r="J4124" s="6"/>
    </row>
    <row r="4125" spans="7:10" x14ac:dyDescent="0.35">
      <c r="G4125" s="2"/>
      <c r="H4125" s="2"/>
      <c r="I4125" s="3"/>
      <c r="J4125" s="6"/>
    </row>
    <row r="4126" spans="7:10" x14ac:dyDescent="0.35">
      <c r="G4126" s="2"/>
      <c r="H4126" s="2"/>
      <c r="I4126" s="3"/>
      <c r="J4126" s="6"/>
    </row>
    <row r="4127" spans="7:10" x14ac:dyDescent="0.35">
      <c r="G4127" s="2"/>
      <c r="H4127" s="2"/>
      <c r="I4127" s="3"/>
      <c r="J4127" s="6"/>
    </row>
    <row r="4128" spans="7:10" x14ac:dyDescent="0.35">
      <c r="G4128" s="2"/>
      <c r="H4128" s="2"/>
      <c r="I4128" s="3"/>
      <c r="J4128" s="6"/>
    </row>
    <row r="4129" spans="7:10" x14ac:dyDescent="0.35">
      <c r="G4129" s="2"/>
      <c r="H4129" s="2"/>
      <c r="I4129" s="3"/>
      <c r="J4129" s="6"/>
    </row>
    <row r="4130" spans="7:10" x14ac:dyDescent="0.35">
      <c r="G4130" s="2"/>
      <c r="H4130" s="2"/>
      <c r="I4130" s="3"/>
      <c r="J4130" s="6"/>
    </row>
    <row r="4131" spans="7:10" x14ac:dyDescent="0.35">
      <c r="G4131" s="2"/>
      <c r="H4131" s="2"/>
      <c r="I4131" s="3"/>
      <c r="J4131" s="6"/>
    </row>
    <row r="4132" spans="7:10" x14ac:dyDescent="0.35">
      <c r="G4132" s="2"/>
      <c r="H4132" s="2"/>
      <c r="I4132" s="3"/>
      <c r="J4132" s="6"/>
    </row>
    <row r="4133" spans="7:10" x14ac:dyDescent="0.35">
      <c r="G4133" s="2"/>
      <c r="H4133" s="2"/>
      <c r="I4133" s="3"/>
      <c r="J4133" s="6"/>
    </row>
    <row r="4134" spans="7:10" x14ac:dyDescent="0.35">
      <c r="G4134" s="2"/>
      <c r="H4134" s="2"/>
      <c r="I4134" s="3"/>
      <c r="J4134" s="6"/>
    </row>
    <row r="4135" spans="7:10" x14ac:dyDescent="0.35">
      <c r="G4135" s="2"/>
      <c r="H4135" s="2"/>
      <c r="I4135" s="3"/>
      <c r="J4135" s="6"/>
    </row>
    <row r="4136" spans="7:10" x14ac:dyDescent="0.35">
      <c r="G4136" s="2"/>
      <c r="H4136" s="2"/>
      <c r="I4136" s="3"/>
      <c r="J4136" s="6"/>
    </row>
    <row r="4137" spans="7:10" x14ac:dyDescent="0.35">
      <c r="G4137" s="2"/>
      <c r="H4137" s="2"/>
      <c r="I4137" s="3"/>
      <c r="J4137" s="6"/>
    </row>
    <row r="4138" spans="7:10" x14ac:dyDescent="0.35">
      <c r="G4138" s="2"/>
      <c r="H4138" s="2"/>
      <c r="I4138" s="3"/>
      <c r="J4138" s="6"/>
    </row>
    <row r="4139" spans="7:10" x14ac:dyDescent="0.35">
      <c r="G4139" s="2"/>
      <c r="H4139" s="2"/>
      <c r="I4139" s="3"/>
      <c r="J4139" s="6"/>
    </row>
    <row r="4140" spans="7:10" x14ac:dyDescent="0.35">
      <c r="G4140" s="2"/>
      <c r="H4140" s="2"/>
      <c r="I4140" s="3"/>
      <c r="J4140" s="6"/>
    </row>
    <row r="4141" spans="7:10" x14ac:dyDescent="0.35">
      <c r="G4141" s="2"/>
      <c r="H4141" s="2"/>
      <c r="I4141" s="3"/>
      <c r="J4141" s="6"/>
    </row>
    <row r="4142" spans="7:10" x14ac:dyDescent="0.35">
      <c r="G4142" s="2"/>
      <c r="H4142" s="2"/>
      <c r="I4142" s="3"/>
      <c r="J4142" s="6"/>
    </row>
    <row r="4143" spans="7:10" x14ac:dyDescent="0.35">
      <c r="G4143" s="2"/>
      <c r="H4143" s="2"/>
      <c r="I4143" s="3"/>
      <c r="J4143" s="6"/>
    </row>
    <row r="4144" spans="7:10" x14ac:dyDescent="0.35">
      <c r="G4144" s="2"/>
      <c r="H4144" s="2"/>
      <c r="I4144" s="3"/>
      <c r="J4144" s="6"/>
    </row>
    <row r="4145" spans="7:10" x14ac:dyDescent="0.35">
      <c r="G4145" s="2"/>
      <c r="H4145" s="2"/>
      <c r="I4145" s="3"/>
      <c r="J4145" s="6"/>
    </row>
    <row r="4146" spans="7:10" x14ac:dyDescent="0.35">
      <c r="G4146" s="2"/>
      <c r="H4146" s="2"/>
      <c r="I4146" s="3"/>
      <c r="J4146" s="6"/>
    </row>
    <row r="4147" spans="7:10" x14ac:dyDescent="0.35">
      <c r="G4147" s="2"/>
      <c r="H4147" s="2"/>
      <c r="I4147" s="3"/>
      <c r="J4147" s="6"/>
    </row>
    <row r="4148" spans="7:10" x14ac:dyDescent="0.35">
      <c r="G4148" s="2"/>
      <c r="H4148" s="2"/>
      <c r="I4148" s="3"/>
      <c r="J4148" s="6"/>
    </row>
    <row r="4149" spans="7:10" x14ac:dyDescent="0.35">
      <c r="G4149" s="2"/>
      <c r="H4149" s="2"/>
      <c r="I4149" s="3"/>
      <c r="J4149" s="6"/>
    </row>
    <row r="4150" spans="7:10" x14ac:dyDescent="0.35">
      <c r="G4150" s="2"/>
      <c r="H4150" s="2"/>
      <c r="I4150" s="3"/>
      <c r="J4150" s="6"/>
    </row>
    <row r="4151" spans="7:10" x14ac:dyDescent="0.35">
      <c r="G4151" s="2"/>
      <c r="H4151" s="2"/>
      <c r="I4151" s="3"/>
      <c r="J4151" s="6"/>
    </row>
    <row r="4152" spans="7:10" x14ac:dyDescent="0.35">
      <c r="G4152" s="2"/>
      <c r="H4152" s="2"/>
      <c r="I4152" s="3"/>
      <c r="J4152" s="6"/>
    </row>
    <row r="4153" spans="7:10" x14ac:dyDescent="0.35">
      <c r="G4153" s="2"/>
      <c r="H4153" s="2"/>
      <c r="I4153" s="3"/>
      <c r="J4153" s="6"/>
    </row>
    <row r="4154" spans="7:10" x14ac:dyDescent="0.35">
      <c r="G4154" s="2"/>
      <c r="H4154" s="2"/>
      <c r="I4154" s="3"/>
      <c r="J4154" s="6"/>
    </row>
    <row r="4155" spans="7:10" x14ac:dyDescent="0.35">
      <c r="G4155" s="2"/>
      <c r="H4155" s="2"/>
      <c r="I4155" s="3"/>
      <c r="J4155" s="6"/>
    </row>
    <row r="4156" spans="7:10" x14ac:dyDescent="0.35">
      <c r="G4156" s="2"/>
      <c r="H4156" s="2"/>
      <c r="I4156" s="3"/>
      <c r="J4156" s="6"/>
    </row>
    <row r="4157" spans="7:10" x14ac:dyDescent="0.35">
      <c r="G4157" s="2"/>
      <c r="H4157" s="2"/>
      <c r="I4157" s="3"/>
      <c r="J4157" s="6"/>
    </row>
    <row r="4158" spans="7:10" x14ac:dyDescent="0.35">
      <c r="G4158" s="2"/>
      <c r="H4158" s="2"/>
      <c r="I4158" s="3"/>
      <c r="J4158" s="6"/>
    </row>
    <row r="4159" spans="7:10" x14ac:dyDescent="0.35">
      <c r="G4159" s="2"/>
      <c r="H4159" s="2"/>
      <c r="I4159" s="3"/>
      <c r="J4159" s="6"/>
    </row>
    <row r="4160" spans="7:10" x14ac:dyDescent="0.35">
      <c r="G4160" s="2"/>
      <c r="H4160" s="2"/>
      <c r="I4160" s="3"/>
      <c r="J4160" s="6"/>
    </row>
    <row r="4161" spans="7:10" x14ac:dyDescent="0.35">
      <c r="G4161" s="2"/>
      <c r="H4161" s="2"/>
      <c r="I4161" s="3"/>
      <c r="J4161" s="6"/>
    </row>
    <row r="4162" spans="7:10" x14ac:dyDescent="0.35">
      <c r="G4162" s="2"/>
      <c r="H4162" s="2"/>
      <c r="I4162" s="3"/>
      <c r="J4162" s="6"/>
    </row>
    <row r="4163" spans="7:10" x14ac:dyDescent="0.35">
      <c r="G4163" s="2"/>
      <c r="H4163" s="2"/>
      <c r="I4163" s="3"/>
      <c r="J4163" s="6"/>
    </row>
    <row r="4164" spans="7:10" x14ac:dyDescent="0.35">
      <c r="G4164" s="2"/>
      <c r="H4164" s="2"/>
      <c r="I4164" s="3"/>
      <c r="J4164" s="6"/>
    </row>
    <row r="4165" spans="7:10" x14ac:dyDescent="0.35">
      <c r="G4165" s="2"/>
      <c r="H4165" s="2"/>
      <c r="I4165" s="3"/>
      <c r="J4165" s="6"/>
    </row>
    <row r="4166" spans="7:10" x14ac:dyDescent="0.35">
      <c r="G4166" s="2"/>
      <c r="H4166" s="2"/>
      <c r="I4166" s="3"/>
      <c r="J4166" s="6"/>
    </row>
    <row r="4167" spans="7:10" x14ac:dyDescent="0.35">
      <c r="G4167" s="2"/>
      <c r="H4167" s="2"/>
      <c r="I4167" s="3"/>
      <c r="J4167" s="6"/>
    </row>
    <row r="4168" spans="7:10" x14ac:dyDescent="0.35">
      <c r="G4168" s="2"/>
      <c r="H4168" s="2"/>
      <c r="I4168" s="3"/>
      <c r="J4168" s="6"/>
    </row>
    <row r="4169" spans="7:10" x14ac:dyDescent="0.35">
      <c r="G4169" s="2"/>
      <c r="H4169" s="2"/>
      <c r="I4169" s="3"/>
      <c r="J4169" s="6"/>
    </row>
    <row r="4170" spans="7:10" x14ac:dyDescent="0.35">
      <c r="G4170" s="2"/>
      <c r="H4170" s="2"/>
      <c r="I4170" s="3"/>
      <c r="J4170" s="6"/>
    </row>
    <row r="4171" spans="7:10" x14ac:dyDescent="0.35">
      <c r="G4171" s="2"/>
      <c r="H4171" s="2"/>
      <c r="I4171" s="3"/>
      <c r="J4171" s="6"/>
    </row>
    <row r="4172" spans="7:10" x14ac:dyDescent="0.35">
      <c r="G4172" s="2"/>
      <c r="H4172" s="2"/>
      <c r="I4172" s="3"/>
      <c r="J4172" s="6"/>
    </row>
    <row r="4173" spans="7:10" x14ac:dyDescent="0.35">
      <c r="G4173" s="2"/>
      <c r="H4173" s="2"/>
      <c r="I4173" s="3"/>
      <c r="J4173" s="6"/>
    </row>
    <row r="4174" spans="7:10" x14ac:dyDescent="0.35">
      <c r="G4174" s="2"/>
      <c r="H4174" s="2"/>
      <c r="I4174" s="3"/>
      <c r="J4174" s="6"/>
    </row>
    <row r="4175" spans="7:10" x14ac:dyDescent="0.35">
      <c r="G4175" s="2"/>
      <c r="H4175" s="2"/>
      <c r="I4175" s="3"/>
      <c r="J4175" s="6"/>
    </row>
    <row r="4176" spans="7:10" x14ac:dyDescent="0.35">
      <c r="G4176" s="2"/>
      <c r="H4176" s="2"/>
      <c r="I4176" s="3"/>
      <c r="J4176" s="6"/>
    </row>
    <row r="4177" spans="7:10" x14ac:dyDescent="0.35">
      <c r="G4177" s="2"/>
      <c r="H4177" s="2"/>
      <c r="I4177" s="3"/>
      <c r="J4177" s="6"/>
    </row>
    <row r="4178" spans="7:10" x14ac:dyDescent="0.35">
      <c r="G4178" s="2"/>
      <c r="H4178" s="2"/>
      <c r="I4178" s="3"/>
      <c r="J4178" s="6"/>
    </row>
    <row r="4179" spans="7:10" x14ac:dyDescent="0.35">
      <c r="G4179" s="2"/>
      <c r="H4179" s="2"/>
      <c r="I4179" s="3"/>
      <c r="J4179" s="6"/>
    </row>
    <row r="4180" spans="7:10" x14ac:dyDescent="0.35">
      <c r="G4180" s="2"/>
      <c r="H4180" s="2"/>
      <c r="I4180" s="3"/>
      <c r="J4180" s="6"/>
    </row>
    <row r="4181" spans="7:10" x14ac:dyDescent="0.35">
      <c r="G4181" s="2"/>
      <c r="H4181" s="2"/>
      <c r="I4181" s="3"/>
      <c r="J4181" s="6"/>
    </row>
    <row r="4182" spans="7:10" x14ac:dyDescent="0.35">
      <c r="G4182" s="2"/>
      <c r="H4182" s="2"/>
      <c r="I4182" s="3"/>
      <c r="J4182" s="6"/>
    </row>
    <row r="4183" spans="7:10" x14ac:dyDescent="0.35">
      <c r="G4183" s="2"/>
      <c r="H4183" s="2"/>
      <c r="I4183" s="3"/>
      <c r="J4183" s="6"/>
    </row>
    <row r="4184" spans="7:10" x14ac:dyDescent="0.35">
      <c r="G4184" s="2"/>
      <c r="H4184" s="2"/>
      <c r="I4184" s="3"/>
      <c r="J4184" s="6"/>
    </row>
    <row r="4185" spans="7:10" x14ac:dyDescent="0.35">
      <c r="G4185" s="2"/>
      <c r="H4185" s="2"/>
      <c r="I4185" s="3"/>
      <c r="J4185" s="6"/>
    </row>
    <row r="4186" spans="7:10" x14ac:dyDescent="0.35">
      <c r="G4186" s="2"/>
      <c r="H4186" s="2"/>
      <c r="I4186" s="3"/>
      <c r="J4186" s="6"/>
    </row>
    <row r="4187" spans="7:10" x14ac:dyDescent="0.35">
      <c r="G4187" s="2"/>
      <c r="H4187" s="2"/>
      <c r="I4187" s="3"/>
      <c r="J4187" s="6"/>
    </row>
    <row r="4188" spans="7:10" x14ac:dyDescent="0.35">
      <c r="G4188" s="2"/>
      <c r="H4188" s="2"/>
      <c r="I4188" s="3"/>
      <c r="J4188" s="6"/>
    </row>
    <row r="4189" spans="7:10" x14ac:dyDescent="0.35">
      <c r="G4189" s="2"/>
      <c r="H4189" s="2"/>
      <c r="I4189" s="3"/>
      <c r="J4189" s="6"/>
    </row>
    <row r="4190" spans="7:10" x14ac:dyDescent="0.35">
      <c r="G4190" s="2"/>
      <c r="H4190" s="2"/>
      <c r="I4190" s="3"/>
      <c r="J4190" s="6"/>
    </row>
    <row r="4191" spans="7:10" x14ac:dyDescent="0.35">
      <c r="G4191" s="2"/>
      <c r="H4191" s="2"/>
      <c r="I4191" s="3"/>
      <c r="J4191" s="6"/>
    </row>
    <row r="4192" spans="7:10" x14ac:dyDescent="0.35">
      <c r="G4192" s="2"/>
      <c r="H4192" s="2"/>
      <c r="I4192" s="3"/>
      <c r="J4192" s="6"/>
    </row>
    <row r="4193" spans="7:10" x14ac:dyDescent="0.35">
      <c r="G4193" s="2"/>
      <c r="H4193" s="2"/>
      <c r="I4193" s="3"/>
      <c r="J4193" s="6"/>
    </row>
    <row r="4194" spans="7:10" x14ac:dyDescent="0.35">
      <c r="G4194" s="2"/>
      <c r="H4194" s="2"/>
      <c r="I4194" s="3"/>
      <c r="J4194" s="6"/>
    </row>
    <row r="4195" spans="7:10" x14ac:dyDescent="0.35">
      <c r="G4195" s="2"/>
      <c r="H4195" s="2"/>
      <c r="I4195" s="3"/>
      <c r="J4195" s="6"/>
    </row>
    <row r="4196" spans="7:10" x14ac:dyDescent="0.35">
      <c r="G4196" s="2"/>
      <c r="H4196" s="2"/>
      <c r="I4196" s="3"/>
      <c r="J4196" s="6"/>
    </row>
    <row r="4197" spans="7:10" x14ac:dyDescent="0.35">
      <c r="G4197" s="2"/>
      <c r="H4197" s="2"/>
      <c r="I4197" s="3"/>
      <c r="J4197" s="6"/>
    </row>
    <row r="4198" spans="7:10" x14ac:dyDescent="0.35">
      <c r="G4198" s="2"/>
      <c r="H4198" s="2"/>
      <c r="I4198" s="3"/>
      <c r="J4198" s="6"/>
    </row>
    <row r="4199" spans="7:10" x14ac:dyDescent="0.35">
      <c r="G4199" s="2"/>
      <c r="H4199" s="2"/>
      <c r="I4199" s="3"/>
      <c r="J4199" s="6"/>
    </row>
    <row r="4200" spans="7:10" x14ac:dyDescent="0.35">
      <c r="G4200" s="2"/>
      <c r="H4200" s="2"/>
      <c r="I4200" s="3"/>
      <c r="J4200" s="6"/>
    </row>
    <row r="4201" spans="7:10" x14ac:dyDescent="0.35">
      <c r="G4201" s="2"/>
      <c r="H4201" s="2"/>
      <c r="I4201" s="3"/>
      <c r="J4201" s="6"/>
    </row>
    <row r="4202" spans="7:10" x14ac:dyDescent="0.35">
      <c r="G4202" s="2"/>
      <c r="H4202" s="2"/>
      <c r="I4202" s="3"/>
      <c r="J4202" s="6"/>
    </row>
    <row r="4203" spans="7:10" x14ac:dyDescent="0.35">
      <c r="G4203" s="2"/>
      <c r="H4203" s="2"/>
      <c r="I4203" s="3"/>
      <c r="J4203" s="6"/>
    </row>
    <row r="4204" spans="7:10" x14ac:dyDescent="0.35">
      <c r="G4204" s="2"/>
      <c r="H4204" s="2"/>
      <c r="I4204" s="3"/>
      <c r="J4204" s="6"/>
    </row>
    <row r="4205" spans="7:10" x14ac:dyDescent="0.35">
      <c r="G4205" s="2"/>
      <c r="H4205" s="2"/>
      <c r="I4205" s="3"/>
      <c r="J4205" s="6"/>
    </row>
    <row r="4206" spans="7:10" x14ac:dyDescent="0.35">
      <c r="G4206" s="2"/>
      <c r="H4206" s="2"/>
      <c r="I4206" s="3"/>
      <c r="J4206" s="6"/>
    </row>
    <row r="4207" spans="7:10" x14ac:dyDescent="0.35">
      <c r="G4207" s="2"/>
      <c r="H4207" s="2"/>
      <c r="I4207" s="3"/>
      <c r="J4207" s="6"/>
    </row>
    <row r="4208" spans="7:10" x14ac:dyDescent="0.35">
      <c r="G4208" s="2"/>
      <c r="H4208" s="2"/>
      <c r="I4208" s="3"/>
      <c r="J4208" s="6"/>
    </row>
    <row r="4209" spans="7:10" x14ac:dyDescent="0.35">
      <c r="G4209" s="2"/>
      <c r="H4209" s="2"/>
      <c r="I4209" s="3"/>
      <c r="J4209" s="6"/>
    </row>
    <row r="4210" spans="7:10" x14ac:dyDescent="0.35">
      <c r="G4210" s="2"/>
      <c r="H4210" s="2"/>
      <c r="I4210" s="3"/>
      <c r="J4210" s="6"/>
    </row>
    <row r="4211" spans="7:10" x14ac:dyDescent="0.35">
      <c r="G4211" s="2"/>
      <c r="H4211" s="2"/>
      <c r="I4211" s="3"/>
      <c r="J4211" s="6"/>
    </row>
    <row r="4212" spans="7:10" x14ac:dyDescent="0.35">
      <c r="G4212" s="2"/>
      <c r="H4212" s="2"/>
      <c r="I4212" s="3"/>
      <c r="J4212" s="6"/>
    </row>
    <row r="4213" spans="7:10" x14ac:dyDescent="0.35">
      <c r="G4213" s="2"/>
      <c r="H4213" s="2"/>
      <c r="I4213" s="3"/>
      <c r="J4213" s="6"/>
    </row>
    <row r="4214" spans="7:10" x14ac:dyDescent="0.35">
      <c r="G4214" s="2"/>
      <c r="H4214" s="2"/>
      <c r="I4214" s="3"/>
      <c r="J4214" s="6"/>
    </row>
    <row r="4215" spans="7:10" x14ac:dyDescent="0.35">
      <c r="G4215" s="2"/>
      <c r="H4215" s="2"/>
      <c r="I4215" s="3"/>
      <c r="J4215" s="6"/>
    </row>
    <row r="4216" spans="7:10" x14ac:dyDescent="0.35">
      <c r="G4216" s="2"/>
      <c r="H4216" s="2"/>
      <c r="I4216" s="3"/>
      <c r="J4216" s="6"/>
    </row>
    <row r="4217" spans="7:10" x14ac:dyDescent="0.35">
      <c r="G4217" s="2"/>
      <c r="H4217" s="2"/>
      <c r="I4217" s="3"/>
      <c r="J4217" s="6"/>
    </row>
    <row r="4218" spans="7:10" x14ac:dyDescent="0.35">
      <c r="G4218" s="2"/>
      <c r="H4218" s="2"/>
      <c r="I4218" s="3"/>
      <c r="J4218" s="6"/>
    </row>
    <row r="4219" spans="7:10" x14ac:dyDescent="0.35">
      <c r="G4219" s="2"/>
      <c r="H4219" s="2"/>
      <c r="I4219" s="3"/>
      <c r="J4219" s="6"/>
    </row>
    <row r="4220" spans="7:10" x14ac:dyDescent="0.35">
      <c r="G4220" s="2"/>
      <c r="H4220" s="2"/>
      <c r="I4220" s="3"/>
      <c r="J4220" s="6"/>
    </row>
    <row r="4221" spans="7:10" x14ac:dyDescent="0.35">
      <c r="G4221" s="2"/>
      <c r="H4221" s="2"/>
      <c r="I4221" s="3"/>
      <c r="J4221" s="6"/>
    </row>
    <row r="4222" spans="7:10" x14ac:dyDescent="0.35">
      <c r="G4222" s="2"/>
      <c r="H4222" s="2"/>
      <c r="I4222" s="3"/>
      <c r="J4222" s="6"/>
    </row>
    <row r="4223" spans="7:10" x14ac:dyDescent="0.35">
      <c r="G4223" s="2"/>
      <c r="H4223" s="2"/>
      <c r="I4223" s="3"/>
      <c r="J4223" s="6"/>
    </row>
    <row r="4224" spans="7:10" x14ac:dyDescent="0.35">
      <c r="G4224" s="2"/>
      <c r="H4224" s="2"/>
      <c r="I4224" s="3"/>
      <c r="J4224" s="6"/>
    </row>
    <row r="4225" spans="7:10" x14ac:dyDescent="0.35">
      <c r="G4225" s="2"/>
      <c r="H4225" s="2"/>
      <c r="I4225" s="3"/>
      <c r="J4225" s="6"/>
    </row>
    <row r="4226" spans="7:10" x14ac:dyDescent="0.35">
      <c r="G4226" s="2"/>
      <c r="H4226" s="2"/>
      <c r="I4226" s="3"/>
      <c r="J4226" s="6"/>
    </row>
    <row r="4227" spans="7:10" x14ac:dyDescent="0.35">
      <c r="G4227" s="2"/>
      <c r="H4227" s="2"/>
      <c r="I4227" s="3"/>
      <c r="J4227" s="6"/>
    </row>
    <row r="4228" spans="7:10" x14ac:dyDescent="0.35">
      <c r="G4228" s="2"/>
      <c r="H4228" s="2"/>
      <c r="I4228" s="3"/>
      <c r="J4228" s="6"/>
    </row>
    <row r="4229" spans="7:10" x14ac:dyDescent="0.35">
      <c r="G4229" s="2"/>
      <c r="H4229" s="2"/>
      <c r="I4229" s="3"/>
      <c r="J4229" s="6"/>
    </row>
    <row r="4230" spans="7:10" x14ac:dyDescent="0.35">
      <c r="G4230" s="2"/>
      <c r="H4230" s="2"/>
      <c r="I4230" s="3"/>
      <c r="J4230" s="6"/>
    </row>
    <row r="4231" spans="7:10" x14ac:dyDescent="0.35">
      <c r="G4231" s="2"/>
      <c r="H4231" s="2"/>
      <c r="I4231" s="3"/>
      <c r="J4231" s="6"/>
    </row>
    <row r="4232" spans="7:10" x14ac:dyDescent="0.35">
      <c r="G4232" s="2"/>
      <c r="H4232" s="2"/>
      <c r="I4232" s="3"/>
      <c r="J4232" s="6"/>
    </row>
    <row r="4233" spans="7:10" x14ac:dyDescent="0.35">
      <c r="G4233" s="2"/>
      <c r="H4233" s="2"/>
      <c r="I4233" s="3"/>
      <c r="J4233" s="6"/>
    </row>
    <row r="4234" spans="7:10" x14ac:dyDescent="0.35">
      <c r="G4234" s="2"/>
      <c r="H4234" s="2"/>
      <c r="I4234" s="3"/>
      <c r="J4234" s="6"/>
    </row>
    <row r="4235" spans="7:10" x14ac:dyDescent="0.35">
      <c r="G4235" s="2"/>
      <c r="H4235" s="2"/>
      <c r="I4235" s="3"/>
      <c r="J4235" s="6"/>
    </row>
    <row r="4236" spans="7:10" x14ac:dyDescent="0.35">
      <c r="G4236" s="2"/>
      <c r="H4236" s="2"/>
      <c r="I4236" s="3"/>
      <c r="J4236" s="6"/>
    </row>
    <row r="4237" spans="7:10" x14ac:dyDescent="0.35">
      <c r="G4237" s="2"/>
      <c r="H4237" s="2"/>
      <c r="I4237" s="3"/>
      <c r="J4237" s="6"/>
    </row>
    <row r="4238" spans="7:10" x14ac:dyDescent="0.35">
      <c r="G4238" s="2"/>
      <c r="H4238" s="2"/>
      <c r="I4238" s="3"/>
      <c r="J4238" s="6"/>
    </row>
    <row r="4239" spans="7:10" x14ac:dyDescent="0.35">
      <c r="G4239" s="2"/>
      <c r="H4239" s="2"/>
      <c r="I4239" s="3"/>
      <c r="J4239" s="6"/>
    </row>
    <row r="4240" spans="7:10" x14ac:dyDescent="0.35">
      <c r="G4240" s="2"/>
      <c r="H4240" s="2"/>
      <c r="I4240" s="3"/>
      <c r="J4240" s="6"/>
    </row>
    <row r="4241" spans="7:10" x14ac:dyDescent="0.35">
      <c r="G4241" s="2"/>
      <c r="H4241" s="2"/>
      <c r="I4241" s="3"/>
      <c r="J4241" s="6"/>
    </row>
    <row r="4242" spans="7:10" x14ac:dyDescent="0.35">
      <c r="G4242" s="2"/>
      <c r="H4242" s="2"/>
      <c r="I4242" s="3"/>
      <c r="J4242" s="6"/>
    </row>
    <row r="4243" spans="7:10" x14ac:dyDescent="0.35">
      <c r="G4243" s="2"/>
      <c r="H4243" s="2"/>
      <c r="I4243" s="3"/>
      <c r="J4243" s="6"/>
    </row>
    <row r="4244" spans="7:10" x14ac:dyDescent="0.35">
      <c r="G4244" s="2"/>
      <c r="H4244" s="2"/>
      <c r="I4244" s="3"/>
      <c r="J4244" s="6"/>
    </row>
    <row r="4245" spans="7:10" x14ac:dyDescent="0.35">
      <c r="G4245" s="2"/>
      <c r="H4245" s="2"/>
      <c r="I4245" s="3"/>
      <c r="J4245" s="6"/>
    </row>
    <row r="4246" spans="7:10" x14ac:dyDescent="0.35">
      <c r="G4246" s="2"/>
      <c r="H4246" s="2"/>
      <c r="I4246" s="3"/>
      <c r="J4246" s="6"/>
    </row>
    <row r="4247" spans="7:10" x14ac:dyDescent="0.35">
      <c r="G4247" s="2"/>
      <c r="H4247" s="2"/>
      <c r="I4247" s="3"/>
      <c r="J4247" s="6"/>
    </row>
    <row r="4248" spans="7:10" x14ac:dyDescent="0.35">
      <c r="G4248" s="2"/>
      <c r="H4248" s="2"/>
      <c r="I4248" s="3"/>
      <c r="J4248" s="6"/>
    </row>
    <row r="4249" spans="7:10" x14ac:dyDescent="0.35">
      <c r="G4249" s="2"/>
      <c r="H4249" s="2"/>
      <c r="I4249" s="3"/>
      <c r="J4249" s="6"/>
    </row>
    <row r="4250" spans="7:10" x14ac:dyDescent="0.35">
      <c r="G4250" s="2"/>
      <c r="H4250" s="2"/>
      <c r="I4250" s="3"/>
      <c r="J4250" s="6"/>
    </row>
    <row r="4251" spans="7:10" x14ac:dyDescent="0.35">
      <c r="G4251" s="2"/>
      <c r="H4251" s="2"/>
      <c r="I4251" s="3"/>
      <c r="J4251" s="6"/>
    </row>
    <row r="4252" spans="7:10" x14ac:dyDescent="0.35">
      <c r="G4252" s="2"/>
      <c r="H4252" s="2"/>
      <c r="I4252" s="3"/>
      <c r="J4252" s="6"/>
    </row>
    <row r="4253" spans="7:10" x14ac:dyDescent="0.35">
      <c r="G4253" s="2"/>
      <c r="H4253" s="2"/>
      <c r="I4253" s="3"/>
      <c r="J4253" s="6"/>
    </row>
    <row r="4254" spans="7:10" x14ac:dyDescent="0.35">
      <c r="G4254" s="2"/>
      <c r="H4254" s="2"/>
      <c r="I4254" s="3"/>
      <c r="J4254" s="6"/>
    </row>
    <row r="4255" spans="7:10" x14ac:dyDescent="0.35">
      <c r="G4255" s="2"/>
      <c r="H4255" s="2"/>
      <c r="I4255" s="3"/>
      <c r="J4255" s="6"/>
    </row>
    <row r="4256" spans="7:10" x14ac:dyDescent="0.35">
      <c r="G4256" s="2"/>
      <c r="H4256" s="2"/>
      <c r="I4256" s="3"/>
      <c r="J4256" s="6"/>
    </row>
    <row r="4257" spans="7:10" x14ac:dyDescent="0.35">
      <c r="G4257" s="2"/>
      <c r="H4257" s="2"/>
      <c r="I4257" s="3"/>
      <c r="J4257" s="6"/>
    </row>
    <row r="4258" spans="7:10" x14ac:dyDescent="0.35">
      <c r="G4258" s="2"/>
      <c r="H4258" s="2"/>
      <c r="I4258" s="3"/>
      <c r="J4258" s="6"/>
    </row>
    <row r="4259" spans="7:10" x14ac:dyDescent="0.35">
      <c r="G4259" s="2"/>
      <c r="H4259" s="2"/>
      <c r="I4259" s="3"/>
      <c r="J4259" s="6"/>
    </row>
    <row r="4260" spans="7:10" x14ac:dyDescent="0.35">
      <c r="G4260" s="2"/>
      <c r="H4260" s="2"/>
      <c r="I4260" s="3"/>
      <c r="J4260" s="6"/>
    </row>
    <row r="4261" spans="7:10" x14ac:dyDescent="0.35">
      <c r="G4261" s="2"/>
      <c r="H4261" s="2"/>
      <c r="I4261" s="3"/>
      <c r="J4261" s="6"/>
    </row>
    <row r="4262" spans="7:10" x14ac:dyDescent="0.35">
      <c r="G4262" s="2"/>
      <c r="H4262" s="2"/>
      <c r="I4262" s="3"/>
      <c r="J4262" s="6"/>
    </row>
    <row r="4263" spans="7:10" x14ac:dyDescent="0.35">
      <c r="G4263" s="2"/>
      <c r="H4263" s="2"/>
      <c r="I4263" s="3"/>
      <c r="J4263" s="6"/>
    </row>
    <row r="4264" spans="7:10" x14ac:dyDescent="0.35">
      <c r="G4264" s="2"/>
      <c r="H4264" s="2"/>
      <c r="I4264" s="3"/>
      <c r="J4264" s="6"/>
    </row>
    <row r="4265" spans="7:10" x14ac:dyDescent="0.35">
      <c r="G4265" s="2"/>
      <c r="H4265" s="2"/>
      <c r="I4265" s="3"/>
      <c r="J4265" s="6"/>
    </row>
    <row r="4266" spans="7:10" x14ac:dyDescent="0.35">
      <c r="G4266" s="2"/>
      <c r="H4266" s="2"/>
      <c r="I4266" s="3"/>
      <c r="J4266" s="6"/>
    </row>
    <row r="4267" spans="7:10" x14ac:dyDescent="0.35">
      <c r="G4267" s="2"/>
      <c r="H4267" s="2"/>
      <c r="I4267" s="3"/>
      <c r="J4267" s="6"/>
    </row>
    <row r="4268" spans="7:10" x14ac:dyDescent="0.35">
      <c r="G4268" s="2"/>
      <c r="H4268" s="2"/>
      <c r="I4268" s="3"/>
      <c r="J4268" s="6"/>
    </row>
    <row r="4269" spans="7:10" x14ac:dyDescent="0.35">
      <c r="G4269" s="2"/>
      <c r="H4269" s="2"/>
      <c r="I4269" s="3"/>
      <c r="J4269" s="6"/>
    </row>
    <row r="4270" spans="7:10" x14ac:dyDescent="0.35">
      <c r="G4270" s="2"/>
      <c r="H4270" s="2"/>
      <c r="I4270" s="3"/>
      <c r="J4270" s="6"/>
    </row>
    <row r="4271" spans="7:10" x14ac:dyDescent="0.35">
      <c r="G4271" s="2"/>
      <c r="H4271" s="2"/>
      <c r="I4271" s="3"/>
      <c r="J4271" s="6"/>
    </row>
    <row r="4272" spans="7:10" x14ac:dyDescent="0.35">
      <c r="G4272" s="2"/>
      <c r="H4272" s="2"/>
      <c r="I4272" s="3"/>
      <c r="J4272" s="6"/>
    </row>
    <row r="4273" spans="7:10" x14ac:dyDescent="0.35">
      <c r="G4273" s="2"/>
      <c r="H4273" s="2"/>
      <c r="I4273" s="3"/>
      <c r="J4273" s="6"/>
    </row>
    <row r="4274" spans="7:10" x14ac:dyDescent="0.35">
      <c r="G4274" s="2"/>
      <c r="H4274" s="2"/>
      <c r="I4274" s="3"/>
      <c r="J4274" s="6"/>
    </row>
    <row r="4275" spans="7:10" x14ac:dyDescent="0.35">
      <c r="G4275" s="2"/>
      <c r="H4275" s="2"/>
      <c r="I4275" s="3"/>
      <c r="J4275" s="6"/>
    </row>
    <row r="4276" spans="7:10" x14ac:dyDescent="0.35">
      <c r="G4276" s="2"/>
      <c r="H4276" s="2"/>
      <c r="I4276" s="3"/>
      <c r="J4276" s="6"/>
    </row>
    <row r="4277" spans="7:10" x14ac:dyDescent="0.35">
      <c r="G4277" s="2"/>
      <c r="H4277" s="2"/>
      <c r="I4277" s="3"/>
      <c r="J4277" s="6"/>
    </row>
    <row r="4278" spans="7:10" x14ac:dyDescent="0.35">
      <c r="G4278" s="2"/>
      <c r="H4278" s="2"/>
      <c r="I4278" s="3"/>
      <c r="J4278" s="6"/>
    </row>
    <row r="4279" spans="7:10" x14ac:dyDescent="0.35">
      <c r="G4279" s="2"/>
      <c r="H4279" s="2"/>
      <c r="I4279" s="3"/>
      <c r="J4279" s="6"/>
    </row>
    <row r="4280" spans="7:10" x14ac:dyDescent="0.35">
      <c r="G4280" s="2"/>
      <c r="H4280" s="2"/>
      <c r="I4280" s="3"/>
      <c r="J4280" s="6"/>
    </row>
    <row r="4281" spans="7:10" x14ac:dyDescent="0.35">
      <c r="G4281" s="2"/>
      <c r="H4281" s="2"/>
      <c r="I4281" s="3"/>
      <c r="J4281" s="6"/>
    </row>
    <row r="4282" spans="7:10" x14ac:dyDescent="0.35">
      <c r="G4282" s="2"/>
      <c r="H4282" s="2"/>
      <c r="I4282" s="3"/>
      <c r="J4282" s="6"/>
    </row>
    <row r="4283" spans="7:10" x14ac:dyDescent="0.35">
      <c r="G4283" s="2"/>
      <c r="H4283" s="2"/>
      <c r="I4283" s="3"/>
      <c r="J4283" s="6"/>
    </row>
    <row r="4284" spans="7:10" x14ac:dyDescent="0.35">
      <c r="G4284" s="2"/>
      <c r="H4284" s="2"/>
      <c r="I4284" s="3"/>
      <c r="J4284" s="6"/>
    </row>
    <row r="4285" spans="7:10" x14ac:dyDescent="0.35">
      <c r="G4285" s="2"/>
      <c r="H4285" s="2"/>
      <c r="I4285" s="3"/>
      <c r="J4285" s="6"/>
    </row>
    <row r="4286" spans="7:10" x14ac:dyDescent="0.35">
      <c r="G4286" s="2"/>
      <c r="H4286" s="2"/>
      <c r="I4286" s="3"/>
      <c r="J4286" s="6"/>
    </row>
    <row r="4287" spans="7:10" x14ac:dyDescent="0.35">
      <c r="G4287" s="2"/>
      <c r="H4287" s="2"/>
      <c r="I4287" s="3"/>
      <c r="J4287" s="6"/>
    </row>
    <row r="4288" spans="7:10" x14ac:dyDescent="0.35">
      <c r="G4288" s="2"/>
      <c r="H4288" s="2"/>
      <c r="I4288" s="3"/>
      <c r="J4288" s="6"/>
    </row>
    <row r="4289" spans="7:10" x14ac:dyDescent="0.35">
      <c r="G4289" s="2"/>
      <c r="H4289" s="2"/>
      <c r="I4289" s="3"/>
      <c r="J4289" s="6"/>
    </row>
    <row r="4290" spans="7:10" x14ac:dyDescent="0.35">
      <c r="G4290" s="2"/>
      <c r="H4290" s="2"/>
      <c r="I4290" s="3"/>
      <c r="J4290" s="6"/>
    </row>
    <row r="4291" spans="7:10" x14ac:dyDescent="0.35">
      <c r="G4291" s="2"/>
      <c r="H4291" s="2"/>
      <c r="I4291" s="3"/>
      <c r="J4291" s="6"/>
    </row>
    <row r="4292" spans="7:10" x14ac:dyDescent="0.35">
      <c r="G4292" s="2"/>
      <c r="H4292" s="2"/>
      <c r="I4292" s="3"/>
      <c r="J4292" s="6"/>
    </row>
    <row r="4293" spans="7:10" x14ac:dyDescent="0.35">
      <c r="G4293" s="2"/>
      <c r="H4293" s="2"/>
      <c r="I4293" s="3"/>
      <c r="J4293" s="6"/>
    </row>
    <row r="4294" spans="7:10" x14ac:dyDescent="0.35">
      <c r="G4294" s="2"/>
      <c r="H4294" s="2"/>
      <c r="I4294" s="3"/>
      <c r="J4294" s="6"/>
    </row>
    <row r="4295" spans="7:10" x14ac:dyDescent="0.35">
      <c r="G4295" s="2"/>
      <c r="H4295" s="2"/>
      <c r="I4295" s="3"/>
      <c r="J4295" s="6"/>
    </row>
    <row r="4296" spans="7:10" x14ac:dyDescent="0.35">
      <c r="G4296" s="2"/>
      <c r="H4296" s="2"/>
      <c r="I4296" s="3"/>
      <c r="J4296" s="6"/>
    </row>
    <row r="4297" spans="7:10" x14ac:dyDescent="0.35">
      <c r="G4297" s="2"/>
      <c r="H4297" s="2"/>
      <c r="I4297" s="3"/>
      <c r="J4297" s="6"/>
    </row>
    <row r="4298" spans="7:10" x14ac:dyDescent="0.35">
      <c r="G4298" s="2"/>
      <c r="H4298" s="2"/>
      <c r="I4298" s="3"/>
      <c r="J4298" s="6"/>
    </row>
    <row r="4299" spans="7:10" x14ac:dyDescent="0.35">
      <c r="G4299" s="2"/>
      <c r="H4299" s="2"/>
      <c r="I4299" s="3"/>
      <c r="J4299" s="6"/>
    </row>
    <row r="4300" spans="7:10" x14ac:dyDescent="0.35">
      <c r="G4300" s="2"/>
      <c r="H4300" s="2"/>
      <c r="I4300" s="3"/>
      <c r="J4300" s="6"/>
    </row>
    <row r="4301" spans="7:10" x14ac:dyDescent="0.35">
      <c r="G4301" s="2"/>
      <c r="H4301" s="2"/>
      <c r="I4301" s="3"/>
      <c r="J4301" s="6"/>
    </row>
    <row r="4302" spans="7:10" x14ac:dyDescent="0.35">
      <c r="G4302" s="2"/>
      <c r="H4302" s="2"/>
      <c r="I4302" s="3"/>
      <c r="J4302" s="6"/>
    </row>
    <row r="4303" spans="7:10" x14ac:dyDescent="0.35">
      <c r="G4303" s="2"/>
      <c r="H4303" s="2"/>
      <c r="I4303" s="3"/>
      <c r="J4303" s="6"/>
    </row>
    <row r="4304" spans="7:10" x14ac:dyDescent="0.35">
      <c r="G4304" s="2"/>
      <c r="H4304" s="2"/>
      <c r="I4304" s="3"/>
      <c r="J4304" s="6"/>
    </row>
    <row r="4305" spans="7:10" x14ac:dyDescent="0.35">
      <c r="G4305" s="2"/>
      <c r="H4305" s="2"/>
      <c r="I4305" s="3"/>
      <c r="J4305" s="6"/>
    </row>
    <row r="4306" spans="7:10" x14ac:dyDescent="0.35">
      <c r="G4306" s="2"/>
      <c r="H4306" s="2"/>
      <c r="I4306" s="3"/>
      <c r="J4306" s="6"/>
    </row>
    <row r="4307" spans="7:10" x14ac:dyDescent="0.35">
      <c r="G4307" s="2"/>
      <c r="H4307" s="2"/>
      <c r="I4307" s="3"/>
      <c r="J4307" s="6"/>
    </row>
    <row r="4308" spans="7:10" x14ac:dyDescent="0.35">
      <c r="G4308" s="2"/>
      <c r="H4308" s="2"/>
      <c r="I4308" s="3"/>
      <c r="J4308" s="6"/>
    </row>
    <row r="4309" spans="7:10" x14ac:dyDescent="0.35">
      <c r="G4309" s="2"/>
      <c r="H4309" s="2"/>
      <c r="I4309" s="3"/>
      <c r="J4309" s="6"/>
    </row>
    <row r="4310" spans="7:10" x14ac:dyDescent="0.35">
      <c r="G4310" s="2"/>
      <c r="H4310" s="2"/>
      <c r="I4310" s="3"/>
      <c r="J4310" s="6"/>
    </row>
    <row r="4311" spans="7:10" x14ac:dyDescent="0.35">
      <c r="G4311" s="2"/>
      <c r="H4311" s="2"/>
      <c r="I4311" s="3"/>
      <c r="J4311" s="6"/>
    </row>
    <row r="4312" spans="7:10" x14ac:dyDescent="0.35">
      <c r="G4312" s="2"/>
      <c r="H4312" s="2"/>
      <c r="I4312" s="3"/>
      <c r="J4312" s="6"/>
    </row>
    <row r="4313" spans="7:10" x14ac:dyDescent="0.35">
      <c r="G4313" s="2"/>
      <c r="H4313" s="2"/>
      <c r="I4313" s="3"/>
      <c r="J4313" s="6"/>
    </row>
    <row r="4314" spans="7:10" x14ac:dyDescent="0.35">
      <c r="G4314" s="2"/>
      <c r="H4314" s="2"/>
      <c r="I4314" s="3"/>
      <c r="J4314" s="6"/>
    </row>
    <row r="4315" spans="7:10" x14ac:dyDescent="0.35">
      <c r="G4315" s="2"/>
      <c r="H4315" s="2"/>
      <c r="I4315" s="3"/>
      <c r="J4315" s="6"/>
    </row>
    <row r="4316" spans="7:10" x14ac:dyDescent="0.35">
      <c r="G4316" s="2"/>
      <c r="H4316" s="2"/>
      <c r="I4316" s="3"/>
      <c r="J4316" s="6"/>
    </row>
    <row r="4317" spans="7:10" x14ac:dyDescent="0.35">
      <c r="G4317" s="2"/>
      <c r="H4317" s="2"/>
      <c r="I4317" s="3"/>
      <c r="J4317" s="6"/>
    </row>
    <row r="4318" spans="7:10" x14ac:dyDescent="0.35">
      <c r="G4318" s="2"/>
      <c r="H4318" s="2"/>
      <c r="I4318" s="3"/>
      <c r="J4318" s="6"/>
    </row>
    <row r="4319" spans="7:10" x14ac:dyDescent="0.35">
      <c r="G4319" s="2"/>
      <c r="H4319" s="2"/>
      <c r="I4319" s="3"/>
      <c r="J4319" s="6"/>
    </row>
    <row r="4320" spans="7:10" x14ac:dyDescent="0.35">
      <c r="G4320" s="2"/>
      <c r="H4320" s="2"/>
      <c r="I4320" s="3"/>
      <c r="J4320" s="6"/>
    </row>
    <row r="4321" spans="7:10" x14ac:dyDescent="0.35">
      <c r="G4321" s="2"/>
      <c r="H4321" s="2"/>
      <c r="I4321" s="3"/>
      <c r="J4321" s="6"/>
    </row>
    <row r="4322" spans="7:10" x14ac:dyDescent="0.35">
      <c r="G4322" s="2"/>
      <c r="H4322" s="2"/>
      <c r="I4322" s="3"/>
      <c r="J4322" s="6"/>
    </row>
    <row r="4323" spans="7:10" x14ac:dyDescent="0.35">
      <c r="G4323" s="2"/>
      <c r="H4323" s="2"/>
      <c r="I4323" s="3"/>
      <c r="J4323" s="6"/>
    </row>
    <row r="4324" spans="7:10" x14ac:dyDescent="0.35">
      <c r="G4324" s="2"/>
      <c r="H4324" s="2"/>
      <c r="I4324" s="3"/>
      <c r="J4324" s="6"/>
    </row>
    <row r="4325" spans="7:10" x14ac:dyDescent="0.35">
      <c r="G4325" s="2"/>
      <c r="H4325" s="2"/>
      <c r="I4325" s="3"/>
      <c r="J4325" s="6"/>
    </row>
    <row r="4326" spans="7:10" x14ac:dyDescent="0.35">
      <c r="G4326" s="2"/>
      <c r="H4326" s="2"/>
      <c r="I4326" s="3"/>
      <c r="J4326" s="6"/>
    </row>
    <row r="4327" spans="7:10" x14ac:dyDescent="0.35">
      <c r="G4327" s="2"/>
      <c r="H4327" s="2"/>
      <c r="I4327" s="3"/>
      <c r="J4327" s="6"/>
    </row>
    <row r="4328" spans="7:10" x14ac:dyDescent="0.35">
      <c r="G4328" s="2"/>
      <c r="H4328" s="2"/>
      <c r="I4328" s="3"/>
      <c r="J4328" s="6"/>
    </row>
    <row r="4329" spans="7:10" x14ac:dyDescent="0.35">
      <c r="G4329" s="2"/>
      <c r="H4329" s="2"/>
      <c r="I4329" s="3"/>
      <c r="J4329" s="6"/>
    </row>
    <row r="4330" spans="7:10" x14ac:dyDescent="0.35">
      <c r="G4330" s="2"/>
      <c r="H4330" s="2"/>
      <c r="I4330" s="3"/>
      <c r="J4330" s="6"/>
    </row>
    <row r="4331" spans="7:10" x14ac:dyDescent="0.35">
      <c r="G4331" s="2"/>
      <c r="H4331" s="2"/>
      <c r="I4331" s="3"/>
      <c r="J4331" s="6"/>
    </row>
    <row r="4332" spans="7:10" x14ac:dyDescent="0.35">
      <c r="G4332" s="2"/>
      <c r="H4332" s="2"/>
      <c r="I4332" s="3"/>
      <c r="J4332" s="6"/>
    </row>
    <row r="4333" spans="7:10" x14ac:dyDescent="0.35">
      <c r="G4333" s="2"/>
      <c r="H4333" s="2"/>
      <c r="I4333" s="3"/>
      <c r="J4333" s="6"/>
    </row>
    <row r="4334" spans="7:10" x14ac:dyDescent="0.35">
      <c r="G4334" s="2"/>
      <c r="H4334" s="2"/>
      <c r="I4334" s="3"/>
      <c r="J4334" s="6"/>
    </row>
    <row r="4335" spans="7:10" x14ac:dyDescent="0.35">
      <c r="G4335" s="2"/>
      <c r="H4335" s="2"/>
      <c r="I4335" s="3"/>
      <c r="J4335" s="6"/>
    </row>
    <row r="4336" spans="7:10" x14ac:dyDescent="0.35">
      <c r="G4336" s="2"/>
      <c r="H4336" s="2"/>
      <c r="I4336" s="3"/>
      <c r="J4336" s="6"/>
    </row>
    <row r="4337" spans="7:10" x14ac:dyDescent="0.35">
      <c r="G4337" s="2"/>
      <c r="H4337" s="2"/>
      <c r="I4337" s="3"/>
      <c r="J4337" s="6"/>
    </row>
    <row r="4338" spans="7:10" x14ac:dyDescent="0.35">
      <c r="G4338" s="2"/>
      <c r="H4338" s="2"/>
      <c r="I4338" s="3"/>
      <c r="J4338" s="6"/>
    </row>
    <row r="4339" spans="7:10" x14ac:dyDescent="0.35">
      <c r="G4339" s="2"/>
      <c r="H4339" s="2"/>
      <c r="I4339" s="3"/>
      <c r="J4339" s="6"/>
    </row>
    <row r="4340" spans="7:10" x14ac:dyDescent="0.35">
      <c r="G4340" s="2"/>
      <c r="H4340" s="2"/>
      <c r="I4340" s="3"/>
      <c r="J4340" s="6"/>
    </row>
    <row r="4341" spans="7:10" x14ac:dyDescent="0.35">
      <c r="G4341" s="2"/>
      <c r="H4341" s="2"/>
      <c r="I4341" s="3"/>
      <c r="J4341" s="6"/>
    </row>
    <row r="4342" spans="7:10" x14ac:dyDescent="0.35">
      <c r="G4342" s="2"/>
      <c r="H4342" s="2"/>
      <c r="I4342" s="3"/>
      <c r="J4342" s="6"/>
    </row>
    <row r="4343" spans="7:10" x14ac:dyDescent="0.35">
      <c r="G4343" s="2"/>
      <c r="H4343" s="2"/>
      <c r="I4343" s="3"/>
      <c r="J4343" s="6"/>
    </row>
    <row r="4344" spans="7:10" x14ac:dyDescent="0.35">
      <c r="G4344" s="2"/>
      <c r="H4344" s="2"/>
      <c r="I4344" s="3"/>
      <c r="J4344" s="6"/>
    </row>
    <row r="4345" spans="7:10" x14ac:dyDescent="0.35">
      <c r="G4345" s="2"/>
      <c r="H4345" s="2"/>
      <c r="I4345" s="3"/>
      <c r="J4345" s="6"/>
    </row>
    <row r="4346" spans="7:10" x14ac:dyDescent="0.35">
      <c r="G4346" s="2"/>
      <c r="H4346" s="2"/>
      <c r="I4346" s="3"/>
      <c r="J4346" s="6"/>
    </row>
    <row r="4347" spans="7:10" x14ac:dyDescent="0.35">
      <c r="G4347" s="2"/>
      <c r="H4347" s="2"/>
      <c r="I4347" s="3"/>
      <c r="J4347" s="6"/>
    </row>
    <row r="4348" spans="7:10" x14ac:dyDescent="0.35">
      <c r="G4348" s="2"/>
      <c r="H4348" s="2"/>
      <c r="I4348" s="3"/>
      <c r="J4348" s="6"/>
    </row>
    <row r="4349" spans="7:10" x14ac:dyDescent="0.35">
      <c r="G4349" s="2"/>
      <c r="H4349" s="2"/>
      <c r="I4349" s="3"/>
      <c r="J4349" s="6"/>
    </row>
    <row r="4350" spans="7:10" x14ac:dyDescent="0.35">
      <c r="G4350" s="2"/>
      <c r="H4350" s="2"/>
      <c r="I4350" s="3"/>
      <c r="J4350" s="6"/>
    </row>
    <row r="4351" spans="7:10" x14ac:dyDescent="0.35">
      <c r="G4351" s="2"/>
      <c r="H4351" s="2"/>
      <c r="I4351" s="3"/>
      <c r="J4351" s="6"/>
    </row>
    <row r="4352" spans="7:10" x14ac:dyDescent="0.35">
      <c r="G4352" s="2"/>
      <c r="H4352" s="2"/>
      <c r="I4352" s="3"/>
      <c r="J4352" s="6"/>
    </row>
    <row r="4353" spans="7:10" x14ac:dyDescent="0.35">
      <c r="G4353" s="2"/>
      <c r="H4353" s="2"/>
      <c r="I4353" s="3"/>
      <c r="J4353" s="6"/>
    </row>
    <row r="4354" spans="7:10" x14ac:dyDescent="0.35">
      <c r="G4354" s="2"/>
      <c r="H4354" s="2"/>
      <c r="I4354" s="3"/>
      <c r="J4354" s="6"/>
    </row>
    <row r="4355" spans="7:10" x14ac:dyDescent="0.35">
      <c r="G4355" s="2"/>
      <c r="H4355" s="2"/>
      <c r="I4355" s="3"/>
      <c r="J4355" s="6"/>
    </row>
    <row r="4356" spans="7:10" x14ac:dyDescent="0.35">
      <c r="G4356" s="2"/>
      <c r="H4356" s="2"/>
      <c r="I4356" s="3"/>
      <c r="J4356" s="6"/>
    </row>
    <row r="4357" spans="7:10" x14ac:dyDescent="0.35">
      <c r="G4357" s="2"/>
      <c r="H4357" s="2"/>
      <c r="I4357" s="3"/>
      <c r="J4357" s="6"/>
    </row>
    <row r="4358" spans="7:10" x14ac:dyDescent="0.35">
      <c r="G4358" s="2"/>
      <c r="H4358" s="2"/>
      <c r="I4358" s="3"/>
      <c r="J4358" s="6"/>
    </row>
    <row r="4359" spans="7:10" x14ac:dyDescent="0.35">
      <c r="G4359" s="2"/>
      <c r="H4359" s="2"/>
      <c r="I4359" s="3"/>
      <c r="J4359" s="6"/>
    </row>
    <row r="4360" spans="7:10" x14ac:dyDescent="0.35">
      <c r="G4360" s="2"/>
      <c r="H4360" s="2"/>
      <c r="I4360" s="3"/>
      <c r="J4360" s="6"/>
    </row>
    <row r="4361" spans="7:10" x14ac:dyDescent="0.35">
      <c r="G4361" s="2"/>
      <c r="H4361" s="2"/>
      <c r="I4361" s="3"/>
      <c r="J4361" s="6"/>
    </row>
    <row r="4362" spans="7:10" x14ac:dyDescent="0.35">
      <c r="G4362" s="2"/>
      <c r="H4362" s="2"/>
      <c r="I4362" s="3"/>
      <c r="J4362" s="6"/>
    </row>
    <row r="4363" spans="7:10" x14ac:dyDescent="0.35">
      <c r="G4363" s="2"/>
      <c r="H4363" s="2"/>
      <c r="I4363" s="3"/>
      <c r="J4363" s="6"/>
    </row>
    <row r="4364" spans="7:10" x14ac:dyDescent="0.35">
      <c r="G4364" s="2"/>
      <c r="H4364" s="2"/>
      <c r="I4364" s="3"/>
      <c r="J4364" s="6"/>
    </row>
    <row r="4365" spans="7:10" x14ac:dyDescent="0.35">
      <c r="G4365" s="2"/>
      <c r="H4365" s="2"/>
      <c r="I4365" s="3"/>
      <c r="J4365" s="6"/>
    </row>
    <row r="4366" spans="7:10" x14ac:dyDescent="0.35">
      <c r="G4366" s="2"/>
      <c r="H4366" s="2"/>
      <c r="I4366" s="3"/>
      <c r="J4366" s="6"/>
    </row>
    <row r="4367" spans="7:10" x14ac:dyDescent="0.35">
      <c r="G4367" s="2"/>
      <c r="H4367" s="2"/>
      <c r="I4367" s="3"/>
      <c r="J4367" s="6"/>
    </row>
    <row r="4368" spans="7:10" x14ac:dyDescent="0.35">
      <c r="G4368" s="2"/>
      <c r="H4368" s="2"/>
      <c r="I4368" s="3"/>
      <c r="J4368" s="6"/>
    </row>
    <row r="4369" spans="7:10" x14ac:dyDescent="0.35">
      <c r="G4369" s="2"/>
      <c r="H4369" s="2"/>
      <c r="I4369" s="3"/>
      <c r="J4369" s="6"/>
    </row>
    <row r="4370" spans="7:10" x14ac:dyDescent="0.35">
      <c r="G4370" s="2"/>
      <c r="H4370" s="2"/>
      <c r="I4370" s="3"/>
      <c r="J4370" s="6"/>
    </row>
    <row r="4371" spans="7:10" x14ac:dyDescent="0.35">
      <c r="G4371" s="2"/>
      <c r="H4371" s="2"/>
      <c r="I4371" s="3"/>
      <c r="J4371" s="6"/>
    </row>
    <row r="4372" spans="7:10" x14ac:dyDescent="0.35">
      <c r="G4372" s="2"/>
      <c r="H4372" s="2"/>
      <c r="I4372" s="3"/>
      <c r="J4372" s="6"/>
    </row>
    <row r="4373" spans="7:10" x14ac:dyDescent="0.35">
      <c r="G4373" s="2"/>
      <c r="H4373" s="2"/>
      <c r="I4373" s="3"/>
      <c r="J4373" s="6"/>
    </row>
    <row r="4374" spans="7:10" x14ac:dyDescent="0.35">
      <c r="G4374" s="2"/>
      <c r="H4374" s="2"/>
      <c r="I4374" s="3"/>
      <c r="J4374" s="6"/>
    </row>
    <row r="4375" spans="7:10" x14ac:dyDescent="0.35">
      <c r="G4375" s="2"/>
      <c r="H4375" s="2"/>
      <c r="I4375" s="3"/>
      <c r="J4375" s="6"/>
    </row>
    <row r="4376" spans="7:10" x14ac:dyDescent="0.35">
      <c r="G4376" s="2"/>
      <c r="H4376" s="2"/>
      <c r="I4376" s="3"/>
      <c r="J4376" s="6"/>
    </row>
    <row r="4377" spans="7:10" x14ac:dyDescent="0.35">
      <c r="G4377" s="2"/>
      <c r="H4377" s="2"/>
      <c r="I4377" s="3"/>
      <c r="J4377" s="6"/>
    </row>
    <row r="4378" spans="7:10" x14ac:dyDescent="0.35">
      <c r="G4378" s="2"/>
      <c r="H4378" s="2"/>
      <c r="I4378" s="3"/>
      <c r="J4378" s="6"/>
    </row>
    <row r="4379" spans="7:10" x14ac:dyDescent="0.35">
      <c r="G4379" s="2"/>
      <c r="H4379" s="2"/>
      <c r="I4379" s="3"/>
      <c r="J4379" s="6"/>
    </row>
    <row r="4380" spans="7:10" x14ac:dyDescent="0.35">
      <c r="G4380" s="2"/>
      <c r="H4380" s="2"/>
      <c r="I4380" s="3"/>
      <c r="J4380" s="6"/>
    </row>
    <row r="4381" spans="7:10" x14ac:dyDescent="0.35">
      <c r="G4381" s="2"/>
      <c r="H4381" s="2"/>
      <c r="I4381" s="3"/>
      <c r="J4381" s="6"/>
    </row>
    <row r="4382" spans="7:10" x14ac:dyDescent="0.35">
      <c r="G4382" s="2"/>
      <c r="H4382" s="2"/>
      <c r="I4382" s="3"/>
      <c r="J4382" s="6"/>
    </row>
    <row r="4383" spans="7:10" x14ac:dyDescent="0.35">
      <c r="G4383" s="2"/>
      <c r="H4383" s="2"/>
      <c r="I4383" s="3"/>
      <c r="J4383" s="6"/>
    </row>
    <row r="4384" spans="7:10" x14ac:dyDescent="0.35">
      <c r="G4384" s="2"/>
      <c r="H4384" s="2"/>
      <c r="I4384" s="3"/>
      <c r="J4384" s="6"/>
    </row>
    <row r="4385" spans="7:10" x14ac:dyDescent="0.35">
      <c r="G4385" s="2"/>
      <c r="H4385" s="2"/>
      <c r="I4385" s="3"/>
      <c r="J4385" s="6"/>
    </row>
    <row r="4386" spans="7:10" x14ac:dyDescent="0.35">
      <c r="G4386" s="2"/>
      <c r="H4386" s="2"/>
      <c r="I4386" s="3"/>
      <c r="J4386" s="6"/>
    </row>
    <row r="4387" spans="7:10" x14ac:dyDescent="0.35">
      <c r="G4387" s="2"/>
      <c r="H4387" s="2"/>
      <c r="I4387" s="3"/>
      <c r="J4387" s="6"/>
    </row>
    <row r="4388" spans="7:10" x14ac:dyDescent="0.35">
      <c r="G4388" s="2"/>
      <c r="H4388" s="2"/>
      <c r="I4388" s="3"/>
      <c r="J4388" s="6"/>
    </row>
    <row r="4389" spans="7:10" x14ac:dyDescent="0.35">
      <c r="G4389" s="2"/>
      <c r="H4389" s="2"/>
      <c r="I4389" s="3"/>
      <c r="J4389" s="6"/>
    </row>
    <row r="4390" spans="7:10" x14ac:dyDescent="0.35">
      <c r="G4390" s="2"/>
      <c r="H4390" s="2"/>
      <c r="I4390" s="3"/>
      <c r="J4390" s="6"/>
    </row>
    <row r="4391" spans="7:10" x14ac:dyDescent="0.35">
      <c r="G4391" s="2"/>
      <c r="H4391" s="2"/>
      <c r="I4391" s="3"/>
      <c r="J4391" s="6"/>
    </row>
    <row r="4392" spans="7:10" x14ac:dyDescent="0.35">
      <c r="G4392" s="2"/>
      <c r="H4392" s="2"/>
      <c r="I4392" s="3"/>
      <c r="J4392" s="6"/>
    </row>
    <row r="4393" spans="7:10" x14ac:dyDescent="0.35">
      <c r="G4393" s="2"/>
      <c r="H4393" s="2"/>
      <c r="I4393" s="3"/>
      <c r="J4393" s="6"/>
    </row>
    <row r="4394" spans="7:10" x14ac:dyDescent="0.35">
      <c r="G4394" s="2"/>
      <c r="H4394" s="2"/>
      <c r="I4394" s="3"/>
      <c r="J4394" s="6"/>
    </row>
    <row r="4395" spans="7:10" x14ac:dyDescent="0.35">
      <c r="G4395" s="2"/>
      <c r="H4395" s="2"/>
      <c r="I4395" s="3"/>
      <c r="J4395" s="6"/>
    </row>
    <row r="4396" spans="7:10" x14ac:dyDescent="0.35">
      <c r="G4396" s="2"/>
      <c r="H4396" s="2"/>
      <c r="I4396" s="3"/>
      <c r="J4396" s="6"/>
    </row>
    <row r="4397" spans="7:10" x14ac:dyDescent="0.35">
      <c r="G4397" s="2"/>
      <c r="H4397" s="2"/>
      <c r="I4397" s="3"/>
      <c r="J4397" s="6"/>
    </row>
    <row r="4398" spans="7:10" x14ac:dyDescent="0.35">
      <c r="G4398" s="2"/>
      <c r="H4398" s="2"/>
      <c r="I4398" s="3"/>
      <c r="J4398" s="6"/>
    </row>
    <row r="4399" spans="7:10" x14ac:dyDescent="0.35">
      <c r="G4399" s="2"/>
      <c r="H4399" s="2"/>
      <c r="I4399" s="3"/>
      <c r="J4399" s="6"/>
    </row>
    <row r="4400" spans="7:10" x14ac:dyDescent="0.35">
      <c r="G4400" s="2"/>
      <c r="H4400" s="2"/>
      <c r="I4400" s="3"/>
      <c r="J4400" s="6"/>
    </row>
    <row r="4401" spans="7:10" x14ac:dyDescent="0.35">
      <c r="G4401" s="2"/>
      <c r="H4401" s="2"/>
      <c r="I4401" s="3"/>
      <c r="J4401" s="6"/>
    </row>
    <row r="4402" spans="7:10" x14ac:dyDescent="0.35">
      <c r="G4402" s="2"/>
      <c r="H4402" s="2"/>
      <c r="I4402" s="3"/>
      <c r="J4402" s="6"/>
    </row>
    <row r="4403" spans="7:10" x14ac:dyDescent="0.35">
      <c r="G4403" s="2"/>
      <c r="H4403" s="2"/>
      <c r="I4403" s="3"/>
      <c r="J4403" s="6"/>
    </row>
    <row r="4404" spans="7:10" x14ac:dyDescent="0.35">
      <c r="G4404" s="2"/>
      <c r="H4404" s="2"/>
      <c r="I4404" s="3"/>
      <c r="J4404" s="6"/>
    </row>
    <row r="4405" spans="7:10" x14ac:dyDescent="0.35">
      <c r="G4405" s="2"/>
      <c r="H4405" s="2"/>
      <c r="I4405" s="3"/>
      <c r="J4405" s="6"/>
    </row>
    <row r="4406" spans="7:10" x14ac:dyDescent="0.35">
      <c r="G4406" s="2"/>
      <c r="H4406" s="2"/>
      <c r="I4406" s="3"/>
      <c r="J4406" s="6"/>
    </row>
    <row r="4407" spans="7:10" x14ac:dyDescent="0.35">
      <c r="G4407" s="2"/>
      <c r="H4407" s="2"/>
      <c r="I4407" s="3"/>
      <c r="J4407" s="6"/>
    </row>
    <row r="4408" spans="7:10" x14ac:dyDescent="0.35">
      <c r="G4408" s="2"/>
      <c r="H4408" s="2"/>
      <c r="I4408" s="3"/>
      <c r="J4408" s="6"/>
    </row>
    <row r="4409" spans="7:10" x14ac:dyDescent="0.35">
      <c r="G4409" s="2"/>
      <c r="H4409" s="2"/>
      <c r="I4409" s="3"/>
      <c r="J4409" s="6"/>
    </row>
    <row r="4410" spans="7:10" x14ac:dyDescent="0.35">
      <c r="G4410" s="2"/>
      <c r="H4410" s="2"/>
      <c r="I4410" s="3"/>
      <c r="J4410" s="6"/>
    </row>
    <row r="4411" spans="7:10" x14ac:dyDescent="0.35">
      <c r="G4411" s="2"/>
      <c r="H4411" s="2"/>
      <c r="I4411" s="3"/>
      <c r="J4411" s="6"/>
    </row>
    <row r="4412" spans="7:10" x14ac:dyDescent="0.35">
      <c r="G4412" s="2"/>
      <c r="H4412" s="2"/>
      <c r="I4412" s="3"/>
      <c r="J4412" s="6"/>
    </row>
    <row r="4413" spans="7:10" x14ac:dyDescent="0.35">
      <c r="G4413" s="2"/>
      <c r="H4413" s="2"/>
      <c r="I4413" s="3"/>
      <c r="J4413" s="6"/>
    </row>
    <row r="4414" spans="7:10" x14ac:dyDescent="0.35">
      <c r="G4414" s="2"/>
      <c r="H4414" s="2"/>
      <c r="I4414" s="3"/>
      <c r="J4414" s="6"/>
    </row>
    <row r="4415" spans="7:10" x14ac:dyDescent="0.35">
      <c r="G4415" s="2"/>
      <c r="H4415" s="2"/>
      <c r="I4415" s="3"/>
      <c r="J4415" s="6"/>
    </row>
    <row r="4416" spans="7:10" x14ac:dyDescent="0.35">
      <c r="G4416" s="2"/>
      <c r="H4416" s="2"/>
      <c r="I4416" s="3"/>
      <c r="J4416" s="6"/>
    </row>
    <row r="4417" spans="7:10" x14ac:dyDescent="0.35">
      <c r="G4417" s="2"/>
      <c r="H4417" s="2"/>
      <c r="I4417" s="3"/>
      <c r="J4417" s="6"/>
    </row>
    <row r="4418" spans="7:10" x14ac:dyDescent="0.35">
      <c r="G4418" s="2"/>
      <c r="H4418" s="2"/>
      <c r="I4418" s="3"/>
      <c r="J4418" s="6"/>
    </row>
    <row r="4419" spans="7:10" x14ac:dyDescent="0.35">
      <c r="G4419" s="2"/>
      <c r="H4419" s="2"/>
      <c r="I4419" s="3"/>
      <c r="J4419" s="6"/>
    </row>
    <row r="4420" spans="7:10" x14ac:dyDescent="0.35">
      <c r="G4420" s="2"/>
      <c r="H4420" s="2"/>
      <c r="I4420" s="3"/>
      <c r="J4420" s="6"/>
    </row>
    <row r="4421" spans="7:10" x14ac:dyDescent="0.35">
      <c r="G4421" s="2"/>
      <c r="H4421" s="2"/>
      <c r="I4421" s="3"/>
      <c r="J4421" s="6"/>
    </row>
    <row r="4422" spans="7:10" x14ac:dyDescent="0.35">
      <c r="G4422" s="2"/>
      <c r="H4422" s="2"/>
      <c r="I4422" s="3"/>
      <c r="J4422" s="6"/>
    </row>
    <row r="4423" spans="7:10" x14ac:dyDescent="0.35">
      <c r="G4423" s="2"/>
      <c r="H4423" s="2"/>
      <c r="I4423" s="3"/>
      <c r="J4423" s="6"/>
    </row>
    <row r="4424" spans="7:10" x14ac:dyDescent="0.35">
      <c r="G4424" s="2"/>
      <c r="H4424" s="2"/>
      <c r="I4424" s="3"/>
      <c r="J4424" s="6"/>
    </row>
    <row r="4425" spans="7:10" x14ac:dyDescent="0.35">
      <c r="G4425" s="2"/>
      <c r="H4425" s="2"/>
      <c r="I4425" s="3"/>
      <c r="J4425" s="6"/>
    </row>
    <row r="4426" spans="7:10" x14ac:dyDescent="0.35">
      <c r="G4426" s="2"/>
      <c r="H4426" s="2"/>
      <c r="I4426" s="3"/>
      <c r="J4426" s="6"/>
    </row>
    <row r="4427" spans="7:10" x14ac:dyDescent="0.35">
      <c r="G4427" s="2"/>
      <c r="H4427" s="2"/>
      <c r="I4427" s="3"/>
      <c r="J4427" s="6"/>
    </row>
    <row r="4428" spans="7:10" x14ac:dyDescent="0.35">
      <c r="G4428" s="2"/>
      <c r="H4428" s="2"/>
      <c r="I4428" s="3"/>
      <c r="J4428" s="6"/>
    </row>
    <row r="4429" spans="7:10" x14ac:dyDescent="0.35">
      <c r="G4429" s="2"/>
      <c r="H4429" s="2"/>
      <c r="I4429" s="3"/>
      <c r="J4429" s="6"/>
    </row>
    <row r="4430" spans="7:10" x14ac:dyDescent="0.35">
      <c r="G4430" s="2"/>
      <c r="H4430" s="2"/>
      <c r="I4430" s="3"/>
      <c r="J4430" s="6"/>
    </row>
    <row r="4431" spans="7:10" x14ac:dyDescent="0.35">
      <c r="G4431" s="2"/>
      <c r="H4431" s="2"/>
      <c r="I4431" s="3"/>
      <c r="J4431" s="6"/>
    </row>
    <row r="4432" spans="7:10" x14ac:dyDescent="0.35">
      <c r="G4432" s="2"/>
      <c r="H4432" s="2"/>
      <c r="I4432" s="3"/>
      <c r="J4432" s="6"/>
    </row>
    <row r="4433" spans="7:10" x14ac:dyDescent="0.35">
      <c r="G4433" s="2"/>
      <c r="H4433" s="2"/>
      <c r="I4433" s="3"/>
      <c r="J4433" s="6"/>
    </row>
    <row r="4434" spans="7:10" x14ac:dyDescent="0.35">
      <c r="G4434" s="2"/>
      <c r="H4434" s="2"/>
      <c r="I4434" s="3"/>
      <c r="J4434" s="6"/>
    </row>
    <row r="4435" spans="7:10" x14ac:dyDescent="0.35">
      <c r="G4435" s="2"/>
      <c r="H4435" s="2"/>
      <c r="I4435" s="3"/>
      <c r="J4435" s="6"/>
    </row>
    <row r="4436" spans="7:10" x14ac:dyDescent="0.35">
      <c r="G4436" s="2"/>
      <c r="H4436" s="2"/>
      <c r="I4436" s="3"/>
      <c r="J4436" s="6"/>
    </row>
    <row r="4437" spans="7:10" x14ac:dyDescent="0.35">
      <c r="G4437" s="2"/>
      <c r="H4437" s="2"/>
      <c r="I4437" s="3"/>
      <c r="J4437" s="6"/>
    </row>
    <row r="4438" spans="7:10" x14ac:dyDescent="0.35">
      <c r="G4438" s="2"/>
      <c r="H4438" s="2"/>
      <c r="I4438" s="3"/>
      <c r="J4438" s="6"/>
    </row>
    <row r="4439" spans="7:10" x14ac:dyDescent="0.35">
      <c r="G4439" s="2"/>
      <c r="H4439" s="2"/>
      <c r="I4439" s="3"/>
      <c r="J4439" s="6"/>
    </row>
    <row r="4440" spans="7:10" x14ac:dyDescent="0.35">
      <c r="G4440" s="2"/>
      <c r="H4440" s="2"/>
      <c r="I4440" s="3"/>
      <c r="J4440" s="6"/>
    </row>
    <row r="4441" spans="7:10" x14ac:dyDescent="0.35">
      <c r="G4441" s="2"/>
      <c r="H4441" s="2"/>
      <c r="I4441" s="3"/>
      <c r="J4441" s="6"/>
    </row>
    <row r="4442" spans="7:10" x14ac:dyDescent="0.35">
      <c r="G4442" s="2"/>
      <c r="H4442" s="2"/>
      <c r="I4442" s="3"/>
      <c r="J4442" s="6"/>
    </row>
    <row r="4443" spans="7:10" x14ac:dyDescent="0.35">
      <c r="G4443" s="2"/>
      <c r="H4443" s="2"/>
      <c r="I4443" s="3"/>
      <c r="J4443" s="6"/>
    </row>
    <row r="4444" spans="7:10" x14ac:dyDescent="0.35">
      <c r="G4444" s="2"/>
      <c r="H4444" s="2"/>
      <c r="I4444" s="3"/>
      <c r="J4444" s="6"/>
    </row>
    <row r="4445" spans="7:10" x14ac:dyDescent="0.35">
      <c r="G4445" s="2"/>
      <c r="H4445" s="2"/>
      <c r="I4445" s="3"/>
      <c r="J4445" s="6"/>
    </row>
    <row r="4446" spans="7:10" x14ac:dyDescent="0.35">
      <c r="G4446" s="2"/>
      <c r="H4446" s="2"/>
      <c r="I4446" s="3"/>
      <c r="J4446" s="6"/>
    </row>
    <row r="4447" spans="7:10" x14ac:dyDescent="0.35">
      <c r="G4447" s="2"/>
      <c r="H4447" s="2"/>
      <c r="I4447" s="3"/>
      <c r="J4447" s="6"/>
    </row>
    <row r="4448" spans="7:10" x14ac:dyDescent="0.35">
      <c r="G4448" s="2"/>
      <c r="H4448" s="2"/>
      <c r="I4448" s="3"/>
      <c r="J4448" s="6"/>
    </row>
    <row r="4449" spans="7:10" x14ac:dyDescent="0.35">
      <c r="G4449" s="2"/>
      <c r="H4449" s="2"/>
      <c r="I4449" s="3"/>
      <c r="J4449" s="6"/>
    </row>
    <row r="4450" spans="7:10" x14ac:dyDescent="0.35">
      <c r="G4450" s="2"/>
      <c r="H4450" s="2"/>
      <c r="I4450" s="3"/>
      <c r="J4450" s="6"/>
    </row>
    <row r="4451" spans="7:10" x14ac:dyDescent="0.35">
      <c r="G4451" s="2"/>
      <c r="H4451" s="2"/>
      <c r="I4451" s="3"/>
      <c r="J4451" s="6"/>
    </row>
    <row r="4452" spans="7:10" x14ac:dyDescent="0.35">
      <c r="G4452" s="2"/>
      <c r="H4452" s="2"/>
      <c r="I4452" s="3"/>
      <c r="J4452" s="6"/>
    </row>
    <row r="4453" spans="7:10" x14ac:dyDescent="0.35">
      <c r="G4453" s="2"/>
      <c r="H4453" s="2"/>
      <c r="I4453" s="3"/>
      <c r="J4453" s="6"/>
    </row>
    <row r="4454" spans="7:10" x14ac:dyDescent="0.35">
      <c r="G4454" s="2"/>
      <c r="H4454" s="2"/>
      <c r="I4454" s="3"/>
      <c r="J4454" s="6"/>
    </row>
    <row r="4455" spans="7:10" x14ac:dyDescent="0.35">
      <c r="G4455" s="2"/>
      <c r="H4455" s="2"/>
      <c r="I4455" s="3"/>
      <c r="J4455" s="6"/>
    </row>
    <row r="4456" spans="7:10" x14ac:dyDescent="0.35">
      <c r="G4456" s="2"/>
      <c r="H4456" s="2"/>
      <c r="I4456" s="3"/>
      <c r="J4456" s="6"/>
    </row>
    <row r="4457" spans="7:10" x14ac:dyDescent="0.35">
      <c r="G4457" s="2"/>
      <c r="H4457" s="2"/>
      <c r="I4457" s="3"/>
      <c r="J4457" s="6"/>
    </row>
    <row r="4458" spans="7:10" x14ac:dyDescent="0.35">
      <c r="G4458" s="2"/>
      <c r="H4458" s="2"/>
      <c r="I4458" s="3"/>
      <c r="J4458" s="6"/>
    </row>
    <row r="4459" spans="7:10" x14ac:dyDescent="0.35">
      <c r="G4459" s="2"/>
      <c r="H4459" s="2"/>
      <c r="I4459" s="3"/>
      <c r="J4459" s="6"/>
    </row>
    <row r="4460" spans="7:10" x14ac:dyDescent="0.35">
      <c r="G4460" s="2"/>
      <c r="H4460" s="2"/>
      <c r="I4460" s="3"/>
      <c r="J4460" s="6"/>
    </row>
    <row r="4461" spans="7:10" x14ac:dyDescent="0.35">
      <c r="G4461" s="2"/>
      <c r="H4461" s="2"/>
      <c r="I4461" s="3"/>
      <c r="J4461" s="6"/>
    </row>
    <row r="4462" spans="7:10" x14ac:dyDescent="0.35">
      <c r="G4462" s="2"/>
      <c r="H4462" s="2"/>
      <c r="I4462" s="3"/>
      <c r="J4462" s="6"/>
    </row>
    <row r="4463" spans="7:10" x14ac:dyDescent="0.35">
      <c r="G4463" s="2"/>
      <c r="H4463" s="2"/>
      <c r="I4463" s="3"/>
      <c r="J4463" s="6"/>
    </row>
    <row r="4464" spans="7:10" x14ac:dyDescent="0.35">
      <c r="G4464" s="2"/>
      <c r="H4464" s="2"/>
      <c r="I4464" s="3"/>
      <c r="J4464" s="6"/>
    </row>
    <row r="4465" spans="7:10" x14ac:dyDescent="0.35">
      <c r="G4465" s="2"/>
      <c r="H4465" s="2"/>
      <c r="I4465" s="3"/>
      <c r="J4465" s="6"/>
    </row>
    <row r="4466" spans="7:10" x14ac:dyDescent="0.35">
      <c r="G4466" s="2"/>
      <c r="H4466" s="2"/>
      <c r="I4466" s="3"/>
      <c r="J4466" s="6"/>
    </row>
    <row r="4467" spans="7:10" x14ac:dyDescent="0.35">
      <c r="G4467" s="2"/>
      <c r="H4467" s="2"/>
      <c r="I4467" s="3"/>
      <c r="J4467" s="6"/>
    </row>
    <row r="4468" spans="7:10" x14ac:dyDescent="0.35">
      <c r="G4468" s="2"/>
      <c r="H4468" s="2"/>
      <c r="I4468" s="3"/>
      <c r="J4468" s="6"/>
    </row>
    <row r="4469" spans="7:10" x14ac:dyDescent="0.35">
      <c r="G4469" s="2"/>
      <c r="H4469" s="2"/>
      <c r="I4469" s="3"/>
      <c r="J4469" s="6"/>
    </row>
    <row r="4470" spans="7:10" x14ac:dyDescent="0.35">
      <c r="G4470" s="2"/>
      <c r="H4470" s="2"/>
      <c r="I4470" s="3"/>
      <c r="J4470" s="6"/>
    </row>
    <row r="4471" spans="7:10" x14ac:dyDescent="0.35">
      <c r="G4471" s="2"/>
      <c r="H4471" s="2"/>
      <c r="I4471" s="3"/>
      <c r="J4471" s="6"/>
    </row>
    <row r="4472" spans="7:10" x14ac:dyDescent="0.35">
      <c r="G4472" s="2"/>
      <c r="H4472" s="2"/>
      <c r="I4472" s="3"/>
      <c r="J4472" s="6"/>
    </row>
    <row r="4473" spans="7:10" x14ac:dyDescent="0.35">
      <c r="G4473" s="2"/>
      <c r="H4473" s="2"/>
      <c r="I4473" s="3"/>
      <c r="J4473" s="6"/>
    </row>
    <row r="4474" spans="7:10" x14ac:dyDescent="0.35">
      <c r="G4474" s="2"/>
      <c r="H4474" s="2"/>
      <c r="I4474" s="3"/>
      <c r="J4474" s="6"/>
    </row>
    <row r="4475" spans="7:10" x14ac:dyDescent="0.35">
      <c r="G4475" s="2"/>
      <c r="H4475" s="2"/>
      <c r="I4475" s="3"/>
      <c r="J4475" s="6"/>
    </row>
    <row r="4476" spans="7:10" x14ac:dyDescent="0.35">
      <c r="G4476" s="2"/>
      <c r="H4476" s="2"/>
      <c r="I4476" s="3"/>
      <c r="J4476" s="6"/>
    </row>
    <row r="4477" spans="7:10" x14ac:dyDescent="0.35">
      <c r="G4477" s="2"/>
      <c r="H4477" s="2"/>
      <c r="I4477" s="3"/>
      <c r="J4477" s="6"/>
    </row>
    <row r="4478" spans="7:10" x14ac:dyDescent="0.35">
      <c r="G4478" s="2"/>
      <c r="H4478" s="2"/>
      <c r="I4478" s="3"/>
      <c r="J4478" s="6"/>
    </row>
    <row r="4479" spans="7:10" x14ac:dyDescent="0.35">
      <c r="G4479" s="2"/>
      <c r="H4479" s="2"/>
      <c r="I4479" s="3"/>
      <c r="J4479" s="6"/>
    </row>
    <row r="4480" spans="7:10" x14ac:dyDescent="0.35">
      <c r="G4480" s="2"/>
      <c r="H4480" s="2"/>
      <c r="I4480" s="3"/>
      <c r="J4480" s="6"/>
    </row>
    <row r="4481" spans="7:10" x14ac:dyDescent="0.35">
      <c r="G4481" s="2"/>
      <c r="H4481" s="2"/>
      <c r="I4481" s="3"/>
      <c r="J4481" s="6"/>
    </row>
    <row r="4482" spans="7:10" x14ac:dyDescent="0.35">
      <c r="G4482" s="2"/>
      <c r="H4482" s="2"/>
      <c r="I4482" s="3"/>
      <c r="J4482" s="6"/>
    </row>
    <row r="4483" spans="7:10" x14ac:dyDescent="0.35">
      <c r="G4483" s="2"/>
      <c r="H4483" s="2"/>
      <c r="I4483" s="3"/>
      <c r="J4483" s="6"/>
    </row>
    <row r="4484" spans="7:10" x14ac:dyDescent="0.35">
      <c r="G4484" s="2"/>
      <c r="H4484" s="2"/>
      <c r="I4484" s="3"/>
      <c r="J4484" s="6"/>
    </row>
    <row r="4485" spans="7:10" x14ac:dyDescent="0.35">
      <c r="G4485" s="2"/>
      <c r="H4485" s="2"/>
      <c r="I4485" s="3"/>
      <c r="J4485" s="6"/>
    </row>
    <row r="4486" spans="7:10" x14ac:dyDescent="0.35">
      <c r="G4486" s="2"/>
      <c r="H4486" s="2"/>
      <c r="I4486" s="3"/>
      <c r="J4486" s="6"/>
    </row>
    <row r="4487" spans="7:10" x14ac:dyDescent="0.35">
      <c r="G4487" s="2"/>
      <c r="H4487" s="2"/>
      <c r="I4487" s="3"/>
      <c r="J4487" s="6"/>
    </row>
    <row r="4488" spans="7:10" x14ac:dyDescent="0.35">
      <c r="G4488" s="2"/>
      <c r="H4488" s="2"/>
      <c r="I4488" s="3"/>
      <c r="J4488" s="6"/>
    </row>
    <row r="4489" spans="7:10" x14ac:dyDescent="0.35">
      <c r="G4489" s="2"/>
      <c r="H4489" s="2"/>
      <c r="I4489" s="3"/>
      <c r="J4489" s="6"/>
    </row>
    <row r="4490" spans="7:10" x14ac:dyDescent="0.35">
      <c r="G4490" s="2"/>
      <c r="H4490" s="2"/>
      <c r="I4490" s="3"/>
      <c r="J4490" s="6"/>
    </row>
    <row r="4491" spans="7:10" x14ac:dyDescent="0.35">
      <c r="G4491" s="2"/>
      <c r="H4491" s="2"/>
      <c r="I4491" s="3"/>
      <c r="J4491" s="6"/>
    </row>
    <row r="4492" spans="7:10" x14ac:dyDescent="0.35">
      <c r="G4492" s="2"/>
      <c r="H4492" s="2"/>
      <c r="I4492" s="3"/>
      <c r="J4492" s="6"/>
    </row>
    <row r="4493" spans="7:10" x14ac:dyDescent="0.35">
      <c r="G4493" s="2"/>
      <c r="H4493" s="2"/>
      <c r="I4493" s="3"/>
      <c r="J4493" s="6"/>
    </row>
    <row r="4494" spans="7:10" x14ac:dyDescent="0.35">
      <c r="G4494" s="2"/>
      <c r="H4494" s="2"/>
      <c r="I4494" s="3"/>
      <c r="J4494" s="6"/>
    </row>
    <row r="4495" spans="7:10" x14ac:dyDescent="0.35">
      <c r="G4495" s="2"/>
      <c r="H4495" s="2"/>
      <c r="I4495" s="3"/>
      <c r="J4495" s="6"/>
    </row>
    <row r="4496" spans="7:10" x14ac:dyDescent="0.35">
      <c r="G4496" s="2"/>
      <c r="H4496" s="2"/>
      <c r="I4496" s="3"/>
      <c r="J4496" s="6"/>
    </row>
    <row r="4497" spans="7:10" x14ac:dyDescent="0.35">
      <c r="G4497" s="2"/>
      <c r="H4497" s="2"/>
      <c r="I4497" s="3"/>
      <c r="J4497" s="6"/>
    </row>
    <row r="4498" spans="7:10" x14ac:dyDescent="0.35">
      <c r="G4498" s="2"/>
      <c r="H4498" s="2"/>
      <c r="I4498" s="3"/>
      <c r="J4498" s="6"/>
    </row>
    <row r="4499" spans="7:10" x14ac:dyDescent="0.35">
      <c r="G4499" s="2"/>
      <c r="H4499" s="2"/>
      <c r="I4499" s="3"/>
      <c r="J4499" s="6"/>
    </row>
    <row r="4500" spans="7:10" x14ac:dyDescent="0.35">
      <c r="G4500" s="2"/>
      <c r="H4500" s="2"/>
      <c r="I4500" s="3"/>
      <c r="J4500" s="6"/>
    </row>
    <row r="4501" spans="7:10" x14ac:dyDescent="0.35">
      <c r="G4501" s="2"/>
      <c r="H4501" s="2"/>
      <c r="I4501" s="3"/>
      <c r="J4501" s="6"/>
    </row>
    <row r="4502" spans="7:10" x14ac:dyDescent="0.35">
      <c r="G4502" s="2"/>
      <c r="H4502" s="2"/>
      <c r="I4502" s="3"/>
      <c r="J4502" s="6"/>
    </row>
    <row r="4503" spans="7:10" x14ac:dyDescent="0.35">
      <c r="G4503" s="2"/>
      <c r="H4503" s="2"/>
      <c r="I4503" s="3"/>
      <c r="J4503" s="6"/>
    </row>
    <row r="4504" spans="7:10" x14ac:dyDescent="0.35">
      <c r="G4504" s="2"/>
      <c r="H4504" s="2"/>
      <c r="I4504" s="3"/>
      <c r="J4504" s="6"/>
    </row>
    <row r="4505" spans="7:10" x14ac:dyDescent="0.35">
      <c r="G4505" s="2"/>
      <c r="H4505" s="2"/>
      <c r="I4505" s="3"/>
      <c r="J4505" s="6"/>
    </row>
    <row r="4506" spans="7:10" x14ac:dyDescent="0.35">
      <c r="G4506" s="2"/>
      <c r="H4506" s="2"/>
      <c r="I4506" s="3"/>
      <c r="J4506" s="6"/>
    </row>
    <row r="4507" spans="7:10" x14ac:dyDescent="0.35">
      <c r="G4507" s="2"/>
      <c r="H4507" s="2"/>
      <c r="I4507" s="3"/>
      <c r="J4507" s="6"/>
    </row>
    <row r="4508" spans="7:10" x14ac:dyDescent="0.35">
      <c r="G4508" s="2"/>
      <c r="H4508" s="2"/>
      <c r="I4508" s="3"/>
      <c r="J4508" s="6"/>
    </row>
    <row r="4509" spans="7:10" x14ac:dyDescent="0.35">
      <c r="G4509" s="2"/>
      <c r="H4509" s="2"/>
      <c r="I4509" s="3"/>
      <c r="J4509" s="6"/>
    </row>
    <row r="4510" spans="7:10" x14ac:dyDescent="0.35">
      <c r="G4510" s="2"/>
      <c r="H4510" s="2"/>
      <c r="I4510" s="3"/>
      <c r="J4510" s="6"/>
    </row>
    <row r="4511" spans="7:10" x14ac:dyDescent="0.35">
      <c r="G4511" s="2"/>
      <c r="H4511" s="2"/>
      <c r="I4511" s="3"/>
      <c r="J4511" s="6"/>
    </row>
    <row r="4512" spans="7:10" x14ac:dyDescent="0.35">
      <c r="G4512" s="2"/>
      <c r="H4512" s="2"/>
      <c r="I4512" s="3"/>
      <c r="J4512" s="6"/>
    </row>
    <row r="4513" spans="7:10" x14ac:dyDescent="0.35">
      <c r="G4513" s="2"/>
      <c r="H4513" s="2"/>
      <c r="I4513" s="3"/>
      <c r="J4513" s="6"/>
    </row>
    <row r="4514" spans="7:10" x14ac:dyDescent="0.35">
      <c r="G4514" s="2"/>
      <c r="H4514" s="2"/>
      <c r="I4514" s="3"/>
      <c r="J4514" s="6"/>
    </row>
    <row r="4515" spans="7:10" x14ac:dyDescent="0.35">
      <c r="G4515" s="2"/>
      <c r="H4515" s="2"/>
      <c r="I4515" s="3"/>
      <c r="J4515" s="6"/>
    </row>
    <row r="4516" spans="7:10" x14ac:dyDescent="0.35">
      <c r="G4516" s="2"/>
      <c r="H4516" s="2"/>
      <c r="I4516" s="3"/>
      <c r="J4516" s="6"/>
    </row>
    <row r="4517" spans="7:10" x14ac:dyDescent="0.35">
      <c r="G4517" s="2"/>
      <c r="H4517" s="2"/>
      <c r="I4517" s="3"/>
      <c r="J4517" s="6"/>
    </row>
    <row r="4518" spans="7:10" x14ac:dyDescent="0.35">
      <c r="G4518" s="2"/>
      <c r="H4518" s="2"/>
      <c r="I4518" s="3"/>
      <c r="J4518" s="6"/>
    </row>
    <row r="4519" spans="7:10" x14ac:dyDescent="0.35">
      <c r="G4519" s="2"/>
      <c r="H4519" s="2"/>
      <c r="I4519" s="3"/>
      <c r="J4519" s="6"/>
    </row>
    <row r="4520" spans="7:10" x14ac:dyDescent="0.35">
      <c r="G4520" s="2"/>
      <c r="H4520" s="2"/>
      <c r="I4520" s="3"/>
      <c r="J4520" s="6"/>
    </row>
    <row r="4521" spans="7:10" x14ac:dyDescent="0.35">
      <c r="G4521" s="2"/>
      <c r="H4521" s="2"/>
      <c r="I4521" s="3"/>
      <c r="J4521" s="6"/>
    </row>
    <row r="4522" spans="7:10" x14ac:dyDescent="0.35">
      <c r="G4522" s="2"/>
      <c r="H4522" s="2"/>
      <c r="I4522" s="3"/>
      <c r="J4522" s="6"/>
    </row>
    <row r="4523" spans="7:10" x14ac:dyDescent="0.35">
      <c r="G4523" s="2"/>
      <c r="H4523" s="2"/>
      <c r="I4523" s="3"/>
      <c r="J4523" s="6"/>
    </row>
    <row r="4524" spans="7:10" x14ac:dyDescent="0.35">
      <c r="G4524" s="2"/>
      <c r="H4524" s="2"/>
      <c r="I4524" s="3"/>
      <c r="J4524" s="6"/>
    </row>
    <row r="4525" spans="7:10" x14ac:dyDescent="0.35">
      <c r="G4525" s="2"/>
      <c r="H4525" s="2"/>
      <c r="I4525" s="3"/>
      <c r="J4525" s="6"/>
    </row>
    <row r="4526" spans="7:10" x14ac:dyDescent="0.35">
      <c r="G4526" s="2"/>
      <c r="H4526" s="2"/>
      <c r="I4526" s="3"/>
      <c r="J4526" s="6"/>
    </row>
    <row r="4527" spans="7:10" x14ac:dyDescent="0.35">
      <c r="G4527" s="2"/>
      <c r="H4527" s="2"/>
      <c r="I4527" s="3"/>
      <c r="J4527" s="6"/>
    </row>
    <row r="4528" spans="7:10" x14ac:dyDescent="0.35">
      <c r="G4528" s="2"/>
      <c r="H4528" s="2"/>
      <c r="I4528" s="3"/>
      <c r="J4528" s="6"/>
    </row>
    <row r="4529" spans="7:10" x14ac:dyDescent="0.35">
      <c r="G4529" s="2"/>
      <c r="H4529" s="2"/>
      <c r="I4529" s="3"/>
      <c r="J4529" s="6"/>
    </row>
    <row r="4530" spans="7:10" x14ac:dyDescent="0.35">
      <c r="G4530" s="2"/>
      <c r="H4530" s="2"/>
      <c r="I4530" s="3"/>
      <c r="J4530" s="6"/>
    </row>
    <row r="4531" spans="7:10" x14ac:dyDescent="0.35">
      <c r="G4531" s="2"/>
      <c r="H4531" s="2"/>
      <c r="I4531" s="3"/>
      <c r="J4531" s="6"/>
    </row>
    <row r="4532" spans="7:10" x14ac:dyDescent="0.35">
      <c r="G4532" s="2"/>
      <c r="H4532" s="2"/>
      <c r="I4532" s="3"/>
      <c r="J4532" s="6"/>
    </row>
    <row r="4533" spans="7:10" x14ac:dyDescent="0.35">
      <c r="G4533" s="2"/>
      <c r="H4533" s="2"/>
      <c r="I4533" s="3"/>
      <c r="J4533" s="6"/>
    </row>
    <row r="4534" spans="7:10" x14ac:dyDescent="0.35">
      <c r="G4534" s="2"/>
      <c r="H4534" s="2"/>
      <c r="I4534" s="3"/>
      <c r="J4534" s="6"/>
    </row>
    <row r="4535" spans="7:10" x14ac:dyDescent="0.35">
      <c r="G4535" s="2"/>
      <c r="H4535" s="2"/>
      <c r="I4535" s="3"/>
      <c r="J4535" s="6"/>
    </row>
    <row r="4536" spans="7:10" x14ac:dyDescent="0.35">
      <c r="G4536" s="2"/>
      <c r="H4536" s="2"/>
      <c r="I4536" s="3"/>
      <c r="J4536" s="6"/>
    </row>
    <row r="4537" spans="7:10" x14ac:dyDescent="0.35">
      <c r="G4537" s="2"/>
      <c r="H4537" s="2"/>
      <c r="I4537" s="3"/>
      <c r="J4537" s="6"/>
    </row>
    <row r="4538" spans="7:10" x14ac:dyDescent="0.35">
      <c r="G4538" s="2"/>
      <c r="H4538" s="2"/>
      <c r="I4538" s="3"/>
      <c r="J4538" s="6"/>
    </row>
    <row r="4539" spans="7:10" x14ac:dyDescent="0.35">
      <c r="G4539" s="2"/>
      <c r="H4539" s="2"/>
      <c r="I4539" s="3"/>
      <c r="J4539" s="6"/>
    </row>
    <row r="4540" spans="7:10" x14ac:dyDescent="0.35">
      <c r="G4540" s="2"/>
      <c r="H4540" s="2"/>
      <c r="I4540" s="3"/>
      <c r="J4540" s="6"/>
    </row>
    <row r="4541" spans="7:10" x14ac:dyDescent="0.35">
      <c r="G4541" s="2"/>
      <c r="H4541" s="2"/>
      <c r="I4541" s="3"/>
      <c r="J4541" s="6"/>
    </row>
    <row r="4542" spans="7:10" x14ac:dyDescent="0.35">
      <c r="G4542" s="2"/>
      <c r="H4542" s="2"/>
      <c r="I4542" s="3"/>
      <c r="J4542" s="6"/>
    </row>
    <row r="4543" spans="7:10" x14ac:dyDescent="0.35">
      <c r="G4543" s="2"/>
      <c r="H4543" s="2"/>
      <c r="I4543" s="3"/>
      <c r="J4543" s="6"/>
    </row>
    <row r="4544" spans="7:10" x14ac:dyDescent="0.35">
      <c r="G4544" s="2"/>
      <c r="H4544" s="2"/>
      <c r="I4544" s="3"/>
      <c r="J4544" s="6"/>
    </row>
    <row r="4545" spans="7:10" x14ac:dyDescent="0.35">
      <c r="G4545" s="2"/>
      <c r="H4545" s="2"/>
      <c r="I4545" s="3"/>
      <c r="J4545" s="6"/>
    </row>
    <row r="4546" spans="7:10" x14ac:dyDescent="0.35">
      <c r="G4546" s="2"/>
      <c r="H4546" s="2"/>
      <c r="I4546" s="3"/>
      <c r="J4546" s="6"/>
    </row>
    <row r="4547" spans="7:10" x14ac:dyDescent="0.35">
      <c r="G4547" s="2"/>
      <c r="H4547" s="2"/>
      <c r="I4547" s="3"/>
      <c r="J4547" s="6"/>
    </row>
    <row r="4548" spans="7:10" x14ac:dyDescent="0.35">
      <c r="G4548" s="2"/>
      <c r="H4548" s="2"/>
      <c r="I4548" s="3"/>
      <c r="J4548" s="6"/>
    </row>
    <row r="4549" spans="7:10" x14ac:dyDescent="0.35">
      <c r="G4549" s="2"/>
      <c r="H4549" s="2"/>
      <c r="I4549" s="3"/>
      <c r="J4549" s="6"/>
    </row>
    <row r="4550" spans="7:10" x14ac:dyDescent="0.35">
      <c r="G4550" s="2"/>
      <c r="H4550" s="2"/>
      <c r="I4550" s="3"/>
      <c r="J4550" s="6"/>
    </row>
    <row r="4551" spans="7:10" x14ac:dyDescent="0.35">
      <c r="G4551" s="2"/>
      <c r="H4551" s="2"/>
      <c r="I4551" s="3"/>
      <c r="J4551" s="6"/>
    </row>
    <row r="4552" spans="7:10" x14ac:dyDescent="0.35">
      <c r="G4552" s="2"/>
      <c r="H4552" s="2"/>
      <c r="I4552" s="3"/>
      <c r="J4552" s="6"/>
    </row>
    <row r="4553" spans="7:10" x14ac:dyDescent="0.35">
      <c r="G4553" s="2"/>
      <c r="H4553" s="2"/>
      <c r="I4553" s="3"/>
      <c r="J4553" s="6"/>
    </row>
    <row r="4554" spans="7:10" x14ac:dyDescent="0.35">
      <c r="G4554" s="2"/>
      <c r="H4554" s="2"/>
      <c r="I4554" s="3"/>
      <c r="J4554" s="6"/>
    </row>
    <row r="4555" spans="7:10" x14ac:dyDescent="0.35">
      <c r="G4555" s="2"/>
      <c r="H4555" s="2"/>
      <c r="I4555" s="3"/>
      <c r="J4555" s="6"/>
    </row>
    <row r="4556" spans="7:10" x14ac:dyDescent="0.35">
      <c r="G4556" s="2"/>
      <c r="H4556" s="2"/>
      <c r="I4556" s="3"/>
      <c r="J4556" s="6"/>
    </row>
    <row r="4557" spans="7:10" x14ac:dyDescent="0.35">
      <c r="G4557" s="2"/>
      <c r="H4557" s="2"/>
      <c r="I4557" s="3"/>
      <c r="J4557" s="6"/>
    </row>
    <row r="4558" spans="7:10" x14ac:dyDescent="0.35">
      <c r="G4558" s="2"/>
      <c r="H4558" s="2"/>
      <c r="I4558" s="3"/>
      <c r="J4558" s="6"/>
    </row>
    <row r="4559" spans="7:10" x14ac:dyDescent="0.35">
      <c r="G4559" s="2"/>
      <c r="H4559" s="2"/>
      <c r="I4559" s="3"/>
      <c r="J4559" s="6"/>
    </row>
    <row r="4560" spans="7:10" x14ac:dyDescent="0.35">
      <c r="G4560" s="2"/>
      <c r="H4560" s="2"/>
      <c r="I4560" s="3"/>
      <c r="J4560" s="6"/>
    </row>
    <row r="4561" spans="7:10" x14ac:dyDescent="0.35">
      <c r="G4561" s="2"/>
      <c r="H4561" s="2"/>
      <c r="I4561" s="3"/>
      <c r="J4561" s="6"/>
    </row>
    <row r="4562" spans="7:10" x14ac:dyDescent="0.35">
      <c r="G4562" s="2"/>
      <c r="H4562" s="2"/>
      <c r="I4562" s="3"/>
      <c r="J4562" s="6"/>
    </row>
    <row r="4563" spans="7:10" x14ac:dyDescent="0.35">
      <c r="G4563" s="2"/>
      <c r="H4563" s="2"/>
      <c r="I4563" s="3"/>
      <c r="J4563" s="6"/>
    </row>
    <row r="4564" spans="7:10" x14ac:dyDescent="0.35">
      <c r="G4564" s="2"/>
      <c r="H4564" s="2"/>
      <c r="I4564" s="3"/>
      <c r="J4564" s="6"/>
    </row>
    <row r="4565" spans="7:10" x14ac:dyDescent="0.35">
      <c r="G4565" s="2"/>
      <c r="H4565" s="2"/>
      <c r="I4565" s="3"/>
      <c r="J4565" s="6"/>
    </row>
    <row r="4566" spans="7:10" x14ac:dyDescent="0.35">
      <c r="G4566" s="2"/>
      <c r="H4566" s="2"/>
      <c r="I4566" s="3"/>
      <c r="J4566" s="6"/>
    </row>
    <row r="4567" spans="7:10" x14ac:dyDescent="0.35">
      <c r="G4567" s="2"/>
      <c r="H4567" s="2"/>
      <c r="I4567" s="3"/>
      <c r="J4567" s="6"/>
    </row>
    <row r="4568" spans="7:10" x14ac:dyDescent="0.35">
      <c r="G4568" s="2"/>
      <c r="H4568" s="2"/>
      <c r="I4568" s="3"/>
      <c r="J4568" s="6"/>
    </row>
    <row r="4569" spans="7:10" x14ac:dyDescent="0.35">
      <c r="G4569" s="2"/>
      <c r="H4569" s="2"/>
      <c r="I4569" s="3"/>
      <c r="J4569" s="6"/>
    </row>
    <row r="4570" spans="7:10" x14ac:dyDescent="0.35">
      <c r="G4570" s="2"/>
      <c r="H4570" s="2"/>
      <c r="I4570" s="3"/>
      <c r="J4570" s="6"/>
    </row>
    <row r="4571" spans="7:10" x14ac:dyDescent="0.35">
      <c r="G4571" s="2"/>
      <c r="H4571" s="2"/>
      <c r="I4571" s="3"/>
      <c r="J4571" s="6"/>
    </row>
    <row r="4572" spans="7:10" x14ac:dyDescent="0.35">
      <c r="G4572" s="2"/>
      <c r="H4572" s="2"/>
      <c r="I4572" s="3"/>
      <c r="J4572" s="6"/>
    </row>
    <row r="4573" spans="7:10" x14ac:dyDescent="0.35">
      <c r="G4573" s="2"/>
      <c r="H4573" s="2"/>
      <c r="I4573" s="3"/>
      <c r="J4573" s="6"/>
    </row>
    <row r="4574" spans="7:10" x14ac:dyDescent="0.35">
      <c r="G4574" s="2"/>
      <c r="H4574" s="2"/>
      <c r="I4574" s="3"/>
      <c r="J4574" s="6"/>
    </row>
    <row r="4575" spans="7:10" x14ac:dyDescent="0.35">
      <c r="G4575" s="2"/>
      <c r="H4575" s="2"/>
      <c r="I4575" s="3"/>
      <c r="J4575" s="6"/>
    </row>
    <row r="4576" spans="7:10" x14ac:dyDescent="0.35">
      <c r="G4576" s="2"/>
      <c r="H4576" s="2"/>
      <c r="I4576" s="3"/>
      <c r="J4576" s="6"/>
    </row>
    <row r="4577" spans="7:10" x14ac:dyDescent="0.35">
      <c r="G4577" s="2"/>
      <c r="H4577" s="2"/>
      <c r="I4577" s="3"/>
      <c r="J4577" s="6"/>
    </row>
    <row r="4578" spans="7:10" x14ac:dyDescent="0.35">
      <c r="G4578" s="2"/>
      <c r="H4578" s="2"/>
      <c r="I4578" s="3"/>
      <c r="J4578" s="6"/>
    </row>
    <row r="4579" spans="7:10" x14ac:dyDescent="0.35">
      <c r="G4579" s="2"/>
      <c r="H4579" s="2"/>
      <c r="I4579" s="3"/>
      <c r="J4579" s="6"/>
    </row>
    <row r="4580" spans="7:10" x14ac:dyDescent="0.35">
      <c r="G4580" s="2"/>
      <c r="H4580" s="2"/>
      <c r="I4580" s="3"/>
      <c r="J4580" s="6"/>
    </row>
    <row r="4581" spans="7:10" x14ac:dyDescent="0.35">
      <c r="G4581" s="2"/>
      <c r="H4581" s="2"/>
      <c r="I4581" s="3"/>
      <c r="J4581" s="6"/>
    </row>
    <row r="4582" spans="7:10" x14ac:dyDescent="0.35">
      <c r="G4582" s="2"/>
      <c r="H4582" s="2"/>
      <c r="I4582" s="3"/>
      <c r="J4582" s="6"/>
    </row>
    <row r="4583" spans="7:10" x14ac:dyDescent="0.35">
      <c r="G4583" s="2"/>
      <c r="H4583" s="2"/>
      <c r="I4583" s="3"/>
      <c r="J4583" s="6"/>
    </row>
    <row r="4584" spans="7:10" x14ac:dyDescent="0.35">
      <c r="G4584" s="2"/>
      <c r="H4584" s="2"/>
      <c r="I4584" s="3"/>
      <c r="J4584" s="6"/>
    </row>
    <row r="4585" spans="7:10" x14ac:dyDescent="0.35">
      <c r="G4585" s="2"/>
      <c r="H4585" s="2"/>
      <c r="I4585" s="3"/>
      <c r="J4585" s="6"/>
    </row>
    <row r="4586" spans="7:10" x14ac:dyDescent="0.35">
      <c r="G4586" s="2"/>
      <c r="H4586" s="2"/>
      <c r="I4586" s="3"/>
      <c r="J4586" s="6"/>
    </row>
    <row r="4587" spans="7:10" x14ac:dyDescent="0.35">
      <c r="G4587" s="2"/>
      <c r="H4587" s="2"/>
      <c r="I4587" s="3"/>
      <c r="J4587" s="6"/>
    </row>
    <row r="4588" spans="7:10" x14ac:dyDescent="0.35">
      <c r="G4588" s="2"/>
      <c r="H4588" s="2"/>
      <c r="I4588" s="3"/>
      <c r="J4588" s="6"/>
    </row>
    <row r="4589" spans="7:10" x14ac:dyDescent="0.35">
      <c r="G4589" s="2"/>
      <c r="H4589" s="2"/>
      <c r="I4589" s="3"/>
      <c r="J4589" s="6"/>
    </row>
    <row r="4590" spans="7:10" x14ac:dyDescent="0.35">
      <c r="G4590" s="2"/>
      <c r="H4590" s="2"/>
      <c r="I4590" s="3"/>
      <c r="J4590" s="6"/>
    </row>
    <row r="4591" spans="7:10" x14ac:dyDescent="0.35">
      <c r="G4591" s="2"/>
      <c r="H4591" s="2"/>
      <c r="I4591" s="3"/>
      <c r="J4591" s="6"/>
    </row>
    <row r="4592" spans="7:10" x14ac:dyDescent="0.35">
      <c r="G4592" s="2"/>
      <c r="H4592" s="2"/>
      <c r="I4592" s="3"/>
      <c r="J4592" s="6"/>
    </row>
    <row r="4593" spans="7:10" x14ac:dyDescent="0.35">
      <c r="G4593" s="2"/>
      <c r="H4593" s="2"/>
      <c r="I4593" s="3"/>
      <c r="J4593" s="6"/>
    </row>
    <row r="4594" spans="7:10" x14ac:dyDescent="0.35">
      <c r="G4594" s="2"/>
      <c r="H4594" s="2"/>
      <c r="I4594" s="3"/>
      <c r="J4594" s="6"/>
    </row>
    <row r="4595" spans="7:10" x14ac:dyDescent="0.35">
      <c r="G4595" s="2"/>
      <c r="H4595" s="2"/>
      <c r="I4595" s="3"/>
      <c r="J4595" s="6"/>
    </row>
    <row r="4596" spans="7:10" x14ac:dyDescent="0.35">
      <c r="G4596" s="2"/>
      <c r="H4596" s="2"/>
      <c r="I4596" s="3"/>
      <c r="J4596" s="6"/>
    </row>
    <row r="4597" spans="7:10" x14ac:dyDescent="0.35">
      <c r="G4597" s="2"/>
      <c r="H4597" s="2"/>
      <c r="I4597" s="3"/>
      <c r="J4597" s="6"/>
    </row>
    <row r="4598" spans="7:10" x14ac:dyDescent="0.35">
      <c r="G4598" s="2"/>
      <c r="H4598" s="2"/>
      <c r="I4598" s="3"/>
      <c r="J4598" s="6"/>
    </row>
    <row r="4599" spans="7:10" x14ac:dyDescent="0.35">
      <c r="G4599" s="2"/>
      <c r="H4599" s="2"/>
      <c r="I4599" s="3"/>
      <c r="J4599" s="6"/>
    </row>
    <row r="4600" spans="7:10" x14ac:dyDescent="0.35">
      <c r="G4600" s="2"/>
      <c r="H4600" s="2"/>
      <c r="I4600" s="3"/>
      <c r="J4600" s="6"/>
    </row>
    <row r="4601" spans="7:10" x14ac:dyDescent="0.35">
      <c r="G4601" s="2"/>
      <c r="H4601" s="2"/>
      <c r="I4601" s="3"/>
      <c r="J4601" s="6"/>
    </row>
    <row r="4602" spans="7:10" x14ac:dyDescent="0.35">
      <c r="G4602" s="2"/>
      <c r="H4602" s="2"/>
      <c r="I4602" s="3"/>
      <c r="J4602" s="6"/>
    </row>
    <row r="4603" spans="7:10" x14ac:dyDescent="0.35">
      <c r="G4603" s="2"/>
      <c r="H4603" s="2"/>
      <c r="I4603" s="3"/>
      <c r="J4603" s="6"/>
    </row>
    <row r="4604" spans="7:10" x14ac:dyDescent="0.35">
      <c r="G4604" s="2"/>
      <c r="H4604" s="2"/>
      <c r="I4604" s="3"/>
      <c r="J4604" s="6"/>
    </row>
    <row r="4605" spans="7:10" x14ac:dyDescent="0.35">
      <c r="G4605" s="2"/>
      <c r="H4605" s="2"/>
      <c r="I4605" s="3"/>
      <c r="J4605" s="6"/>
    </row>
    <row r="4606" spans="7:10" x14ac:dyDescent="0.35">
      <c r="G4606" s="2"/>
      <c r="H4606" s="2"/>
      <c r="I4606" s="3"/>
      <c r="J4606" s="6"/>
    </row>
    <row r="4607" spans="7:10" x14ac:dyDescent="0.35">
      <c r="G4607" s="2"/>
      <c r="H4607" s="2"/>
      <c r="I4607" s="3"/>
      <c r="J4607" s="6"/>
    </row>
    <row r="4608" spans="7:10" x14ac:dyDescent="0.35">
      <c r="G4608" s="2"/>
      <c r="H4608" s="2"/>
      <c r="I4608" s="3"/>
      <c r="J4608" s="6"/>
    </row>
    <row r="4609" spans="7:10" x14ac:dyDescent="0.35">
      <c r="G4609" s="2"/>
      <c r="H4609" s="2"/>
      <c r="I4609" s="3"/>
      <c r="J4609" s="6"/>
    </row>
    <row r="4610" spans="7:10" x14ac:dyDescent="0.35">
      <c r="G4610" s="2"/>
      <c r="H4610" s="2"/>
      <c r="I4610" s="3"/>
      <c r="J4610" s="6"/>
    </row>
    <row r="4611" spans="7:10" x14ac:dyDescent="0.35">
      <c r="G4611" s="2"/>
      <c r="H4611" s="2"/>
      <c r="I4611" s="3"/>
      <c r="J4611" s="6"/>
    </row>
    <row r="4612" spans="7:10" x14ac:dyDescent="0.35">
      <c r="G4612" s="2"/>
      <c r="H4612" s="2"/>
      <c r="I4612" s="3"/>
      <c r="J4612" s="6"/>
    </row>
    <row r="4613" spans="7:10" x14ac:dyDescent="0.35">
      <c r="G4613" s="2"/>
      <c r="H4613" s="2"/>
      <c r="I4613" s="3"/>
      <c r="J4613" s="6"/>
    </row>
    <row r="4614" spans="7:10" x14ac:dyDescent="0.35">
      <c r="G4614" s="2"/>
      <c r="H4614" s="2"/>
      <c r="I4614" s="3"/>
      <c r="J4614" s="6"/>
    </row>
    <row r="4615" spans="7:10" x14ac:dyDescent="0.35">
      <c r="G4615" s="2"/>
      <c r="H4615" s="2"/>
      <c r="I4615" s="3"/>
      <c r="J4615" s="6"/>
    </row>
    <row r="4616" spans="7:10" x14ac:dyDescent="0.35">
      <c r="G4616" s="2"/>
      <c r="H4616" s="2"/>
      <c r="I4616" s="3"/>
      <c r="J4616" s="6"/>
    </row>
    <row r="4617" spans="7:10" x14ac:dyDescent="0.35">
      <c r="G4617" s="2"/>
      <c r="H4617" s="2"/>
      <c r="I4617" s="3"/>
      <c r="J4617" s="6"/>
    </row>
    <row r="4618" spans="7:10" x14ac:dyDescent="0.35">
      <c r="G4618" s="2"/>
      <c r="H4618" s="2"/>
      <c r="I4618" s="3"/>
      <c r="J4618" s="6"/>
    </row>
    <row r="4619" spans="7:10" x14ac:dyDescent="0.35">
      <c r="G4619" s="2"/>
      <c r="H4619" s="2"/>
      <c r="I4619" s="3"/>
      <c r="J4619" s="6"/>
    </row>
    <row r="4620" spans="7:10" x14ac:dyDescent="0.35">
      <c r="G4620" s="2"/>
      <c r="H4620" s="2"/>
      <c r="I4620" s="3"/>
      <c r="J4620" s="6"/>
    </row>
    <row r="4621" spans="7:10" x14ac:dyDescent="0.35">
      <c r="G4621" s="2"/>
      <c r="H4621" s="2"/>
      <c r="I4621" s="3"/>
      <c r="J4621" s="6"/>
    </row>
    <row r="4622" spans="7:10" x14ac:dyDescent="0.35">
      <c r="G4622" s="2"/>
      <c r="H4622" s="2"/>
      <c r="I4622" s="3"/>
      <c r="J4622" s="6"/>
    </row>
    <row r="4623" spans="7:10" x14ac:dyDescent="0.35">
      <c r="G4623" s="2"/>
      <c r="H4623" s="2"/>
      <c r="I4623" s="3"/>
      <c r="J4623" s="6"/>
    </row>
    <row r="4624" spans="7:10" x14ac:dyDescent="0.35">
      <c r="G4624" s="2"/>
      <c r="H4624" s="2"/>
      <c r="I4624" s="3"/>
      <c r="J4624" s="6"/>
    </row>
    <row r="4625" spans="7:10" x14ac:dyDescent="0.35">
      <c r="G4625" s="2"/>
      <c r="H4625" s="2"/>
      <c r="I4625" s="3"/>
      <c r="J4625" s="6"/>
    </row>
    <row r="4626" spans="7:10" x14ac:dyDescent="0.35">
      <c r="G4626" s="2"/>
      <c r="H4626" s="2"/>
      <c r="I4626" s="3"/>
      <c r="J4626" s="6"/>
    </row>
    <row r="4627" spans="7:10" x14ac:dyDescent="0.35">
      <c r="G4627" s="2"/>
      <c r="H4627" s="2"/>
      <c r="I4627" s="3"/>
      <c r="J4627" s="6"/>
    </row>
    <row r="4628" spans="7:10" x14ac:dyDescent="0.35">
      <c r="G4628" s="2"/>
      <c r="H4628" s="2"/>
      <c r="I4628" s="3"/>
      <c r="J4628" s="6"/>
    </row>
    <row r="4629" spans="7:10" x14ac:dyDescent="0.35">
      <c r="G4629" s="2"/>
      <c r="H4629" s="2"/>
      <c r="I4629" s="3"/>
      <c r="J4629" s="6"/>
    </row>
    <row r="4630" spans="7:10" x14ac:dyDescent="0.35">
      <c r="G4630" s="2"/>
      <c r="H4630" s="2"/>
      <c r="I4630" s="3"/>
      <c r="J4630" s="6"/>
    </row>
    <row r="4631" spans="7:10" x14ac:dyDescent="0.35">
      <c r="G4631" s="2"/>
      <c r="H4631" s="2"/>
      <c r="I4631" s="3"/>
      <c r="J4631" s="6"/>
    </row>
    <row r="4632" spans="7:10" x14ac:dyDescent="0.35">
      <c r="G4632" s="2"/>
      <c r="H4632" s="2"/>
      <c r="I4632" s="3"/>
      <c r="J4632" s="6"/>
    </row>
    <row r="4633" spans="7:10" x14ac:dyDescent="0.35">
      <c r="G4633" s="2"/>
      <c r="H4633" s="2"/>
      <c r="I4633" s="3"/>
      <c r="J4633" s="6"/>
    </row>
    <row r="4634" spans="7:10" x14ac:dyDescent="0.35">
      <c r="G4634" s="2"/>
      <c r="H4634" s="2"/>
      <c r="I4634" s="3"/>
      <c r="J4634" s="6"/>
    </row>
    <row r="4635" spans="7:10" x14ac:dyDescent="0.35">
      <c r="G4635" s="2"/>
      <c r="H4635" s="2"/>
      <c r="I4635" s="3"/>
      <c r="J4635" s="6"/>
    </row>
    <row r="4636" spans="7:10" x14ac:dyDescent="0.35">
      <c r="G4636" s="2"/>
      <c r="H4636" s="2"/>
      <c r="I4636" s="3"/>
      <c r="J4636" s="6"/>
    </row>
    <row r="4637" spans="7:10" x14ac:dyDescent="0.35">
      <c r="G4637" s="2"/>
      <c r="H4637" s="2"/>
      <c r="I4637" s="3"/>
      <c r="J4637" s="6"/>
    </row>
    <row r="4638" spans="7:10" x14ac:dyDescent="0.35">
      <c r="G4638" s="2"/>
      <c r="H4638" s="2"/>
      <c r="I4638" s="3"/>
      <c r="J4638" s="6"/>
    </row>
    <row r="4639" spans="7:10" x14ac:dyDescent="0.35">
      <c r="G4639" s="2"/>
      <c r="H4639" s="2"/>
      <c r="I4639" s="3"/>
      <c r="J4639" s="6"/>
    </row>
    <row r="4640" spans="7:10" x14ac:dyDescent="0.35">
      <c r="G4640" s="2"/>
      <c r="H4640" s="2"/>
      <c r="I4640" s="3"/>
      <c r="J4640" s="6"/>
    </row>
    <row r="4641" spans="7:10" x14ac:dyDescent="0.35">
      <c r="G4641" s="2"/>
      <c r="H4641" s="2"/>
      <c r="I4641" s="3"/>
      <c r="J4641" s="6"/>
    </row>
    <row r="4642" spans="7:10" x14ac:dyDescent="0.35">
      <c r="G4642" s="2"/>
      <c r="H4642" s="2"/>
      <c r="I4642" s="3"/>
      <c r="J4642" s="6"/>
    </row>
    <row r="4643" spans="7:10" x14ac:dyDescent="0.35">
      <c r="G4643" s="2"/>
      <c r="H4643" s="2"/>
      <c r="I4643" s="3"/>
      <c r="J4643" s="6"/>
    </row>
    <row r="4644" spans="7:10" x14ac:dyDescent="0.35">
      <c r="G4644" s="2"/>
      <c r="H4644" s="2"/>
      <c r="I4644" s="3"/>
      <c r="J4644" s="6"/>
    </row>
    <row r="4645" spans="7:10" x14ac:dyDescent="0.35">
      <c r="G4645" s="2"/>
      <c r="H4645" s="2"/>
      <c r="I4645" s="3"/>
      <c r="J4645" s="6"/>
    </row>
    <row r="4646" spans="7:10" x14ac:dyDescent="0.35">
      <c r="G4646" s="2"/>
      <c r="H4646" s="2"/>
      <c r="I4646" s="3"/>
      <c r="J4646" s="6"/>
    </row>
    <row r="4647" spans="7:10" x14ac:dyDescent="0.35">
      <c r="G4647" s="2"/>
      <c r="H4647" s="2"/>
      <c r="I4647" s="3"/>
      <c r="J4647" s="6"/>
    </row>
    <row r="4648" spans="7:10" x14ac:dyDescent="0.35">
      <c r="G4648" s="2"/>
      <c r="H4648" s="2"/>
      <c r="I4648" s="3"/>
      <c r="J4648" s="6"/>
    </row>
    <row r="4649" spans="7:10" x14ac:dyDescent="0.35">
      <c r="G4649" s="2"/>
      <c r="H4649" s="2"/>
      <c r="I4649" s="3"/>
      <c r="J4649" s="6"/>
    </row>
    <row r="4650" spans="7:10" x14ac:dyDescent="0.35">
      <c r="G4650" s="2"/>
      <c r="H4650" s="2"/>
      <c r="I4650" s="3"/>
      <c r="J4650" s="6"/>
    </row>
    <row r="4651" spans="7:10" x14ac:dyDescent="0.35">
      <c r="G4651" s="2"/>
      <c r="H4651" s="2"/>
      <c r="I4651" s="3"/>
      <c r="J4651" s="6"/>
    </row>
    <row r="4652" spans="7:10" x14ac:dyDescent="0.35">
      <c r="G4652" s="2"/>
      <c r="H4652" s="2"/>
      <c r="I4652" s="3"/>
      <c r="J4652" s="6"/>
    </row>
    <row r="4653" spans="7:10" x14ac:dyDescent="0.35">
      <c r="G4653" s="2"/>
      <c r="H4653" s="2"/>
      <c r="I4653" s="3"/>
      <c r="J4653" s="6"/>
    </row>
    <row r="4654" spans="7:10" x14ac:dyDescent="0.35">
      <c r="G4654" s="2"/>
      <c r="H4654" s="2"/>
      <c r="I4654" s="3"/>
      <c r="J4654" s="6"/>
    </row>
    <row r="4655" spans="7:10" x14ac:dyDescent="0.35">
      <c r="G4655" s="2"/>
      <c r="H4655" s="2"/>
      <c r="I4655" s="3"/>
      <c r="J4655" s="6"/>
    </row>
    <row r="4656" spans="7:10" x14ac:dyDescent="0.35">
      <c r="G4656" s="2"/>
      <c r="H4656" s="2"/>
      <c r="I4656" s="3"/>
      <c r="J4656" s="6"/>
    </row>
    <row r="4657" spans="7:10" x14ac:dyDescent="0.35">
      <c r="G4657" s="2"/>
      <c r="H4657" s="2"/>
      <c r="I4657" s="3"/>
      <c r="J4657" s="6"/>
    </row>
    <row r="4658" spans="7:10" x14ac:dyDescent="0.35">
      <c r="G4658" s="2"/>
      <c r="H4658" s="2"/>
      <c r="I4658" s="3"/>
      <c r="J4658" s="6"/>
    </row>
    <row r="4659" spans="7:10" x14ac:dyDescent="0.35">
      <c r="G4659" s="2"/>
      <c r="H4659" s="2"/>
      <c r="I4659" s="3"/>
      <c r="J4659" s="6"/>
    </row>
    <row r="4660" spans="7:10" x14ac:dyDescent="0.35">
      <c r="G4660" s="2"/>
      <c r="H4660" s="2"/>
      <c r="I4660" s="3"/>
      <c r="J4660" s="6"/>
    </row>
    <row r="4661" spans="7:10" x14ac:dyDescent="0.35">
      <c r="G4661" s="2"/>
      <c r="H4661" s="2"/>
      <c r="I4661" s="3"/>
      <c r="J4661" s="6"/>
    </row>
    <row r="4662" spans="7:10" x14ac:dyDescent="0.35">
      <c r="G4662" s="2"/>
      <c r="H4662" s="2"/>
      <c r="I4662" s="3"/>
      <c r="J4662" s="6"/>
    </row>
    <row r="4663" spans="7:10" x14ac:dyDescent="0.35">
      <c r="G4663" s="2"/>
      <c r="H4663" s="2"/>
      <c r="I4663" s="3"/>
      <c r="J4663" s="6"/>
    </row>
    <row r="4664" spans="7:10" x14ac:dyDescent="0.35">
      <c r="G4664" s="2"/>
      <c r="H4664" s="2"/>
      <c r="I4664" s="3"/>
      <c r="J4664" s="6"/>
    </row>
    <row r="4665" spans="7:10" x14ac:dyDescent="0.35">
      <c r="G4665" s="2"/>
      <c r="H4665" s="2"/>
      <c r="I4665" s="3"/>
      <c r="J4665" s="6"/>
    </row>
    <row r="4666" spans="7:10" x14ac:dyDescent="0.35">
      <c r="G4666" s="2"/>
      <c r="H4666" s="2"/>
      <c r="I4666" s="3"/>
      <c r="J4666" s="6"/>
    </row>
    <row r="4667" spans="7:10" x14ac:dyDescent="0.35">
      <c r="G4667" s="2"/>
      <c r="H4667" s="2"/>
      <c r="I4667" s="3"/>
      <c r="J4667" s="6"/>
    </row>
    <row r="4668" spans="7:10" x14ac:dyDescent="0.35">
      <c r="G4668" s="2"/>
      <c r="H4668" s="2"/>
      <c r="I4668" s="3"/>
      <c r="J4668" s="6"/>
    </row>
    <row r="4669" spans="7:10" x14ac:dyDescent="0.35">
      <c r="G4669" s="2"/>
      <c r="H4669" s="2"/>
      <c r="I4669" s="3"/>
      <c r="J4669" s="6"/>
    </row>
    <row r="4670" spans="7:10" x14ac:dyDescent="0.35">
      <c r="G4670" s="2"/>
      <c r="H4670" s="2"/>
      <c r="I4670" s="3"/>
      <c r="J4670" s="6"/>
    </row>
    <row r="4671" spans="7:10" x14ac:dyDescent="0.35">
      <c r="G4671" s="2"/>
      <c r="H4671" s="2"/>
      <c r="I4671" s="3"/>
      <c r="J4671" s="6"/>
    </row>
    <row r="4672" spans="7:10" x14ac:dyDescent="0.35">
      <c r="G4672" s="2"/>
      <c r="H4672" s="2"/>
      <c r="I4672" s="3"/>
      <c r="J4672" s="6"/>
    </row>
    <row r="4673" spans="7:10" x14ac:dyDescent="0.35">
      <c r="G4673" s="2"/>
      <c r="H4673" s="2"/>
      <c r="I4673" s="3"/>
      <c r="J4673" s="6"/>
    </row>
    <row r="4674" spans="7:10" x14ac:dyDescent="0.35">
      <c r="G4674" s="2"/>
      <c r="H4674" s="2"/>
      <c r="I4674" s="3"/>
      <c r="J4674" s="6"/>
    </row>
    <row r="4675" spans="7:10" x14ac:dyDescent="0.35">
      <c r="G4675" s="2"/>
      <c r="H4675" s="2"/>
      <c r="I4675" s="3"/>
      <c r="J4675" s="6"/>
    </row>
    <row r="4676" spans="7:10" x14ac:dyDescent="0.35">
      <c r="G4676" s="2"/>
      <c r="H4676" s="2"/>
      <c r="I4676" s="3"/>
      <c r="J4676" s="6"/>
    </row>
    <row r="4677" spans="7:10" x14ac:dyDescent="0.35">
      <c r="G4677" s="2"/>
      <c r="H4677" s="2"/>
      <c r="I4677" s="3"/>
      <c r="J4677" s="6"/>
    </row>
    <row r="4678" spans="7:10" x14ac:dyDescent="0.35">
      <c r="G4678" s="2"/>
      <c r="H4678" s="2"/>
      <c r="I4678" s="3"/>
      <c r="J4678" s="6"/>
    </row>
    <row r="4679" spans="7:10" x14ac:dyDescent="0.35">
      <c r="G4679" s="2"/>
      <c r="H4679" s="2"/>
      <c r="I4679" s="3"/>
      <c r="J4679" s="6"/>
    </row>
    <row r="4680" spans="7:10" x14ac:dyDescent="0.35">
      <c r="G4680" s="2"/>
      <c r="H4680" s="2"/>
      <c r="I4680" s="3"/>
      <c r="J4680" s="6"/>
    </row>
    <row r="4681" spans="7:10" x14ac:dyDescent="0.35">
      <c r="G4681" s="2"/>
      <c r="H4681" s="2"/>
      <c r="I4681" s="3"/>
      <c r="J4681" s="6"/>
    </row>
    <row r="4682" spans="7:10" x14ac:dyDescent="0.35">
      <c r="G4682" s="2"/>
      <c r="H4682" s="2"/>
      <c r="I4682" s="3"/>
      <c r="J4682" s="6"/>
    </row>
    <row r="4683" spans="7:10" x14ac:dyDescent="0.35">
      <c r="G4683" s="2"/>
      <c r="H4683" s="2"/>
      <c r="I4683" s="3"/>
      <c r="J4683" s="6"/>
    </row>
    <row r="4684" spans="7:10" x14ac:dyDescent="0.35">
      <c r="G4684" s="2"/>
      <c r="H4684" s="2"/>
      <c r="I4684" s="3"/>
      <c r="J4684" s="6"/>
    </row>
    <row r="4685" spans="7:10" x14ac:dyDescent="0.35">
      <c r="G4685" s="2"/>
      <c r="H4685" s="2"/>
      <c r="I4685" s="3"/>
      <c r="J4685" s="6"/>
    </row>
    <row r="4686" spans="7:10" x14ac:dyDescent="0.35">
      <c r="G4686" s="2"/>
      <c r="H4686" s="2"/>
      <c r="I4686" s="3"/>
      <c r="J4686" s="6"/>
    </row>
    <row r="4687" spans="7:10" x14ac:dyDescent="0.35">
      <c r="G4687" s="2"/>
      <c r="H4687" s="2"/>
      <c r="I4687" s="3"/>
      <c r="J4687" s="6"/>
    </row>
    <row r="4688" spans="7:10" x14ac:dyDescent="0.35">
      <c r="G4688" s="2"/>
      <c r="H4688" s="2"/>
      <c r="I4688" s="3"/>
      <c r="J4688" s="6"/>
    </row>
    <row r="4689" spans="7:10" x14ac:dyDescent="0.35">
      <c r="G4689" s="2"/>
      <c r="H4689" s="2"/>
      <c r="I4689" s="3"/>
      <c r="J4689" s="6"/>
    </row>
    <row r="4690" spans="7:10" x14ac:dyDescent="0.35">
      <c r="G4690" s="2"/>
      <c r="H4690" s="2"/>
      <c r="I4690" s="3"/>
      <c r="J4690" s="6"/>
    </row>
    <row r="4691" spans="7:10" x14ac:dyDescent="0.35">
      <c r="G4691" s="2"/>
      <c r="H4691" s="2"/>
      <c r="I4691" s="3"/>
      <c r="J4691" s="6"/>
    </row>
    <row r="4692" spans="7:10" x14ac:dyDescent="0.35">
      <c r="G4692" s="2"/>
      <c r="H4692" s="2"/>
      <c r="I4692" s="3"/>
      <c r="J4692" s="6"/>
    </row>
    <row r="4693" spans="7:10" x14ac:dyDescent="0.35">
      <c r="G4693" s="2"/>
      <c r="H4693" s="2"/>
      <c r="I4693" s="3"/>
      <c r="J4693" s="6"/>
    </row>
    <row r="4694" spans="7:10" x14ac:dyDescent="0.35">
      <c r="G4694" s="2"/>
      <c r="H4694" s="2"/>
      <c r="I4694" s="3"/>
      <c r="J4694" s="6"/>
    </row>
    <row r="4695" spans="7:10" x14ac:dyDescent="0.35">
      <c r="G4695" s="2"/>
      <c r="H4695" s="2"/>
      <c r="I4695" s="3"/>
      <c r="J4695" s="6"/>
    </row>
    <row r="4696" spans="7:10" x14ac:dyDescent="0.35">
      <c r="G4696" s="2"/>
      <c r="H4696" s="2"/>
      <c r="I4696" s="3"/>
      <c r="J4696" s="6"/>
    </row>
    <row r="4697" spans="7:10" x14ac:dyDescent="0.35">
      <c r="G4697" s="2"/>
      <c r="H4697" s="2"/>
      <c r="I4697" s="3"/>
      <c r="J4697" s="6"/>
    </row>
    <row r="4698" spans="7:10" x14ac:dyDescent="0.35">
      <c r="G4698" s="2"/>
      <c r="H4698" s="2"/>
      <c r="I4698" s="3"/>
      <c r="J4698" s="6"/>
    </row>
    <row r="4699" spans="7:10" x14ac:dyDescent="0.35">
      <c r="G4699" s="2"/>
      <c r="H4699" s="2"/>
      <c r="I4699" s="3"/>
      <c r="J4699" s="6"/>
    </row>
    <row r="4700" spans="7:10" x14ac:dyDescent="0.35">
      <c r="G4700" s="2"/>
      <c r="H4700" s="2"/>
      <c r="I4700" s="3"/>
      <c r="J4700" s="6"/>
    </row>
    <row r="4701" spans="7:10" x14ac:dyDescent="0.35">
      <c r="G4701" s="2"/>
      <c r="H4701" s="2"/>
      <c r="I4701" s="3"/>
      <c r="J4701" s="6"/>
    </row>
    <row r="4702" spans="7:10" x14ac:dyDescent="0.35">
      <c r="G4702" s="2"/>
      <c r="H4702" s="2"/>
      <c r="I4702" s="3"/>
      <c r="J4702" s="6"/>
    </row>
    <row r="4703" spans="7:10" x14ac:dyDescent="0.35">
      <c r="G4703" s="2"/>
      <c r="H4703" s="2"/>
      <c r="I4703" s="3"/>
      <c r="J4703" s="6"/>
    </row>
    <row r="4704" spans="7:10" x14ac:dyDescent="0.35">
      <c r="G4704" s="2"/>
      <c r="H4704" s="2"/>
      <c r="I4704" s="3"/>
      <c r="J4704" s="6"/>
    </row>
    <row r="4705" spans="7:10" x14ac:dyDescent="0.35">
      <c r="G4705" s="2"/>
      <c r="H4705" s="2"/>
      <c r="I4705" s="3"/>
      <c r="J4705" s="6"/>
    </row>
    <row r="4706" spans="7:10" x14ac:dyDescent="0.35">
      <c r="G4706" s="2"/>
      <c r="H4706" s="2"/>
      <c r="I4706" s="3"/>
      <c r="J4706" s="6"/>
    </row>
    <row r="4707" spans="7:10" x14ac:dyDescent="0.35">
      <c r="G4707" s="2"/>
      <c r="H4707" s="2"/>
      <c r="I4707" s="3"/>
      <c r="J4707" s="6"/>
    </row>
    <row r="4708" spans="7:10" x14ac:dyDescent="0.35">
      <c r="G4708" s="2"/>
      <c r="H4708" s="2"/>
      <c r="I4708" s="3"/>
      <c r="J4708" s="6"/>
    </row>
    <row r="4709" spans="7:10" x14ac:dyDescent="0.35">
      <c r="G4709" s="2"/>
      <c r="H4709" s="2"/>
      <c r="I4709" s="3"/>
      <c r="J4709" s="6"/>
    </row>
    <row r="4710" spans="7:10" x14ac:dyDescent="0.35">
      <c r="G4710" s="2"/>
      <c r="H4710" s="2"/>
      <c r="I4710" s="3"/>
      <c r="J4710" s="6"/>
    </row>
    <row r="4711" spans="7:10" x14ac:dyDescent="0.35">
      <c r="G4711" s="2"/>
      <c r="H4711" s="2"/>
      <c r="I4711" s="3"/>
      <c r="J4711" s="6"/>
    </row>
    <row r="4712" spans="7:10" x14ac:dyDescent="0.35">
      <c r="G4712" s="2"/>
      <c r="H4712" s="2"/>
      <c r="I4712" s="3"/>
      <c r="J4712" s="6"/>
    </row>
    <row r="4713" spans="7:10" x14ac:dyDescent="0.35">
      <c r="G4713" s="2"/>
      <c r="H4713" s="2"/>
      <c r="I4713" s="3"/>
      <c r="J4713" s="6"/>
    </row>
    <row r="4714" spans="7:10" x14ac:dyDescent="0.35">
      <c r="G4714" s="2"/>
      <c r="H4714" s="2"/>
      <c r="I4714" s="3"/>
      <c r="J4714" s="6"/>
    </row>
    <row r="4715" spans="7:10" x14ac:dyDescent="0.35">
      <c r="G4715" s="2"/>
      <c r="H4715" s="2"/>
      <c r="I4715" s="3"/>
      <c r="J4715" s="6"/>
    </row>
    <row r="4716" spans="7:10" x14ac:dyDescent="0.35">
      <c r="G4716" s="2"/>
      <c r="H4716" s="2"/>
      <c r="I4716" s="3"/>
      <c r="J4716" s="6"/>
    </row>
    <row r="4717" spans="7:10" x14ac:dyDescent="0.35">
      <c r="G4717" s="2"/>
      <c r="H4717" s="2"/>
      <c r="I4717" s="3"/>
      <c r="J4717" s="6"/>
    </row>
    <row r="4718" spans="7:10" x14ac:dyDescent="0.35">
      <c r="G4718" s="2"/>
      <c r="H4718" s="2"/>
      <c r="I4718" s="3"/>
      <c r="J4718" s="6"/>
    </row>
    <row r="4719" spans="7:10" x14ac:dyDescent="0.35">
      <c r="G4719" s="2"/>
      <c r="H4719" s="2"/>
      <c r="I4719" s="3"/>
      <c r="J4719" s="6"/>
    </row>
    <row r="4720" spans="7:10" x14ac:dyDescent="0.35">
      <c r="G4720" s="2"/>
      <c r="H4720" s="2"/>
      <c r="I4720" s="3"/>
      <c r="J4720" s="6"/>
    </row>
    <row r="4721" spans="7:10" x14ac:dyDescent="0.35">
      <c r="G4721" s="2"/>
      <c r="H4721" s="2"/>
      <c r="I4721" s="3"/>
      <c r="J4721" s="6"/>
    </row>
    <row r="4722" spans="7:10" x14ac:dyDescent="0.35">
      <c r="G4722" s="2"/>
      <c r="H4722" s="2"/>
      <c r="I4722" s="3"/>
      <c r="J4722" s="6"/>
    </row>
    <row r="4723" spans="7:10" x14ac:dyDescent="0.35">
      <c r="G4723" s="2"/>
      <c r="H4723" s="2"/>
      <c r="I4723" s="3"/>
      <c r="J4723" s="6"/>
    </row>
    <row r="4724" spans="7:10" x14ac:dyDescent="0.35">
      <c r="G4724" s="2"/>
      <c r="H4724" s="2"/>
      <c r="I4724" s="3"/>
      <c r="J4724" s="6"/>
    </row>
    <row r="4725" spans="7:10" x14ac:dyDescent="0.35">
      <c r="G4725" s="2"/>
      <c r="H4725" s="2"/>
      <c r="I4725" s="3"/>
      <c r="J4725" s="6"/>
    </row>
    <row r="4726" spans="7:10" x14ac:dyDescent="0.35">
      <c r="G4726" s="2"/>
      <c r="H4726" s="2"/>
      <c r="I4726" s="3"/>
      <c r="J4726" s="6"/>
    </row>
    <row r="4727" spans="7:10" x14ac:dyDescent="0.35">
      <c r="G4727" s="2"/>
      <c r="H4727" s="2"/>
      <c r="I4727" s="3"/>
      <c r="J4727" s="6"/>
    </row>
    <row r="4728" spans="7:10" x14ac:dyDescent="0.35">
      <c r="G4728" s="2"/>
      <c r="H4728" s="2"/>
      <c r="I4728" s="3"/>
      <c r="J4728" s="6"/>
    </row>
    <row r="4729" spans="7:10" x14ac:dyDescent="0.35">
      <c r="G4729" s="2"/>
      <c r="H4729" s="2"/>
      <c r="I4729" s="3"/>
      <c r="J4729" s="6"/>
    </row>
    <row r="4730" spans="7:10" x14ac:dyDescent="0.35">
      <c r="G4730" s="2"/>
      <c r="H4730" s="2"/>
      <c r="I4730" s="3"/>
      <c r="J4730" s="6"/>
    </row>
    <row r="4731" spans="7:10" x14ac:dyDescent="0.35">
      <c r="G4731" s="2"/>
      <c r="H4731" s="2"/>
      <c r="I4731" s="3"/>
      <c r="J4731" s="6"/>
    </row>
    <row r="4732" spans="7:10" x14ac:dyDescent="0.35">
      <c r="G4732" s="2"/>
      <c r="H4732" s="2"/>
      <c r="I4732" s="3"/>
      <c r="J4732" s="6"/>
    </row>
    <row r="4733" spans="7:10" x14ac:dyDescent="0.35">
      <c r="G4733" s="2"/>
      <c r="H4733" s="2"/>
      <c r="I4733" s="3"/>
      <c r="J4733" s="6"/>
    </row>
    <row r="4734" spans="7:10" x14ac:dyDescent="0.35">
      <c r="G4734" s="2"/>
      <c r="H4734" s="2"/>
      <c r="I4734" s="3"/>
      <c r="J4734" s="6"/>
    </row>
    <row r="4735" spans="7:10" x14ac:dyDescent="0.35">
      <c r="G4735" s="2"/>
      <c r="H4735" s="2"/>
      <c r="I4735" s="3"/>
      <c r="J4735" s="6"/>
    </row>
    <row r="4736" spans="7:10" x14ac:dyDescent="0.35">
      <c r="G4736" s="2"/>
      <c r="H4736" s="2"/>
      <c r="I4736" s="3"/>
      <c r="J4736" s="6"/>
    </row>
    <row r="4737" spans="7:10" x14ac:dyDescent="0.35">
      <c r="G4737" s="2"/>
      <c r="H4737" s="2"/>
      <c r="I4737" s="3"/>
      <c r="J4737" s="6"/>
    </row>
    <row r="4738" spans="7:10" x14ac:dyDescent="0.35">
      <c r="G4738" s="2"/>
      <c r="H4738" s="2"/>
      <c r="I4738" s="3"/>
      <c r="J4738" s="6"/>
    </row>
    <row r="4739" spans="7:10" x14ac:dyDescent="0.35">
      <c r="G4739" s="2"/>
      <c r="H4739" s="2"/>
      <c r="I4739" s="3"/>
      <c r="J4739" s="6"/>
    </row>
    <row r="4740" spans="7:10" x14ac:dyDescent="0.35">
      <c r="G4740" s="2"/>
      <c r="H4740" s="2"/>
      <c r="I4740" s="3"/>
      <c r="J4740" s="6"/>
    </row>
    <row r="4741" spans="7:10" x14ac:dyDescent="0.35">
      <c r="G4741" s="2"/>
      <c r="H4741" s="2"/>
      <c r="I4741" s="3"/>
      <c r="J4741" s="6"/>
    </row>
    <row r="4742" spans="7:10" x14ac:dyDescent="0.35">
      <c r="G4742" s="2"/>
      <c r="H4742" s="2"/>
      <c r="I4742" s="3"/>
      <c r="J4742" s="6"/>
    </row>
    <row r="4743" spans="7:10" x14ac:dyDescent="0.35">
      <c r="G4743" s="2"/>
      <c r="H4743" s="2"/>
      <c r="I4743" s="3"/>
      <c r="J4743" s="6"/>
    </row>
    <row r="4744" spans="7:10" x14ac:dyDescent="0.35">
      <c r="G4744" s="2"/>
      <c r="H4744" s="2"/>
      <c r="I4744" s="3"/>
      <c r="J4744" s="6"/>
    </row>
    <row r="4745" spans="7:10" x14ac:dyDescent="0.35">
      <c r="G4745" s="2"/>
      <c r="H4745" s="2"/>
      <c r="I4745" s="3"/>
      <c r="J4745" s="6"/>
    </row>
    <row r="4746" spans="7:10" x14ac:dyDescent="0.35">
      <c r="G4746" s="2"/>
      <c r="H4746" s="2"/>
      <c r="I4746" s="3"/>
      <c r="J4746" s="6"/>
    </row>
    <row r="4747" spans="7:10" x14ac:dyDescent="0.35">
      <c r="G4747" s="2"/>
      <c r="H4747" s="2"/>
      <c r="I4747" s="3"/>
      <c r="J4747" s="6"/>
    </row>
    <row r="4748" spans="7:10" x14ac:dyDescent="0.35">
      <c r="G4748" s="2"/>
      <c r="H4748" s="2"/>
      <c r="I4748" s="3"/>
      <c r="J4748" s="6"/>
    </row>
    <row r="4749" spans="7:10" x14ac:dyDescent="0.35">
      <c r="G4749" s="2"/>
      <c r="H4749" s="2"/>
      <c r="I4749" s="3"/>
      <c r="J4749" s="6"/>
    </row>
    <row r="4750" spans="7:10" x14ac:dyDescent="0.35">
      <c r="G4750" s="2"/>
      <c r="H4750" s="2"/>
      <c r="I4750" s="3"/>
      <c r="J4750" s="6"/>
    </row>
    <row r="4751" spans="7:10" x14ac:dyDescent="0.35">
      <c r="G4751" s="2"/>
      <c r="H4751" s="2"/>
      <c r="I4751" s="3"/>
      <c r="J4751" s="6"/>
    </row>
    <row r="4752" spans="7:10" x14ac:dyDescent="0.35">
      <c r="G4752" s="2"/>
      <c r="H4752" s="2"/>
      <c r="I4752" s="3"/>
      <c r="J4752" s="6"/>
    </row>
    <row r="4753" spans="7:10" x14ac:dyDescent="0.35">
      <c r="G4753" s="2"/>
      <c r="H4753" s="2"/>
      <c r="I4753" s="3"/>
      <c r="J4753" s="6"/>
    </row>
    <row r="4754" spans="7:10" x14ac:dyDescent="0.35">
      <c r="G4754" s="2"/>
      <c r="H4754" s="2"/>
      <c r="I4754" s="3"/>
      <c r="J4754" s="6"/>
    </row>
    <row r="4755" spans="7:10" x14ac:dyDescent="0.35">
      <c r="G4755" s="2"/>
      <c r="H4755" s="2"/>
      <c r="I4755" s="3"/>
      <c r="J4755" s="6"/>
    </row>
    <row r="4756" spans="7:10" x14ac:dyDescent="0.35">
      <c r="G4756" s="2"/>
      <c r="H4756" s="2"/>
      <c r="I4756" s="3"/>
      <c r="J4756" s="6"/>
    </row>
    <row r="4757" spans="7:10" x14ac:dyDescent="0.35">
      <c r="G4757" s="2"/>
      <c r="H4757" s="2"/>
      <c r="I4757" s="3"/>
      <c r="J4757" s="6"/>
    </row>
    <row r="4758" spans="7:10" x14ac:dyDescent="0.35">
      <c r="G4758" s="2"/>
      <c r="H4758" s="2"/>
      <c r="I4758" s="3"/>
      <c r="J4758" s="6"/>
    </row>
    <row r="4759" spans="7:10" x14ac:dyDescent="0.35">
      <c r="G4759" s="2"/>
      <c r="H4759" s="2"/>
      <c r="I4759" s="3"/>
      <c r="J4759" s="6"/>
    </row>
    <row r="4760" spans="7:10" x14ac:dyDescent="0.35">
      <c r="G4760" s="2"/>
      <c r="H4760" s="2"/>
      <c r="I4760" s="3"/>
      <c r="J4760" s="6"/>
    </row>
    <row r="4761" spans="7:10" x14ac:dyDescent="0.35">
      <c r="G4761" s="2"/>
      <c r="H4761" s="2"/>
      <c r="I4761" s="3"/>
      <c r="J4761" s="6"/>
    </row>
    <row r="4762" spans="7:10" x14ac:dyDescent="0.35">
      <c r="G4762" s="2"/>
      <c r="H4762" s="2"/>
      <c r="I4762" s="3"/>
      <c r="J4762" s="6"/>
    </row>
    <row r="4763" spans="7:10" x14ac:dyDescent="0.35">
      <c r="G4763" s="2"/>
      <c r="H4763" s="2"/>
      <c r="I4763" s="3"/>
      <c r="J4763" s="6"/>
    </row>
    <row r="4764" spans="7:10" x14ac:dyDescent="0.35">
      <c r="G4764" s="2"/>
      <c r="H4764" s="2"/>
      <c r="I4764" s="3"/>
      <c r="J4764" s="6"/>
    </row>
    <row r="4765" spans="7:10" x14ac:dyDescent="0.35">
      <c r="G4765" s="2"/>
      <c r="H4765" s="2"/>
      <c r="I4765" s="3"/>
      <c r="J4765" s="6"/>
    </row>
    <row r="4766" spans="7:10" x14ac:dyDescent="0.35">
      <c r="G4766" s="2"/>
      <c r="H4766" s="2"/>
      <c r="I4766" s="3"/>
      <c r="J4766" s="6"/>
    </row>
    <row r="4767" spans="7:10" x14ac:dyDescent="0.35">
      <c r="G4767" s="2"/>
      <c r="H4767" s="2"/>
      <c r="I4767" s="3"/>
      <c r="J4767" s="6"/>
    </row>
    <row r="4768" spans="7:10" x14ac:dyDescent="0.35">
      <c r="G4768" s="2"/>
      <c r="H4768" s="2"/>
      <c r="I4768" s="3"/>
      <c r="J4768" s="6"/>
    </row>
    <row r="4769" spans="7:10" x14ac:dyDescent="0.35">
      <c r="G4769" s="2"/>
      <c r="H4769" s="2"/>
      <c r="I4769" s="3"/>
      <c r="J4769" s="6"/>
    </row>
    <row r="4770" spans="7:10" x14ac:dyDescent="0.35">
      <c r="G4770" s="2"/>
      <c r="H4770" s="2"/>
      <c r="I4770" s="3"/>
      <c r="J4770" s="6"/>
    </row>
    <row r="4771" spans="7:10" x14ac:dyDescent="0.35">
      <c r="G4771" s="2"/>
      <c r="H4771" s="2"/>
      <c r="I4771" s="3"/>
      <c r="J4771" s="6"/>
    </row>
    <row r="4772" spans="7:10" x14ac:dyDescent="0.35">
      <c r="G4772" s="2"/>
      <c r="H4772" s="2"/>
      <c r="I4772" s="3"/>
      <c r="J4772" s="6"/>
    </row>
    <row r="4773" spans="7:10" x14ac:dyDescent="0.35">
      <c r="G4773" s="2"/>
      <c r="H4773" s="2"/>
      <c r="I4773" s="3"/>
      <c r="J4773" s="6"/>
    </row>
    <row r="4774" spans="7:10" x14ac:dyDescent="0.35">
      <c r="G4774" s="2"/>
      <c r="H4774" s="2"/>
      <c r="I4774" s="3"/>
      <c r="J4774" s="6"/>
    </row>
    <row r="4775" spans="7:10" x14ac:dyDescent="0.35">
      <c r="G4775" s="2"/>
      <c r="H4775" s="2"/>
      <c r="I4775" s="3"/>
      <c r="J4775" s="6"/>
    </row>
    <row r="4776" spans="7:10" x14ac:dyDescent="0.35">
      <c r="G4776" s="2"/>
      <c r="H4776" s="2"/>
      <c r="I4776" s="3"/>
      <c r="J4776" s="6"/>
    </row>
    <row r="4777" spans="7:10" x14ac:dyDescent="0.35">
      <c r="G4777" s="2"/>
      <c r="H4777" s="2"/>
      <c r="I4777" s="3"/>
      <c r="J4777" s="6"/>
    </row>
    <row r="4778" spans="7:10" x14ac:dyDescent="0.35">
      <c r="G4778" s="2"/>
      <c r="H4778" s="2"/>
      <c r="I4778" s="3"/>
      <c r="J4778" s="6"/>
    </row>
    <row r="4779" spans="7:10" x14ac:dyDescent="0.35">
      <c r="G4779" s="2"/>
      <c r="H4779" s="2"/>
      <c r="I4779" s="3"/>
      <c r="J4779" s="6"/>
    </row>
    <row r="4780" spans="7:10" x14ac:dyDescent="0.35">
      <c r="G4780" s="2"/>
      <c r="H4780" s="2"/>
      <c r="I4780" s="3"/>
      <c r="J4780" s="6"/>
    </row>
    <row r="4781" spans="7:10" x14ac:dyDescent="0.35">
      <c r="G4781" s="2"/>
      <c r="H4781" s="2"/>
      <c r="I4781" s="3"/>
      <c r="J4781" s="6"/>
    </row>
    <row r="4782" spans="7:10" x14ac:dyDescent="0.35">
      <c r="G4782" s="2"/>
      <c r="H4782" s="2"/>
      <c r="I4782" s="3"/>
      <c r="J4782" s="6"/>
    </row>
    <row r="4783" spans="7:10" x14ac:dyDescent="0.35">
      <c r="G4783" s="2"/>
      <c r="H4783" s="2"/>
      <c r="I4783" s="3"/>
      <c r="J4783" s="6"/>
    </row>
    <row r="4784" spans="7:10" x14ac:dyDescent="0.35">
      <c r="G4784" s="2"/>
      <c r="H4784" s="2"/>
      <c r="I4784" s="3"/>
      <c r="J4784" s="6"/>
    </row>
    <row r="4785" spans="7:10" x14ac:dyDescent="0.35">
      <c r="G4785" s="2"/>
      <c r="H4785" s="2"/>
      <c r="I4785" s="3"/>
      <c r="J4785" s="6"/>
    </row>
    <row r="4786" spans="7:10" x14ac:dyDescent="0.35">
      <c r="G4786" s="2"/>
      <c r="H4786" s="2"/>
      <c r="I4786" s="3"/>
      <c r="J4786" s="6"/>
    </row>
    <row r="4787" spans="7:10" x14ac:dyDescent="0.35">
      <c r="G4787" s="2"/>
      <c r="H4787" s="2"/>
      <c r="I4787" s="3"/>
      <c r="J4787" s="6"/>
    </row>
    <row r="4788" spans="7:10" x14ac:dyDescent="0.35">
      <c r="G4788" s="2"/>
      <c r="H4788" s="2"/>
      <c r="I4788" s="3"/>
      <c r="J4788" s="6"/>
    </row>
    <row r="4789" spans="7:10" x14ac:dyDescent="0.35">
      <c r="G4789" s="2"/>
      <c r="H4789" s="2"/>
      <c r="I4789" s="3"/>
      <c r="J4789" s="6"/>
    </row>
    <row r="4790" spans="7:10" x14ac:dyDescent="0.35">
      <c r="G4790" s="2"/>
      <c r="H4790" s="2"/>
      <c r="I4790" s="3"/>
      <c r="J4790" s="6"/>
    </row>
    <row r="4791" spans="7:10" x14ac:dyDescent="0.35">
      <c r="G4791" s="2"/>
      <c r="H4791" s="2"/>
      <c r="I4791" s="3"/>
      <c r="J4791" s="6"/>
    </row>
    <row r="4792" spans="7:10" x14ac:dyDescent="0.35">
      <c r="G4792" s="2"/>
      <c r="H4792" s="2"/>
      <c r="I4792" s="3"/>
      <c r="J4792" s="6"/>
    </row>
    <row r="4793" spans="7:10" x14ac:dyDescent="0.35">
      <c r="G4793" s="2"/>
      <c r="H4793" s="2"/>
      <c r="I4793" s="3"/>
      <c r="J4793" s="6"/>
    </row>
    <row r="4794" spans="7:10" x14ac:dyDescent="0.35">
      <c r="G4794" s="2"/>
      <c r="H4794" s="2"/>
      <c r="I4794" s="3"/>
      <c r="J4794" s="6"/>
    </row>
    <row r="4795" spans="7:10" x14ac:dyDescent="0.35">
      <c r="G4795" s="2"/>
      <c r="H4795" s="2"/>
      <c r="I4795" s="3"/>
      <c r="J4795" s="6"/>
    </row>
    <row r="4796" spans="7:10" x14ac:dyDescent="0.35">
      <c r="G4796" s="2"/>
      <c r="H4796" s="2"/>
      <c r="I4796" s="3"/>
      <c r="J4796" s="6"/>
    </row>
    <row r="4797" spans="7:10" x14ac:dyDescent="0.35">
      <c r="G4797" s="2"/>
      <c r="H4797" s="2"/>
      <c r="I4797" s="3"/>
      <c r="J4797" s="6"/>
    </row>
    <row r="4798" spans="7:10" x14ac:dyDescent="0.35">
      <c r="G4798" s="2"/>
      <c r="H4798" s="2"/>
      <c r="I4798" s="3"/>
      <c r="J4798" s="6"/>
    </row>
    <row r="4799" spans="7:10" x14ac:dyDescent="0.35">
      <c r="G4799" s="2"/>
      <c r="H4799" s="2"/>
      <c r="I4799" s="3"/>
      <c r="J4799" s="6"/>
    </row>
    <row r="4800" spans="7:10" x14ac:dyDescent="0.35">
      <c r="G4800" s="2"/>
      <c r="H4800" s="2"/>
      <c r="I4800" s="3"/>
      <c r="J4800" s="6"/>
    </row>
    <row r="4801" spans="7:10" x14ac:dyDescent="0.35">
      <c r="G4801" s="2"/>
      <c r="H4801" s="2"/>
      <c r="I4801" s="3"/>
      <c r="J4801" s="6"/>
    </row>
    <row r="4802" spans="7:10" x14ac:dyDescent="0.35">
      <c r="G4802" s="2"/>
      <c r="H4802" s="2"/>
      <c r="I4802" s="3"/>
      <c r="J4802" s="6"/>
    </row>
    <row r="4803" spans="7:10" x14ac:dyDescent="0.35">
      <c r="G4803" s="2"/>
      <c r="H4803" s="2"/>
      <c r="I4803" s="3"/>
      <c r="J4803" s="6"/>
    </row>
    <row r="4804" spans="7:10" x14ac:dyDescent="0.35">
      <c r="G4804" s="2"/>
      <c r="H4804" s="2"/>
      <c r="I4804" s="3"/>
      <c r="J4804" s="6"/>
    </row>
    <row r="4805" spans="7:10" x14ac:dyDescent="0.35">
      <c r="G4805" s="2"/>
      <c r="H4805" s="2"/>
      <c r="I4805" s="3"/>
      <c r="J4805" s="6"/>
    </row>
    <row r="4806" spans="7:10" x14ac:dyDescent="0.35">
      <c r="G4806" s="2"/>
      <c r="H4806" s="2"/>
      <c r="I4806" s="3"/>
      <c r="J4806" s="6"/>
    </row>
    <row r="4807" spans="7:10" x14ac:dyDescent="0.35">
      <c r="G4807" s="2"/>
      <c r="H4807" s="2"/>
      <c r="I4807" s="3"/>
      <c r="J4807" s="6"/>
    </row>
    <row r="4808" spans="7:10" x14ac:dyDescent="0.35">
      <c r="G4808" s="2"/>
      <c r="H4808" s="2"/>
      <c r="I4808" s="3"/>
      <c r="J4808" s="6"/>
    </row>
    <row r="4809" spans="7:10" x14ac:dyDescent="0.35">
      <c r="G4809" s="2"/>
      <c r="H4809" s="2"/>
      <c r="I4809" s="3"/>
      <c r="J4809" s="6"/>
    </row>
    <row r="4810" spans="7:10" x14ac:dyDescent="0.35">
      <c r="G4810" s="2"/>
      <c r="H4810" s="2"/>
      <c r="I4810" s="3"/>
      <c r="J4810" s="6"/>
    </row>
    <row r="4811" spans="7:10" x14ac:dyDescent="0.35">
      <c r="G4811" s="2"/>
      <c r="H4811" s="2"/>
      <c r="I4811" s="3"/>
      <c r="J4811" s="6"/>
    </row>
    <row r="4812" spans="7:10" x14ac:dyDescent="0.35">
      <c r="G4812" s="2"/>
      <c r="H4812" s="2"/>
      <c r="I4812" s="3"/>
      <c r="J4812" s="6"/>
    </row>
    <row r="4813" spans="7:10" x14ac:dyDescent="0.35">
      <c r="G4813" s="2"/>
      <c r="H4813" s="2"/>
      <c r="I4813" s="3"/>
      <c r="J4813" s="6"/>
    </row>
    <row r="4814" spans="7:10" x14ac:dyDescent="0.35">
      <c r="G4814" s="2"/>
      <c r="H4814" s="2"/>
      <c r="I4814" s="3"/>
      <c r="J4814" s="6"/>
    </row>
    <row r="4815" spans="7:10" x14ac:dyDescent="0.35">
      <c r="G4815" s="2"/>
      <c r="H4815" s="2"/>
      <c r="I4815" s="3"/>
      <c r="J4815" s="6"/>
    </row>
    <row r="4816" spans="7:10" x14ac:dyDescent="0.35">
      <c r="G4816" s="2"/>
      <c r="H4816" s="2"/>
      <c r="I4816" s="3"/>
      <c r="J4816" s="6"/>
    </row>
    <row r="4817" spans="7:10" x14ac:dyDescent="0.35">
      <c r="G4817" s="2"/>
      <c r="H4817" s="2"/>
      <c r="I4817" s="3"/>
      <c r="J4817" s="6"/>
    </row>
    <row r="4818" spans="7:10" x14ac:dyDescent="0.35">
      <c r="G4818" s="2"/>
      <c r="H4818" s="2"/>
      <c r="I4818" s="3"/>
      <c r="J4818" s="6"/>
    </row>
    <row r="4819" spans="7:10" x14ac:dyDescent="0.35">
      <c r="G4819" s="2"/>
      <c r="H4819" s="2"/>
      <c r="I4819" s="3"/>
      <c r="J4819" s="6"/>
    </row>
    <row r="4820" spans="7:10" x14ac:dyDescent="0.35">
      <c r="G4820" s="2"/>
      <c r="H4820" s="2"/>
      <c r="I4820" s="3"/>
      <c r="J4820" s="6"/>
    </row>
    <row r="4821" spans="7:10" x14ac:dyDescent="0.35">
      <c r="G4821" s="2"/>
      <c r="H4821" s="2"/>
      <c r="I4821" s="3"/>
      <c r="J4821" s="6"/>
    </row>
    <row r="4822" spans="7:10" x14ac:dyDescent="0.35">
      <c r="G4822" s="2"/>
      <c r="H4822" s="2"/>
      <c r="I4822" s="3"/>
      <c r="J4822" s="6"/>
    </row>
    <row r="4823" spans="7:10" x14ac:dyDescent="0.35">
      <c r="G4823" s="2"/>
      <c r="H4823" s="2"/>
      <c r="I4823" s="3"/>
      <c r="J4823" s="6"/>
    </row>
    <row r="4824" spans="7:10" x14ac:dyDescent="0.35">
      <c r="G4824" s="2"/>
      <c r="H4824" s="2"/>
      <c r="I4824" s="3"/>
      <c r="J4824" s="6"/>
    </row>
    <row r="4825" spans="7:10" x14ac:dyDescent="0.35">
      <c r="G4825" s="2"/>
      <c r="H4825" s="2"/>
      <c r="I4825" s="3"/>
      <c r="J4825" s="6"/>
    </row>
    <row r="4826" spans="7:10" x14ac:dyDescent="0.35">
      <c r="G4826" s="2"/>
      <c r="H4826" s="2"/>
      <c r="I4826" s="3"/>
      <c r="J4826" s="6"/>
    </row>
    <row r="4827" spans="7:10" x14ac:dyDescent="0.35">
      <c r="G4827" s="2"/>
      <c r="H4827" s="2"/>
      <c r="I4827" s="3"/>
      <c r="J4827" s="6"/>
    </row>
    <row r="4828" spans="7:10" x14ac:dyDescent="0.35">
      <c r="G4828" s="2"/>
      <c r="H4828" s="2"/>
      <c r="I4828" s="3"/>
      <c r="J4828" s="6"/>
    </row>
    <row r="4829" spans="7:10" x14ac:dyDescent="0.35">
      <c r="G4829" s="2"/>
      <c r="H4829" s="2"/>
      <c r="I4829" s="3"/>
      <c r="J4829" s="6"/>
    </row>
    <row r="4830" spans="7:10" x14ac:dyDescent="0.35">
      <c r="G4830" s="2"/>
      <c r="H4830" s="2"/>
      <c r="I4830" s="3"/>
      <c r="J4830" s="6"/>
    </row>
    <row r="4831" spans="7:10" x14ac:dyDescent="0.35">
      <c r="G4831" s="2"/>
      <c r="H4831" s="2"/>
      <c r="I4831" s="3"/>
      <c r="J4831" s="6"/>
    </row>
    <row r="4832" spans="7:10" x14ac:dyDescent="0.35">
      <c r="G4832" s="2"/>
      <c r="H4832" s="2"/>
      <c r="I4832" s="3"/>
      <c r="J4832" s="6"/>
    </row>
    <row r="4833" spans="7:10" x14ac:dyDescent="0.35">
      <c r="G4833" s="2"/>
      <c r="H4833" s="2"/>
      <c r="I4833" s="3"/>
      <c r="J4833" s="6"/>
    </row>
    <row r="4834" spans="7:10" x14ac:dyDescent="0.35">
      <c r="G4834" s="2"/>
      <c r="H4834" s="2"/>
      <c r="I4834" s="3"/>
      <c r="J4834" s="6"/>
    </row>
    <row r="4835" spans="7:10" x14ac:dyDescent="0.35">
      <c r="G4835" s="2"/>
      <c r="H4835" s="2"/>
      <c r="I4835" s="3"/>
      <c r="J4835" s="6"/>
    </row>
    <row r="4836" spans="7:10" x14ac:dyDescent="0.35">
      <c r="G4836" s="2"/>
      <c r="H4836" s="2"/>
      <c r="I4836" s="3"/>
      <c r="J4836" s="6"/>
    </row>
    <row r="4837" spans="7:10" x14ac:dyDescent="0.35">
      <c r="G4837" s="2"/>
      <c r="H4837" s="2"/>
      <c r="I4837" s="3"/>
      <c r="J4837" s="6"/>
    </row>
    <row r="4838" spans="7:10" x14ac:dyDescent="0.35">
      <c r="G4838" s="2"/>
      <c r="H4838" s="2"/>
      <c r="I4838" s="3"/>
      <c r="J4838" s="6"/>
    </row>
    <row r="4839" spans="7:10" x14ac:dyDescent="0.35">
      <c r="G4839" s="2"/>
      <c r="H4839" s="2"/>
      <c r="I4839" s="3"/>
      <c r="J4839" s="6"/>
    </row>
    <row r="4840" spans="7:10" x14ac:dyDescent="0.35">
      <c r="G4840" s="2"/>
      <c r="H4840" s="2"/>
      <c r="I4840" s="3"/>
      <c r="J4840" s="6"/>
    </row>
    <row r="4841" spans="7:10" x14ac:dyDescent="0.35">
      <c r="G4841" s="2"/>
      <c r="H4841" s="2"/>
      <c r="I4841" s="3"/>
      <c r="J4841" s="6"/>
    </row>
    <row r="4842" spans="7:10" x14ac:dyDescent="0.35">
      <c r="G4842" s="2"/>
      <c r="H4842" s="2"/>
      <c r="I4842" s="3"/>
      <c r="J4842" s="6"/>
    </row>
    <row r="4843" spans="7:10" x14ac:dyDescent="0.35">
      <c r="G4843" s="2"/>
      <c r="H4843" s="2"/>
      <c r="I4843" s="3"/>
      <c r="J4843" s="6"/>
    </row>
    <row r="4844" spans="7:10" x14ac:dyDescent="0.35">
      <c r="G4844" s="2"/>
      <c r="H4844" s="2"/>
      <c r="I4844" s="3"/>
      <c r="J4844" s="6"/>
    </row>
    <row r="4845" spans="7:10" x14ac:dyDescent="0.35">
      <c r="G4845" s="2"/>
      <c r="H4845" s="2"/>
      <c r="I4845" s="3"/>
      <c r="J4845" s="6"/>
    </row>
    <row r="4846" spans="7:10" x14ac:dyDescent="0.35">
      <c r="G4846" s="2"/>
      <c r="H4846" s="2"/>
      <c r="I4846" s="3"/>
      <c r="J4846" s="6"/>
    </row>
    <row r="4847" spans="7:10" x14ac:dyDescent="0.35">
      <c r="G4847" s="2"/>
      <c r="H4847" s="2"/>
      <c r="I4847" s="3"/>
      <c r="J4847" s="6"/>
    </row>
    <row r="4848" spans="7:10" x14ac:dyDescent="0.35">
      <c r="G4848" s="2"/>
      <c r="H4848" s="2"/>
      <c r="I4848" s="3"/>
      <c r="J4848" s="6"/>
    </row>
    <row r="4849" spans="7:10" x14ac:dyDescent="0.35">
      <c r="G4849" s="2"/>
      <c r="H4849" s="2"/>
      <c r="I4849" s="3"/>
      <c r="J4849" s="6"/>
    </row>
    <row r="4850" spans="7:10" x14ac:dyDescent="0.35">
      <c r="G4850" s="2"/>
      <c r="H4850" s="2"/>
      <c r="I4850" s="3"/>
      <c r="J4850" s="6"/>
    </row>
    <row r="4851" spans="7:10" x14ac:dyDescent="0.35">
      <c r="G4851" s="2"/>
      <c r="H4851" s="2"/>
      <c r="I4851" s="3"/>
      <c r="J4851" s="6"/>
    </row>
    <row r="4852" spans="7:10" x14ac:dyDescent="0.35">
      <c r="G4852" s="2"/>
      <c r="H4852" s="2"/>
      <c r="I4852" s="3"/>
      <c r="J4852" s="6"/>
    </row>
    <row r="4853" spans="7:10" x14ac:dyDescent="0.35">
      <c r="G4853" s="2"/>
      <c r="H4853" s="2"/>
      <c r="I4853" s="3"/>
      <c r="J4853" s="6"/>
    </row>
    <row r="4854" spans="7:10" x14ac:dyDescent="0.35">
      <c r="G4854" s="2"/>
      <c r="H4854" s="2"/>
      <c r="I4854" s="3"/>
      <c r="J4854" s="6"/>
    </row>
    <row r="4855" spans="7:10" x14ac:dyDescent="0.35">
      <c r="G4855" s="2"/>
      <c r="H4855" s="2"/>
      <c r="I4855" s="3"/>
      <c r="J4855" s="6"/>
    </row>
    <row r="4856" spans="7:10" x14ac:dyDescent="0.35">
      <c r="G4856" s="2"/>
      <c r="H4856" s="2"/>
      <c r="I4856" s="3"/>
      <c r="J4856" s="6"/>
    </row>
    <row r="4857" spans="7:10" x14ac:dyDescent="0.35">
      <c r="G4857" s="2"/>
      <c r="H4857" s="2"/>
      <c r="I4857" s="3"/>
      <c r="J4857" s="6"/>
    </row>
    <row r="4858" spans="7:10" x14ac:dyDescent="0.35">
      <c r="G4858" s="2"/>
      <c r="H4858" s="2"/>
      <c r="I4858" s="3"/>
      <c r="J4858" s="6"/>
    </row>
    <row r="4859" spans="7:10" x14ac:dyDescent="0.35">
      <c r="G4859" s="2"/>
      <c r="H4859" s="2"/>
      <c r="I4859" s="3"/>
      <c r="J4859" s="6"/>
    </row>
    <row r="4860" spans="7:10" x14ac:dyDescent="0.35">
      <c r="G4860" s="2"/>
      <c r="H4860" s="2"/>
      <c r="I4860" s="3"/>
      <c r="J4860" s="6"/>
    </row>
    <row r="4861" spans="7:10" x14ac:dyDescent="0.35">
      <c r="G4861" s="2"/>
      <c r="H4861" s="2"/>
      <c r="I4861" s="3"/>
      <c r="J4861" s="6"/>
    </row>
    <row r="4862" spans="7:10" x14ac:dyDescent="0.35">
      <c r="G4862" s="2"/>
      <c r="H4862" s="2"/>
      <c r="I4862" s="3"/>
      <c r="J4862" s="6"/>
    </row>
    <row r="4863" spans="7:10" x14ac:dyDescent="0.35">
      <c r="G4863" s="2"/>
      <c r="H4863" s="2"/>
      <c r="I4863" s="3"/>
      <c r="J4863" s="6"/>
    </row>
    <row r="4864" spans="7:10" x14ac:dyDescent="0.35">
      <c r="G4864" s="2"/>
      <c r="H4864" s="2"/>
      <c r="I4864" s="3"/>
      <c r="J4864" s="6"/>
    </row>
    <row r="4865" spans="7:10" x14ac:dyDescent="0.35">
      <c r="G4865" s="2"/>
      <c r="H4865" s="2"/>
      <c r="I4865" s="3"/>
      <c r="J4865" s="6"/>
    </row>
    <row r="4866" spans="7:10" x14ac:dyDescent="0.35">
      <c r="G4866" s="2"/>
      <c r="H4866" s="2"/>
      <c r="I4866" s="3"/>
      <c r="J4866" s="6"/>
    </row>
    <row r="4867" spans="7:10" x14ac:dyDescent="0.35">
      <c r="G4867" s="2"/>
      <c r="H4867" s="2"/>
      <c r="I4867" s="3"/>
      <c r="J4867" s="6"/>
    </row>
    <row r="4868" spans="7:10" x14ac:dyDescent="0.35">
      <c r="G4868" s="2"/>
      <c r="H4868" s="2"/>
      <c r="I4868" s="3"/>
      <c r="J4868" s="6"/>
    </row>
    <row r="4869" spans="7:10" x14ac:dyDescent="0.35">
      <c r="G4869" s="2"/>
      <c r="H4869" s="2"/>
      <c r="I4869" s="3"/>
      <c r="J4869" s="6"/>
    </row>
    <row r="4870" spans="7:10" x14ac:dyDescent="0.35">
      <c r="G4870" s="2"/>
      <c r="H4870" s="2"/>
      <c r="I4870" s="3"/>
      <c r="J4870" s="6"/>
    </row>
    <row r="4871" spans="7:10" x14ac:dyDescent="0.35">
      <c r="G4871" s="2"/>
      <c r="H4871" s="2"/>
      <c r="I4871" s="3"/>
      <c r="J4871" s="6"/>
    </row>
    <row r="4872" spans="7:10" x14ac:dyDescent="0.35">
      <c r="G4872" s="2"/>
      <c r="H4872" s="2"/>
      <c r="I4872" s="3"/>
      <c r="J4872" s="6"/>
    </row>
    <row r="4873" spans="7:10" x14ac:dyDescent="0.35">
      <c r="G4873" s="2"/>
      <c r="H4873" s="2"/>
      <c r="I4873" s="3"/>
      <c r="J4873" s="6"/>
    </row>
    <row r="4874" spans="7:10" x14ac:dyDescent="0.35">
      <c r="G4874" s="2"/>
      <c r="H4874" s="2"/>
      <c r="I4874" s="3"/>
      <c r="J4874" s="6"/>
    </row>
    <row r="4875" spans="7:10" x14ac:dyDescent="0.35">
      <c r="G4875" s="2"/>
      <c r="H4875" s="2"/>
      <c r="I4875" s="3"/>
      <c r="J4875" s="6"/>
    </row>
    <row r="4876" spans="7:10" x14ac:dyDescent="0.35">
      <c r="G4876" s="2"/>
      <c r="H4876" s="2"/>
      <c r="I4876" s="3"/>
      <c r="J4876" s="6"/>
    </row>
    <row r="4877" spans="7:10" x14ac:dyDescent="0.35">
      <c r="G4877" s="2"/>
      <c r="H4877" s="2"/>
      <c r="I4877" s="3"/>
      <c r="J4877" s="6"/>
    </row>
    <row r="4878" spans="7:10" x14ac:dyDescent="0.35">
      <c r="G4878" s="2"/>
      <c r="H4878" s="2"/>
      <c r="I4878" s="3"/>
      <c r="J4878" s="6"/>
    </row>
    <row r="4879" spans="7:10" x14ac:dyDescent="0.35">
      <c r="G4879" s="2"/>
      <c r="H4879" s="2"/>
      <c r="I4879" s="3"/>
      <c r="J4879" s="6"/>
    </row>
    <row r="4880" spans="7:10" x14ac:dyDescent="0.35">
      <c r="G4880" s="2"/>
      <c r="H4880" s="2"/>
      <c r="I4880" s="3"/>
      <c r="J4880" s="6"/>
    </row>
    <row r="4881" spans="7:10" x14ac:dyDescent="0.35">
      <c r="G4881" s="2"/>
      <c r="H4881" s="2"/>
      <c r="I4881" s="3"/>
      <c r="J4881" s="6"/>
    </row>
    <row r="4882" spans="7:10" x14ac:dyDescent="0.35">
      <c r="G4882" s="2"/>
      <c r="H4882" s="2"/>
      <c r="I4882" s="3"/>
      <c r="J4882" s="6"/>
    </row>
    <row r="4883" spans="7:10" x14ac:dyDescent="0.35">
      <c r="G4883" s="2"/>
      <c r="H4883" s="2"/>
      <c r="I4883" s="3"/>
      <c r="J4883" s="6"/>
    </row>
    <row r="4884" spans="7:10" x14ac:dyDescent="0.35">
      <c r="G4884" s="2"/>
      <c r="H4884" s="2"/>
      <c r="I4884" s="3"/>
      <c r="J4884" s="6"/>
    </row>
    <row r="4885" spans="7:10" x14ac:dyDescent="0.35">
      <c r="G4885" s="2"/>
      <c r="H4885" s="2"/>
      <c r="I4885" s="3"/>
      <c r="J4885" s="6"/>
    </row>
    <row r="4886" spans="7:10" x14ac:dyDescent="0.35">
      <c r="G4886" s="2"/>
      <c r="H4886" s="2"/>
      <c r="I4886" s="3"/>
      <c r="J4886" s="6"/>
    </row>
    <row r="4887" spans="7:10" x14ac:dyDescent="0.35">
      <c r="G4887" s="2"/>
      <c r="H4887" s="2"/>
      <c r="I4887" s="3"/>
      <c r="J4887" s="6"/>
    </row>
    <row r="4888" spans="7:10" x14ac:dyDescent="0.35">
      <c r="G4888" s="2"/>
      <c r="H4888" s="2"/>
      <c r="I4888" s="3"/>
      <c r="J4888" s="6"/>
    </row>
    <row r="4889" spans="7:10" x14ac:dyDescent="0.35">
      <c r="G4889" s="2"/>
      <c r="H4889" s="2"/>
      <c r="I4889" s="3"/>
      <c r="J4889" s="6"/>
    </row>
    <row r="4890" spans="7:10" x14ac:dyDescent="0.35">
      <c r="G4890" s="2"/>
      <c r="H4890" s="2"/>
      <c r="I4890" s="3"/>
      <c r="J4890" s="6"/>
    </row>
    <row r="4891" spans="7:10" x14ac:dyDescent="0.35">
      <c r="G4891" s="2"/>
      <c r="H4891" s="2"/>
      <c r="I4891" s="3"/>
      <c r="J4891" s="6"/>
    </row>
    <row r="4892" spans="7:10" x14ac:dyDescent="0.35">
      <c r="G4892" s="2"/>
      <c r="H4892" s="2"/>
      <c r="I4892" s="3"/>
      <c r="J4892" s="6"/>
    </row>
    <row r="4893" spans="7:10" x14ac:dyDescent="0.35">
      <c r="G4893" s="2"/>
      <c r="H4893" s="2"/>
      <c r="I4893" s="3"/>
      <c r="J4893" s="6"/>
    </row>
    <row r="4894" spans="7:10" x14ac:dyDescent="0.35">
      <c r="G4894" s="2"/>
      <c r="H4894" s="2"/>
      <c r="I4894" s="3"/>
      <c r="J4894" s="6"/>
    </row>
    <row r="4895" spans="7:10" x14ac:dyDescent="0.35">
      <c r="G4895" s="2"/>
      <c r="H4895" s="2"/>
      <c r="I4895" s="3"/>
      <c r="J4895" s="6"/>
    </row>
    <row r="4896" spans="7:10" x14ac:dyDescent="0.35">
      <c r="G4896" s="2"/>
      <c r="H4896" s="2"/>
      <c r="I4896" s="3"/>
      <c r="J4896" s="6"/>
    </row>
    <row r="4897" spans="7:10" x14ac:dyDescent="0.35">
      <c r="G4897" s="2"/>
      <c r="H4897" s="2"/>
      <c r="I4897" s="3"/>
      <c r="J4897" s="6"/>
    </row>
    <row r="4898" spans="7:10" x14ac:dyDescent="0.35">
      <c r="G4898" s="2"/>
      <c r="H4898" s="2"/>
      <c r="I4898" s="3"/>
      <c r="J4898" s="6"/>
    </row>
    <row r="4899" spans="7:10" x14ac:dyDescent="0.35">
      <c r="G4899" s="2"/>
      <c r="H4899" s="2"/>
      <c r="I4899" s="3"/>
      <c r="J4899" s="6"/>
    </row>
    <row r="4900" spans="7:10" x14ac:dyDescent="0.35">
      <c r="G4900" s="2"/>
      <c r="H4900" s="2"/>
      <c r="I4900" s="3"/>
      <c r="J4900" s="6"/>
    </row>
    <row r="4901" spans="7:10" x14ac:dyDescent="0.35">
      <c r="G4901" s="2"/>
      <c r="H4901" s="2"/>
      <c r="I4901" s="3"/>
      <c r="J4901" s="6"/>
    </row>
    <row r="4902" spans="7:10" x14ac:dyDescent="0.35">
      <c r="G4902" s="2"/>
      <c r="H4902" s="2"/>
      <c r="I4902" s="3"/>
      <c r="J4902" s="6"/>
    </row>
    <row r="4903" spans="7:10" x14ac:dyDescent="0.35">
      <c r="G4903" s="2"/>
      <c r="H4903" s="2"/>
      <c r="I4903" s="3"/>
      <c r="J4903" s="6"/>
    </row>
    <row r="4904" spans="7:10" x14ac:dyDescent="0.35">
      <c r="G4904" s="2"/>
      <c r="H4904" s="2"/>
      <c r="I4904" s="3"/>
      <c r="J4904" s="6"/>
    </row>
    <row r="4905" spans="7:10" x14ac:dyDescent="0.35">
      <c r="G4905" s="2"/>
      <c r="H4905" s="2"/>
      <c r="I4905" s="3"/>
      <c r="J4905" s="6"/>
    </row>
    <row r="4906" spans="7:10" x14ac:dyDescent="0.35">
      <c r="G4906" s="2"/>
      <c r="H4906" s="2"/>
      <c r="I4906" s="3"/>
      <c r="J4906" s="6"/>
    </row>
    <row r="4907" spans="7:10" x14ac:dyDescent="0.35">
      <c r="G4907" s="2"/>
      <c r="H4907" s="2"/>
      <c r="I4907" s="3"/>
      <c r="J4907" s="6"/>
    </row>
    <row r="4908" spans="7:10" x14ac:dyDescent="0.35">
      <c r="G4908" s="2"/>
      <c r="H4908" s="2"/>
      <c r="I4908" s="3"/>
      <c r="J4908" s="6"/>
    </row>
    <row r="4909" spans="7:10" x14ac:dyDescent="0.35">
      <c r="G4909" s="2"/>
      <c r="H4909" s="2"/>
      <c r="I4909" s="3"/>
      <c r="J4909" s="6"/>
    </row>
    <row r="4910" spans="7:10" x14ac:dyDescent="0.35">
      <c r="G4910" s="2"/>
      <c r="H4910" s="2"/>
      <c r="I4910" s="3"/>
      <c r="J4910" s="6"/>
    </row>
    <row r="4911" spans="7:10" x14ac:dyDescent="0.35">
      <c r="G4911" s="2"/>
      <c r="H4911" s="2"/>
      <c r="I4911" s="3"/>
      <c r="J4911" s="6"/>
    </row>
    <row r="4912" spans="7:10" x14ac:dyDescent="0.35">
      <c r="G4912" s="2"/>
      <c r="H4912" s="2"/>
      <c r="I4912" s="3"/>
      <c r="J4912" s="6"/>
    </row>
    <row r="4913" spans="7:10" x14ac:dyDescent="0.35">
      <c r="G4913" s="2"/>
      <c r="H4913" s="2"/>
      <c r="I4913" s="3"/>
      <c r="J4913" s="6"/>
    </row>
    <row r="4914" spans="7:10" x14ac:dyDescent="0.35">
      <c r="G4914" s="2"/>
      <c r="H4914" s="2"/>
      <c r="I4914" s="3"/>
      <c r="J4914" s="6"/>
    </row>
    <row r="4915" spans="7:10" x14ac:dyDescent="0.35">
      <c r="G4915" s="2"/>
      <c r="H4915" s="2"/>
      <c r="I4915" s="3"/>
      <c r="J4915" s="6"/>
    </row>
    <row r="4916" spans="7:10" x14ac:dyDescent="0.35">
      <c r="G4916" s="2"/>
      <c r="H4916" s="2"/>
      <c r="I4916" s="3"/>
      <c r="J4916" s="6"/>
    </row>
    <row r="4917" spans="7:10" x14ac:dyDescent="0.35">
      <c r="G4917" s="2"/>
      <c r="H4917" s="2"/>
      <c r="I4917" s="3"/>
      <c r="J4917" s="6"/>
    </row>
    <row r="4918" spans="7:10" x14ac:dyDescent="0.35">
      <c r="G4918" s="2"/>
      <c r="H4918" s="2"/>
      <c r="I4918" s="3"/>
      <c r="J4918" s="6"/>
    </row>
    <row r="4919" spans="7:10" x14ac:dyDescent="0.35">
      <c r="G4919" s="2"/>
      <c r="H4919" s="2"/>
      <c r="I4919" s="3"/>
      <c r="J4919" s="6"/>
    </row>
    <row r="4920" spans="7:10" x14ac:dyDescent="0.35">
      <c r="G4920" s="2"/>
      <c r="H4920" s="2"/>
      <c r="I4920" s="3"/>
      <c r="J4920" s="6"/>
    </row>
    <row r="4921" spans="7:10" x14ac:dyDescent="0.35">
      <c r="G4921" s="2"/>
      <c r="H4921" s="2"/>
      <c r="I4921" s="3"/>
      <c r="J4921" s="6"/>
    </row>
    <row r="4922" spans="7:10" x14ac:dyDescent="0.35">
      <c r="G4922" s="2"/>
      <c r="H4922" s="2"/>
      <c r="I4922" s="3"/>
      <c r="J4922" s="6"/>
    </row>
    <row r="4923" spans="7:10" x14ac:dyDescent="0.35">
      <c r="G4923" s="2"/>
      <c r="H4923" s="2"/>
      <c r="I4923" s="3"/>
      <c r="J4923" s="6"/>
    </row>
    <row r="4924" spans="7:10" x14ac:dyDescent="0.35">
      <c r="G4924" s="2"/>
      <c r="H4924" s="2"/>
      <c r="I4924" s="3"/>
      <c r="J4924" s="6"/>
    </row>
    <row r="4925" spans="7:10" x14ac:dyDescent="0.35">
      <c r="G4925" s="2"/>
      <c r="H4925" s="2"/>
      <c r="I4925" s="3"/>
      <c r="J4925" s="6"/>
    </row>
    <row r="4926" spans="7:10" x14ac:dyDescent="0.35">
      <c r="G4926" s="2"/>
      <c r="H4926" s="2"/>
      <c r="I4926" s="3"/>
      <c r="J4926" s="6"/>
    </row>
    <row r="4927" spans="7:10" x14ac:dyDescent="0.35">
      <c r="G4927" s="2"/>
      <c r="H4927" s="2"/>
      <c r="I4927" s="3"/>
      <c r="J4927" s="6"/>
    </row>
    <row r="4928" spans="7:10" x14ac:dyDescent="0.35">
      <c r="G4928" s="2"/>
      <c r="H4928" s="2"/>
      <c r="I4928" s="3"/>
      <c r="J4928" s="6"/>
    </row>
    <row r="4929" spans="7:10" x14ac:dyDescent="0.35">
      <c r="G4929" s="2"/>
      <c r="H4929" s="2"/>
      <c r="I4929" s="3"/>
      <c r="J4929" s="6"/>
    </row>
    <row r="4930" spans="7:10" x14ac:dyDescent="0.35">
      <c r="G4930" s="2"/>
      <c r="H4930" s="2"/>
      <c r="I4930" s="3"/>
      <c r="J4930" s="6"/>
    </row>
    <row r="4931" spans="7:10" x14ac:dyDescent="0.35">
      <c r="G4931" s="2"/>
      <c r="H4931" s="2"/>
      <c r="I4931" s="3"/>
      <c r="J4931" s="6"/>
    </row>
    <row r="4932" spans="7:10" x14ac:dyDescent="0.35">
      <c r="G4932" s="2"/>
      <c r="H4932" s="2"/>
      <c r="I4932" s="3"/>
      <c r="J4932" s="6"/>
    </row>
    <row r="4933" spans="7:10" x14ac:dyDescent="0.35">
      <c r="G4933" s="2"/>
      <c r="H4933" s="2"/>
      <c r="I4933" s="3"/>
      <c r="J4933" s="6"/>
    </row>
    <row r="4934" spans="7:10" x14ac:dyDescent="0.35">
      <c r="G4934" s="2"/>
      <c r="H4934" s="2"/>
      <c r="I4934" s="3"/>
      <c r="J4934" s="6"/>
    </row>
    <row r="4935" spans="7:10" x14ac:dyDescent="0.35">
      <c r="G4935" s="2"/>
      <c r="H4935" s="2"/>
      <c r="I4935" s="3"/>
      <c r="J4935" s="6"/>
    </row>
    <row r="4936" spans="7:10" x14ac:dyDescent="0.35">
      <c r="G4936" s="2"/>
      <c r="H4936" s="2"/>
      <c r="I4936" s="3"/>
      <c r="J4936" s="6"/>
    </row>
    <row r="4937" spans="7:10" x14ac:dyDescent="0.35">
      <c r="G4937" s="2"/>
      <c r="H4937" s="2"/>
      <c r="I4937" s="3"/>
      <c r="J4937" s="6"/>
    </row>
    <row r="4938" spans="7:10" x14ac:dyDescent="0.35">
      <c r="G4938" s="2"/>
      <c r="H4938" s="2"/>
      <c r="I4938" s="3"/>
      <c r="J4938" s="6"/>
    </row>
    <row r="4939" spans="7:10" x14ac:dyDescent="0.35">
      <c r="G4939" s="2"/>
      <c r="H4939" s="2"/>
      <c r="I4939" s="3"/>
      <c r="J4939" s="6"/>
    </row>
    <row r="4940" spans="7:10" x14ac:dyDescent="0.35">
      <c r="G4940" s="2"/>
      <c r="H4940" s="2"/>
      <c r="I4940" s="3"/>
      <c r="J4940" s="6"/>
    </row>
    <row r="4941" spans="7:10" x14ac:dyDescent="0.35">
      <c r="G4941" s="2"/>
      <c r="H4941" s="2"/>
      <c r="I4941" s="3"/>
      <c r="J4941" s="6"/>
    </row>
    <row r="4942" spans="7:10" x14ac:dyDescent="0.35">
      <c r="G4942" s="2"/>
      <c r="H4942" s="2"/>
      <c r="I4942" s="3"/>
      <c r="J4942" s="6"/>
    </row>
    <row r="4943" spans="7:10" x14ac:dyDescent="0.35">
      <c r="G4943" s="2"/>
      <c r="H4943" s="2"/>
      <c r="I4943" s="3"/>
      <c r="J4943" s="6"/>
    </row>
    <row r="4944" spans="7:10" x14ac:dyDescent="0.35">
      <c r="G4944" s="2"/>
      <c r="H4944" s="2"/>
      <c r="I4944" s="3"/>
      <c r="J4944" s="6"/>
    </row>
    <row r="4945" spans="7:10" x14ac:dyDescent="0.35">
      <c r="G4945" s="2"/>
      <c r="H4945" s="2"/>
      <c r="I4945" s="3"/>
      <c r="J4945" s="6"/>
    </row>
    <row r="4946" spans="7:10" x14ac:dyDescent="0.35">
      <c r="G4946" s="2"/>
      <c r="H4946" s="2"/>
      <c r="I4946" s="3"/>
      <c r="J4946" s="6"/>
    </row>
    <row r="4947" spans="7:10" x14ac:dyDescent="0.35">
      <c r="G4947" s="2"/>
      <c r="H4947" s="2"/>
      <c r="I4947" s="3"/>
      <c r="J4947" s="6"/>
    </row>
    <row r="4948" spans="7:10" x14ac:dyDescent="0.35">
      <c r="G4948" s="2"/>
      <c r="H4948" s="2"/>
      <c r="I4948" s="3"/>
      <c r="J4948" s="6"/>
    </row>
    <row r="4949" spans="7:10" x14ac:dyDescent="0.35">
      <c r="G4949" s="2"/>
      <c r="H4949" s="2"/>
      <c r="I4949" s="3"/>
      <c r="J4949" s="6"/>
    </row>
    <row r="4950" spans="7:10" x14ac:dyDescent="0.35">
      <c r="G4950" s="2"/>
      <c r="H4950" s="2"/>
      <c r="I4950" s="3"/>
      <c r="J4950" s="6"/>
    </row>
    <row r="4951" spans="7:10" x14ac:dyDescent="0.35">
      <c r="G4951" s="2"/>
      <c r="H4951" s="2"/>
      <c r="I4951" s="3"/>
      <c r="J4951" s="6"/>
    </row>
    <row r="4952" spans="7:10" x14ac:dyDescent="0.35">
      <c r="G4952" s="2"/>
      <c r="H4952" s="2"/>
      <c r="I4952" s="3"/>
      <c r="J4952" s="6"/>
    </row>
    <row r="4953" spans="7:10" x14ac:dyDescent="0.35">
      <c r="G4953" s="2"/>
      <c r="H4953" s="2"/>
      <c r="I4953" s="3"/>
      <c r="J4953" s="6"/>
    </row>
    <row r="4954" spans="7:10" x14ac:dyDescent="0.35">
      <c r="G4954" s="2"/>
      <c r="H4954" s="2"/>
      <c r="I4954" s="3"/>
      <c r="J4954" s="6"/>
    </row>
    <row r="4955" spans="7:10" x14ac:dyDescent="0.35">
      <c r="G4955" s="2"/>
      <c r="H4955" s="2"/>
      <c r="I4955" s="3"/>
      <c r="J4955" s="6"/>
    </row>
    <row r="4956" spans="7:10" x14ac:dyDescent="0.35">
      <c r="G4956" s="2"/>
      <c r="H4956" s="2"/>
      <c r="I4956" s="3"/>
      <c r="J4956" s="6"/>
    </row>
    <row r="4957" spans="7:10" x14ac:dyDescent="0.35">
      <c r="G4957" s="2"/>
      <c r="H4957" s="2"/>
      <c r="I4957" s="3"/>
      <c r="J4957" s="6"/>
    </row>
    <row r="4958" spans="7:10" x14ac:dyDescent="0.35">
      <c r="G4958" s="2"/>
      <c r="H4958" s="2"/>
      <c r="I4958" s="3"/>
      <c r="J4958" s="6"/>
    </row>
    <row r="4959" spans="7:10" x14ac:dyDescent="0.35">
      <c r="G4959" s="2"/>
      <c r="H4959" s="2"/>
      <c r="I4959" s="3"/>
      <c r="J4959" s="6"/>
    </row>
    <row r="4960" spans="7:10" x14ac:dyDescent="0.35">
      <c r="G4960" s="2"/>
      <c r="H4960" s="2"/>
      <c r="I4960" s="3"/>
      <c r="J4960" s="6"/>
    </row>
    <row r="4961" spans="7:10" x14ac:dyDescent="0.35">
      <c r="G4961" s="2"/>
      <c r="H4961" s="2"/>
      <c r="I4961" s="3"/>
      <c r="J4961" s="6"/>
    </row>
    <row r="4962" spans="7:10" x14ac:dyDescent="0.35">
      <c r="G4962" s="2"/>
      <c r="H4962" s="2"/>
      <c r="I4962" s="3"/>
      <c r="J4962" s="6"/>
    </row>
    <row r="4963" spans="7:10" x14ac:dyDescent="0.35">
      <c r="G4963" s="2"/>
      <c r="H4963" s="2"/>
      <c r="I4963" s="3"/>
      <c r="J4963" s="6"/>
    </row>
    <row r="4964" spans="7:10" x14ac:dyDescent="0.35">
      <c r="G4964" s="2"/>
      <c r="H4964" s="2"/>
      <c r="I4964" s="3"/>
      <c r="J4964" s="6"/>
    </row>
    <row r="4965" spans="7:10" x14ac:dyDescent="0.35">
      <c r="G4965" s="2"/>
      <c r="H4965" s="2"/>
      <c r="I4965" s="3"/>
      <c r="J4965" s="6"/>
    </row>
    <row r="4966" spans="7:10" x14ac:dyDescent="0.35">
      <c r="G4966" s="2"/>
      <c r="H4966" s="2"/>
      <c r="I4966" s="3"/>
      <c r="J4966" s="6"/>
    </row>
    <row r="4967" spans="7:10" x14ac:dyDescent="0.35">
      <c r="G4967" s="2"/>
      <c r="H4967" s="2"/>
      <c r="I4967" s="3"/>
      <c r="J4967" s="6"/>
    </row>
    <row r="4968" spans="7:10" x14ac:dyDescent="0.35">
      <c r="G4968" s="2"/>
      <c r="H4968" s="2"/>
      <c r="I4968" s="3"/>
      <c r="J4968" s="6"/>
    </row>
    <row r="4969" spans="7:10" x14ac:dyDescent="0.35">
      <c r="G4969" s="2"/>
      <c r="H4969" s="2"/>
      <c r="I4969" s="3"/>
      <c r="J4969" s="6"/>
    </row>
    <row r="4970" spans="7:10" x14ac:dyDescent="0.35">
      <c r="G4970" s="2"/>
      <c r="H4970" s="2"/>
      <c r="I4970" s="3"/>
      <c r="J4970" s="6"/>
    </row>
    <row r="4971" spans="7:10" x14ac:dyDescent="0.35">
      <c r="G4971" s="2"/>
      <c r="H4971" s="2"/>
      <c r="I4971" s="3"/>
      <c r="J4971" s="6"/>
    </row>
    <row r="4972" spans="7:10" x14ac:dyDescent="0.35">
      <c r="G4972" s="2"/>
      <c r="H4972" s="2"/>
      <c r="I4972" s="3"/>
      <c r="J4972" s="6"/>
    </row>
    <row r="4973" spans="7:10" x14ac:dyDescent="0.35">
      <c r="G4973" s="2"/>
      <c r="H4973" s="2"/>
      <c r="I4973" s="3"/>
      <c r="J4973" s="6"/>
    </row>
    <row r="4974" spans="7:10" x14ac:dyDescent="0.35">
      <c r="G4974" s="2"/>
      <c r="H4974" s="2"/>
      <c r="I4974" s="3"/>
      <c r="J4974" s="6"/>
    </row>
    <row r="4975" spans="7:10" x14ac:dyDescent="0.35">
      <c r="G4975" s="2"/>
      <c r="H4975" s="2"/>
      <c r="I4975" s="3"/>
      <c r="J4975" s="6"/>
    </row>
    <row r="4976" spans="7:10" x14ac:dyDescent="0.35">
      <c r="G4976" s="2"/>
      <c r="H4976" s="2"/>
      <c r="I4976" s="3"/>
      <c r="J4976" s="6"/>
    </row>
    <row r="4977" spans="7:10" x14ac:dyDescent="0.35">
      <c r="G4977" s="2"/>
      <c r="H4977" s="2"/>
      <c r="I4977" s="3"/>
      <c r="J4977" s="6"/>
    </row>
    <row r="4978" spans="7:10" x14ac:dyDescent="0.35">
      <c r="G4978" s="2"/>
      <c r="H4978" s="2"/>
      <c r="I4978" s="3"/>
      <c r="J4978" s="6"/>
    </row>
    <row r="4979" spans="7:10" x14ac:dyDescent="0.35">
      <c r="G4979" s="2"/>
      <c r="H4979" s="2"/>
      <c r="I4979" s="3"/>
      <c r="J4979" s="6"/>
    </row>
    <row r="4980" spans="7:10" x14ac:dyDescent="0.35">
      <c r="G4980" s="2"/>
      <c r="H4980" s="2"/>
      <c r="I4980" s="3"/>
      <c r="J4980" s="6"/>
    </row>
    <row r="4981" spans="7:10" x14ac:dyDescent="0.35">
      <c r="G4981" s="2"/>
      <c r="H4981" s="2"/>
      <c r="I4981" s="3"/>
      <c r="J4981" s="6"/>
    </row>
    <row r="4982" spans="7:10" x14ac:dyDescent="0.35">
      <c r="G4982" s="2"/>
      <c r="H4982" s="2"/>
      <c r="I4982" s="3"/>
      <c r="J4982" s="6"/>
    </row>
    <row r="4983" spans="7:10" x14ac:dyDescent="0.35">
      <c r="G4983" s="2"/>
      <c r="H4983" s="2"/>
      <c r="I4983" s="3"/>
      <c r="J4983" s="6"/>
    </row>
    <row r="4984" spans="7:10" x14ac:dyDescent="0.35">
      <c r="G4984" s="2"/>
      <c r="H4984" s="2"/>
      <c r="I4984" s="3"/>
      <c r="J4984" s="6"/>
    </row>
    <row r="4985" spans="7:10" x14ac:dyDescent="0.35">
      <c r="G4985" s="2"/>
      <c r="H4985" s="2"/>
      <c r="I4985" s="3"/>
      <c r="J4985" s="6"/>
    </row>
    <row r="4986" spans="7:10" x14ac:dyDescent="0.35">
      <c r="G4986" s="2"/>
      <c r="H4986" s="2"/>
      <c r="I4986" s="3"/>
      <c r="J4986" s="6"/>
    </row>
    <row r="4987" spans="7:10" x14ac:dyDescent="0.35">
      <c r="G4987" s="2"/>
      <c r="H4987" s="2"/>
      <c r="I4987" s="3"/>
      <c r="J4987" s="6"/>
    </row>
    <row r="4988" spans="7:10" x14ac:dyDescent="0.35">
      <c r="G4988" s="2"/>
      <c r="H4988" s="2"/>
      <c r="I4988" s="3"/>
      <c r="J4988" s="6"/>
    </row>
    <row r="4989" spans="7:10" x14ac:dyDescent="0.35">
      <c r="G4989" s="2"/>
      <c r="H4989" s="2"/>
      <c r="I4989" s="3"/>
      <c r="J4989" s="6"/>
    </row>
    <row r="4990" spans="7:10" x14ac:dyDescent="0.35">
      <c r="G4990" s="2"/>
      <c r="H4990" s="2"/>
      <c r="I4990" s="3"/>
      <c r="J4990" s="6"/>
    </row>
    <row r="4991" spans="7:10" x14ac:dyDescent="0.35">
      <c r="G4991" s="2"/>
      <c r="H4991" s="2"/>
      <c r="I4991" s="3"/>
      <c r="J4991" s="6"/>
    </row>
    <row r="4992" spans="7:10" x14ac:dyDescent="0.35">
      <c r="G4992" s="2"/>
      <c r="H4992" s="2"/>
      <c r="I4992" s="3"/>
      <c r="J4992" s="6"/>
    </row>
    <row r="4993" spans="7:10" x14ac:dyDescent="0.35">
      <c r="G4993" s="2"/>
      <c r="H4993" s="2"/>
      <c r="I4993" s="3"/>
      <c r="J4993" s="6"/>
    </row>
    <row r="4994" spans="7:10" x14ac:dyDescent="0.35">
      <c r="G4994" s="2"/>
      <c r="H4994" s="2"/>
      <c r="I4994" s="3"/>
      <c r="J4994" s="6"/>
    </row>
    <row r="4995" spans="7:10" x14ac:dyDescent="0.35">
      <c r="G4995" s="2"/>
      <c r="H4995" s="2"/>
      <c r="I4995" s="3"/>
      <c r="J4995" s="6"/>
    </row>
    <row r="4996" spans="7:10" x14ac:dyDescent="0.35">
      <c r="G4996" s="2"/>
      <c r="H4996" s="2"/>
      <c r="I4996" s="3"/>
      <c r="J4996" s="6"/>
    </row>
    <row r="4997" spans="7:10" x14ac:dyDescent="0.35">
      <c r="G4997" s="2"/>
      <c r="H4997" s="2"/>
      <c r="I4997" s="3"/>
      <c r="J4997" s="6"/>
    </row>
    <row r="4998" spans="7:10" x14ac:dyDescent="0.35">
      <c r="G4998" s="2"/>
      <c r="H4998" s="2"/>
      <c r="I4998" s="3"/>
      <c r="J4998" s="6"/>
    </row>
    <row r="4999" spans="7:10" x14ac:dyDescent="0.35">
      <c r="G4999" s="2"/>
      <c r="H4999" s="2"/>
      <c r="I4999" s="3"/>
      <c r="J4999" s="6"/>
    </row>
    <row r="5000" spans="7:10" x14ac:dyDescent="0.35">
      <c r="G5000" s="2"/>
      <c r="H5000" s="2"/>
      <c r="I5000" s="3"/>
      <c r="J5000" s="6"/>
    </row>
    <row r="5001" spans="7:10" x14ac:dyDescent="0.35">
      <c r="G5001" s="2"/>
      <c r="H5001" s="2"/>
      <c r="I5001" s="3"/>
      <c r="J5001" s="6"/>
    </row>
    <row r="5002" spans="7:10" x14ac:dyDescent="0.35">
      <c r="G5002" s="2"/>
      <c r="H5002" s="2"/>
      <c r="I5002" s="3"/>
      <c r="J5002" s="6"/>
    </row>
    <row r="5003" spans="7:10" x14ac:dyDescent="0.35">
      <c r="G5003" s="2"/>
      <c r="H5003" s="2"/>
      <c r="I5003" s="3"/>
      <c r="J5003" s="6"/>
    </row>
    <row r="5004" spans="7:10" x14ac:dyDescent="0.35">
      <c r="G5004" s="2"/>
      <c r="H5004" s="2"/>
      <c r="I5004" s="3"/>
      <c r="J5004" s="6"/>
    </row>
    <row r="5005" spans="7:10" x14ac:dyDescent="0.35">
      <c r="G5005" s="2"/>
      <c r="H5005" s="2"/>
      <c r="I5005" s="3"/>
      <c r="J5005" s="6"/>
    </row>
    <row r="5006" spans="7:10" x14ac:dyDescent="0.35">
      <c r="G5006" s="2"/>
      <c r="H5006" s="2"/>
      <c r="I5006" s="3"/>
      <c r="J5006" s="6"/>
    </row>
    <row r="5007" spans="7:10" x14ac:dyDescent="0.35">
      <c r="G5007" s="2"/>
      <c r="H5007" s="2"/>
      <c r="I5007" s="3"/>
      <c r="J5007" s="6"/>
    </row>
    <row r="5008" spans="7:10" x14ac:dyDescent="0.35">
      <c r="G5008" s="2"/>
      <c r="H5008" s="2"/>
      <c r="I5008" s="3"/>
      <c r="J5008" s="6"/>
    </row>
    <row r="5009" spans="7:10" x14ac:dyDescent="0.35">
      <c r="G5009" s="2"/>
      <c r="H5009" s="2"/>
      <c r="I5009" s="3"/>
      <c r="J5009" s="6"/>
    </row>
    <row r="5010" spans="7:10" x14ac:dyDescent="0.35">
      <c r="G5010" s="2"/>
      <c r="H5010" s="2"/>
      <c r="I5010" s="3"/>
      <c r="J5010" s="6"/>
    </row>
    <row r="5011" spans="7:10" x14ac:dyDescent="0.35">
      <c r="G5011" s="2"/>
      <c r="H5011" s="2"/>
      <c r="I5011" s="3"/>
      <c r="J5011" s="6"/>
    </row>
    <row r="5012" spans="7:10" x14ac:dyDescent="0.35">
      <c r="G5012" s="2"/>
      <c r="H5012" s="2"/>
      <c r="I5012" s="3"/>
      <c r="J5012" s="6"/>
    </row>
    <row r="5013" spans="7:10" x14ac:dyDescent="0.35">
      <c r="G5013" s="2"/>
      <c r="H5013" s="2"/>
      <c r="I5013" s="3"/>
      <c r="J5013" s="6"/>
    </row>
    <row r="5014" spans="7:10" x14ac:dyDescent="0.35">
      <c r="G5014" s="2"/>
      <c r="H5014" s="2"/>
      <c r="I5014" s="3"/>
      <c r="J5014" s="6"/>
    </row>
    <row r="5015" spans="7:10" x14ac:dyDescent="0.35">
      <c r="G5015" s="2"/>
      <c r="H5015" s="2"/>
      <c r="I5015" s="3"/>
      <c r="J5015" s="6"/>
    </row>
    <row r="5016" spans="7:10" x14ac:dyDescent="0.35">
      <c r="G5016" s="2"/>
      <c r="H5016" s="2"/>
      <c r="I5016" s="3"/>
      <c r="J5016" s="6"/>
    </row>
    <row r="5017" spans="7:10" x14ac:dyDescent="0.35">
      <c r="G5017" s="2"/>
      <c r="H5017" s="2"/>
      <c r="I5017" s="3"/>
      <c r="J5017" s="6"/>
    </row>
    <row r="5018" spans="7:10" x14ac:dyDescent="0.35">
      <c r="G5018" s="2"/>
      <c r="H5018" s="2"/>
      <c r="I5018" s="3"/>
      <c r="J5018" s="6"/>
    </row>
    <row r="5019" spans="7:10" x14ac:dyDescent="0.35">
      <c r="G5019" s="2"/>
      <c r="H5019" s="2"/>
      <c r="I5019" s="3"/>
      <c r="J5019" s="6"/>
    </row>
    <row r="5020" spans="7:10" x14ac:dyDescent="0.35">
      <c r="G5020" s="2"/>
      <c r="H5020" s="2"/>
      <c r="I5020" s="3"/>
      <c r="J5020" s="6"/>
    </row>
    <row r="5021" spans="7:10" x14ac:dyDescent="0.35">
      <c r="G5021" s="2"/>
      <c r="H5021" s="2"/>
      <c r="I5021" s="3"/>
      <c r="J5021" s="6"/>
    </row>
    <row r="5022" spans="7:10" x14ac:dyDescent="0.35">
      <c r="G5022" s="2"/>
      <c r="H5022" s="2"/>
      <c r="I5022" s="3"/>
      <c r="J5022" s="6"/>
    </row>
    <row r="5023" spans="7:10" x14ac:dyDescent="0.35">
      <c r="G5023" s="2"/>
      <c r="H5023" s="2"/>
      <c r="I5023" s="3"/>
      <c r="J5023" s="6"/>
    </row>
    <row r="5024" spans="7:10" x14ac:dyDescent="0.35">
      <c r="G5024" s="2"/>
      <c r="H5024" s="2"/>
      <c r="I5024" s="3"/>
      <c r="J5024" s="6"/>
    </row>
    <row r="5025" spans="7:10" x14ac:dyDescent="0.35">
      <c r="G5025" s="2"/>
      <c r="H5025" s="2"/>
      <c r="I5025" s="3"/>
      <c r="J5025" s="6"/>
    </row>
    <row r="5026" spans="7:10" x14ac:dyDescent="0.35">
      <c r="G5026" s="2"/>
      <c r="H5026" s="2"/>
      <c r="I5026" s="3"/>
      <c r="J5026" s="6"/>
    </row>
    <row r="5027" spans="7:10" x14ac:dyDescent="0.35">
      <c r="G5027" s="2"/>
      <c r="H5027" s="2"/>
      <c r="I5027" s="3"/>
      <c r="J5027" s="6"/>
    </row>
    <row r="5028" spans="7:10" x14ac:dyDescent="0.35">
      <c r="G5028" s="2"/>
      <c r="H5028" s="2"/>
      <c r="I5028" s="3"/>
      <c r="J5028" s="6"/>
    </row>
    <row r="5029" spans="7:10" x14ac:dyDescent="0.35">
      <c r="G5029" s="2"/>
      <c r="H5029" s="2"/>
      <c r="I5029" s="3"/>
      <c r="J5029" s="6"/>
    </row>
    <row r="5030" spans="7:10" x14ac:dyDescent="0.35">
      <c r="G5030" s="2"/>
      <c r="H5030" s="2"/>
      <c r="I5030" s="3"/>
      <c r="J5030" s="6"/>
    </row>
    <row r="5031" spans="7:10" x14ac:dyDescent="0.35">
      <c r="G5031" s="2"/>
      <c r="H5031" s="2"/>
      <c r="I5031" s="3"/>
      <c r="J5031" s="6"/>
    </row>
    <row r="5032" spans="7:10" x14ac:dyDescent="0.35">
      <c r="G5032" s="2"/>
      <c r="H5032" s="2"/>
      <c r="I5032" s="3"/>
      <c r="J5032" s="6"/>
    </row>
    <row r="5033" spans="7:10" x14ac:dyDescent="0.35">
      <c r="G5033" s="2"/>
      <c r="H5033" s="2"/>
      <c r="I5033" s="3"/>
      <c r="J5033" s="6"/>
    </row>
    <row r="5034" spans="7:10" x14ac:dyDescent="0.35">
      <c r="G5034" s="2"/>
      <c r="H5034" s="2"/>
      <c r="I5034" s="3"/>
      <c r="J5034" s="6"/>
    </row>
    <row r="5035" spans="7:10" x14ac:dyDescent="0.35">
      <c r="G5035" s="2"/>
      <c r="H5035" s="2"/>
      <c r="I5035" s="3"/>
      <c r="J5035" s="6"/>
    </row>
    <row r="5036" spans="7:10" x14ac:dyDescent="0.35">
      <c r="G5036" s="2"/>
      <c r="H5036" s="2"/>
      <c r="I5036" s="3"/>
      <c r="J5036" s="6"/>
    </row>
    <row r="5037" spans="7:10" x14ac:dyDescent="0.35">
      <c r="G5037" s="2"/>
      <c r="H5037" s="2"/>
      <c r="I5037" s="3"/>
      <c r="J5037" s="6"/>
    </row>
    <row r="5038" spans="7:10" x14ac:dyDescent="0.35">
      <c r="G5038" s="2"/>
      <c r="H5038" s="2"/>
      <c r="I5038" s="3"/>
      <c r="J5038" s="6"/>
    </row>
    <row r="5039" spans="7:10" x14ac:dyDescent="0.35">
      <c r="G5039" s="2"/>
      <c r="H5039" s="2"/>
      <c r="I5039" s="3"/>
      <c r="J5039" s="6"/>
    </row>
    <row r="5040" spans="7:10" x14ac:dyDescent="0.35">
      <c r="G5040" s="2"/>
      <c r="H5040" s="2"/>
      <c r="I5040" s="3"/>
      <c r="J5040" s="6"/>
    </row>
    <row r="5041" spans="7:10" x14ac:dyDescent="0.35">
      <c r="G5041" s="2"/>
      <c r="H5041" s="2"/>
      <c r="I5041" s="3"/>
      <c r="J5041" s="6"/>
    </row>
    <row r="5042" spans="7:10" x14ac:dyDescent="0.35">
      <c r="G5042" s="2"/>
      <c r="H5042" s="2"/>
      <c r="I5042" s="3"/>
      <c r="J5042" s="6"/>
    </row>
    <row r="5043" spans="7:10" x14ac:dyDescent="0.35">
      <c r="G5043" s="2"/>
      <c r="H5043" s="2"/>
      <c r="I5043" s="3"/>
      <c r="J5043" s="6"/>
    </row>
    <row r="5044" spans="7:10" x14ac:dyDescent="0.35">
      <c r="G5044" s="2"/>
      <c r="H5044" s="2"/>
      <c r="I5044" s="3"/>
      <c r="J5044" s="6"/>
    </row>
    <row r="5045" spans="7:10" x14ac:dyDescent="0.35">
      <c r="G5045" s="2"/>
      <c r="H5045" s="2"/>
      <c r="I5045" s="3"/>
      <c r="J5045" s="6"/>
    </row>
    <row r="5046" spans="7:10" x14ac:dyDescent="0.35">
      <c r="G5046" s="2"/>
      <c r="H5046" s="2"/>
      <c r="I5046" s="3"/>
      <c r="J5046" s="6"/>
    </row>
    <row r="5047" spans="7:10" x14ac:dyDescent="0.35">
      <c r="G5047" s="2"/>
      <c r="H5047" s="2"/>
      <c r="I5047" s="3"/>
      <c r="J5047" s="6"/>
    </row>
    <row r="5048" spans="7:10" x14ac:dyDescent="0.35">
      <c r="G5048" s="2"/>
      <c r="H5048" s="2"/>
      <c r="I5048" s="3"/>
      <c r="J5048" s="6"/>
    </row>
    <row r="5049" spans="7:10" x14ac:dyDescent="0.35">
      <c r="G5049" s="2"/>
      <c r="H5049" s="2"/>
      <c r="I5049" s="3"/>
      <c r="J5049" s="6"/>
    </row>
    <row r="5050" spans="7:10" x14ac:dyDescent="0.35">
      <c r="G5050" s="2"/>
      <c r="H5050" s="2"/>
      <c r="I5050" s="3"/>
      <c r="J5050" s="6"/>
    </row>
    <row r="5051" spans="7:10" x14ac:dyDescent="0.35">
      <c r="G5051" s="2"/>
      <c r="H5051" s="2"/>
      <c r="I5051" s="3"/>
      <c r="J5051" s="6"/>
    </row>
    <row r="5052" spans="7:10" x14ac:dyDescent="0.35">
      <c r="G5052" s="2"/>
      <c r="H5052" s="2"/>
      <c r="I5052" s="3"/>
      <c r="J5052" s="6"/>
    </row>
    <row r="5053" spans="7:10" x14ac:dyDescent="0.35">
      <c r="G5053" s="2"/>
      <c r="H5053" s="2"/>
      <c r="I5053" s="3"/>
      <c r="J5053" s="6"/>
    </row>
    <row r="5054" spans="7:10" x14ac:dyDescent="0.35">
      <c r="G5054" s="2"/>
      <c r="H5054" s="2"/>
      <c r="I5054" s="3"/>
      <c r="J5054" s="6"/>
    </row>
    <row r="5055" spans="7:10" x14ac:dyDescent="0.35">
      <c r="G5055" s="2"/>
      <c r="H5055" s="2"/>
      <c r="I5055" s="3"/>
      <c r="J5055" s="6"/>
    </row>
    <row r="5056" spans="7:10" x14ac:dyDescent="0.35">
      <c r="G5056" s="2"/>
      <c r="H5056" s="2"/>
      <c r="I5056" s="3"/>
      <c r="J5056" s="6"/>
    </row>
    <row r="5057" spans="7:10" x14ac:dyDescent="0.35">
      <c r="G5057" s="2"/>
      <c r="H5057" s="2"/>
      <c r="I5057" s="3"/>
      <c r="J5057" s="6"/>
    </row>
    <row r="5058" spans="7:10" x14ac:dyDescent="0.35">
      <c r="G5058" s="2"/>
      <c r="H5058" s="2"/>
      <c r="I5058" s="3"/>
      <c r="J5058" s="6"/>
    </row>
    <row r="5059" spans="7:10" x14ac:dyDescent="0.35">
      <c r="G5059" s="2"/>
      <c r="H5059" s="2"/>
      <c r="I5059" s="3"/>
      <c r="J5059" s="6"/>
    </row>
    <row r="5060" spans="7:10" x14ac:dyDescent="0.35">
      <c r="G5060" s="2"/>
      <c r="H5060" s="2"/>
      <c r="I5060" s="3"/>
      <c r="J5060" s="6"/>
    </row>
    <row r="5061" spans="7:10" x14ac:dyDescent="0.35">
      <c r="G5061" s="2"/>
      <c r="H5061" s="2"/>
      <c r="I5061" s="3"/>
      <c r="J5061" s="6"/>
    </row>
    <row r="5062" spans="7:10" x14ac:dyDescent="0.35">
      <c r="G5062" s="2"/>
      <c r="H5062" s="2"/>
      <c r="I5062" s="3"/>
      <c r="J5062" s="6"/>
    </row>
    <row r="5063" spans="7:10" x14ac:dyDescent="0.35">
      <c r="G5063" s="2"/>
      <c r="H5063" s="2"/>
      <c r="I5063" s="3"/>
      <c r="J5063" s="6"/>
    </row>
    <row r="5064" spans="7:10" x14ac:dyDescent="0.35">
      <c r="G5064" s="2"/>
      <c r="H5064" s="2"/>
      <c r="I5064" s="3"/>
      <c r="J5064" s="6"/>
    </row>
    <row r="5065" spans="7:10" x14ac:dyDescent="0.35">
      <c r="G5065" s="2"/>
      <c r="H5065" s="2"/>
      <c r="I5065" s="3"/>
      <c r="J5065" s="6"/>
    </row>
    <row r="5066" spans="7:10" x14ac:dyDescent="0.35">
      <c r="G5066" s="2"/>
      <c r="H5066" s="2"/>
      <c r="I5066" s="3"/>
      <c r="J5066" s="6"/>
    </row>
    <row r="5067" spans="7:10" x14ac:dyDescent="0.35">
      <c r="G5067" s="2"/>
      <c r="H5067" s="2"/>
      <c r="I5067" s="3"/>
      <c r="J5067" s="6"/>
    </row>
    <row r="5068" spans="7:10" x14ac:dyDescent="0.35">
      <c r="G5068" s="2"/>
      <c r="H5068" s="2"/>
      <c r="I5068" s="3"/>
      <c r="J5068" s="6"/>
    </row>
    <row r="5069" spans="7:10" x14ac:dyDescent="0.35">
      <c r="G5069" s="2"/>
      <c r="H5069" s="2"/>
      <c r="I5069" s="3"/>
      <c r="J5069" s="6"/>
    </row>
    <row r="5070" spans="7:10" x14ac:dyDescent="0.35">
      <c r="G5070" s="2"/>
      <c r="H5070" s="2"/>
      <c r="I5070" s="3"/>
      <c r="J5070" s="6"/>
    </row>
    <row r="5071" spans="7:10" x14ac:dyDescent="0.35">
      <c r="G5071" s="2"/>
      <c r="H5071" s="2"/>
      <c r="I5071" s="3"/>
      <c r="J5071" s="6"/>
    </row>
    <row r="5072" spans="7:10" x14ac:dyDescent="0.35">
      <c r="G5072" s="2"/>
      <c r="H5072" s="2"/>
      <c r="I5072" s="3"/>
      <c r="J5072" s="6"/>
    </row>
    <row r="5073" spans="7:10" x14ac:dyDescent="0.35">
      <c r="G5073" s="2"/>
      <c r="H5073" s="2"/>
      <c r="I5073" s="3"/>
      <c r="J5073" s="6"/>
    </row>
    <row r="5074" spans="7:10" x14ac:dyDescent="0.35">
      <c r="G5074" s="2"/>
      <c r="H5074" s="2"/>
      <c r="I5074" s="3"/>
      <c r="J5074" s="6"/>
    </row>
    <row r="5075" spans="7:10" x14ac:dyDescent="0.35">
      <c r="G5075" s="2"/>
      <c r="H5075" s="2"/>
      <c r="I5075" s="3"/>
      <c r="J5075" s="6"/>
    </row>
    <row r="5076" spans="7:10" x14ac:dyDescent="0.35">
      <c r="G5076" s="2"/>
      <c r="H5076" s="2"/>
      <c r="I5076" s="3"/>
      <c r="J5076" s="6"/>
    </row>
    <row r="5077" spans="7:10" x14ac:dyDescent="0.35">
      <c r="G5077" s="2"/>
      <c r="H5077" s="2"/>
      <c r="I5077" s="3"/>
      <c r="J5077" s="6"/>
    </row>
    <row r="5078" spans="7:10" x14ac:dyDescent="0.35">
      <c r="G5078" s="2"/>
      <c r="H5078" s="2"/>
      <c r="I5078" s="3"/>
      <c r="J5078" s="6"/>
    </row>
    <row r="5079" spans="7:10" x14ac:dyDescent="0.35">
      <c r="G5079" s="2"/>
      <c r="H5079" s="2"/>
      <c r="I5079" s="3"/>
      <c r="J5079" s="6"/>
    </row>
    <row r="5080" spans="7:10" x14ac:dyDescent="0.35">
      <c r="G5080" s="2"/>
      <c r="H5080" s="2"/>
      <c r="I5080" s="3"/>
      <c r="J5080" s="6"/>
    </row>
    <row r="5081" spans="7:10" x14ac:dyDescent="0.35">
      <c r="G5081" s="2"/>
      <c r="H5081" s="2"/>
      <c r="I5081" s="3"/>
      <c r="J5081" s="6"/>
    </row>
    <row r="5082" spans="7:10" x14ac:dyDescent="0.35">
      <c r="G5082" s="2"/>
      <c r="H5082" s="2"/>
      <c r="I5082" s="3"/>
      <c r="J5082" s="6"/>
    </row>
    <row r="5083" spans="7:10" x14ac:dyDescent="0.35">
      <c r="G5083" s="2"/>
      <c r="H5083" s="2"/>
      <c r="I5083" s="3"/>
      <c r="J5083" s="6"/>
    </row>
    <row r="5084" spans="7:10" x14ac:dyDescent="0.35">
      <c r="G5084" s="2"/>
      <c r="H5084" s="2"/>
      <c r="I5084" s="3"/>
      <c r="J5084" s="6"/>
    </row>
    <row r="5085" spans="7:10" x14ac:dyDescent="0.35">
      <c r="G5085" s="2"/>
      <c r="H5085" s="2"/>
      <c r="I5085" s="3"/>
      <c r="J5085" s="6"/>
    </row>
    <row r="5086" spans="7:10" x14ac:dyDescent="0.35">
      <c r="G5086" s="2"/>
      <c r="H5086" s="2"/>
      <c r="I5086" s="3"/>
      <c r="J5086" s="6"/>
    </row>
    <row r="5087" spans="7:10" x14ac:dyDescent="0.35">
      <c r="G5087" s="2"/>
      <c r="H5087" s="2"/>
      <c r="I5087" s="3"/>
      <c r="J5087" s="6"/>
    </row>
    <row r="5088" spans="7:10" x14ac:dyDescent="0.35">
      <c r="G5088" s="2"/>
      <c r="H5088" s="2"/>
      <c r="I5088" s="3"/>
      <c r="J5088" s="6"/>
    </row>
    <row r="5089" spans="7:10" x14ac:dyDescent="0.35">
      <c r="G5089" s="2"/>
      <c r="H5089" s="2"/>
      <c r="I5089" s="3"/>
      <c r="J5089" s="6"/>
    </row>
    <row r="5090" spans="7:10" x14ac:dyDescent="0.35">
      <c r="G5090" s="2"/>
      <c r="H5090" s="2"/>
      <c r="I5090" s="3"/>
      <c r="J5090" s="6"/>
    </row>
    <row r="5091" spans="7:10" x14ac:dyDescent="0.35">
      <c r="G5091" s="2"/>
      <c r="H5091" s="2"/>
      <c r="I5091" s="3"/>
      <c r="J5091" s="6"/>
    </row>
    <row r="5092" spans="7:10" x14ac:dyDescent="0.35">
      <c r="G5092" s="2"/>
      <c r="H5092" s="2"/>
      <c r="I5092" s="3"/>
      <c r="J5092" s="6"/>
    </row>
    <row r="5093" spans="7:10" x14ac:dyDescent="0.35">
      <c r="G5093" s="2"/>
      <c r="H5093" s="2"/>
      <c r="I5093" s="3"/>
      <c r="J5093" s="6"/>
    </row>
    <row r="5094" spans="7:10" x14ac:dyDescent="0.35">
      <c r="G5094" s="2"/>
      <c r="H5094" s="2"/>
      <c r="I5094" s="3"/>
      <c r="J5094" s="6"/>
    </row>
    <row r="5095" spans="7:10" x14ac:dyDescent="0.35">
      <c r="G5095" s="2"/>
      <c r="H5095" s="2"/>
      <c r="I5095" s="3"/>
      <c r="J5095" s="6"/>
    </row>
    <row r="5096" spans="7:10" x14ac:dyDescent="0.35">
      <c r="G5096" s="2"/>
      <c r="H5096" s="2"/>
      <c r="I5096" s="3"/>
      <c r="J5096" s="6"/>
    </row>
    <row r="5097" spans="7:10" x14ac:dyDescent="0.35">
      <c r="G5097" s="2"/>
      <c r="H5097" s="2"/>
      <c r="I5097" s="3"/>
      <c r="J5097" s="6"/>
    </row>
    <row r="5098" spans="7:10" x14ac:dyDescent="0.35">
      <c r="G5098" s="2"/>
      <c r="H5098" s="2"/>
      <c r="I5098" s="3"/>
      <c r="J5098" s="6"/>
    </row>
    <row r="5099" spans="7:10" x14ac:dyDescent="0.35">
      <c r="G5099" s="2"/>
      <c r="H5099" s="2"/>
      <c r="I5099" s="3"/>
      <c r="J5099" s="6"/>
    </row>
    <row r="5100" spans="7:10" x14ac:dyDescent="0.35">
      <c r="G5100" s="2"/>
      <c r="H5100" s="2"/>
      <c r="I5100" s="3"/>
      <c r="J5100" s="6"/>
    </row>
    <row r="5101" spans="7:10" x14ac:dyDescent="0.35">
      <c r="G5101" s="2"/>
      <c r="H5101" s="2"/>
      <c r="I5101" s="3"/>
      <c r="J5101" s="6"/>
    </row>
    <row r="5102" spans="7:10" x14ac:dyDescent="0.35">
      <c r="G5102" s="2"/>
      <c r="H5102" s="2"/>
      <c r="I5102" s="3"/>
      <c r="J5102" s="6"/>
    </row>
    <row r="5103" spans="7:10" x14ac:dyDescent="0.35">
      <c r="G5103" s="2"/>
      <c r="H5103" s="2"/>
      <c r="I5103" s="3"/>
      <c r="J5103" s="6"/>
    </row>
    <row r="5104" spans="7:10" x14ac:dyDescent="0.35">
      <c r="G5104" s="2"/>
      <c r="H5104" s="2"/>
      <c r="I5104" s="3"/>
      <c r="J5104" s="6"/>
    </row>
    <row r="5105" spans="7:10" x14ac:dyDescent="0.35">
      <c r="G5105" s="2"/>
      <c r="H5105" s="2"/>
      <c r="I5105" s="3"/>
      <c r="J5105" s="6"/>
    </row>
    <row r="5106" spans="7:10" x14ac:dyDescent="0.35">
      <c r="G5106" s="2"/>
      <c r="H5106" s="2"/>
      <c r="I5106" s="3"/>
      <c r="J5106" s="6"/>
    </row>
    <row r="5107" spans="7:10" x14ac:dyDescent="0.35">
      <c r="G5107" s="2"/>
      <c r="H5107" s="2"/>
      <c r="I5107" s="3"/>
      <c r="J5107" s="6"/>
    </row>
    <row r="5108" spans="7:10" x14ac:dyDescent="0.35">
      <c r="G5108" s="2"/>
      <c r="H5108" s="2"/>
      <c r="I5108" s="3"/>
      <c r="J5108" s="6"/>
    </row>
    <row r="5109" spans="7:10" x14ac:dyDescent="0.35">
      <c r="G5109" s="2"/>
      <c r="H5109" s="2"/>
      <c r="I5109" s="3"/>
      <c r="J5109" s="6"/>
    </row>
    <row r="5110" spans="7:10" x14ac:dyDescent="0.35">
      <c r="G5110" s="2"/>
      <c r="H5110" s="2"/>
      <c r="I5110" s="3"/>
      <c r="J5110" s="6"/>
    </row>
    <row r="5111" spans="7:10" x14ac:dyDescent="0.35">
      <c r="G5111" s="2"/>
      <c r="H5111" s="2"/>
      <c r="I5111" s="3"/>
      <c r="J5111" s="6"/>
    </row>
    <row r="5112" spans="7:10" x14ac:dyDescent="0.35">
      <c r="G5112" s="2"/>
      <c r="H5112" s="2"/>
      <c r="I5112" s="3"/>
      <c r="J5112" s="6"/>
    </row>
    <row r="5113" spans="7:10" x14ac:dyDescent="0.35">
      <c r="G5113" s="2"/>
      <c r="H5113" s="2"/>
      <c r="I5113" s="3"/>
      <c r="J5113" s="6"/>
    </row>
    <row r="5114" spans="7:10" x14ac:dyDescent="0.35">
      <c r="G5114" s="2"/>
      <c r="H5114" s="2"/>
      <c r="I5114" s="3"/>
      <c r="J5114" s="6"/>
    </row>
    <row r="5115" spans="7:10" x14ac:dyDescent="0.35">
      <c r="G5115" s="2"/>
      <c r="H5115" s="2"/>
      <c r="I5115" s="3"/>
      <c r="J5115" s="6"/>
    </row>
    <row r="5116" spans="7:10" x14ac:dyDescent="0.35">
      <c r="G5116" s="2"/>
      <c r="H5116" s="2"/>
      <c r="I5116" s="3"/>
      <c r="J5116" s="6"/>
    </row>
    <row r="5117" spans="7:10" x14ac:dyDescent="0.35">
      <c r="G5117" s="2"/>
      <c r="H5117" s="2"/>
      <c r="I5117" s="3"/>
      <c r="J5117" s="6"/>
    </row>
    <row r="5118" spans="7:10" x14ac:dyDescent="0.35">
      <c r="G5118" s="2"/>
      <c r="H5118" s="2"/>
      <c r="I5118" s="3"/>
      <c r="J5118" s="6"/>
    </row>
    <row r="5119" spans="7:10" x14ac:dyDescent="0.35">
      <c r="G5119" s="2"/>
      <c r="H5119" s="2"/>
      <c r="I5119" s="3"/>
      <c r="J5119" s="6"/>
    </row>
    <row r="5120" spans="7:10" x14ac:dyDescent="0.35">
      <c r="G5120" s="2"/>
      <c r="H5120" s="2"/>
      <c r="I5120" s="3"/>
      <c r="J5120" s="6"/>
    </row>
    <row r="5121" spans="7:10" x14ac:dyDescent="0.35">
      <c r="G5121" s="2"/>
      <c r="H5121" s="2"/>
      <c r="I5121" s="3"/>
      <c r="J5121" s="6"/>
    </row>
    <row r="5122" spans="7:10" x14ac:dyDescent="0.35">
      <c r="G5122" s="2"/>
      <c r="H5122" s="2"/>
      <c r="I5122" s="3"/>
      <c r="J5122" s="6"/>
    </row>
    <row r="5123" spans="7:10" x14ac:dyDescent="0.35">
      <c r="G5123" s="2"/>
      <c r="H5123" s="2"/>
      <c r="I5123" s="3"/>
      <c r="J5123" s="6"/>
    </row>
    <row r="5124" spans="7:10" x14ac:dyDescent="0.35">
      <c r="G5124" s="2"/>
      <c r="H5124" s="2"/>
      <c r="I5124" s="3"/>
      <c r="J5124" s="6"/>
    </row>
    <row r="5125" spans="7:10" x14ac:dyDescent="0.35">
      <c r="G5125" s="2"/>
      <c r="H5125" s="2"/>
      <c r="I5125" s="3"/>
      <c r="J5125" s="6"/>
    </row>
    <row r="5126" spans="7:10" x14ac:dyDescent="0.35">
      <c r="G5126" s="2"/>
      <c r="H5126" s="2"/>
      <c r="I5126" s="3"/>
      <c r="J5126" s="6"/>
    </row>
    <row r="5127" spans="7:10" x14ac:dyDescent="0.35">
      <c r="G5127" s="2"/>
      <c r="H5127" s="2"/>
      <c r="I5127" s="3"/>
      <c r="J5127" s="6"/>
    </row>
    <row r="5128" spans="7:10" x14ac:dyDescent="0.35">
      <c r="G5128" s="2"/>
      <c r="H5128" s="2"/>
      <c r="I5128" s="3"/>
      <c r="J5128" s="6"/>
    </row>
    <row r="5129" spans="7:10" x14ac:dyDescent="0.35">
      <c r="G5129" s="2"/>
      <c r="H5129" s="2"/>
      <c r="I5129" s="3"/>
      <c r="J5129" s="6"/>
    </row>
    <row r="5130" spans="7:10" x14ac:dyDescent="0.35">
      <c r="G5130" s="2"/>
      <c r="H5130" s="2"/>
      <c r="I5130" s="3"/>
      <c r="J5130" s="6"/>
    </row>
    <row r="5131" spans="7:10" x14ac:dyDescent="0.35">
      <c r="G5131" s="2"/>
      <c r="H5131" s="2"/>
      <c r="I5131" s="3"/>
      <c r="J5131" s="6"/>
    </row>
    <row r="5132" spans="7:10" x14ac:dyDescent="0.35">
      <c r="G5132" s="2"/>
      <c r="H5132" s="2"/>
      <c r="I5132" s="3"/>
      <c r="J5132" s="6"/>
    </row>
    <row r="5133" spans="7:10" x14ac:dyDescent="0.35">
      <c r="G5133" s="2"/>
      <c r="H5133" s="2"/>
      <c r="I5133" s="3"/>
      <c r="J5133" s="6"/>
    </row>
    <row r="5134" spans="7:10" x14ac:dyDescent="0.35">
      <c r="G5134" s="2"/>
      <c r="H5134" s="2"/>
      <c r="I5134" s="3"/>
      <c r="J5134" s="6"/>
    </row>
    <row r="5135" spans="7:10" x14ac:dyDescent="0.35">
      <c r="G5135" s="2"/>
      <c r="H5135" s="2"/>
      <c r="I5135" s="3"/>
      <c r="J5135" s="6"/>
    </row>
    <row r="5136" spans="7:10" x14ac:dyDescent="0.35">
      <c r="G5136" s="2"/>
      <c r="H5136" s="2"/>
      <c r="I5136" s="3"/>
      <c r="J5136" s="6"/>
    </row>
    <row r="5137" spans="7:10" x14ac:dyDescent="0.35">
      <c r="G5137" s="2"/>
      <c r="H5137" s="2"/>
      <c r="I5137" s="3"/>
      <c r="J5137" s="6"/>
    </row>
    <row r="5138" spans="7:10" x14ac:dyDescent="0.35">
      <c r="G5138" s="2"/>
      <c r="H5138" s="2"/>
      <c r="I5138" s="3"/>
      <c r="J5138" s="6"/>
    </row>
    <row r="5139" spans="7:10" x14ac:dyDescent="0.35">
      <c r="G5139" s="2"/>
      <c r="H5139" s="2"/>
      <c r="I5139" s="3"/>
      <c r="J5139" s="6"/>
    </row>
    <row r="5140" spans="7:10" x14ac:dyDescent="0.35">
      <c r="G5140" s="2"/>
      <c r="H5140" s="2"/>
      <c r="I5140" s="3"/>
      <c r="J5140" s="6"/>
    </row>
    <row r="5141" spans="7:10" x14ac:dyDescent="0.35">
      <c r="G5141" s="2"/>
      <c r="H5141" s="2"/>
      <c r="I5141" s="3"/>
      <c r="J5141" s="6"/>
    </row>
    <row r="5142" spans="7:10" x14ac:dyDescent="0.35">
      <c r="G5142" s="2"/>
      <c r="H5142" s="2"/>
      <c r="I5142" s="3"/>
      <c r="J5142" s="6"/>
    </row>
    <row r="5143" spans="7:10" x14ac:dyDescent="0.35">
      <c r="G5143" s="2"/>
      <c r="H5143" s="2"/>
      <c r="I5143" s="3"/>
      <c r="J5143" s="6"/>
    </row>
    <row r="5144" spans="7:10" x14ac:dyDescent="0.35">
      <c r="G5144" s="2"/>
      <c r="H5144" s="2"/>
      <c r="I5144" s="3"/>
      <c r="J5144" s="6"/>
    </row>
    <row r="5145" spans="7:10" x14ac:dyDescent="0.35">
      <c r="G5145" s="2"/>
      <c r="H5145" s="2"/>
      <c r="I5145" s="3"/>
      <c r="J5145" s="6"/>
    </row>
    <row r="5146" spans="7:10" x14ac:dyDescent="0.35">
      <c r="G5146" s="2"/>
      <c r="H5146" s="2"/>
      <c r="I5146" s="3"/>
      <c r="J5146" s="6"/>
    </row>
    <row r="5147" spans="7:10" x14ac:dyDescent="0.35">
      <c r="G5147" s="2"/>
      <c r="H5147" s="2"/>
      <c r="I5147" s="3"/>
      <c r="J5147" s="6"/>
    </row>
    <row r="5148" spans="7:10" x14ac:dyDescent="0.35">
      <c r="G5148" s="2"/>
      <c r="H5148" s="2"/>
      <c r="I5148" s="3"/>
      <c r="J5148" s="6"/>
    </row>
    <row r="5149" spans="7:10" x14ac:dyDescent="0.35">
      <c r="G5149" s="2"/>
      <c r="H5149" s="2"/>
      <c r="I5149" s="3"/>
      <c r="J5149" s="6"/>
    </row>
    <row r="5150" spans="7:10" x14ac:dyDescent="0.35">
      <c r="G5150" s="2"/>
      <c r="H5150" s="2"/>
      <c r="I5150" s="3"/>
      <c r="J5150" s="6"/>
    </row>
    <row r="5151" spans="7:10" x14ac:dyDescent="0.35">
      <c r="G5151" s="2"/>
      <c r="H5151" s="2"/>
      <c r="I5151" s="3"/>
      <c r="J5151" s="6"/>
    </row>
    <row r="5152" spans="7:10" x14ac:dyDescent="0.35">
      <c r="G5152" s="2"/>
      <c r="H5152" s="2"/>
      <c r="I5152" s="3"/>
      <c r="J5152" s="6"/>
    </row>
    <row r="5153" spans="7:10" x14ac:dyDescent="0.35">
      <c r="G5153" s="2"/>
      <c r="H5153" s="2"/>
      <c r="I5153" s="3"/>
      <c r="J5153" s="6"/>
    </row>
    <row r="5154" spans="7:10" x14ac:dyDescent="0.35">
      <c r="G5154" s="2"/>
      <c r="H5154" s="2"/>
      <c r="I5154" s="3"/>
      <c r="J5154" s="6"/>
    </row>
    <row r="5155" spans="7:10" x14ac:dyDescent="0.35">
      <c r="G5155" s="2"/>
      <c r="H5155" s="2"/>
      <c r="I5155" s="3"/>
      <c r="J5155" s="6"/>
    </row>
    <row r="5156" spans="7:10" x14ac:dyDescent="0.35">
      <c r="G5156" s="2"/>
      <c r="H5156" s="2"/>
      <c r="I5156" s="3"/>
      <c r="J5156" s="6"/>
    </row>
    <row r="5157" spans="7:10" x14ac:dyDescent="0.35">
      <c r="G5157" s="2"/>
      <c r="H5157" s="2"/>
      <c r="I5157" s="3"/>
      <c r="J5157" s="6"/>
    </row>
    <row r="5158" spans="7:10" x14ac:dyDescent="0.35">
      <c r="G5158" s="2"/>
      <c r="H5158" s="2"/>
      <c r="I5158" s="3"/>
      <c r="J5158" s="6"/>
    </row>
    <row r="5159" spans="7:10" x14ac:dyDescent="0.35">
      <c r="G5159" s="2"/>
      <c r="H5159" s="2"/>
      <c r="I5159" s="3"/>
      <c r="J5159" s="6"/>
    </row>
    <row r="5160" spans="7:10" x14ac:dyDescent="0.35">
      <c r="G5160" s="2"/>
      <c r="H5160" s="2"/>
      <c r="I5160" s="3"/>
      <c r="J5160" s="6"/>
    </row>
    <row r="5161" spans="7:10" x14ac:dyDescent="0.35">
      <c r="G5161" s="2"/>
      <c r="H5161" s="2"/>
      <c r="I5161" s="3"/>
      <c r="J5161" s="6"/>
    </row>
    <row r="5162" spans="7:10" x14ac:dyDescent="0.35">
      <c r="G5162" s="2"/>
      <c r="H5162" s="2"/>
      <c r="I5162" s="3"/>
      <c r="J5162" s="6"/>
    </row>
    <row r="5163" spans="7:10" x14ac:dyDescent="0.35">
      <c r="G5163" s="2"/>
      <c r="H5163" s="2"/>
      <c r="I5163" s="3"/>
      <c r="J5163" s="6"/>
    </row>
    <row r="5164" spans="7:10" x14ac:dyDescent="0.35">
      <c r="G5164" s="2"/>
      <c r="H5164" s="2"/>
      <c r="I5164" s="3"/>
      <c r="J5164" s="6"/>
    </row>
    <row r="5165" spans="7:10" x14ac:dyDescent="0.35">
      <c r="G5165" s="2"/>
      <c r="H5165" s="2"/>
      <c r="I5165" s="3"/>
      <c r="J5165" s="6"/>
    </row>
    <row r="5166" spans="7:10" x14ac:dyDescent="0.35">
      <c r="G5166" s="2"/>
      <c r="H5166" s="2"/>
      <c r="I5166" s="3"/>
      <c r="J5166" s="6"/>
    </row>
    <row r="5167" spans="7:10" x14ac:dyDescent="0.35">
      <c r="G5167" s="2"/>
      <c r="H5167" s="2"/>
      <c r="I5167" s="3"/>
      <c r="J5167" s="6"/>
    </row>
    <row r="5168" spans="7:10" x14ac:dyDescent="0.35">
      <c r="G5168" s="2"/>
      <c r="H5168" s="2"/>
      <c r="I5168" s="3"/>
      <c r="J5168" s="6"/>
    </row>
    <row r="5169" spans="7:10" x14ac:dyDescent="0.35">
      <c r="G5169" s="2"/>
      <c r="H5169" s="2"/>
      <c r="I5169" s="3"/>
      <c r="J5169" s="6"/>
    </row>
    <row r="5170" spans="7:10" x14ac:dyDescent="0.35">
      <c r="G5170" s="2"/>
      <c r="H5170" s="2"/>
      <c r="I5170" s="3"/>
      <c r="J5170" s="6"/>
    </row>
    <row r="5171" spans="7:10" x14ac:dyDescent="0.35">
      <c r="G5171" s="2"/>
      <c r="H5171" s="2"/>
      <c r="I5171" s="3"/>
      <c r="J5171" s="6"/>
    </row>
    <row r="5172" spans="7:10" x14ac:dyDescent="0.35">
      <c r="G5172" s="2"/>
      <c r="H5172" s="2"/>
      <c r="I5172" s="3"/>
      <c r="J5172" s="6"/>
    </row>
    <row r="5173" spans="7:10" x14ac:dyDescent="0.35">
      <c r="G5173" s="2"/>
      <c r="H5173" s="2"/>
      <c r="I5173" s="3"/>
      <c r="J5173" s="6"/>
    </row>
    <row r="5174" spans="7:10" x14ac:dyDescent="0.35">
      <c r="G5174" s="2"/>
      <c r="H5174" s="2"/>
      <c r="I5174" s="3"/>
      <c r="J5174" s="6"/>
    </row>
    <row r="5175" spans="7:10" x14ac:dyDescent="0.35">
      <c r="G5175" s="2"/>
      <c r="H5175" s="2"/>
      <c r="I5175" s="3"/>
      <c r="J5175" s="6"/>
    </row>
    <row r="5176" spans="7:10" x14ac:dyDescent="0.35">
      <c r="G5176" s="2"/>
      <c r="H5176" s="2"/>
      <c r="I5176" s="3"/>
      <c r="J5176" s="6"/>
    </row>
    <row r="5177" spans="7:10" x14ac:dyDescent="0.35">
      <c r="G5177" s="2"/>
      <c r="H5177" s="2"/>
      <c r="I5177" s="3"/>
      <c r="J5177" s="6"/>
    </row>
    <row r="5178" spans="7:10" x14ac:dyDescent="0.35">
      <c r="G5178" s="2"/>
      <c r="H5178" s="2"/>
      <c r="I5178" s="3"/>
      <c r="J5178" s="6"/>
    </row>
    <row r="5179" spans="7:10" x14ac:dyDescent="0.35">
      <c r="G5179" s="2"/>
      <c r="H5179" s="2"/>
      <c r="I5179" s="3"/>
      <c r="J5179" s="6"/>
    </row>
    <row r="5180" spans="7:10" x14ac:dyDescent="0.35">
      <c r="G5180" s="2"/>
      <c r="H5180" s="2"/>
      <c r="I5180" s="3"/>
      <c r="J5180" s="6"/>
    </row>
    <row r="5181" spans="7:10" x14ac:dyDescent="0.35">
      <c r="G5181" s="2"/>
      <c r="H5181" s="2"/>
      <c r="I5181" s="3"/>
      <c r="J5181" s="6"/>
    </row>
    <row r="5182" spans="7:10" x14ac:dyDescent="0.35">
      <c r="G5182" s="2"/>
      <c r="H5182" s="2"/>
      <c r="I5182" s="3"/>
      <c r="J5182" s="6"/>
    </row>
    <row r="5183" spans="7:10" x14ac:dyDescent="0.35">
      <c r="G5183" s="2"/>
      <c r="H5183" s="2"/>
      <c r="I5183" s="3"/>
      <c r="J5183" s="6"/>
    </row>
    <row r="5184" spans="7:10" x14ac:dyDescent="0.35">
      <c r="G5184" s="2"/>
      <c r="H5184" s="2"/>
      <c r="I5184" s="3"/>
      <c r="J5184" s="6"/>
    </row>
    <row r="5185" spans="7:10" x14ac:dyDescent="0.35">
      <c r="G5185" s="2"/>
      <c r="H5185" s="2"/>
      <c r="I5185" s="3"/>
      <c r="J5185" s="6"/>
    </row>
    <row r="5186" spans="7:10" x14ac:dyDescent="0.35">
      <c r="G5186" s="2"/>
      <c r="H5186" s="2"/>
      <c r="I5186" s="3"/>
      <c r="J5186" s="6"/>
    </row>
    <row r="5187" spans="7:10" x14ac:dyDescent="0.35">
      <c r="G5187" s="2"/>
      <c r="H5187" s="2"/>
      <c r="I5187" s="3"/>
      <c r="J5187" s="6"/>
    </row>
    <row r="5188" spans="7:10" x14ac:dyDescent="0.35">
      <c r="G5188" s="2"/>
      <c r="H5188" s="2"/>
      <c r="I5188" s="3"/>
      <c r="J5188" s="6"/>
    </row>
    <row r="5189" spans="7:10" x14ac:dyDescent="0.35">
      <c r="G5189" s="2"/>
      <c r="H5189" s="2"/>
      <c r="I5189" s="3"/>
      <c r="J5189" s="6"/>
    </row>
    <row r="5190" spans="7:10" x14ac:dyDescent="0.35">
      <c r="G5190" s="2"/>
      <c r="H5190" s="2"/>
      <c r="I5190" s="3"/>
      <c r="J5190" s="6"/>
    </row>
    <row r="5191" spans="7:10" x14ac:dyDescent="0.35">
      <c r="G5191" s="2"/>
      <c r="H5191" s="2"/>
      <c r="I5191" s="3"/>
      <c r="J5191" s="6"/>
    </row>
    <row r="5192" spans="7:10" x14ac:dyDescent="0.35">
      <c r="G5192" s="2"/>
      <c r="H5192" s="2"/>
      <c r="I5192" s="3"/>
      <c r="J5192" s="6"/>
    </row>
    <row r="5193" spans="7:10" x14ac:dyDescent="0.35">
      <c r="G5193" s="2"/>
      <c r="H5193" s="2"/>
      <c r="I5193" s="3"/>
      <c r="J5193" s="6"/>
    </row>
    <row r="5194" spans="7:10" x14ac:dyDescent="0.35">
      <c r="G5194" s="2"/>
      <c r="H5194" s="2"/>
      <c r="I5194" s="3"/>
      <c r="J5194" s="6"/>
    </row>
    <row r="5195" spans="7:10" x14ac:dyDescent="0.35">
      <c r="G5195" s="2"/>
      <c r="H5195" s="2"/>
      <c r="I5195" s="3"/>
      <c r="J5195" s="6"/>
    </row>
    <row r="5196" spans="7:10" x14ac:dyDescent="0.35">
      <c r="G5196" s="2"/>
      <c r="H5196" s="2"/>
      <c r="I5196" s="3"/>
      <c r="J5196" s="6"/>
    </row>
    <row r="5197" spans="7:10" x14ac:dyDescent="0.35">
      <c r="G5197" s="2"/>
      <c r="H5197" s="2"/>
      <c r="I5197" s="3"/>
      <c r="J5197" s="6"/>
    </row>
    <row r="5198" spans="7:10" x14ac:dyDescent="0.35">
      <c r="G5198" s="2"/>
      <c r="H5198" s="2"/>
      <c r="I5198" s="3"/>
      <c r="J5198" s="6"/>
    </row>
    <row r="5199" spans="7:10" x14ac:dyDescent="0.35">
      <c r="G5199" s="2"/>
      <c r="H5199" s="2"/>
      <c r="I5199" s="3"/>
      <c r="J5199" s="6"/>
    </row>
    <row r="5200" spans="7:10" x14ac:dyDescent="0.35">
      <c r="G5200" s="2"/>
      <c r="H5200" s="2"/>
      <c r="I5200" s="3"/>
      <c r="J5200" s="6"/>
    </row>
    <row r="5201" spans="7:10" x14ac:dyDescent="0.35">
      <c r="G5201" s="2"/>
      <c r="H5201" s="2"/>
      <c r="I5201" s="3"/>
      <c r="J5201" s="6"/>
    </row>
    <row r="5202" spans="7:10" x14ac:dyDescent="0.35">
      <c r="G5202" s="2"/>
      <c r="H5202" s="2"/>
      <c r="I5202" s="3"/>
      <c r="J5202" s="6"/>
    </row>
    <row r="5203" spans="7:10" x14ac:dyDescent="0.35">
      <c r="G5203" s="2"/>
      <c r="H5203" s="2"/>
      <c r="I5203" s="3"/>
      <c r="J5203" s="6"/>
    </row>
    <row r="5204" spans="7:10" x14ac:dyDescent="0.35">
      <c r="G5204" s="2"/>
      <c r="H5204" s="2"/>
      <c r="I5204" s="3"/>
      <c r="J5204" s="6"/>
    </row>
    <row r="5205" spans="7:10" x14ac:dyDescent="0.35">
      <c r="G5205" s="2"/>
      <c r="H5205" s="2"/>
      <c r="I5205" s="3"/>
      <c r="J5205" s="6"/>
    </row>
    <row r="5206" spans="7:10" x14ac:dyDescent="0.35">
      <c r="G5206" s="2"/>
      <c r="H5206" s="2"/>
      <c r="I5206" s="3"/>
      <c r="J5206" s="6"/>
    </row>
    <row r="5207" spans="7:10" x14ac:dyDescent="0.35">
      <c r="G5207" s="2"/>
      <c r="H5207" s="2"/>
      <c r="I5207" s="3"/>
      <c r="J5207" s="6"/>
    </row>
    <row r="5208" spans="7:10" x14ac:dyDescent="0.35">
      <c r="G5208" s="2"/>
      <c r="H5208" s="2"/>
      <c r="I5208" s="3"/>
      <c r="J5208" s="6"/>
    </row>
    <row r="5209" spans="7:10" x14ac:dyDescent="0.35">
      <c r="G5209" s="2"/>
      <c r="H5209" s="2"/>
      <c r="I5209" s="3"/>
      <c r="J5209" s="6"/>
    </row>
    <row r="5210" spans="7:10" x14ac:dyDescent="0.35">
      <c r="G5210" s="2"/>
      <c r="H5210" s="2"/>
      <c r="I5210" s="3"/>
      <c r="J5210" s="6"/>
    </row>
    <row r="5211" spans="7:10" x14ac:dyDescent="0.35">
      <c r="G5211" s="2"/>
      <c r="H5211" s="2"/>
      <c r="I5211" s="3"/>
      <c r="J5211" s="6"/>
    </row>
    <row r="5212" spans="7:10" x14ac:dyDescent="0.35">
      <c r="G5212" s="2"/>
      <c r="H5212" s="2"/>
      <c r="I5212" s="3"/>
      <c r="J5212" s="6"/>
    </row>
    <row r="5213" spans="7:10" x14ac:dyDescent="0.35">
      <c r="G5213" s="2"/>
      <c r="H5213" s="2"/>
      <c r="I5213" s="3"/>
      <c r="J5213" s="6"/>
    </row>
    <row r="5214" spans="7:10" x14ac:dyDescent="0.35">
      <c r="G5214" s="2"/>
      <c r="H5214" s="2"/>
      <c r="I5214" s="3"/>
      <c r="J5214" s="6"/>
    </row>
    <row r="5215" spans="7:10" x14ac:dyDescent="0.35">
      <c r="G5215" s="2"/>
      <c r="H5215" s="2"/>
      <c r="I5215" s="3"/>
      <c r="J5215" s="6"/>
    </row>
    <row r="5216" spans="7:10" x14ac:dyDescent="0.35">
      <c r="G5216" s="2"/>
      <c r="H5216" s="2"/>
      <c r="I5216" s="3"/>
      <c r="J5216" s="6"/>
    </row>
    <row r="5217" spans="7:10" x14ac:dyDescent="0.35">
      <c r="G5217" s="2"/>
      <c r="H5217" s="2"/>
      <c r="I5217" s="3"/>
      <c r="J5217" s="6"/>
    </row>
    <row r="5218" spans="7:10" x14ac:dyDescent="0.35">
      <c r="G5218" s="2"/>
      <c r="H5218" s="2"/>
      <c r="I5218" s="3"/>
      <c r="J5218" s="6"/>
    </row>
    <row r="5219" spans="7:10" x14ac:dyDescent="0.35">
      <c r="G5219" s="2"/>
      <c r="H5219" s="2"/>
      <c r="I5219" s="3"/>
      <c r="J5219" s="6"/>
    </row>
    <row r="5220" spans="7:10" x14ac:dyDescent="0.35">
      <c r="G5220" s="2"/>
      <c r="H5220" s="2"/>
      <c r="I5220" s="3"/>
      <c r="J5220" s="6"/>
    </row>
    <row r="5221" spans="7:10" x14ac:dyDescent="0.35">
      <c r="G5221" s="2"/>
      <c r="H5221" s="2"/>
      <c r="I5221" s="3"/>
      <c r="J5221" s="6"/>
    </row>
    <row r="5222" spans="7:10" x14ac:dyDescent="0.35">
      <c r="G5222" s="2"/>
      <c r="H5222" s="2"/>
      <c r="I5222" s="3"/>
      <c r="J5222" s="6"/>
    </row>
    <row r="5223" spans="7:10" x14ac:dyDescent="0.35">
      <c r="G5223" s="2"/>
      <c r="H5223" s="2"/>
      <c r="I5223" s="3"/>
      <c r="J5223" s="6"/>
    </row>
    <row r="5224" spans="7:10" x14ac:dyDescent="0.35">
      <c r="G5224" s="2"/>
      <c r="H5224" s="2"/>
      <c r="I5224" s="3"/>
      <c r="J5224" s="6"/>
    </row>
    <row r="5225" spans="7:10" x14ac:dyDescent="0.35">
      <c r="G5225" s="2"/>
      <c r="H5225" s="2"/>
      <c r="I5225" s="3"/>
      <c r="J5225" s="6"/>
    </row>
    <row r="5226" spans="7:10" x14ac:dyDescent="0.35">
      <c r="G5226" s="2"/>
      <c r="H5226" s="2"/>
      <c r="I5226" s="3"/>
      <c r="J5226" s="6"/>
    </row>
    <row r="5227" spans="7:10" x14ac:dyDescent="0.35">
      <c r="G5227" s="2"/>
      <c r="H5227" s="2"/>
      <c r="I5227" s="3"/>
      <c r="J5227" s="6"/>
    </row>
    <row r="5228" spans="7:10" x14ac:dyDescent="0.35">
      <c r="G5228" s="2"/>
      <c r="H5228" s="2"/>
      <c r="I5228" s="3"/>
      <c r="J5228" s="6"/>
    </row>
    <row r="5229" spans="7:10" x14ac:dyDescent="0.35">
      <c r="G5229" s="2"/>
      <c r="H5229" s="2"/>
      <c r="I5229" s="3"/>
      <c r="J5229" s="6"/>
    </row>
    <row r="5230" spans="7:10" x14ac:dyDescent="0.35">
      <c r="G5230" s="2"/>
      <c r="H5230" s="2"/>
      <c r="I5230" s="3"/>
      <c r="J5230" s="6"/>
    </row>
    <row r="5231" spans="7:10" x14ac:dyDescent="0.35">
      <c r="G5231" s="2"/>
      <c r="H5231" s="2"/>
      <c r="I5231" s="3"/>
      <c r="J5231" s="6"/>
    </row>
    <row r="5232" spans="7:10" x14ac:dyDescent="0.35">
      <c r="G5232" s="2"/>
      <c r="H5232" s="2"/>
      <c r="I5232" s="3"/>
      <c r="J5232" s="6"/>
    </row>
    <row r="5233" spans="7:10" x14ac:dyDescent="0.35">
      <c r="G5233" s="2"/>
      <c r="H5233" s="2"/>
      <c r="I5233" s="3"/>
      <c r="J5233" s="6"/>
    </row>
    <row r="5234" spans="7:10" x14ac:dyDescent="0.35">
      <c r="G5234" s="2"/>
      <c r="H5234" s="2"/>
      <c r="I5234" s="3"/>
      <c r="J5234" s="6"/>
    </row>
    <row r="5235" spans="7:10" x14ac:dyDescent="0.35">
      <c r="G5235" s="2"/>
      <c r="H5235" s="2"/>
      <c r="I5235" s="3"/>
      <c r="J5235" s="6"/>
    </row>
    <row r="5236" spans="7:10" x14ac:dyDescent="0.35">
      <c r="G5236" s="2"/>
      <c r="H5236" s="2"/>
      <c r="I5236" s="3"/>
      <c r="J5236" s="6"/>
    </row>
    <row r="5237" spans="7:10" x14ac:dyDescent="0.35">
      <c r="G5237" s="2"/>
      <c r="H5237" s="2"/>
      <c r="I5237" s="3"/>
      <c r="J5237" s="6"/>
    </row>
    <row r="5238" spans="7:10" x14ac:dyDescent="0.35">
      <c r="G5238" s="2"/>
      <c r="H5238" s="2"/>
      <c r="I5238" s="3"/>
      <c r="J5238" s="6"/>
    </row>
    <row r="5239" spans="7:10" x14ac:dyDescent="0.35">
      <c r="G5239" s="2"/>
      <c r="H5239" s="2"/>
      <c r="I5239" s="3"/>
      <c r="J5239" s="6"/>
    </row>
    <row r="5240" spans="7:10" x14ac:dyDescent="0.35">
      <c r="G5240" s="2"/>
      <c r="H5240" s="2"/>
      <c r="I5240" s="3"/>
      <c r="J5240" s="6"/>
    </row>
    <row r="5241" spans="7:10" x14ac:dyDescent="0.35">
      <c r="G5241" s="2"/>
      <c r="H5241" s="2"/>
      <c r="I5241" s="3"/>
      <c r="J5241" s="6"/>
    </row>
    <row r="5242" spans="7:10" x14ac:dyDescent="0.35">
      <c r="G5242" s="2"/>
      <c r="H5242" s="2"/>
      <c r="I5242" s="3"/>
      <c r="J5242" s="6"/>
    </row>
    <row r="5243" spans="7:10" x14ac:dyDescent="0.35">
      <c r="G5243" s="2"/>
      <c r="H5243" s="2"/>
      <c r="I5243" s="3"/>
      <c r="J5243" s="6"/>
    </row>
    <row r="5244" spans="7:10" x14ac:dyDescent="0.35">
      <c r="G5244" s="2"/>
      <c r="H5244" s="2"/>
      <c r="I5244" s="3"/>
      <c r="J5244" s="6"/>
    </row>
    <row r="5245" spans="7:10" x14ac:dyDescent="0.35">
      <c r="G5245" s="2"/>
      <c r="H5245" s="2"/>
      <c r="I5245" s="3"/>
      <c r="J5245" s="6"/>
    </row>
    <row r="5246" spans="7:10" x14ac:dyDescent="0.35">
      <c r="G5246" s="2"/>
      <c r="H5246" s="2"/>
      <c r="I5246" s="3"/>
      <c r="J5246" s="6"/>
    </row>
    <row r="5247" spans="7:10" x14ac:dyDescent="0.35">
      <c r="G5247" s="2"/>
      <c r="H5247" s="2"/>
      <c r="I5247" s="3"/>
      <c r="J5247" s="6"/>
    </row>
    <row r="5248" spans="7:10" x14ac:dyDescent="0.35">
      <c r="G5248" s="2"/>
      <c r="H5248" s="2"/>
      <c r="I5248" s="3"/>
      <c r="J5248" s="6"/>
    </row>
    <row r="5249" spans="7:10" x14ac:dyDescent="0.35">
      <c r="G5249" s="2"/>
      <c r="H5249" s="2"/>
      <c r="I5249" s="3"/>
      <c r="J5249" s="6"/>
    </row>
    <row r="5250" spans="7:10" x14ac:dyDescent="0.35">
      <c r="G5250" s="2"/>
      <c r="H5250" s="2"/>
      <c r="I5250" s="3"/>
      <c r="J5250" s="6"/>
    </row>
    <row r="5251" spans="7:10" x14ac:dyDescent="0.35">
      <c r="G5251" s="2"/>
      <c r="H5251" s="2"/>
      <c r="I5251" s="3"/>
      <c r="J5251" s="6"/>
    </row>
    <row r="5252" spans="7:10" x14ac:dyDescent="0.35">
      <c r="G5252" s="2"/>
      <c r="H5252" s="2"/>
      <c r="I5252" s="3"/>
      <c r="J5252" s="6"/>
    </row>
    <row r="5253" spans="7:10" x14ac:dyDescent="0.35">
      <c r="G5253" s="2"/>
      <c r="H5253" s="2"/>
      <c r="I5253" s="3"/>
      <c r="J5253" s="6"/>
    </row>
    <row r="5254" spans="7:10" x14ac:dyDescent="0.35">
      <c r="G5254" s="2"/>
      <c r="H5254" s="2"/>
      <c r="I5254" s="3"/>
      <c r="J5254" s="6"/>
    </row>
    <row r="5255" spans="7:10" x14ac:dyDescent="0.35">
      <c r="G5255" s="2"/>
      <c r="H5255" s="2"/>
      <c r="I5255" s="3"/>
      <c r="J5255" s="6"/>
    </row>
    <row r="5256" spans="7:10" x14ac:dyDescent="0.35">
      <c r="G5256" s="2"/>
      <c r="H5256" s="2"/>
      <c r="I5256" s="3"/>
      <c r="J5256" s="6"/>
    </row>
    <row r="5257" spans="7:10" x14ac:dyDescent="0.35">
      <c r="G5257" s="2"/>
      <c r="H5257" s="2"/>
      <c r="I5257" s="3"/>
      <c r="J5257" s="6"/>
    </row>
    <row r="5258" spans="7:10" x14ac:dyDescent="0.35">
      <c r="G5258" s="2"/>
      <c r="H5258" s="2"/>
      <c r="I5258" s="3"/>
      <c r="J5258" s="6"/>
    </row>
    <row r="5259" spans="7:10" x14ac:dyDescent="0.35">
      <c r="G5259" s="2"/>
      <c r="H5259" s="2"/>
      <c r="I5259" s="3"/>
      <c r="J5259" s="6"/>
    </row>
    <row r="5260" spans="7:10" x14ac:dyDescent="0.35">
      <c r="G5260" s="2"/>
      <c r="H5260" s="2"/>
      <c r="I5260" s="3"/>
      <c r="J5260" s="6"/>
    </row>
    <row r="5261" spans="7:10" x14ac:dyDescent="0.35">
      <c r="G5261" s="2"/>
      <c r="H5261" s="2"/>
      <c r="I5261" s="3"/>
      <c r="J5261" s="6"/>
    </row>
    <row r="5262" spans="7:10" x14ac:dyDescent="0.35">
      <c r="G5262" s="2"/>
      <c r="H5262" s="2"/>
      <c r="I5262" s="3"/>
      <c r="J5262" s="6"/>
    </row>
    <row r="5263" spans="7:10" x14ac:dyDescent="0.35">
      <c r="G5263" s="2"/>
      <c r="H5263" s="2"/>
      <c r="I5263" s="3"/>
      <c r="J5263" s="6"/>
    </row>
    <row r="5264" spans="7:10" x14ac:dyDescent="0.35">
      <c r="G5264" s="2"/>
      <c r="H5264" s="2"/>
      <c r="I5264" s="3"/>
      <c r="J5264" s="6"/>
    </row>
    <row r="5265" spans="7:10" x14ac:dyDescent="0.35">
      <c r="G5265" s="2"/>
      <c r="H5265" s="2"/>
      <c r="I5265" s="3"/>
      <c r="J5265" s="6"/>
    </row>
    <row r="5266" spans="7:10" x14ac:dyDescent="0.35">
      <c r="G5266" s="2"/>
      <c r="H5266" s="2"/>
      <c r="I5266" s="3"/>
      <c r="J5266" s="6"/>
    </row>
    <row r="5267" spans="7:10" x14ac:dyDescent="0.35">
      <c r="G5267" s="2"/>
      <c r="H5267" s="2"/>
      <c r="I5267" s="3"/>
      <c r="J5267" s="6"/>
    </row>
    <row r="5268" spans="7:10" x14ac:dyDescent="0.35">
      <c r="G5268" s="2"/>
      <c r="H5268" s="2"/>
      <c r="I5268" s="3"/>
      <c r="J5268" s="6"/>
    </row>
    <row r="5269" spans="7:10" x14ac:dyDescent="0.35">
      <c r="G5269" s="2"/>
      <c r="H5269" s="2"/>
      <c r="I5269" s="3"/>
      <c r="J5269" s="6"/>
    </row>
    <row r="5270" spans="7:10" x14ac:dyDescent="0.35">
      <c r="G5270" s="2"/>
      <c r="H5270" s="2"/>
      <c r="I5270" s="3"/>
      <c r="J5270" s="6"/>
    </row>
    <row r="5271" spans="7:10" x14ac:dyDescent="0.35">
      <c r="G5271" s="2"/>
      <c r="H5271" s="2"/>
      <c r="I5271" s="3"/>
      <c r="J5271" s="6"/>
    </row>
    <row r="5272" spans="7:10" x14ac:dyDescent="0.35">
      <c r="G5272" s="2"/>
      <c r="H5272" s="2"/>
      <c r="I5272" s="3"/>
      <c r="J5272" s="6"/>
    </row>
    <row r="5273" spans="7:10" x14ac:dyDescent="0.35">
      <c r="G5273" s="2"/>
      <c r="H5273" s="2"/>
      <c r="I5273" s="3"/>
      <c r="J5273" s="6"/>
    </row>
    <row r="5274" spans="7:10" x14ac:dyDescent="0.35">
      <c r="G5274" s="2"/>
      <c r="H5274" s="2"/>
      <c r="I5274" s="3"/>
      <c r="J5274" s="6"/>
    </row>
    <row r="5275" spans="7:10" x14ac:dyDescent="0.35">
      <c r="G5275" s="2"/>
      <c r="H5275" s="2"/>
      <c r="I5275" s="3"/>
      <c r="J5275" s="6"/>
    </row>
    <row r="5276" spans="7:10" x14ac:dyDescent="0.35">
      <c r="G5276" s="2"/>
      <c r="H5276" s="2"/>
      <c r="I5276" s="3"/>
      <c r="J5276" s="6"/>
    </row>
    <row r="5277" spans="7:10" x14ac:dyDescent="0.35">
      <c r="G5277" s="2"/>
      <c r="H5277" s="2"/>
      <c r="I5277" s="3"/>
      <c r="J5277" s="6"/>
    </row>
    <row r="5278" spans="7:10" x14ac:dyDescent="0.35">
      <c r="G5278" s="2"/>
      <c r="H5278" s="2"/>
      <c r="I5278" s="3"/>
      <c r="J5278" s="6"/>
    </row>
    <row r="5279" spans="7:10" x14ac:dyDescent="0.35">
      <c r="G5279" s="2"/>
      <c r="H5279" s="2"/>
      <c r="I5279" s="3"/>
      <c r="J5279" s="6"/>
    </row>
    <row r="5280" spans="7:10" x14ac:dyDescent="0.35">
      <c r="G5280" s="2"/>
      <c r="H5280" s="2"/>
      <c r="I5280" s="3"/>
      <c r="J5280" s="6"/>
    </row>
    <row r="5281" spans="7:10" x14ac:dyDescent="0.35">
      <c r="G5281" s="2"/>
      <c r="H5281" s="2"/>
      <c r="I5281" s="3"/>
      <c r="J5281" s="6"/>
    </row>
    <row r="5282" spans="7:10" x14ac:dyDescent="0.35">
      <c r="G5282" s="2"/>
      <c r="H5282" s="2"/>
      <c r="I5282" s="3"/>
      <c r="J5282" s="6"/>
    </row>
    <row r="5283" spans="7:10" x14ac:dyDescent="0.35">
      <c r="G5283" s="2"/>
      <c r="H5283" s="2"/>
      <c r="I5283" s="3"/>
      <c r="J5283" s="6"/>
    </row>
    <row r="5284" spans="7:10" x14ac:dyDescent="0.35">
      <c r="G5284" s="2"/>
      <c r="H5284" s="2"/>
      <c r="I5284" s="3"/>
      <c r="J5284" s="6"/>
    </row>
    <row r="5285" spans="7:10" x14ac:dyDescent="0.35">
      <c r="G5285" s="2"/>
      <c r="H5285" s="2"/>
      <c r="I5285" s="3"/>
      <c r="J5285" s="6"/>
    </row>
    <row r="5286" spans="7:10" x14ac:dyDescent="0.35">
      <c r="G5286" s="2"/>
      <c r="H5286" s="2"/>
      <c r="I5286" s="3"/>
      <c r="J5286" s="6"/>
    </row>
    <row r="5287" spans="7:10" x14ac:dyDescent="0.35">
      <c r="G5287" s="2"/>
      <c r="H5287" s="2"/>
      <c r="I5287" s="3"/>
      <c r="J5287" s="6"/>
    </row>
    <row r="5288" spans="7:10" x14ac:dyDescent="0.35">
      <c r="G5288" s="2"/>
      <c r="H5288" s="2"/>
      <c r="I5288" s="3"/>
      <c r="J5288" s="6"/>
    </row>
    <row r="5289" spans="7:10" x14ac:dyDescent="0.35">
      <c r="G5289" s="2"/>
      <c r="H5289" s="2"/>
      <c r="I5289" s="3"/>
      <c r="J5289" s="6"/>
    </row>
    <row r="5290" spans="7:10" x14ac:dyDescent="0.35">
      <c r="G5290" s="2"/>
      <c r="H5290" s="2"/>
      <c r="I5290" s="3"/>
      <c r="J5290" s="6"/>
    </row>
    <row r="5291" spans="7:10" x14ac:dyDescent="0.35">
      <c r="G5291" s="2"/>
      <c r="H5291" s="2"/>
      <c r="I5291" s="3"/>
      <c r="J5291" s="6"/>
    </row>
    <row r="5292" spans="7:10" x14ac:dyDescent="0.35">
      <c r="G5292" s="2"/>
      <c r="H5292" s="2"/>
      <c r="I5292" s="3"/>
      <c r="J5292" s="6"/>
    </row>
    <row r="5293" spans="7:10" x14ac:dyDescent="0.35">
      <c r="G5293" s="2"/>
      <c r="H5293" s="2"/>
      <c r="I5293" s="3"/>
      <c r="J5293" s="6"/>
    </row>
    <row r="5294" spans="7:10" x14ac:dyDescent="0.35">
      <c r="G5294" s="2"/>
      <c r="H5294" s="2"/>
      <c r="I5294" s="3"/>
      <c r="J5294" s="6"/>
    </row>
    <row r="5295" spans="7:10" x14ac:dyDescent="0.35">
      <c r="G5295" s="2"/>
      <c r="H5295" s="2"/>
      <c r="I5295" s="3"/>
      <c r="J5295" s="6"/>
    </row>
    <row r="5296" spans="7:10" x14ac:dyDescent="0.35">
      <c r="G5296" s="2"/>
      <c r="H5296" s="2"/>
      <c r="I5296" s="3"/>
      <c r="J5296" s="6"/>
    </row>
    <row r="5297" spans="7:10" x14ac:dyDescent="0.35">
      <c r="G5297" s="2"/>
      <c r="H5297" s="2"/>
      <c r="I5297" s="3"/>
      <c r="J5297" s="6"/>
    </row>
    <row r="5298" spans="7:10" x14ac:dyDescent="0.35">
      <c r="G5298" s="2"/>
      <c r="H5298" s="2"/>
      <c r="I5298" s="3"/>
      <c r="J5298" s="6"/>
    </row>
    <row r="5299" spans="7:10" x14ac:dyDescent="0.35">
      <c r="G5299" s="2"/>
      <c r="H5299" s="2"/>
      <c r="I5299" s="3"/>
      <c r="J5299" s="6"/>
    </row>
    <row r="5300" spans="7:10" x14ac:dyDescent="0.35">
      <c r="G5300" s="2"/>
      <c r="H5300" s="2"/>
      <c r="I5300" s="3"/>
      <c r="J5300" s="6"/>
    </row>
    <row r="5301" spans="7:10" x14ac:dyDescent="0.35">
      <c r="G5301" s="2"/>
      <c r="H5301" s="2"/>
      <c r="I5301" s="3"/>
      <c r="J5301" s="6"/>
    </row>
    <row r="5302" spans="7:10" x14ac:dyDescent="0.35">
      <c r="G5302" s="2"/>
      <c r="H5302" s="2"/>
      <c r="I5302" s="3"/>
      <c r="J5302" s="6"/>
    </row>
    <row r="5303" spans="7:10" x14ac:dyDescent="0.35">
      <c r="G5303" s="2"/>
      <c r="H5303" s="2"/>
      <c r="I5303" s="3"/>
      <c r="J5303" s="6"/>
    </row>
    <row r="5304" spans="7:10" x14ac:dyDescent="0.35">
      <c r="G5304" s="2"/>
      <c r="H5304" s="2"/>
      <c r="I5304" s="3"/>
      <c r="J5304" s="6"/>
    </row>
    <row r="5305" spans="7:10" x14ac:dyDescent="0.35">
      <c r="G5305" s="2"/>
      <c r="H5305" s="2"/>
      <c r="I5305" s="3"/>
      <c r="J5305" s="6"/>
    </row>
    <row r="5306" spans="7:10" x14ac:dyDescent="0.35">
      <c r="G5306" s="2"/>
      <c r="H5306" s="2"/>
      <c r="I5306" s="3"/>
      <c r="J5306" s="6"/>
    </row>
    <row r="5307" spans="7:10" x14ac:dyDescent="0.35">
      <c r="G5307" s="2"/>
      <c r="H5307" s="2"/>
      <c r="I5307" s="3"/>
      <c r="J5307" s="6"/>
    </row>
    <row r="5308" spans="7:10" x14ac:dyDescent="0.35">
      <c r="G5308" s="2"/>
      <c r="H5308" s="2"/>
      <c r="I5308" s="3"/>
      <c r="J5308" s="6"/>
    </row>
    <row r="5309" spans="7:10" x14ac:dyDescent="0.35">
      <c r="G5309" s="2"/>
      <c r="H5309" s="2"/>
      <c r="I5309" s="3"/>
      <c r="J5309" s="6"/>
    </row>
    <row r="5310" spans="7:10" x14ac:dyDescent="0.35">
      <c r="G5310" s="2"/>
      <c r="H5310" s="2"/>
      <c r="I5310" s="3"/>
      <c r="J5310" s="6"/>
    </row>
    <row r="5311" spans="7:10" x14ac:dyDescent="0.35">
      <c r="G5311" s="2"/>
      <c r="H5311" s="2"/>
      <c r="I5311" s="3"/>
      <c r="J5311" s="6"/>
    </row>
    <row r="5312" spans="7:10" x14ac:dyDescent="0.35">
      <c r="G5312" s="2"/>
      <c r="H5312" s="2"/>
      <c r="I5312" s="3"/>
      <c r="J5312" s="6"/>
    </row>
    <row r="5313" spans="7:10" x14ac:dyDescent="0.35">
      <c r="G5313" s="2"/>
      <c r="H5313" s="2"/>
      <c r="I5313" s="3"/>
      <c r="J5313" s="6"/>
    </row>
    <row r="5314" spans="7:10" x14ac:dyDescent="0.35">
      <c r="G5314" s="2"/>
      <c r="H5314" s="2"/>
      <c r="I5314" s="3"/>
      <c r="J5314" s="6"/>
    </row>
    <row r="5315" spans="7:10" x14ac:dyDescent="0.35">
      <c r="G5315" s="2"/>
      <c r="H5315" s="2"/>
      <c r="I5315" s="3"/>
      <c r="J5315" s="6"/>
    </row>
    <row r="5316" spans="7:10" x14ac:dyDescent="0.35">
      <c r="G5316" s="2"/>
      <c r="H5316" s="2"/>
      <c r="I5316" s="3"/>
      <c r="J5316" s="6"/>
    </row>
    <row r="5317" spans="7:10" x14ac:dyDescent="0.35">
      <c r="G5317" s="2"/>
      <c r="H5317" s="2"/>
      <c r="I5317" s="3"/>
      <c r="J5317" s="6"/>
    </row>
    <row r="5318" spans="7:10" x14ac:dyDescent="0.35">
      <c r="G5318" s="2"/>
      <c r="H5318" s="2"/>
      <c r="I5318" s="3"/>
      <c r="J5318" s="6"/>
    </row>
    <row r="5319" spans="7:10" x14ac:dyDescent="0.35">
      <c r="G5319" s="2"/>
      <c r="H5319" s="2"/>
      <c r="I5319" s="3"/>
      <c r="J5319" s="6"/>
    </row>
    <row r="5320" spans="7:10" x14ac:dyDescent="0.35">
      <c r="G5320" s="2"/>
      <c r="H5320" s="2"/>
      <c r="I5320" s="3"/>
      <c r="J5320" s="6"/>
    </row>
    <row r="5321" spans="7:10" x14ac:dyDescent="0.35">
      <c r="G5321" s="2"/>
      <c r="H5321" s="2"/>
      <c r="I5321" s="3"/>
      <c r="J5321" s="6"/>
    </row>
    <row r="5322" spans="7:10" x14ac:dyDescent="0.35">
      <c r="G5322" s="2"/>
      <c r="H5322" s="2"/>
      <c r="I5322" s="3"/>
      <c r="J5322" s="6"/>
    </row>
    <row r="5323" spans="7:10" x14ac:dyDescent="0.35">
      <c r="G5323" s="2"/>
      <c r="H5323" s="2"/>
      <c r="I5323" s="3"/>
      <c r="J5323" s="6"/>
    </row>
    <row r="5324" spans="7:10" x14ac:dyDescent="0.35">
      <c r="G5324" s="2"/>
      <c r="H5324" s="2"/>
      <c r="I5324" s="3"/>
      <c r="J5324" s="6"/>
    </row>
    <row r="5325" spans="7:10" x14ac:dyDescent="0.35">
      <c r="G5325" s="2"/>
      <c r="H5325" s="2"/>
      <c r="I5325" s="3"/>
      <c r="J5325" s="6"/>
    </row>
    <row r="5326" spans="7:10" x14ac:dyDescent="0.35">
      <c r="G5326" s="2"/>
      <c r="H5326" s="2"/>
      <c r="I5326" s="3"/>
      <c r="J5326" s="6"/>
    </row>
    <row r="5327" spans="7:10" x14ac:dyDescent="0.35">
      <c r="G5327" s="2"/>
      <c r="H5327" s="2"/>
      <c r="I5327" s="3"/>
      <c r="J5327" s="6"/>
    </row>
    <row r="5328" spans="7:10" x14ac:dyDescent="0.35">
      <c r="G5328" s="2"/>
      <c r="H5328" s="2"/>
      <c r="I5328" s="3"/>
      <c r="J5328" s="6"/>
    </row>
    <row r="5329" spans="7:10" x14ac:dyDescent="0.35">
      <c r="G5329" s="2"/>
      <c r="H5329" s="2"/>
      <c r="I5329" s="3"/>
      <c r="J5329" s="6"/>
    </row>
    <row r="5330" spans="7:10" x14ac:dyDescent="0.35">
      <c r="G5330" s="2"/>
      <c r="H5330" s="2"/>
      <c r="I5330" s="3"/>
      <c r="J5330" s="6"/>
    </row>
    <row r="5331" spans="7:10" x14ac:dyDescent="0.35">
      <c r="G5331" s="2"/>
      <c r="H5331" s="2"/>
      <c r="I5331" s="3"/>
      <c r="J5331" s="6"/>
    </row>
    <row r="5332" spans="7:10" x14ac:dyDescent="0.35">
      <c r="G5332" s="2"/>
      <c r="H5332" s="2"/>
      <c r="I5332" s="3"/>
      <c r="J5332" s="6"/>
    </row>
    <row r="5333" spans="7:10" x14ac:dyDescent="0.35">
      <c r="G5333" s="2"/>
      <c r="H5333" s="2"/>
      <c r="I5333" s="3"/>
      <c r="J5333" s="6"/>
    </row>
    <row r="5334" spans="7:10" x14ac:dyDescent="0.35">
      <c r="G5334" s="2"/>
      <c r="H5334" s="2"/>
      <c r="I5334" s="3"/>
      <c r="J5334" s="6"/>
    </row>
    <row r="5335" spans="7:10" x14ac:dyDescent="0.35">
      <c r="G5335" s="2"/>
      <c r="H5335" s="2"/>
      <c r="I5335" s="3"/>
      <c r="J5335" s="6"/>
    </row>
    <row r="5336" spans="7:10" x14ac:dyDescent="0.35">
      <c r="G5336" s="2"/>
      <c r="H5336" s="2"/>
      <c r="I5336" s="3"/>
      <c r="J5336" s="6"/>
    </row>
    <row r="5337" spans="7:10" x14ac:dyDescent="0.35">
      <c r="G5337" s="2"/>
      <c r="H5337" s="2"/>
      <c r="I5337" s="3"/>
      <c r="J5337" s="6"/>
    </row>
    <row r="5338" spans="7:10" x14ac:dyDescent="0.35">
      <c r="G5338" s="2"/>
      <c r="H5338" s="2"/>
      <c r="I5338" s="3"/>
      <c r="J5338" s="6"/>
    </row>
    <row r="5339" spans="7:10" x14ac:dyDescent="0.35">
      <c r="G5339" s="2"/>
      <c r="H5339" s="2"/>
      <c r="I5339" s="3"/>
      <c r="J5339" s="6"/>
    </row>
    <row r="5340" spans="7:10" x14ac:dyDescent="0.35">
      <c r="G5340" s="2"/>
      <c r="H5340" s="2"/>
      <c r="I5340" s="3"/>
      <c r="J5340" s="6"/>
    </row>
    <row r="5341" spans="7:10" x14ac:dyDescent="0.35">
      <c r="G5341" s="2"/>
      <c r="H5341" s="2"/>
      <c r="I5341" s="3"/>
      <c r="J5341" s="6"/>
    </row>
    <row r="5342" spans="7:10" x14ac:dyDescent="0.35">
      <c r="G5342" s="2"/>
      <c r="H5342" s="2"/>
      <c r="I5342" s="3"/>
      <c r="J5342" s="6"/>
    </row>
    <row r="5343" spans="7:10" x14ac:dyDescent="0.35">
      <c r="G5343" s="2"/>
      <c r="H5343" s="2"/>
      <c r="I5343" s="3"/>
      <c r="J5343" s="6"/>
    </row>
    <row r="5344" spans="7:10" x14ac:dyDescent="0.35">
      <c r="G5344" s="2"/>
      <c r="H5344" s="2"/>
      <c r="I5344" s="3"/>
      <c r="J5344" s="6"/>
    </row>
    <row r="5345" spans="7:10" x14ac:dyDescent="0.35">
      <c r="G5345" s="2"/>
      <c r="H5345" s="2"/>
      <c r="I5345" s="3"/>
      <c r="J5345" s="6"/>
    </row>
    <row r="5346" spans="7:10" x14ac:dyDescent="0.35">
      <c r="G5346" s="2"/>
      <c r="H5346" s="2"/>
      <c r="I5346" s="3"/>
      <c r="J5346" s="6"/>
    </row>
    <row r="5347" spans="7:10" x14ac:dyDescent="0.35">
      <c r="G5347" s="2"/>
      <c r="H5347" s="2"/>
      <c r="I5347" s="3"/>
      <c r="J5347" s="6"/>
    </row>
    <row r="5348" spans="7:10" x14ac:dyDescent="0.35">
      <c r="G5348" s="2"/>
      <c r="H5348" s="2"/>
      <c r="I5348" s="3"/>
      <c r="J5348" s="6"/>
    </row>
    <row r="5349" spans="7:10" x14ac:dyDescent="0.35">
      <c r="G5349" s="2"/>
      <c r="H5349" s="2"/>
      <c r="I5349" s="3"/>
      <c r="J5349" s="6"/>
    </row>
    <row r="5350" spans="7:10" x14ac:dyDescent="0.35">
      <c r="G5350" s="2"/>
      <c r="H5350" s="2"/>
      <c r="I5350" s="3"/>
      <c r="J5350" s="6"/>
    </row>
    <row r="5351" spans="7:10" x14ac:dyDescent="0.35">
      <c r="G5351" s="2"/>
      <c r="H5351" s="2"/>
      <c r="I5351" s="3"/>
      <c r="J5351" s="6"/>
    </row>
    <row r="5352" spans="7:10" x14ac:dyDescent="0.35">
      <c r="G5352" s="2"/>
      <c r="H5352" s="2"/>
      <c r="I5352" s="3"/>
      <c r="J5352" s="6"/>
    </row>
    <row r="5353" spans="7:10" x14ac:dyDescent="0.35">
      <c r="G5353" s="2"/>
      <c r="H5353" s="2"/>
      <c r="I5353" s="3"/>
      <c r="J5353" s="6"/>
    </row>
    <row r="5354" spans="7:10" x14ac:dyDescent="0.35">
      <c r="G5354" s="2"/>
      <c r="H5354" s="2"/>
      <c r="I5354" s="3"/>
      <c r="J5354" s="6"/>
    </row>
    <row r="5355" spans="7:10" x14ac:dyDescent="0.35">
      <c r="G5355" s="2"/>
      <c r="H5355" s="2"/>
      <c r="I5355" s="3"/>
      <c r="J5355" s="6"/>
    </row>
    <row r="5356" spans="7:10" x14ac:dyDescent="0.35">
      <c r="G5356" s="2"/>
      <c r="H5356" s="2"/>
      <c r="I5356" s="3"/>
      <c r="J5356" s="6"/>
    </row>
    <row r="5357" spans="7:10" x14ac:dyDescent="0.35">
      <c r="G5357" s="2"/>
      <c r="H5357" s="2"/>
      <c r="I5357" s="3"/>
      <c r="J5357" s="6"/>
    </row>
    <row r="5358" spans="7:10" x14ac:dyDescent="0.35">
      <c r="G5358" s="2"/>
      <c r="H5358" s="2"/>
      <c r="I5358" s="3"/>
      <c r="J5358" s="6"/>
    </row>
    <row r="5359" spans="7:10" x14ac:dyDescent="0.35">
      <c r="G5359" s="2"/>
      <c r="H5359" s="2"/>
      <c r="I5359" s="3"/>
      <c r="J5359" s="6"/>
    </row>
    <row r="5360" spans="7:10" x14ac:dyDescent="0.35">
      <c r="G5360" s="2"/>
      <c r="H5360" s="2"/>
      <c r="I5360" s="3"/>
      <c r="J5360" s="6"/>
    </row>
    <row r="5361" spans="7:10" x14ac:dyDescent="0.35">
      <c r="G5361" s="2"/>
      <c r="H5361" s="2"/>
      <c r="I5361" s="3"/>
      <c r="J5361" s="6"/>
    </row>
    <row r="5362" spans="7:10" x14ac:dyDescent="0.35">
      <c r="G5362" s="2"/>
      <c r="H5362" s="2"/>
      <c r="I5362" s="3"/>
      <c r="J5362" s="6"/>
    </row>
    <row r="5363" spans="7:10" x14ac:dyDescent="0.35">
      <c r="G5363" s="2"/>
      <c r="H5363" s="2"/>
      <c r="I5363" s="3"/>
      <c r="J5363" s="6"/>
    </row>
    <row r="5364" spans="7:10" x14ac:dyDescent="0.35">
      <c r="G5364" s="2"/>
      <c r="H5364" s="2"/>
      <c r="I5364" s="3"/>
      <c r="J5364" s="6"/>
    </row>
    <row r="5365" spans="7:10" x14ac:dyDescent="0.35">
      <c r="G5365" s="2"/>
      <c r="H5365" s="2"/>
      <c r="I5365" s="3"/>
      <c r="J5365" s="6"/>
    </row>
    <row r="5366" spans="7:10" x14ac:dyDescent="0.35">
      <c r="G5366" s="2"/>
      <c r="H5366" s="2"/>
      <c r="I5366" s="3"/>
      <c r="J5366" s="6"/>
    </row>
    <row r="5367" spans="7:10" x14ac:dyDescent="0.35">
      <c r="G5367" s="2"/>
      <c r="H5367" s="2"/>
      <c r="I5367" s="3"/>
      <c r="J5367" s="6"/>
    </row>
    <row r="5368" spans="7:10" x14ac:dyDescent="0.35">
      <c r="G5368" s="2"/>
      <c r="H5368" s="2"/>
      <c r="I5368" s="3"/>
      <c r="J5368" s="6"/>
    </row>
    <row r="5369" spans="7:10" x14ac:dyDescent="0.35">
      <c r="G5369" s="2"/>
      <c r="H5369" s="2"/>
      <c r="I5369" s="3"/>
      <c r="J5369" s="6"/>
    </row>
    <row r="5370" spans="7:10" x14ac:dyDescent="0.35">
      <c r="G5370" s="2"/>
      <c r="H5370" s="2"/>
      <c r="I5370" s="3"/>
      <c r="J5370" s="6"/>
    </row>
    <row r="5371" spans="7:10" x14ac:dyDescent="0.35">
      <c r="G5371" s="2"/>
      <c r="H5371" s="2"/>
      <c r="I5371" s="3"/>
      <c r="J5371" s="6"/>
    </row>
    <row r="5372" spans="7:10" x14ac:dyDescent="0.35">
      <c r="G5372" s="2"/>
      <c r="H5372" s="2"/>
      <c r="I5372" s="3"/>
      <c r="J5372" s="6"/>
    </row>
    <row r="5373" spans="7:10" x14ac:dyDescent="0.35">
      <c r="G5373" s="2"/>
      <c r="H5373" s="2"/>
      <c r="I5373" s="3"/>
      <c r="J5373" s="6"/>
    </row>
    <row r="5374" spans="7:10" x14ac:dyDescent="0.35">
      <c r="G5374" s="2"/>
      <c r="H5374" s="2"/>
      <c r="I5374" s="3"/>
      <c r="J5374" s="6"/>
    </row>
    <row r="5375" spans="7:10" x14ac:dyDescent="0.35">
      <c r="G5375" s="2"/>
      <c r="H5375" s="2"/>
      <c r="I5375" s="3"/>
      <c r="J5375" s="6"/>
    </row>
    <row r="5376" spans="7:10" x14ac:dyDescent="0.35">
      <c r="G5376" s="2"/>
      <c r="H5376" s="2"/>
      <c r="I5376" s="3"/>
      <c r="J5376" s="6"/>
    </row>
    <row r="5377" spans="7:10" x14ac:dyDescent="0.35">
      <c r="G5377" s="2"/>
      <c r="H5377" s="2"/>
      <c r="I5377" s="3"/>
      <c r="J5377" s="6"/>
    </row>
    <row r="5378" spans="7:10" x14ac:dyDescent="0.35">
      <c r="G5378" s="2"/>
      <c r="H5378" s="2"/>
      <c r="I5378" s="3"/>
      <c r="J5378" s="6"/>
    </row>
    <row r="5379" spans="7:10" x14ac:dyDescent="0.35">
      <c r="G5379" s="2"/>
      <c r="H5379" s="2"/>
      <c r="I5379" s="3"/>
      <c r="J5379" s="6"/>
    </row>
    <row r="5380" spans="7:10" x14ac:dyDescent="0.35">
      <c r="G5380" s="2"/>
      <c r="H5380" s="2"/>
      <c r="I5380" s="3"/>
      <c r="J5380" s="6"/>
    </row>
    <row r="5381" spans="7:10" x14ac:dyDescent="0.35">
      <c r="G5381" s="2"/>
      <c r="H5381" s="2"/>
      <c r="I5381" s="3"/>
      <c r="J5381" s="6"/>
    </row>
    <row r="5382" spans="7:10" x14ac:dyDescent="0.35">
      <c r="G5382" s="2"/>
      <c r="H5382" s="2"/>
      <c r="I5382" s="3"/>
      <c r="J5382" s="6"/>
    </row>
    <row r="5383" spans="7:10" x14ac:dyDescent="0.35">
      <c r="G5383" s="2"/>
      <c r="H5383" s="2"/>
      <c r="I5383" s="3"/>
      <c r="J5383" s="6"/>
    </row>
    <row r="5384" spans="7:10" x14ac:dyDescent="0.35">
      <c r="G5384" s="2"/>
      <c r="H5384" s="2"/>
      <c r="I5384" s="3"/>
      <c r="J5384" s="6"/>
    </row>
    <row r="5385" spans="7:10" x14ac:dyDescent="0.35">
      <c r="G5385" s="2"/>
      <c r="H5385" s="2"/>
      <c r="I5385" s="3"/>
      <c r="J5385" s="6"/>
    </row>
    <row r="5386" spans="7:10" x14ac:dyDescent="0.35">
      <c r="G5386" s="2"/>
      <c r="H5386" s="2"/>
      <c r="I5386" s="3"/>
      <c r="J5386" s="6"/>
    </row>
    <row r="5387" spans="7:10" x14ac:dyDescent="0.35">
      <c r="G5387" s="2"/>
      <c r="H5387" s="2"/>
      <c r="I5387" s="3"/>
      <c r="J5387" s="6"/>
    </row>
    <row r="5388" spans="7:10" x14ac:dyDescent="0.35">
      <c r="G5388" s="2"/>
      <c r="H5388" s="2"/>
      <c r="I5388" s="3"/>
      <c r="J5388" s="6"/>
    </row>
    <row r="5389" spans="7:10" x14ac:dyDescent="0.35">
      <c r="G5389" s="2"/>
      <c r="H5389" s="2"/>
      <c r="I5389" s="3"/>
      <c r="J5389" s="6"/>
    </row>
    <row r="5390" spans="7:10" x14ac:dyDescent="0.35">
      <c r="G5390" s="2"/>
      <c r="H5390" s="2"/>
      <c r="I5390" s="3"/>
      <c r="J5390" s="6"/>
    </row>
    <row r="5391" spans="7:10" x14ac:dyDescent="0.35">
      <c r="G5391" s="2"/>
      <c r="H5391" s="2"/>
      <c r="I5391" s="3"/>
      <c r="J5391" s="6"/>
    </row>
    <row r="5392" spans="7:10" x14ac:dyDescent="0.35">
      <c r="G5392" s="2"/>
      <c r="H5392" s="2"/>
      <c r="I5392" s="3"/>
      <c r="J5392" s="6"/>
    </row>
    <row r="5393" spans="7:10" x14ac:dyDescent="0.35">
      <c r="G5393" s="2"/>
      <c r="H5393" s="2"/>
      <c r="I5393" s="3"/>
      <c r="J5393" s="6"/>
    </row>
    <row r="5394" spans="7:10" x14ac:dyDescent="0.35">
      <c r="G5394" s="2"/>
      <c r="H5394" s="2"/>
      <c r="I5394" s="3"/>
      <c r="J5394" s="6"/>
    </row>
    <row r="5395" spans="7:10" x14ac:dyDescent="0.35">
      <c r="G5395" s="2"/>
      <c r="H5395" s="2"/>
      <c r="I5395" s="3"/>
      <c r="J5395" s="6"/>
    </row>
    <row r="5396" spans="7:10" x14ac:dyDescent="0.35">
      <c r="G5396" s="2"/>
      <c r="H5396" s="2"/>
      <c r="I5396" s="3"/>
      <c r="J5396" s="6"/>
    </row>
    <row r="5397" spans="7:10" x14ac:dyDescent="0.35">
      <c r="G5397" s="2"/>
      <c r="H5397" s="2"/>
      <c r="I5397" s="3"/>
      <c r="J5397" s="6"/>
    </row>
    <row r="5398" spans="7:10" x14ac:dyDescent="0.35">
      <c r="G5398" s="2"/>
      <c r="H5398" s="2"/>
      <c r="I5398" s="3"/>
      <c r="J5398" s="6"/>
    </row>
    <row r="5399" spans="7:10" x14ac:dyDescent="0.35">
      <c r="G5399" s="2"/>
      <c r="H5399" s="2"/>
      <c r="I5399" s="3"/>
      <c r="J5399" s="6"/>
    </row>
    <row r="5400" spans="7:10" x14ac:dyDescent="0.35">
      <c r="G5400" s="2"/>
      <c r="H5400" s="2"/>
      <c r="I5400" s="3"/>
      <c r="J5400" s="6"/>
    </row>
    <row r="5401" spans="7:10" x14ac:dyDescent="0.35">
      <c r="G5401" s="2"/>
      <c r="H5401" s="2"/>
      <c r="I5401" s="3"/>
      <c r="J5401" s="6"/>
    </row>
    <row r="5402" spans="7:10" x14ac:dyDescent="0.35">
      <c r="G5402" s="2"/>
      <c r="H5402" s="2"/>
      <c r="I5402" s="3"/>
      <c r="J5402" s="6"/>
    </row>
    <row r="5403" spans="7:10" x14ac:dyDescent="0.35">
      <c r="G5403" s="2"/>
      <c r="H5403" s="2"/>
      <c r="I5403" s="3"/>
      <c r="J5403" s="6"/>
    </row>
    <row r="5404" spans="7:10" x14ac:dyDescent="0.35">
      <c r="G5404" s="2"/>
      <c r="H5404" s="2"/>
      <c r="I5404" s="3"/>
      <c r="J5404" s="6"/>
    </row>
    <row r="5405" spans="7:10" x14ac:dyDescent="0.35">
      <c r="G5405" s="2"/>
      <c r="H5405" s="2"/>
      <c r="I5405" s="3"/>
      <c r="J5405" s="6"/>
    </row>
    <row r="5406" spans="7:10" x14ac:dyDescent="0.35">
      <c r="G5406" s="2"/>
      <c r="H5406" s="2"/>
      <c r="I5406" s="3"/>
      <c r="J5406" s="6"/>
    </row>
    <row r="5407" spans="7:10" x14ac:dyDescent="0.35">
      <c r="G5407" s="2"/>
      <c r="H5407" s="2"/>
      <c r="I5407" s="3"/>
      <c r="J5407" s="6"/>
    </row>
    <row r="5408" spans="7:10" x14ac:dyDescent="0.35">
      <c r="G5408" s="2"/>
      <c r="H5408" s="2"/>
      <c r="I5408" s="3"/>
      <c r="J5408" s="6"/>
    </row>
    <row r="5409" spans="7:10" x14ac:dyDescent="0.35">
      <c r="G5409" s="2"/>
      <c r="H5409" s="2"/>
      <c r="I5409" s="3"/>
      <c r="J5409" s="6"/>
    </row>
    <row r="5410" spans="7:10" x14ac:dyDescent="0.35">
      <c r="G5410" s="2"/>
      <c r="H5410" s="2"/>
      <c r="I5410" s="3"/>
      <c r="J5410" s="6"/>
    </row>
    <row r="5411" spans="7:10" x14ac:dyDescent="0.35">
      <c r="G5411" s="2"/>
      <c r="H5411" s="2"/>
      <c r="I5411" s="3"/>
      <c r="J5411" s="6"/>
    </row>
    <row r="5412" spans="7:10" x14ac:dyDescent="0.35">
      <c r="G5412" s="2"/>
      <c r="H5412" s="2"/>
      <c r="I5412" s="3"/>
      <c r="J5412" s="6"/>
    </row>
    <row r="5413" spans="7:10" x14ac:dyDescent="0.35">
      <c r="G5413" s="2"/>
      <c r="H5413" s="2"/>
      <c r="I5413" s="3"/>
      <c r="J5413" s="6"/>
    </row>
    <row r="5414" spans="7:10" x14ac:dyDescent="0.35">
      <c r="G5414" s="2"/>
      <c r="H5414" s="2"/>
      <c r="I5414" s="3"/>
      <c r="J5414" s="6"/>
    </row>
    <row r="5415" spans="7:10" x14ac:dyDescent="0.35">
      <c r="G5415" s="2"/>
      <c r="H5415" s="2"/>
      <c r="I5415" s="3"/>
      <c r="J5415" s="6"/>
    </row>
    <row r="5416" spans="7:10" x14ac:dyDescent="0.35">
      <c r="G5416" s="2"/>
      <c r="H5416" s="2"/>
      <c r="I5416" s="3"/>
      <c r="J5416" s="6"/>
    </row>
    <row r="5417" spans="7:10" x14ac:dyDescent="0.35">
      <c r="G5417" s="2"/>
      <c r="H5417" s="2"/>
      <c r="I5417" s="3"/>
      <c r="J5417" s="6"/>
    </row>
    <row r="5418" spans="7:10" x14ac:dyDescent="0.35">
      <c r="G5418" s="2"/>
      <c r="H5418" s="2"/>
      <c r="I5418" s="3"/>
      <c r="J5418" s="6"/>
    </row>
    <row r="5419" spans="7:10" x14ac:dyDescent="0.35">
      <c r="G5419" s="2"/>
      <c r="H5419" s="2"/>
      <c r="I5419" s="3"/>
      <c r="J5419" s="6"/>
    </row>
    <row r="5420" spans="7:10" x14ac:dyDescent="0.35">
      <c r="G5420" s="2"/>
      <c r="H5420" s="2"/>
      <c r="I5420" s="3"/>
      <c r="J5420" s="6"/>
    </row>
    <row r="5421" spans="7:10" x14ac:dyDescent="0.35">
      <c r="G5421" s="2"/>
      <c r="H5421" s="2"/>
      <c r="I5421" s="3"/>
      <c r="J5421" s="6"/>
    </row>
    <row r="5422" spans="7:10" x14ac:dyDescent="0.35">
      <c r="G5422" s="2"/>
      <c r="H5422" s="2"/>
      <c r="I5422" s="3"/>
      <c r="J5422" s="6"/>
    </row>
    <row r="5423" spans="7:10" x14ac:dyDescent="0.35">
      <c r="G5423" s="2"/>
      <c r="H5423" s="2"/>
      <c r="I5423" s="3"/>
      <c r="J5423" s="6"/>
    </row>
    <row r="5424" spans="7:10" x14ac:dyDescent="0.35">
      <c r="G5424" s="2"/>
      <c r="H5424" s="2"/>
      <c r="I5424" s="3"/>
      <c r="J5424" s="6"/>
    </row>
    <row r="5425" spans="7:10" x14ac:dyDescent="0.35">
      <c r="G5425" s="2"/>
      <c r="H5425" s="2"/>
      <c r="I5425" s="3"/>
      <c r="J5425" s="6"/>
    </row>
    <row r="5426" spans="7:10" x14ac:dyDescent="0.35">
      <c r="G5426" s="2"/>
      <c r="H5426" s="2"/>
      <c r="I5426" s="3"/>
      <c r="J5426" s="6"/>
    </row>
    <row r="5427" spans="7:10" x14ac:dyDescent="0.35">
      <c r="G5427" s="2"/>
      <c r="H5427" s="2"/>
      <c r="I5427" s="3"/>
      <c r="J5427" s="6"/>
    </row>
    <row r="5428" spans="7:10" x14ac:dyDescent="0.35">
      <c r="G5428" s="2"/>
      <c r="H5428" s="2"/>
      <c r="I5428" s="3"/>
      <c r="J5428" s="6"/>
    </row>
    <row r="5429" spans="7:10" x14ac:dyDescent="0.35">
      <c r="G5429" s="2"/>
      <c r="H5429" s="2"/>
      <c r="I5429" s="3"/>
      <c r="J5429" s="6"/>
    </row>
    <row r="5430" spans="7:10" x14ac:dyDescent="0.35">
      <c r="G5430" s="2"/>
      <c r="H5430" s="2"/>
      <c r="I5430" s="3"/>
      <c r="J5430" s="6"/>
    </row>
    <row r="5431" spans="7:10" x14ac:dyDescent="0.35">
      <c r="G5431" s="2"/>
      <c r="H5431" s="2"/>
      <c r="I5431" s="3"/>
      <c r="J5431" s="6"/>
    </row>
    <row r="5432" spans="7:10" x14ac:dyDescent="0.35">
      <c r="G5432" s="2"/>
      <c r="H5432" s="2"/>
      <c r="I5432" s="3"/>
      <c r="J5432" s="6"/>
    </row>
    <row r="5433" spans="7:10" x14ac:dyDescent="0.35">
      <c r="G5433" s="2"/>
      <c r="H5433" s="2"/>
      <c r="I5433" s="3"/>
      <c r="J5433" s="6"/>
    </row>
    <row r="5434" spans="7:10" x14ac:dyDescent="0.35">
      <c r="G5434" s="2"/>
      <c r="H5434" s="2"/>
      <c r="I5434" s="3"/>
      <c r="J5434" s="6"/>
    </row>
    <row r="5435" spans="7:10" x14ac:dyDescent="0.35">
      <c r="G5435" s="2"/>
      <c r="H5435" s="2"/>
      <c r="I5435" s="3"/>
      <c r="J5435" s="6"/>
    </row>
    <row r="5436" spans="7:10" x14ac:dyDescent="0.35">
      <c r="G5436" s="2"/>
      <c r="H5436" s="2"/>
      <c r="I5436" s="3"/>
      <c r="J5436" s="6"/>
    </row>
    <row r="5437" spans="7:10" x14ac:dyDescent="0.35">
      <c r="G5437" s="2"/>
      <c r="H5437" s="2"/>
      <c r="I5437" s="3"/>
      <c r="J5437" s="6"/>
    </row>
    <row r="5438" spans="7:10" x14ac:dyDescent="0.35">
      <c r="G5438" s="2"/>
      <c r="H5438" s="2"/>
      <c r="I5438" s="3"/>
      <c r="J5438" s="6"/>
    </row>
    <row r="5439" spans="7:10" x14ac:dyDescent="0.35">
      <c r="G5439" s="2"/>
      <c r="H5439" s="2"/>
      <c r="I5439" s="3"/>
      <c r="J5439" s="6"/>
    </row>
    <row r="5440" spans="7:10" x14ac:dyDescent="0.35">
      <c r="G5440" s="2"/>
      <c r="H5440" s="2"/>
      <c r="I5440" s="3"/>
      <c r="J5440" s="6"/>
    </row>
    <row r="5441" spans="7:10" x14ac:dyDescent="0.35">
      <c r="G5441" s="2"/>
      <c r="H5441" s="2"/>
      <c r="I5441" s="3"/>
      <c r="J5441" s="6"/>
    </row>
    <row r="5442" spans="7:10" x14ac:dyDescent="0.35">
      <c r="G5442" s="2"/>
      <c r="H5442" s="2"/>
      <c r="I5442" s="3"/>
      <c r="J5442" s="6"/>
    </row>
    <row r="5443" spans="7:10" x14ac:dyDescent="0.35">
      <c r="G5443" s="2"/>
      <c r="H5443" s="2"/>
      <c r="I5443" s="3"/>
      <c r="J5443" s="6"/>
    </row>
    <row r="5444" spans="7:10" x14ac:dyDescent="0.35">
      <c r="G5444" s="2"/>
      <c r="H5444" s="2"/>
      <c r="I5444" s="3"/>
      <c r="J5444" s="6"/>
    </row>
    <row r="5445" spans="7:10" x14ac:dyDescent="0.35">
      <c r="G5445" s="2"/>
      <c r="H5445" s="2"/>
      <c r="I5445" s="3"/>
      <c r="J5445" s="6"/>
    </row>
    <row r="5446" spans="7:10" x14ac:dyDescent="0.35">
      <c r="G5446" s="2"/>
      <c r="H5446" s="2"/>
      <c r="I5446" s="3"/>
      <c r="J5446" s="6"/>
    </row>
    <row r="5447" spans="7:10" x14ac:dyDescent="0.35">
      <c r="G5447" s="2"/>
      <c r="H5447" s="2"/>
      <c r="I5447" s="3"/>
      <c r="J5447" s="6"/>
    </row>
    <row r="5448" spans="7:10" x14ac:dyDescent="0.35">
      <c r="G5448" s="2"/>
      <c r="H5448" s="2"/>
      <c r="I5448" s="3"/>
      <c r="J5448" s="6"/>
    </row>
    <row r="5449" spans="7:10" x14ac:dyDescent="0.35">
      <c r="G5449" s="2"/>
      <c r="H5449" s="2"/>
      <c r="I5449" s="3"/>
      <c r="J5449" s="6"/>
    </row>
    <row r="5450" spans="7:10" x14ac:dyDescent="0.35">
      <c r="G5450" s="2"/>
      <c r="H5450" s="2"/>
      <c r="I5450" s="3"/>
      <c r="J5450" s="6"/>
    </row>
    <row r="5451" spans="7:10" x14ac:dyDescent="0.35">
      <c r="G5451" s="2"/>
      <c r="H5451" s="2"/>
      <c r="I5451" s="3"/>
      <c r="J5451" s="6"/>
    </row>
    <row r="5452" spans="7:10" x14ac:dyDescent="0.35">
      <c r="G5452" s="2"/>
      <c r="H5452" s="2"/>
      <c r="I5452" s="3"/>
      <c r="J5452" s="6"/>
    </row>
    <row r="5453" spans="7:10" x14ac:dyDescent="0.35">
      <c r="G5453" s="2"/>
      <c r="H5453" s="2"/>
      <c r="I5453" s="3"/>
      <c r="J5453" s="6"/>
    </row>
    <row r="5454" spans="7:10" x14ac:dyDescent="0.35">
      <c r="G5454" s="2"/>
      <c r="H5454" s="2"/>
      <c r="I5454" s="3"/>
      <c r="J5454" s="6"/>
    </row>
    <row r="5455" spans="7:10" x14ac:dyDescent="0.35">
      <c r="G5455" s="2"/>
      <c r="H5455" s="2"/>
      <c r="I5455" s="3"/>
      <c r="J5455" s="6"/>
    </row>
    <row r="5456" spans="7:10" x14ac:dyDescent="0.35">
      <c r="G5456" s="2"/>
      <c r="H5456" s="2"/>
      <c r="I5456" s="3"/>
      <c r="J5456" s="6"/>
    </row>
    <row r="5457" spans="7:10" x14ac:dyDescent="0.35">
      <c r="G5457" s="2"/>
      <c r="H5457" s="2"/>
      <c r="I5457" s="3"/>
      <c r="J5457" s="6"/>
    </row>
    <row r="5458" spans="7:10" x14ac:dyDescent="0.35">
      <c r="G5458" s="2"/>
      <c r="H5458" s="2"/>
      <c r="I5458" s="3"/>
      <c r="J5458" s="6"/>
    </row>
    <row r="5459" spans="7:10" x14ac:dyDescent="0.35">
      <c r="G5459" s="2"/>
      <c r="H5459" s="2"/>
      <c r="I5459" s="3"/>
      <c r="J5459" s="6"/>
    </row>
    <row r="5460" spans="7:10" x14ac:dyDescent="0.35">
      <c r="G5460" s="2"/>
      <c r="H5460" s="2"/>
      <c r="I5460" s="3"/>
      <c r="J5460" s="6"/>
    </row>
    <row r="5461" spans="7:10" x14ac:dyDescent="0.35">
      <c r="G5461" s="2"/>
      <c r="H5461" s="2"/>
      <c r="I5461" s="3"/>
      <c r="J5461" s="6"/>
    </row>
    <row r="5462" spans="7:10" x14ac:dyDescent="0.35">
      <c r="G5462" s="2"/>
      <c r="H5462" s="2"/>
      <c r="I5462" s="3"/>
      <c r="J5462" s="6"/>
    </row>
    <row r="5463" spans="7:10" x14ac:dyDescent="0.35">
      <c r="G5463" s="2"/>
      <c r="H5463" s="2"/>
      <c r="I5463" s="3"/>
      <c r="J5463" s="6"/>
    </row>
    <row r="5464" spans="7:10" x14ac:dyDescent="0.35">
      <c r="G5464" s="2"/>
      <c r="H5464" s="2"/>
      <c r="I5464" s="3"/>
      <c r="J5464" s="6"/>
    </row>
    <row r="5465" spans="7:10" x14ac:dyDescent="0.35">
      <c r="G5465" s="2"/>
      <c r="H5465" s="2"/>
      <c r="I5465" s="3"/>
      <c r="J5465" s="6"/>
    </row>
    <row r="5466" spans="7:10" x14ac:dyDescent="0.35">
      <c r="G5466" s="2"/>
      <c r="H5466" s="2"/>
      <c r="I5466" s="3"/>
      <c r="J5466" s="6"/>
    </row>
    <row r="5467" spans="7:10" x14ac:dyDescent="0.35">
      <c r="G5467" s="2"/>
      <c r="H5467" s="2"/>
      <c r="I5467" s="3"/>
      <c r="J5467" s="6"/>
    </row>
    <row r="5468" spans="7:10" x14ac:dyDescent="0.35">
      <c r="G5468" s="2"/>
      <c r="H5468" s="2"/>
      <c r="I5468" s="3"/>
      <c r="J5468" s="6"/>
    </row>
    <row r="5469" spans="7:10" x14ac:dyDescent="0.35">
      <c r="G5469" s="2"/>
      <c r="H5469" s="2"/>
      <c r="I5469" s="3"/>
      <c r="J5469" s="6"/>
    </row>
    <row r="5470" spans="7:10" x14ac:dyDescent="0.35">
      <c r="G5470" s="2"/>
      <c r="H5470" s="2"/>
      <c r="I5470" s="3"/>
      <c r="J5470" s="6"/>
    </row>
    <row r="5471" spans="7:10" x14ac:dyDescent="0.35">
      <c r="G5471" s="2"/>
      <c r="H5471" s="2"/>
      <c r="I5471" s="3"/>
      <c r="J5471" s="6"/>
    </row>
    <row r="5472" spans="7:10" x14ac:dyDescent="0.35">
      <c r="G5472" s="2"/>
      <c r="H5472" s="2"/>
      <c r="I5472" s="3"/>
      <c r="J5472" s="6"/>
    </row>
    <row r="5473" spans="7:10" x14ac:dyDescent="0.35">
      <c r="G5473" s="2"/>
      <c r="H5473" s="2"/>
      <c r="I5473" s="3"/>
      <c r="J5473" s="6"/>
    </row>
    <row r="5474" spans="7:10" x14ac:dyDescent="0.35">
      <c r="G5474" s="2"/>
      <c r="H5474" s="2"/>
      <c r="I5474" s="3"/>
      <c r="J5474" s="6"/>
    </row>
    <row r="5475" spans="7:10" x14ac:dyDescent="0.35">
      <c r="G5475" s="2"/>
      <c r="H5475" s="2"/>
      <c r="I5475" s="3"/>
      <c r="J5475" s="6"/>
    </row>
    <row r="5476" spans="7:10" x14ac:dyDescent="0.35">
      <c r="G5476" s="2"/>
      <c r="H5476" s="2"/>
      <c r="I5476" s="3"/>
      <c r="J5476" s="6"/>
    </row>
    <row r="5477" spans="7:10" x14ac:dyDescent="0.35">
      <c r="G5477" s="2"/>
      <c r="H5477" s="2"/>
      <c r="I5477" s="3"/>
      <c r="J5477" s="6"/>
    </row>
    <row r="5478" spans="7:10" x14ac:dyDescent="0.35">
      <c r="G5478" s="2"/>
      <c r="H5478" s="2"/>
      <c r="I5478" s="3"/>
      <c r="J5478" s="6"/>
    </row>
    <row r="5479" spans="7:10" x14ac:dyDescent="0.35">
      <c r="G5479" s="2"/>
      <c r="H5479" s="2"/>
      <c r="I5479" s="3"/>
      <c r="J5479" s="6"/>
    </row>
    <row r="5480" spans="7:10" x14ac:dyDescent="0.35">
      <c r="G5480" s="2"/>
      <c r="H5480" s="2"/>
      <c r="I5480" s="3"/>
      <c r="J5480" s="6"/>
    </row>
    <row r="5481" spans="7:10" x14ac:dyDescent="0.35">
      <c r="G5481" s="2"/>
      <c r="H5481" s="2"/>
      <c r="I5481" s="3"/>
      <c r="J5481" s="6"/>
    </row>
    <row r="5482" spans="7:10" x14ac:dyDescent="0.35">
      <c r="G5482" s="2"/>
      <c r="H5482" s="2"/>
      <c r="I5482" s="3"/>
      <c r="J5482" s="6"/>
    </row>
    <row r="5483" spans="7:10" x14ac:dyDescent="0.35">
      <c r="G5483" s="2"/>
      <c r="H5483" s="2"/>
      <c r="I5483" s="3"/>
      <c r="J5483" s="6"/>
    </row>
    <row r="5484" spans="7:10" x14ac:dyDescent="0.35">
      <c r="G5484" s="2"/>
      <c r="H5484" s="2"/>
      <c r="I5484" s="3"/>
      <c r="J5484" s="6"/>
    </row>
    <row r="5485" spans="7:10" x14ac:dyDescent="0.35">
      <c r="G5485" s="2"/>
      <c r="H5485" s="2"/>
      <c r="I5485" s="3"/>
      <c r="J5485" s="6"/>
    </row>
    <row r="5486" spans="7:10" x14ac:dyDescent="0.35">
      <c r="G5486" s="2"/>
      <c r="H5486" s="2"/>
      <c r="I5486" s="3"/>
      <c r="J5486" s="6"/>
    </row>
    <row r="5487" spans="7:10" x14ac:dyDescent="0.35">
      <c r="G5487" s="2"/>
      <c r="H5487" s="2"/>
      <c r="I5487" s="3"/>
      <c r="J5487" s="6"/>
    </row>
    <row r="5488" spans="7:10" x14ac:dyDescent="0.35">
      <c r="G5488" s="2"/>
      <c r="H5488" s="2"/>
      <c r="I5488" s="3"/>
      <c r="J5488" s="6"/>
    </row>
    <row r="5489" spans="7:10" x14ac:dyDescent="0.35">
      <c r="G5489" s="2"/>
      <c r="H5489" s="2"/>
      <c r="I5489" s="3"/>
      <c r="J5489" s="6"/>
    </row>
    <row r="5490" spans="7:10" x14ac:dyDescent="0.35">
      <c r="G5490" s="2"/>
      <c r="H5490" s="2"/>
      <c r="I5490" s="3"/>
      <c r="J5490" s="6"/>
    </row>
    <row r="5491" spans="7:10" x14ac:dyDescent="0.35">
      <c r="G5491" s="2"/>
      <c r="H5491" s="2"/>
      <c r="I5491" s="3"/>
      <c r="J5491" s="6"/>
    </row>
    <row r="5492" spans="7:10" x14ac:dyDescent="0.35">
      <c r="G5492" s="2"/>
      <c r="H5492" s="2"/>
      <c r="I5492" s="3"/>
      <c r="J5492" s="6"/>
    </row>
    <row r="5493" spans="7:10" x14ac:dyDescent="0.35">
      <c r="G5493" s="2"/>
      <c r="H5493" s="2"/>
      <c r="I5493" s="3"/>
      <c r="J5493" s="6"/>
    </row>
    <row r="5494" spans="7:10" x14ac:dyDescent="0.35">
      <c r="G5494" s="2"/>
      <c r="H5494" s="2"/>
      <c r="I5494" s="3"/>
      <c r="J5494" s="6"/>
    </row>
    <row r="5495" spans="7:10" x14ac:dyDescent="0.35">
      <c r="G5495" s="2"/>
      <c r="H5495" s="2"/>
      <c r="I5495" s="3"/>
      <c r="J5495" s="6"/>
    </row>
    <row r="5496" spans="7:10" x14ac:dyDescent="0.35">
      <c r="G5496" s="2"/>
      <c r="H5496" s="2"/>
      <c r="I5496" s="3"/>
      <c r="J5496" s="6"/>
    </row>
    <row r="5497" spans="7:10" x14ac:dyDescent="0.35">
      <c r="G5497" s="2"/>
      <c r="H5497" s="2"/>
      <c r="I5497" s="3"/>
      <c r="J5497" s="6"/>
    </row>
    <row r="5498" spans="7:10" x14ac:dyDescent="0.35">
      <c r="G5498" s="2"/>
      <c r="H5498" s="2"/>
      <c r="I5498" s="3"/>
      <c r="J5498" s="6"/>
    </row>
    <row r="5499" spans="7:10" x14ac:dyDescent="0.35">
      <c r="G5499" s="2"/>
      <c r="H5499" s="2"/>
      <c r="I5499" s="3"/>
      <c r="J5499" s="6"/>
    </row>
    <row r="5500" spans="7:10" x14ac:dyDescent="0.35">
      <c r="G5500" s="2"/>
      <c r="H5500" s="2"/>
      <c r="I5500" s="3"/>
      <c r="J5500" s="6"/>
    </row>
    <row r="5501" spans="7:10" x14ac:dyDescent="0.35">
      <c r="G5501" s="2"/>
      <c r="H5501" s="2"/>
      <c r="I5501" s="3"/>
      <c r="J5501" s="6"/>
    </row>
    <row r="5502" spans="7:10" x14ac:dyDescent="0.35">
      <c r="G5502" s="2"/>
      <c r="H5502" s="2"/>
      <c r="I5502" s="3"/>
      <c r="J5502" s="6"/>
    </row>
    <row r="5503" spans="7:10" x14ac:dyDescent="0.35">
      <c r="G5503" s="2"/>
      <c r="H5503" s="2"/>
      <c r="I5503" s="3"/>
      <c r="J5503" s="6"/>
    </row>
    <row r="5504" spans="7:10" x14ac:dyDescent="0.35">
      <c r="G5504" s="2"/>
      <c r="H5504" s="2"/>
      <c r="I5504" s="3"/>
      <c r="J5504" s="6"/>
    </row>
    <row r="5505" spans="7:10" x14ac:dyDescent="0.35">
      <c r="G5505" s="2"/>
      <c r="H5505" s="2"/>
      <c r="I5505" s="3"/>
      <c r="J5505" s="6"/>
    </row>
    <row r="5506" spans="7:10" x14ac:dyDescent="0.35">
      <c r="G5506" s="2"/>
      <c r="H5506" s="2"/>
      <c r="I5506" s="3"/>
      <c r="J5506" s="6"/>
    </row>
    <row r="5507" spans="7:10" x14ac:dyDescent="0.35">
      <c r="G5507" s="2"/>
      <c r="H5507" s="2"/>
      <c r="I5507" s="3"/>
      <c r="J5507" s="6"/>
    </row>
    <row r="5508" spans="7:10" x14ac:dyDescent="0.35">
      <c r="G5508" s="2"/>
      <c r="H5508" s="2"/>
      <c r="I5508" s="3"/>
      <c r="J5508" s="6"/>
    </row>
    <row r="5509" spans="7:10" x14ac:dyDescent="0.35">
      <c r="G5509" s="2"/>
      <c r="H5509" s="2"/>
      <c r="I5509" s="3"/>
      <c r="J5509" s="6"/>
    </row>
    <row r="5510" spans="7:10" x14ac:dyDescent="0.35">
      <c r="G5510" s="2"/>
      <c r="H5510" s="2"/>
      <c r="I5510" s="3"/>
      <c r="J5510" s="6"/>
    </row>
    <row r="5511" spans="7:10" x14ac:dyDescent="0.35">
      <c r="G5511" s="2"/>
      <c r="H5511" s="2"/>
      <c r="I5511" s="3"/>
      <c r="J5511" s="6"/>
    </row>
    <row r="5512" spans="7:10" x14ac:dyDescent="0.35">
      <c r="G5512" s="2"/>
      <c r="H5512" s="2"/>
      <c r="I5512" s="3"/>
      <c r="J5512" s="6"/>
    </row>
    <row r="5513" spans="7:10" x14ac:dyDescent="0.35">
      <c r="G5513" s="2"/>
      <c r="H5513" s="2"/>
      <c r="I5513" s="3"/>
      <c r="J5513" s="6"/>
    </row>
    <row r="5514" spans="7:10" x14ac:dyDescent="0.35">
      <c r="G5514" s="2"/>
      <c r="H5514" s="2"/>
      <c r="I5514" s="3"/>
      <c r="J5514" s="6"/>
    </row>
    <row r="5515" spans="7:10" x14ac:dyDescent="0.35">
      <c r="G5515" s="2"/>
      <c r="H5515" s="2"/>
      <c r="I5515" s="3"/>
      <c r="J5515" s="6"/>
    </row>
    <row r="5516" spans="7:10" x14ac:dyDescent="0.35">
      <c r="G5516" s="2"/>
      <c r="H5516" s="2"/>
      <c r="I5516" s="3"/>
      <c r="J5516" s="6"/>
    </row>
    <row r="5517" spans="7:10" x14ac:dyDescent="0.35">
      <c r="G5517" s="2"/>
      <c r="H5517" s="2"/>
      <c r="I5517" s="3"/>
      <c r="J5517" s="6"/>
    </row>
    <row r="5518" spans="7:10" x14ac:dyDescent="0.35">
      <c r="G5518" s="2"/>
      <c r="H5518" s="2"/>
      <c r="I5518" s="3"/>
      <c r="J5518" s="6"/>
    </row>
    <row r="5519" spans="7:10" x14ac:dyDescent="0.35">
      <c r="G5519" s="2"/>
      <c r="H5519" s="2"/>
      <c r="I5519" s="3"/>
      <c r="J5519" s="6"/>
    </row>
    <row r="5520" spans="7:10" x14ac:dyDescent="0.35">
      <c r="G5520" s="2"/>
      <c r="H5520" s="2"/>
      <c r="I5520" s="3"/>
      <c r="J5520" s="6"/>
    </row>
    <row r="5521" spans="7:10" x14ac:dyDescent="0.35">
      <c r="G5521" s="2"/>
      <c r="H5521" s="2"/>
      <c r="I5521" s="3"/>
      <c r="J5521" s="6"/>
    </row>
    <row r="5522" spans="7:10" x14ac:dyDescent="0.35">
      <c r="G5522" s="2"/>
      <c r="H5522" s="2"/>
      <c r="I5522" s="3"/>
      <c r="J5522" s="6"/>
    </row>
    <row r="5523" spans="7:10" x14ac:dyDescent="0.35">
      <c r="G5523" s="2"/>
      <c r="H5523" s="2"/>
      <c r="I5523" s="3"/>
      <c r="J5523" s="6"/>
    </row>
    <row r="5524" spans="7:10" x14ac:dyDescent="0.35">
      <c r="G5524" s="2"/>
      <c r="H5524" s="2"/>
      <c r="I5524" s="3"/>
      <c r="J5524" s="6"/>
    </row>
    <row r="5525" spans="7:10" x14ac:dyDescent="0.35">
      <c r="G5525" s="2"/>
      <c r="H5525" s="2"/>
      <c r="I5525" s="3"/>
      <c r="J5525" s="6"/>
    </row>
    <row r="5526" spans="7:10" x14ac:dyDescent="0.35">
      <c r="G5526" s="2"/>
      <c r="H5526" s="2"/>
      <c r="I5526" s="3"/>
      <c r="J5526" s="6"/>
    </row>
    <row r="5527" spans="7:10" x14ac:dyDescent="0.35">
      <c r="G5527" s="2"/>
      <c r="H5527" s="2"/>
      <c r="I5527" s="3"/>
      <c r="J5527" s="6"/>
    </row>
    <row r="5528" spans="7:10" x14ac:dyDescent="0.35">
      <c r="G5528" s="2"/>
      <c r="H5528" s="2"/>
      <c r="I5528" s="3"/>
      <c r="J5528" s="6"/>
    </row>
    <row r="5529" spans="7:10" x14ac:dyDescent="0.35">
      <c r="G5529" s="2"/>
      <c r="H5529" s="2"/>
      <c r="I5529" s="3"/>
      <c r="J5529" s="6"/>
    </row>
    <row r="5530" spans="7:10" x14ac:dyDescent="0.35">
      <c r="G5530" s="2"/>
      <c r="H5530" s="2"/>
      <c r="I5530" s="3"/>
      <c r="J5530" s="6"/>
    </row>
    <row r="5531" spans="7:10" x14ac:dyDescent="0.35">
      <c r="G5531" s="2"/>
      <c r="H5531" s="2"/>
      <c r="I5531" s="3"/>
      <c r="J5531" s="6"/>
    </row>
    <row r="5532" spans="7:10" x14ac:dyDescent="0.35">
      <c r="G5532" s="2"/>
      <c r="H5532" s="2"/>
      <c r="I5532" s="3"/>
      <c r="J5532" s="6"/>
    </row>
    <row r="5533" spans="7:10" x14ac:dyDescent="0.35">
      <c r="G5533" s="2"/>
      <c r="H5533" s="2"/>
      <c r="I5533" s="3"/>
      <c r="J5533" s="6"/>
    </row>
    <row r="5534" spans="7:10" x14ac:dyDescent="0.35">
      <c r="G5534" s="2"/>
      <c r="H5534" s="2"/>
      <c r="I5534" s="3"/>
      <c r="J5534" s="6"/>
    </row>
    <row r="5535" spans="7:10" x14ac:dyDescent="0.35">
      <c r="G5535" s="2" t="str">
        <f>IF('证券列表 '!B5538="","",'证券列表 '!B5538)</f>
        <v/>
      </c>
    </row>
    <row r="5536" spans="7:10" x14ac:dyDescent="0.35">
      <c r="G5536" s="2" t="str">
        <f>IF('证券列表 '!B5539="","",'证券列表 '!B5539)</f>
        <v/>
      </c>
    </row>
    <row r="5537" spans="7:7" x14ac:dyDescent="0.35">
      <c r="G5537" s="2" t="str">
        <f>IF('证券列表 '!B5540="","",'证券列表 '!B5540)</f>
        <v/>
      </c>
    </row>
    <row r="5538" spans="7:7" x14ac:dyDescent="0.35">
      <c r="G5538" s="2" t="str">
        <f>IF('证券列表 '!B5541="","",'证券列表 '!B5541)</f>
        <v/>
      </c>
    </row>
    <row r="5539" spans="7:7" x14ac:dyDescent="0.35">
      <c r="G5539" s="2" t="str">
        <f>IF('证券列表 '!B5542="","",'证券列表 '!B5542)</f>
        <v/>
      </c>
    </row>
    <row r="5540" spans="7:7" x14ac:dyDescent="0.35">
      <c r="G5540" s="2" t="str">
        <f>IF('证券列表 '!B5543="","",'证券列表 '!B5543)</f>
        <v/>
      </c>
    </row>
    <row r="5541" spans="7:7" x14ac:dyDescent="0.35">
      <c r="G5541" s="2" t="str">
        <f>IF('证券列表 '!B5544="","",'证券列表 '!B5544)</f>
        <v/>
      </c>
    </row>
    <row r="5542" spans="7:7" x14ac:dyDescent="0.35">
      <c r="G5542" s="2" t="str">
        <f>IF('证券列表 '!B5545="","",'证券列表 '!B5545)</f>
        <v/>
      </c>
    </row>
    <row r="5543" spans="7:7" x14ac:dyDescent="0.35">
      <c r="G5543" s="2" t="str">
        <f>IF('证券列表 '!B5546="","",'证券列表 '!B5546)</f>
        <v/>
      </c>
    </row>
    <row r="5544" spans="7:7" x14ac:dyDescent="0.35">
      <c r="G5544" s="2" t="str">
        <f>IF('证券列表 '!B5547="","",'证券列表 '!B5547)</f>
        <v/>
      </c>
    </row>
    <row r="5545" spans="7:7" x14ac:dyDescent="0.35">
      <c r="G5545" s="2" t="str">
        <f>IF('证券列表 '!B5548="","",'证券列表 '!B5548)</f>
        <v/>
      </c>
    </row>
    <row r="5546" spans="7:7" x14ac:dyDescent="0.35">
      <c r="G5546" s="2" t="str">
        <f>IF('证券列表 '!B5549="","",'证券列表 '!B5549)</f>
        <v/>
      </c>
    </row>
    <row r="5547" spans="7:7" x14ac:dyDescent="0.35">
      <c r="G5547" s="2" t="str">
        <f>IF('证券列表 '!B5550="","",'证券列表 '!B5550)</f>
        <v/>
      </c>
    </row>
    <row r="5548" spans="7:7" x14ac:dyDescent="0.35">
      <c r="G5548" s="2" t="str">
        <f>IF('证券列表 '!B5551="","",'证券列表 '!B5551)</f>
        <v/>
      </c>
    </row>
    <row r="5549" spans="7:7" x14ac:dyDescent="0.35">
      <c r="G5549" s="2" t="str">
        <f>IF('证券列表 '!B5552="","",'证券列表 '!B5552)</f>
        <v/>
      </c>
    </row>
    <row r="5550" spans="7:7" x14ac:dyDescent="0.35">
      <c r="G5550" s="2" t="str">
        <f>IF('证券列表 '!B5553="","",'证券列表 '!B5553)</f>
        <v/>
      </c>
    </row>
    <row r="5551" spans="7:7" x14ac:dyDescent="0.35">
      <c r="G5551" s="2" t="str">
        <f>IF('证券列表 '!B5554="","",'证券列表 '!B5554)</f>
        <v/>
      </c>
    </row>
    <row r="5552" spans="7:7" x14ac:dyDescent="0.35">
      <c r="G5552" s="2" t="str">
        <f>IF('证券列表 '!B5555="","",'证券列表 '!B5555)</f>
        <v/>
      </c>
    </row>
    <row r="5553" spans="7:7" x14ac:dyDescent="0.35">
      <c r="G5553" s="2" t="str">
        <f>IF('证券列表 '!B5556="","",'证券列表 '!B5556)</f>
        <v/>
      </c>
    </row>
    <row r="5554" spans="7:7" x14ac:dyDescent="0.35">
      <c r="G5554" s="2" t="str">
        <f>IF('证券列表 '!B5557="","",'证券列表 '!B5557)</f>
        <v/>
      </c>
    </row>
    <row r="5555" spans="7:7" x14ac:dyDescent="0.35">
      <c r="G5555" s="2" t="str">
        <f>IF('证券列表 '!B5558="","",'证券列表 '!B5558)</f>
        <v/>
      </c>
    </row>
    <row r="5556" spans="7:7" x14ac:dyDescent="0.35">
      <c r="G5556" s="2" t="str">
        <f>IF('证券列表 '!B5559="","",'证券列表 '!B5559)</f>
        <v/>
      </c>
    </row>
    <row r="5557" spans="7:7" x14ac:dyDescent="0.35">
      <c r="G5557" s="2" t="str">
        <f>IF('证券列表 '!B5560="","",'证券列表 '!B5560)</f>
        <v/>
      </c>
    </row>
    <row r="5558" spans="7:7" x14ac:dyDescent="0.35">
      <c r="G5558" s="2" t="str">
        <f>IF('证券列表 '!B5561="","",'证券列表 '!B5561)</f>
        <v/>
      </c>
    </row>
    <row r="5559" spans="7:7" x14ac:dyDescent="0.35">
      <c r="G5559" s="2" t="str">
        <f>IF('证券列表 '!B5562="","",'证券列表 '!B5562)</f>
        <v/>
      </c>
    </row>
    <row r="5560" spans="7:7" x14ac:dyDescent="0.35">
      <c r="G5560" s="2" t="str">
        <f>IF('证券列表 '!B5563="","",'证券列表 '!B5563)</f>
        <v/>
      </c>
    </row>
    <row r="5561" spans="7:7" x14ac:dyDescent="0.35">
      <c r="G5561" s="2" t="str">
        <f>IF('证券列表 '!B5564="","",'证券列表 '!B5564)</f>
        <v/>
      </c>
    </row>
    <row r="5562" spans="7:7" x14ac:dyDescent="0.35">
      <c r="G5562" s="2" t="str">
        <f>IF('证券列表 '!B5565="","",'证券列表 '!B5565)</f>
        <v/>
      </c>
    </row>
    <row r="5563" spans="7:7" x14ac:dyDescent="0.35">
      <c r="G5563" s="2" t="str">
        <f>IF('证券列表 '!B5566="","",'证券列表 '!B5566)</f>
        <v/>
      </c>
    </row>
    <row r="5564" spans="7:7" x14ac:dyDescent="0.35">
      <c r="G5564" s="2" t="str">
        <f>IF('证券列表 '!B5567="","",'证券列表 '!B5567)</f>
        <v/>
      </c>
    </row>
    <row r="5565" spans="7:7" x14ac:dyDescent="0.35">
      <c r="G5565" s="2" t="str">
        <f>IF('证券列表 '!B5568="","",'证券列表 '!B5568)</f>
        <v/>
      </c>
    </row>
    <row r="5566" spans="7:7" x14ac:dyDescent="0.35">
      <c r="G5566" s="2" t="str">
        <f>IF('证券列表 '!B5569="","",'证券列表 '!B5569)</f>
        <v/>
      </c>
    </row>
    <row r="5567" spans="7:7" x14ac:dyDescent="0.35">
      <c r="G5567" s="2" t="str">
        <f>IF('证券列表 '!B5570="","",'证券列表 '!B5570)</f>
        <v/>
      </c>
    </row>
    <row r="5568" spans="7:7" x14ac:dyDescent="0.35">
      <c r="G5568" s="2" t="str">
        <f>IF('证券列表 '!B5571="","",'证券列表 '!B5571)</f>
        <v/>
      </c>
    </row>
    <row r="5569" spans="7:7" x14ac:dyDescent="0.35">
      <c r="G5569" s="2" t="str">
        <f>IF('证券列表 '!B5572="","",'证券列表 '!B5572)</f>
        <v/>
      </c>
    </row>
    <row r="5570" spans="7:7" x14ac:dyDescent="0.35">
      <c r="G5570" s="2" t="str">
        <f>IF('证券列表 '!B5573="","",'证券列表 '!B5573)</f>
        <v/>
      </c>
    </row>
    <row r="5571" spans="7:7" x14ac:dyDescent="0.35">
      <c r="G5571" s="2" t="str">
        <f>IF('证券列表 '!B5574="","",'证券列表 '!B5574)</f>
        <v/>
      </c>
    </row>
    <row r="5572" spans="7:7" x14ac:dyDescent="0.35">
      <c r="G5572" s="2" t="str">
        <f>IF('证券列表 '!B5575="","",'证券列表 '!B5575)</f>
        <v/>
      </c>
    </row>
    <row r="5573" spans="7:7" x14ac:dyDescent="0.35">
      <c r="G5573" s="2" t="str">
        <f>IF('证券列表 '!B5576="","",'证券列表 '!B5576)</f>
        <v/>
      </c>
    </row>
    <row r="5574" spans="7:7" x14ac:dyDescent="0.35">
      <c r="G5574" s="2" t="str">
        <f>IF('证券列表 '!B5577="","",'证券列表 '!B5577)</f>
        <v/>
      </c>
    </row>
    <row r="5575" spans="7:7" x14ac:dyDescent="0.35">
      <c r="G5575" s="2" t="str">
        <f>IF('证券列表 '!B5578="","",'证券列表 '!B5578)</f>
        <v/>
      </c>
    </row>
    <row r="5576" spans="7:7" x14ac:dyDescent="0.35">
      <c r="G5576" s="2" t="str">
        <f>IF('证券列表 '!B5579="","",'证券列表 '!B5579)</f>
        <v/>
      </c>
    </row>
    <row r="5577" spans="7:7" x14ac:dyDescent="0.35">
      <c r="G5577" s="2" t="str">
        <f>IF('证券列表 '!B5580="","",'证券列表 '!B5580)</f>
        <v/>
      </c>
    </row>
    <row r="5578" spans="7:7" x14ac:dyDescent="0.35">
      <c r="G5578" s="2" t="str">
        <f>IF('证券列表 '!B5581="","",'证券列表 '!B5581)</f>
        <v/>
      </c>
    </row>
    <row r="5579" spans="7:7" x14ac:dyDescent="0.35">
      <c r="G5579" s="2" t="str">
        <f>IF('证券列表 '!B5582="","",'证券列表 '!B5582)</f>
        <v/>
      </c>
    </row>
    <row r="5580" spans="7:7" x14ac:dyDescent="0.35">
      <c r="G5580" s="2" t="str">
        <f>IF('证券列表 '!B5583="","",'证券列表 '!B5583)</f>
        <v/>
      </c>
    </row>
    <row r="5581" spans="7:7" x14ac:dyDescent="0.35">
      <c r="G5581" s="2" t="str">
        <f>IF('证券列表 '!B5584="","",'证券列表 '!B5584)</f>
        <v/>
      </c>
    </row>
    <row r="5582" spans="7:7" x14ac:dyDescent="0.35">
      <c r="G5582" s="2" t="str">
        <f>IF('证券列表 '!B5585="","",'证券列表 '!B5585)</f>
        <v/>
      </c>
    </row>
    <row r="5583" spans="7:7" x14ac:dyDescent="0.35">
      <c r="G5583" s="2" t="str">
        <f>IF('证券列表 '!B5586="","",'证券列表 '!B5586)</f>
        <v/>
      </c>
    </row>
    <row r="5584" spans="7:7" x14ac:dyDescent="0.35">
      <c r="G5584" s="2" t="str">
        <f>IF('证券列表 '!B5587="","",'证券列表 '!B5587)</f>
        <v/>
      </c>
    </row>
    <row r="5585" spans="7:7" x14ac:dyDescent="0.35">
      <c r="G5585" s="2" t="str">
        <f>IF('证券列表 '!B5588="","",'证券列表 '!B5588)</f>
        <v/>
      </c>
    </row>
    <row r="5586" spans="7:7" x14ac:dyDescent="0.35">
      <c r="G5586" s="2" t="str">
        <f>IF('证券列表 '!B5589="","",'证券列表 '!B5589)</f>
        <v/>
      </c>
    </row>
    <row r="5587" spans="7:7" x14ac:dyDescent="0.35">
      <c r="G5587" s="2" t="str">
        <f>IF('证券列表 '!B5590="","",'证券列表 '!B5590)</f>
        <v/>
      </c>
    </row>
    <row r="5588" spans="7:7" x14ac:dyDescent="0.35">
      <c r="G5588" s="2" t="str">
        <f>IF('证券列表 '!B5591="","",'证券列表 '!B5591)</f>
        <v/>
      </c>
    </row>
    <row r="5589" spans="7:7" x14ac:dyDescent="0.35">
      <c r="G5589" s="2" t="str">
        <f>IF('证券列表 '!B5592="","",'证券列表 '!B5592)</f>
        <v/>
      </c>
    </row>
    <row r="5590" spans="7:7" x14ac:dyDescent="0.35">
      <c r="G5590" s="2" t="str">
        <f>IF('证券列表 '!B5593="","",'证券列表 '!B5593)</f>
        <v/>
      </c>
    </row>
    <row r="5591" spans="7:7" x14ac:dyDescent="0.35">
      <c r="G5591" s="2" t="str">
        <f>IF('证券列表 '!B5594="","",'证券列表 '!B5594)</f>
        <v/>
      </c>
    </row>
    <row r="5592" spans="7:7" x14ac:dyDescent="0.35">
      <c r="G5592" s="2" t="str">
        <f>IF('证券列表 '!B5595="","",'证券列表 '!B5595)</f>
        <v/>
      </c>
    </row>
    <row r="5593" spans="7:7" x14ac:dyDescent="0.35">
      <c r="G5593" s="2" t="str">
        <f>IF('证券列表 '!B5596="","",'证券列表 '!B5596)</f>
        <v/>
      </c>
    </row>
    <row r="5594" spans="7:7" x14ac:dyDescent="0.35">
      <c r="G5594" s="2" t="str">
        <f>IF('证券列表 '!B5597="","",'证券列表 '!B5597)</f>
        <v/>
      </c>
    </row>
    <row r="5595" spans="7:7" x14ac:dyDescent="0.35">
      <c r="G5595" s="2" t="str">
        <f>IF('证券列表 '!B5598="","",'证券列表 '!B5598)</f>
        <v/>
      </c>
    </row>
    <row r="5596" spans="7:7" x14ac:dyDescent="0.35">
      <c r="G5596" s="2" t="str">
        <f>IF('证券列表 '!B5599="","",'证券列表 '!B5599)</f>
        <v/>
      </c>
    </row>
    <row r="5597" spans="7:7" x14ac:dyDescent="0.35">
      <c r="G5597" s="2" t="str">
        <f>IF('证券列表 '!B5600="","",'证券列表 '!B5600)</f>
        <v/>
      </c>
    </row>
    <row r="5598" spans="7:7" x14ac:dyDescent="0.35">
      <c r="G5598" s="2" t="str">
        <f>IF('证券列表 '!B5601="","",'证券列表 '!B5601)</f>
        <v/>
      </c>
    </row>
    <row r="5599" spans="7:7" x14ac:dyDescent="0.35">
      <c r="G5599" s="2" t="str">
        <f>IF('证券列表 '!B5602="","",'证券列表 '!B5602)</f>
        <v/>
      </c>
    </row>
    <row r="5600" spans="7:7" x14ac:dyDescent="0.35">
      <c r="G5600" s="2" t="str">
        <f>IF('证券列表 '!B5603="","",'证券列表 '!B5603)</f>
        <v/>
      </c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业绩披露日期</vt:lpstr>
      <vt:lpstr>证券列表 </vt:lpstr>
      <vt:lpstr>内容筛选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 YongQiang</dc:creator>
  <cp:lastModifiedBy>Cui YongQiang</cp:lastModifiedBy>
  <dcterms:created xsi:type="dcterms:W3CDTF">2024-08-26T05:21:33Z</dcterms:created>
  <dcterms:modified xsi:type="dcterms:W3CDTF">2024-08-30T07:54:51Z</dcterms:modified>
</cp:coreProperties>
</file>