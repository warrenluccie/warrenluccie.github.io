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20230727 模板库-更新计划1期\股票\"/>
    </mc:Choice>
  </mc:AlternateContent>
  <bookViews>
    <workbookView xWindow="-120" yWindow="-120" windowWidth="29040" windowHeight="15840"/>
  </bookViews>
  <sheets>
    <sheet name="杜邦分析-A股" sheetId="81" r:id="rId1"/>
    <sheet name="杜邦分析-海外股" sheetId="82" r:id="rId2"/>
    <sheet name="Wind模板" sheetId="83" state="veryHidden" r:id="rId3"/>
  </sheets>
  <externalReferences>
    <externalReference r:id="rId4"/>
  </externalReferences>
  <definedNames>
    <definedName name="__FDS_HYPERLINK_TOGGLE_STATE__" hidden="1">"ON"</definedName>
  </definedNames>
  <calcPr calcId="162913"/>
</workbook>
</file>

<file path=xl/calcChain.xml><?xml version="1.0" encoding="utf-8"?>
<calcChain xmlns="http://schemas.openxmlformats.org/spreadsheetml/2006/main">
  <c r="D5" i="81" l="1"/>
  <c r="H4" i="82"/>
  <c r="H4" i="81"/>
  <c r="C90" i="81"/>
  <c r="C12" i="81"/>
  <c r="C64" i="81"/>
  <c r="C38" i="81"/>
  <c r="O90" i="81"/>
  <c r="C91" i="81" l="1"/>
  <c r="C65" i="81"/>
  <c r="D5" i="82"/>
  <c r="S91" i="81"/>
  <c r="C90" i="82"/>
  <c r="S90" i="81"/>
  <c r="D64" i="81"/>
  <c r="W64" i="81" s="1"/>
  <c r="Q64" i="81"/>
  <c r="C12" i="82"/>
  <c r="D65" i="81"/>
  <c r="W65" i="81" s="1"/>
  <c r="Q65" i="81"/>
  <c r="M91" i="81"/>
  <c r="C64" i="82"/>
  <c r="X64" i="82" s="1"/>
  <c r="C38" i="82"/>
  <c r="AA64" i="81"/>
  <c r="AA65" i="81"/>
  <c r="AB64" i="82"/>
  <c r="Q64" i="82"/>
  <c r="M90" i="81"/>
  <c r="O91" i="81"/>
  <c r="S64" i="81" l="1"/>
  <c r="S65" i="81"/>
  <c r="C92" i="81"/>
  <c r="C66" i="81"/>
  <c r="C65" i="82"/>
  <c r="C91" i="82"/>
  <c r="C92" i="82" s="1"/>
  <c r="C93" i="82" s="1"/>
  <c r="C94" i="82" s="1"/>
  <c r="C95" i="82" s="1"/>
  <c r="C96" i="82" s="1"/>
  <c r="C97" i="82" s="1"/>
  <c r="C98" i="82" s="1"/>
  <c r="C99" i="82" s="1"/>
  <c r="C100" i="82" s="1"/>
  <c r="C101" i="82" s="1"/>
  <c r="C102" i="82" s="1"/>
  <c r="C103" i="82" s="1"/>
  <c r="C104" i="82" s="1"/>
  <c r="C105" i="82" s="1"/>
  <c r="C106" i="82" s="1"/>
  <c r="C107" i="82" s="1"/>
  <c r="C108" i="82" s="1"/>
  <c r="C109" i="82" s="1"/>
  <c r="C39" i="82"/>
  <c r="C40" i="82" s="1"/>
  <c r="C41" i="82" s="1"/>
  <c r="C42" i="82" s="1"/>
  <c r="C43" i="82" s="1"/>
  <c r="C44" i="82" s="1"/>
  <c r="C45" i="82" s="1"/>
  <c r="C46" i="82" s="1"/>
  <c r="C47" i="82" s="1"/>
  <c r="C48" i="82" s="1"/>
  <c r="C49" i="82" s="1"/>
  <c r="C50" i="82" s="1"/>
  <c r="C51" i="82" s="1"/>
  <c r="C52" i="82" s="1"/>
  <c r="C53" i="82" s="1"/>
  <c r="C54" i="82" s="1"/>
  <c r="C55" i="82" s="1"/>
  <c r="C56" i="82" s="1"/>
  <c r="C57" i="82" s="1"/>
  <c r="C13" i="82"/>
  <c r="C14" i="82" s="1"/>
  <c r="C15" i="82" s="1"/>
  <c r="C16" i="82" s="1"/>
  <c r="C17" i="82" s="1"/>
  <c r="C18" i="82" s="1"/>
  <c r="C19" i="82" s="1"/>
  <c r="C20" i="82" s="1"/>
  <c r="C21" i="82" s="1"/>
  <c r="C22" i="82" s="1"/>
  <c r="C23" i="82" s="1"/>
  <c r="C24" i="82" s="1"/>
  <c r="C25" i="82" s="1"/>
  <c r="C26" i="82" s="1"/>
  <c r="C27" i="82" s="1"/>
  <c r="C28" i="82" s="1"/>
  <c r="C29" i="82" s="1"/>
  <c r="C30" i="82" s="1"/>
  <c r="C31" i="82" s="1"/>
  <c r="M91" i="82"/>
  <c r="D66" i="81"/>
  <c r="S90" i="82"/>
  <c r="S91" i="82"/>
  <c r="D65" i="82"/>
  <c r="D64" i="82"/>
  <c r="AA64" i="82"/>
  <c r="M92" i="81"/>
  <c r="X65" i="82"/>
  <c r="F91" i="82"/>
  <c r="AB65" i="82"/>
  <c r="M90" i="82"/>
  <c r="U90" i="81"/>
  <c r="O90" i="82"/>
  <c r="Q65" i="82"/>
  <c r="H90" i="82"/>
  <c r="O91" i="82"/>
  <c r="S92" i="81"/>
  <c r="F90" i="81"/>
  <c r="Q66" i="81"/>
  <c r="H91" i="82"/>
  <c r="U91" i="82"/>
  <c r="AA66" i="81"/>
  <c r="O92" i="81"/>
  <c r="F90" i="82"/>
  <c r="U90" i="82"/>
  <c r="H90" i="81"/>
  <c r="S65" i="82" l="1"/>
  <c r="S64" i="82"/>
  <c r="O64" i="82" s="1"/>
  <c r="H38" i="82" s="1"/>
  <c r="S66" i="81"/>
  <c r="C93" i="81"/>
  <c r="C67" i="81"/>
  <c r="C66" i="82"/>
  <c r="Q90" i="82"/>
  <c r="M64" i="82" s="1"/>
  <c r="D90" i="82"/>
  <c r="H64" i="82" s="1"/>
  <c r="M38" i="82"/>
  <c r="J90" i="82"/>
  <c r="J64" i="82" s="1"/>
  <c r="M39" i="82"/>
  <c r="D91" i="82"/>
  <c r="H65" i="82" s="1"/>
  <c r="Q91" i="82"/>
  <c r="M65" i="82" s="1"/>
  <c r="J91" i="82"/>
  <c r="J65" i="82" s="1"/>
  <c r="M38" i="81"/>
  <c r="Q90" i="81"/>
  <c r="M64" i="81" s="1"/>
  <c r="J90" i="81"/>
  <c r="J64" i="81" s="1"/>
  <c r="D90" i="81"/>
  <c r="H64" i="81" s="1"/>
  <c r="C39" i="81"/>
  <c r="C40" i="81" s="1"/>
  <c r="C41" i="81" s="1"/>
  <c r="C42" i="81" s="1"/>
  <c r="C43" i="81" s="1"/>
  <c r="C44" i="81" s="1"/>
  <c r="C45" i="81" s="1"/>
  <c r="C46" i="81" s="1"/>
  <c r="C47" i="81" s="1"/>
  <c r="C48" i="81" s="1"/>
  <c r="C49" i="81" s="1"/>
  <c r="C50" i="81" s="1"/>
  <c r="C51" i="81" s="1"/>
  <c r="C52" i="81" s="1"/>
  <c r="C53" i="81" s="1"/>
  <c r="C54" i="81" s="1"/>
  <c r="C55" i="81" s="1"/>
  <c r="C56" i="81" s="1"/>
  <c r="C57" i="81" s="1"/>
  <c r="C13" i="81"/>
  <c r="C14" i="81" s="1"/>
  <c r="C15" i="81" s="1"/>
  <c r="C16" i="81" s="1"/>
  <c r="C17" i="81" s="1"/>
  <c r="C18" i="81" s="1"/>
  <c r="C19" i="81" s="1"/>
  <c r="C20" i="81" s="1"/>
  <c r="C21" i="81" s="1"/>
  <c r="C22" i="81" s="1"/>
  <c r="C23" i="81" s="1"/>
  <c r="C24" i="81" s="1"/>
  <c r="C25" i="81" s="1"/>
  <c r="C26" i="81" s="1"/>
  <c r="C27" i="81" s="1"/>
  <c r="C28" i="81" s="1"/>
  <c r="C29" i="81" s="1"/>
  <c r="C30" i="81" s="1"/>
  <c r="C31" i="81" s="1"/>
  <c r="W64" i="82"/>
  <c r="O92" i="82"/>
  <c r="Q66" i="82"/>
  <c r="H91" i="81"/>
  <c r="F91" i="81"/>
  <c r="U91" i="81"/>
  <c r="O93" i="81"/>
  <c r="W66" i="81"/>
  <c r="AB66" i="82"/>
  <c r="W65" i="82"/>
  <c r="M93" i="81"/>
  <c r="Q67" i="81"/>
  <c r="X64" i="81"/>
  <c r="M92" i="82"/>
  <c r="AA65" i="82"/>
  <c r="AB64" i="81"/>
  <c r="H92" i="82"/>
  <c r="U92" i="82"/>
  <c r="S93" i="81"/>
  <c r="F92" i="82"/>
  <c r="S92" i="82"/>
  <c r="D67" i="81"/>
  <c r="X66" i="82"/>
  <c r="D66" i="82"/>
  <c r="S66" i="82" l="1"/>
  <c r="S67" i="81"/>
  <c r="C94" i="81"/>
  <c r="C68" i="81"/>
  <c r="C67" i="82"/>
  <c r="F64" i="82"/>
  <c r="F38" i="82" s="1"/>
  <c r="D38" i="82" s="1"/>
  <c r="F12" i="82" s="1"/>
  <c r="F65" i="82"/>
  <c r="M40" i="82"/>
  <c r="D92" i="82"/>
  <c r="H66" i="82" s="1"/>
  <c r="Q92" i="82"/>
  <c r="M66" i="82" s="1"/>
  <c r="J92" i="82"/>
  <c r="J66" i="82" s="1"/>
  <c r="U64" i="82"/>
  <c r="O65" i="82"/>
  <c r="H39" i="82" s="1"/>
  <c r="Y64" i="82"/>
  <c r="U38" i="82" s="1"/>
  <c r="M39" i="81"/>
  <c r="O64" i="81"/>
  <c r="H38" i="81" s="1"/>
  <c r="F64" i="81"/>
  <c r="Q91" i="81"/>
  <c r="M65" i="81" s="1"/>
  <c r="J91" i="81"/>
  <c r="J65" i="81" s="1"/>
  <c r="D91" i="81"/>
  <c r="H65" i="81" s="1"/>
  <c r="S94" i="81"/>
  <c r="AB65" i="81"/>
  <c r="AA67" i="81"/>
  <c r="H93" i="82"/>
  <c r="U92" i="81"/>
  <c r="S93" i="82"/>
  <c r="F92" i="81"/>
  <c r="M94" i="81"/>
  <c r="Q67" i="82"/>
  <c r="X65" i="81"/>
  <c r="W66" i="82"/>
  <c r="Q68" i="81"/>
  <c r="W67" i="81"/>
  <c r="F93" i="82"/>
  <c r="AB67" i="82"/>
  <c r="D67" i="82"/>
  <c r="X67" i="82"/>
  <c r="AA66" i="82"/>
  <c r="U93" i="82"/>
  <c r="H92" i="81"/>
  <c r="O93" i="82"/>
  <c r="D68" i="81"/>
  <c r="M93" i="82"/>
  <c r="O94" i="81"/>
  <c r="S67" i="82" l="1"/>
  <c r="S68" i="81"/>
  <c r="C95" i="81"/>
  <c r="C69" i="81"/>
  <c r="F38" i="81"/>
  <c r="D38" i="81" s="1"/>
  <c r="F12" i="81" s="1"/>
  <c r="C68" i="82"/>
  <c r="F39" i="82"/>
  <c r="D39" i="82" s="1"/>
  <c r="F13" i="82" s="1"/>
  <c r="M41" i="82"/>
  <c r="D93" i="82"/>
  <c r="H67" i="82" s="1"/>
  <c r="J93" i="82"/>
  <c r="J67" i="82" s="1"/>
  <c r="Q93" i="82"/>
  <c r="M67" i="82" s="1"/>
  <c r="F66" i="82"/>
  <c r="O66" i="82"/>
  <c r="H40" i="82" s="1"/>
  <c r="Y65" i="82"/>
  <c r="U39" i="82" s="1"/>
  <c r="U65" i="82"/>
  <c r="S38" i="82"/>
  <c r="Q38" i="82" s="1"/>
  <c r="J12" i="82" s="1"/>
  <c r="O38" i="82"/>
  <c r="J38" i="82" s="1"/>
  <c r="H12" i="82" s="1"/>
  <c r="M40" i="81"/>
  <c r="Y64" i="81"/>
  <c r="U38" i="81" s="1"/>
  <c r="U64" i="81"/>
  <c r="O65" i="81"/>
  <c r="H39" i="81" s="1"/>
  <c r="F65" i="81"/>
  <c r="Q92" i="81"/>
  <c r="M66" i="81" s="1"/>
  <c r="J92" i="81"/>
  <c r="J66" i="81" s="1"/>
  <c r="D92" i="81"/>
  <c r="H66" i="81" s="1"/>
  <c r="F93" i="81"/>
  <c r="M95" i="81"/>
  <c r="AA68" i="81"/>
  <c r="S94" i="82"/>
  <c r="O95" i="81"/>
  <c r="M94" i="82"/>
  <c r="X68" i="82"/>
  <c r="W67" i="82"/>
  <c r="Q68" i="82"/>
  <c r="D69" i="81"/>
  <c r="S95" i="81"/>
  <c r="AA67" i="82"/>
  <c r="D68" i="82"/>
  <c r="AB68" i="82"/>
  <c r="Q69" i="81"/>
  <c r="W68" i="81"/>
  <c r="AB66" i="81"/>
  <c r="U94" i="82"/>
  <c r="H93" i="81"/>
  <c r="H94" i="82"/>
  <c r="U93" i="81"/>
  <c r="X66" i="81"/>
  <c r="F94" i="82"/>
  <c r="O94" i="82"/>
  <c r="S68" i="82" l="1"/>
  <c r="S69" i="81"/>
  <c r="C96" i="81"/>
  <c r="C70" i="81"/>
  <c r="F39" i="81"/>
  <c r="D39" i="81" s="1"/>
  <c r="F13" i="81" s="1"/>
  <c r="C69" i="82"/>
  <c r="F40" i="82"/>
  <c r="D40" i="82" s="1"/>
  <c r="F14" i="82" s="1"/>
  <c r="M42" i="82"/>
  <c r="D94" i="82"/>
  <c r="H68" i="82" s="1"/>
  <c r="J94" i="82"/>
  <c r="J68" i="82" s="1"/>
  <c r="Q94" i="82"/>
  <c r="M68" i="82" s="1"/>
  <c r="F67" i="82"/>
  <c r="D12" i="82"/>
  <c r="U66" i="82"/>
  <c r="O67" i="82"/>
  <c r="H41" i="82" s="1"/>
  <c r="Y66" i="82"/>
  <c r="U40" i="82" s="1"/>
  <c r="O39" i="82"/>
  <c r="J39" i="82" s="1"/>
  <c r="H13" i="82" s="1"/>
  <c r="S39" i="82"/>
  <c r="Q39" i="82" s="1"/>
  <c r="J13" i="82" s="1"/>
  <c r="O38" i="81"/>
  <c r="J38" i="81" s="1"/>
  <c r="H12" i="81" s="1"/>
  <c r="S38" i="81"/>
  <c r="Q38" i="81" s="1"/>
  <c r="J12" i="81" s="1"/>
  <c r="M41" i="81"/>
  <c r="Y65" i="81"/>
  <c r="U39" i="81" s="1"/>
  <c r="U65" i="81"/>
  <c r="O66" i="81"/>
  <c r="H40" i="81" s="1"/>
  <c r="F66" i="81"/>
  <c r="Q93" i="81"/>
  <c r="M67" i="81" s="1"/>
  <c r="J93" i="81"/>
  <c r="J67" i="81" s="1"/>
  <c r="D93" i="81"/>
  <c r="H67" i="81" s="1"/>
  <c r="O96" i="81"/>
  <c r="X67" i="81"/>
  <c r="D69" i="82"/>
  <c r="U95" i="82"/>
  <c r="Q70" i="81"/>
  <c r="AA69" i="81"/>
  <c r="S96" i="81"/>
  <c r="Q69" i="82"/>
  <c r="F95" i="82"/>
  <c r="S95" i="82"/>
  <c r="AB69" i="82"/>
  <c r="X69" i="82"/>
  <c r="AA68" i="82"/>
  <c r="F94" i="81"/>
  <c r="H94" i="81"/>
  <c r="H95" i="82"/>
  <c r="O95" i="82"/>
  <c r="D70" i="81"/>
  <c r="W68" i="82"/>
  <c r="U94" i="81"/>
  <c r="M95" i="82"/>
  <c r="M96" i="81"/>
  <c r="W69" i="81"/>
  <c r="AB67" i="81"/>
  <c r="S69" i="82" l="1"/>
  <c r="S70" i="81"/>
  <c r="C97" i="81"/>
  <c r="C71" i="81"/>
  <c r="F40" i="81"/>
  <c r="D40" i="81" s="1"/>
  <c r="F14" i="81" s="1"/>
  <c r="C70" i="82"/>
  <c r="F41" i="82"/>
  <c r="D41" i="82" s="1"/>
  <c r="F15" i="82" s="1"/>
  <c r="M43" i="82"/>
  <c r="D95" i="82"/>
  <c r="H69" i="82" s="1"/>
  <c r="J95" i="82"/>
  <c r="J69" i="82" s="1"/>
  <c r="Q95" i="82"/>
  <c r="M69" i="82" s="1"/>
  <c r="F68" i="82"/>
  <c r="O68" i="82"/>
  <c r="H42" i="82" s="1"/>
  <c r="Y67" i="82"/>
  <c r="U41" i="82" s="1"/>
  <c r="U67" i="82"/>
  <c r="D13" i="82"/>
  <c r="O40" i="82"/>
  <c r="J40" i="82" s="1"/>
  <c r="H14" i="82" s="1"/>
  <c r="S40" i="82"/>
  <c r="Q40" i="82" s="1"/>
  <c r="J14" i="82" s="1"/>
  <c r="D12" i="81"/>
  <c r="O39" i="81"/>
  <c r="J39" i="81" s="1"/>
  <c r="H13" i="81" s="1"/>
  <c r="S39" i="81"/>
  <c r="Q39" i="81" s="1"/>
  <c r="J13" i="81" s="1"/>
  <c r="M42" i="81"/>
  <c r="Y66" i="81"/>
  <c r="U40" i="81" s="1"/>
  <c r="U66" i="81"/>
  <c r="O67" i="81"/>
  <c r="H41" i="81" s="1"/>
  <c r="F67" i="81"/>
  <c r="Q94" i="81"/>
  <c r="M68" i="81" s="1"/>
  <c r="J94" i="81"/>
  <c r="J68" i="81" s="1"/>
  <c r="D94" i="81"/>
  <c r="H68" i="81" s="1"/>
  <c r="W69" i="82"/>
  <c r="AA70" i="81"/>
  <c r="M96" i="82"/>
  <c r="AB68" i="81"/>
  <c r="U95" i="81"/>
  <c r="D71" i="81"/>
  <c r="AA69" i="82"/>
  <c r="X68" i="81"/>
  <c r="H96" i="82"/>
  <c r="S96" i="82"/>
  <c r="F95" i="81"/>
  <c r="S97" i="81"/>
  <c r="U96" i="82"/>
  <c r="Q71" i="81"/>
  <c r="O97" i="81"/>
  <c r="X70" i="82"/>
  <c r="D70" i="82"/>
  <c r="W70" i="82" s="1"/>
  <c r="M97" i="81"/>
  <c r="H95" i="81"/>
  <c r="W70" i="81"/>
  <c r="AB70" i="82"/>
  <c r="F96" i="82"/>
  <c r="Q70" i="82"/>
  <c r="O96" i="82"/>
  <c r="S70" i="82" l="1"/>
  <c r="S71" i="81"/>
  <c r="C98" i="81"/>
  <c r="C72" i="81"/>
  <c r="F41" i="81"/>
  <c r="D41" i="81" s="1"/>
  <c r="F15" i="81" s="1"/>
  <c r="C71" i="82"/>
  <c r="F42" i="82"/>
  <c r="D42" i="82" s="1"/>
  <c r="F16" i="82" s="1"/>
  <c r="M44" i="82"/>
  <c r="D96" i="82"/>
  <c r="H70" i="82" s="1"/>
  <c r="J96" i="82"/>
  <c r="J70" i="82" s="1"/>
  <c r="Q96" i="82"/>
  <c r="M70" i="82" s="1"/>
  <c r="F69" i="82"/>
  <c r="O69" i="82"/>
  <c r="H43" i="82" s="1"/>
  <c r="U68" i="82"/>
  <c r="Y68" i="82"/>
  <c r="U42" i="82" s="1"/>
  <c r="D14" i="82"/>
  <c r="S41" i="82"/>
  <c r="Q41" i="82" s="1"/>
  <c r="J15" i="82" s="1"/>
  <c r="O41" i="82"/>
  <c r="J41" i="82" s="1"/>
  <c r="H15" i="82" s="1"/>
  <c r="D13" i="81"/>
  <c r="O40" i="81"/>
  <c r="J40" i="81" s="1"/>
  <c r="H14" i="81" s="1"/>
  <c r="S40" i="81"/>
  <c r="Q40" i="81" s="1"/>
  <c r="J14" i="81" s="1"/>
  <c r="M43" i="81"/>
  <c r="Y67" i="81"/>
  <c r="U41" i="81" s="1"/>
  <c r="U67" i="81"/>
  <c r="O68" i="81"/>
  <c r="H42" i="81" s="1"/>
  <c r="F68" i="81"/>
  <c r="Q95" i="81"/>
  <c r="M69" i="81" s="1"/>
  <c r="J95" i="81"/>
  <c r="J69" i="81" s="1"/>
  <c r="D95" i="81"/>
  <c r="H69" i="81" s="1"/>
  <c r="AA71" i="81"/>
  <c r="S97" i="82"/>
  <c r="S98" i="81"/>
  <c r="U97" i="82"/>
  <c r="M98" i="81"/>
  <c r="H96" i="81"/>
  <c r="Q72" i="81"/>
  <c r="AB69" i="81"/>
  <c r="W71" i="81"/>
  <c r="D72" i="81"/>
  <c r="D71" i="82"/>
  <c r="AA70" i="82"/>
  <c r="AB71" i="82"/>
  <c r="M97" i="82"/>
  <c r="F96" i="81"/>
  <c r="H97" i="82"/>
  <c r="U96" i="81"/>
  <c r="O98" i="81"/>
  <c r="X69" i="81"/>
  <c r="X71" i="82"/>
  <c r="O97" i="82"/>
  <c r="Q71" i="82"/>
  <c r="F97" i="82"/>
  <c r="S71" i="82" l="1"/>
  <c r="S72" i="81"/>
  <c r="C99" i="81"/>
  <c r="C73" i="81"/>
  <c r="F42" i="81"/>
  <c r="D42" i="81" s="1"/>
  <c r="F16" i="81" s="1"/>
  <c r="C72" i="82"/>
  <c r="F43" i="82"/>
  <c r="D43" i="82" s="1"/>
  <c r="F17" i="82" s="1"/>
  <c r="M45" i="82"/>
  <c r="D97" i="82"/>
  <c r="H71" i="82" s="1"/>
  <c r="Q97" i="82"/>
  <c r="M71" i="82" s="1"/>
  <c r="J97" i="82"/>
  <c r="J71" i="82" s="1"/>
  <c r="F70" i="82"/>
  <c r="D15" i="82"/>
  <c r="U69" i="82"/>
  <c r="O70" i="82"/>
  <c r="H44" i="82" s="1"/>
  <c r="Y69" i="82"/>
  <c r="U43" i="82" s="1"/>
  <c r="O42" i="82"/>
  <c r="J42" i="82" s="1"/>
  <c r="H16" i="82" s="1"/>
  <c r="S42" i="82"/>
  <c r="Q42" i="82" s="1"/>
  <c r="J16" i="82" s="1"/>
  <c r="D14" i="81"/>
  <c r="O41" i="81"/>
  <c r="J41" i="81" s="1"/>
  <c r="H15" i="81" s="1"/>
  <c r="S41" i="81"/>
  <c r="Q41" i="81" s="1"/>
  <c r="J15" i="81" s="1"/>
  <c r="M44" i="81"/>
  <c r="Y68" i="81"/>
  <c r="U42" i="81" s="1"/>
  <c r="U68" i="81"/>
  <c r="O69" i="81"/>
  <c r="H43" i="81" s="1"/>
  <c r="F69" i="81"/>
  <c r="Q96" i="81"/>
  <c r="M70" i="81" s="1"/>
  <c r="J96" i="81"/>
  <c r="J70" i="81" s="1"/>
  <c r="D96" i="81"/>
  <c r="H70" i="81" s="1"/>
  <c r="F98" i="82"/>
  <c r="H97" i="81"/>
  <c r="AB70" i="81"/>
  <c r="M99" i="81"/>
  <c r="S98" i="82"/>
  <c r="W71" i="82"/>
  <c r="D72" i="82"/>
  <c r="S99" i="81"/>
  <c r="O98" i="82"/>
  <c r="U98" i="82"/>
  <c r="D73" i="81"/>
  <c r="U97" i="81"/>
  <c r="M98" i="82"/>
  <c r="Q72" i="82"/>
  <c r="X70" i="81"/>
  <c r="O99" i="81"/>
  <c r="W72" i="81"/>
  <c r="H98" i="82"/>
  <c r="Q73" i="81"/>
  <c r="AA71" i="82"/>
  <c r="F97" i="81"/>
  <c r="AB72" i="82"/>
  <c r="AA72" i="81"/>
  <c r="X72" i="82"/>
  <c r="S72" i="82" l="1"/>
  <c r="S73" i="81"/>
  <c r="C100" i="81"/>
  <c r="C74" i="81"/>
  <c r="F43" i="81"/>
  <c r="D43" i="81" s="1"/>
  <c r="F17" i="81" s="1"/>
  <c r="C73" i="82"/>
  <c r="F44" i="82"/>
  <c r="D44" i="82" s="1"/>
  <c r="F18" i="82" s="1"/>
  <c r="M46" i="82"/>
  <c r="D98" i="82"/>
  <c r="H72" i="82" s="1"/>
  <c r="J98" i="82"/>
  <c r="J72" i="82" s="1"/>
  <c r="Q98" i="82"/>
  <c r="M72" i="82" s="1"/>
  <c r="F71" i="82"/>
  <c r="Y70" i="82"/>
  <c r="U44" i="82" s="1"/>
  <c r="O71" i="82"/>
  <c r="H45" i="82" s="1"/>
  <c r="U70" i="82"/>
  <c r="D16" i="82"/>
  <c r="S43" i="82"/>
  <c r="Q43" i="82" s="1"/>
  <c r="J17" i="82" s="1"/>
  <c r="O43" i="82"/>
  <c r="J43" i="82" s="1"/>
  <c r="H17" i="82" s="1"/>
  <c r="D15" i="81"/>
  <c r="O42" i="81"/>
  <c r="J42" i="81" s="1"/>
  <c r="H16" i="81" s="1"/>
  <c r="S42" i="81"/>
  <c r="Q42" i="81" s="1"/>
  <c r="J16" i="81" s="1"/>
  <c r="M45" i="81"/>
  <c r="Y69" i="81"/>
  <c r="U43" i="81" s="1"/>
  <c r="U69" i="81"/>
  <c r="O70" i="81"/>
  <c r="H44" i="81" s="1"/>
  <c r="F70" i="81"/>
  <c r="Q97" i="81"/>
  <c r="M71" i="81" s="1"/>
  <c r="J97" i="81"/>
  <c r="J71" i="81" s="1"/>
  <c r="D97" i="81"/>
  <c r="H71" i="81" s="1"/>
  <c r="X71" i="81"/>
  <c r="AA73" i="81"/>
  <c r="X73" i="82"/>
  <c r="W72" i="82"/>
  <c r="H99" i="82"/>
  <c r="D73" i="82"/>
  <c r="W73" i="82" s="1"/>
  <c r="U99" i="82"/>
  <c r="O99" i="82"/>
  <c r="Q73" i="82"/>
  <c r="F98" i="81"/>
  <c r="AA73" i="82"/>
  <c r="O100" i="81"/>
  <c r="S100" i="81"/>
  <c r="AB71" i="81"/>
  <c r="H98" i="81"/>
  <c r="S99" i="82"/>
  <c r="M100" i="81"/>
  <c r="W73" i="81"/>
  <c r="F99" i="82"/>
  <c r="D74" i="81"/>
  <c r="M99" i="82"/>
  <c r="AB73" i="82"/>
  <c r="AA72" i="82"/>
  <c r="Q74" i="81"/>
  <c r="U98" i="81"/>
  <c r="S73" i="82" l="1"/>
  <c r="S74" i="81"/>
  <c r="C101" i="81"/>
  <c r="C75" i="81"/>
  <c r="F44" i="81"/>
  <c r="D44" i="81" s="1"/>
  <c r="F18" i="81" s="1"/>
  <c r="C74" i="82"/>
  <c r="F45" i="82"/>
  <c r="D45" i="82" s="1"/>
  <c r="F19" i="82" s="1"/>
  <c r="M47" i="82"/>
  <c r="D99" i="82"/>
  <c r="H73" i="82" s="1"/>
  <c r="Q99" i="82"/>
  <c r="M73" i="82" s="1"/>
  <c r="J99" i="82"/>
  <c r="J73" i="82" s="1"/>
  <c r="F72" i="82"/>
  <c r="D17" i="82"/>
  <c r="U71" i="82"/>
  <c r="O72" i="82"/>
  <c r="H46" i="82" s="1"/>
  <c r="Y71" i="82"/>
  <c r="U45" i="82" s="1"/>
  <c r="O44" i="82"/>
  <c r="J44" i="82" s="1"/>
  <c r="H18" i="82" s="1"/>
  <c r="S44" i="82"/>
  <c r="Q44" i="82" s="1"/>
  <c r="J18" i="82" s="1"/>
  <c r="D16" i="81"/>
  <c r="O43" i="81"/>
  <c r="J43" i="81" s="1"/>
  <c r="H17" i="81" s="1"/>
  <c r="S43" i="81"/>
  <c r="Q43" i="81" s="1"/>
  <c r="J17" i="81" s="1"/>
  <c r="M46" i="81"/>
  <c r="Y70" i="81"/>
  <c r="U44" i="81" s="1"/>
  <c r="U70" i="81"/>
  <c r="O71" i="81"/>
  <c r="H45" i="81" s="1"/>
  <c r="F71" i="81"/>
  <c r="Q98" i="81"/>
  <c r="M72" i="81" s="1"/>
  <c r="J98" i="81"/>
  <c r="J72" i="81" s="1"/>
  <c r="D98" i="81"/>
  <c r="H72" i="81" s="1"/>
  <c r="D75" i="81"/>
  <c r="Q74" i="82"/>
  <c r="W74" i="81"/>
  <c r="D74" i="82"/>
  <c r="F99" i="81"/>
  <c r="X72" i="81"/>
  <c r="S101" i="81"/>
  <c r="Q75" i="81"/>
  <c r="H100" i="82"/>
  <c r="AA74" i="81"/>
  <c r="M100" i="82"/>
  <c r="M101" i="81"/>
  <c r="X74" i="82"/>
  <c r="U100" i="82"/>
  <c r="H99" i="81"/>
  <c r="AB74" i="82"/>
  <c r="O101" i="81"/>
  <c r="O100" i="82"/>
  <c r="S100" i="82"/>
  <c r="U99" i="81"/>
  <c r="F100" i="82"/>
  <c r="AB72" i="81"/>
  <c r="S74" i="82" l="1"/>
  <c r="S75" i="81"/>
  <c r="C102" i="81"/>
  <c r="C76" i="81"/>
  <c r="F45" i="81"/>
  <c r="D45" i="81" s="1"/>
  <c r="F19" i="81" s="1"/>
  <c r="C75" i="82"/>
  <c r="F46" i="82"/>
  <c r="D46" i="82" s="1"/>
  <c r="F20" i="82" s="1"/>
  <c r="M48" i="82"/>
  <c r="D100" i="82"/>
  <c r="H74" i="82" s="1"/>
  <c r="J100" i="82"/>
  <c r="J74" i="82" s="1"/>
  <c r="Q100" i="82"/>
  <c r="M74" i="82" s="1"/>
  <c r="F73" i="82"/>
  <c r="O73" i="82"/>
  <c r="H47" i="82" s="1"/>
  <c r="Y72" i="82"/>
  <c r="U46" i="82" s="1"/>
  <c r="U72" i="82"/>
  <c r="D18" i="82"/>
  <c r="S45" i="82"/>
  <c r="Q45" i="82" s="1"/>
  <c r="J19" i="82" s="1"/>
  <c r="O45" i="82"/>
  <c r="J45" i="82" s="1"/>
  <c r="H19" i="82" s="1"/>
  <c r="D17" i="81"/>
  <c r="O44" i="81"/>
  <c r="J44" i="81" s="1"/>
  <c r="H18" i="81" s="1"/>
  <c r="S44" i="81"/>
  <c r="Q44" i="81" s="1"/>
  <c r="J18" i="81" s="1"/>
  <c r="M47" i="81"/>
  <c r="Y71" i="81"/>
  <c r="U45" i="81" s="1"/>
  <c r="U71" i="81"/>
  <c r="O72" i="81"/>
  <c r="H46" i="81" s="1"/>
  <c r="F72" i="81"/>
  <c r="Q99" i="81"/>
  <c r="M73" i="81" s="1"/>
  <c r="J99" i="81"/>
  <c r="J73" i="81" s="1"/>
  <c r="D99" i="81"/>
  <c r="H73" i="81" s="1"/>
  <c r="AA74" i="82"/>
  <c r="AA75" i="81"/>
  <c r="M102" i="81"/>
  <c r="D76" i="81"/>
  <c r="AB73" i="81"/>
  <c r="Q75" i="82"/>
  <c r="U101" i="82"/>
  <c r="D75" i="82"/>
  <c r="M101" i="82"/>
  <c r="O101" i="82"/>
  <c r="U100" i="81"/>
  <c r="H101" i="82"/>
  <c r="W75" i="81"/>
  <c r="S102" i="81"/>
  <c r="AB75" i="82"/>
  <c r="X75" i="82"/>
  <c r="H100" i="81"/>
  <c r="Q76" i="81"/>
  <c r="S101" i="82"/>
  <c r="O102" i="81"/>
  <c r="X73" i="81"/>
  <c r="W74" i="82"/>
  <c r="F101" i="82"/>
  <c r="F100" i="81"/>
  <c r="S75" i="82" l="1"/>
  <c r="S76" i="81"/>
  <c r="C103" i="81"/>
  <c r="C77" i="81"/>
  <c r="F46" i="81"/>
  <c r="D46" i="81" s="1"/>
  <c r="F20" i="81" s="1"/>
  <c r="C76" i="82"/>
  <c r="F47" i="82"/>
  <c r="D47" i="82" s="1"/>
  <c r="F21" i="82" s="1"/>
  <c r="M49" i="82"/>
  <c r="D101" i="82"/>
  <c r="H75" i="82" s="1"/>
  <c r="J101" i="82"/>
  <c r="J75" i="82" s="1"/>
  <c r="Q101" i="82"/>
  <c r="M75" i="82" s="1"/>
  <c r="F74" i="82"/>
  <c r="D19" i="82"/>
  <c r="U73" i="82"/>
  <c r="O74" i="82"/>
  <c r="H48" i="82" s="1"/>
  <c r="Y73" i="82"/>
  <c r="U47" i="82" s="1"/>
  <c r="O46" i="82"/>
  <c r="J46" i="82" s="1"/>
  <c r="H20" i="82" s="1"/>
  <c r="S46" i="82"/>
  <c r="Q46" i="82" s="1"/>
  <c r="J20" i="82" s="1"/>
  <c r="D18" i="81"/>
  <c r="O45" i="81"/>
  <c r="J45" i="81" s="1"/>
  <c r="H19" i="81" s="1"/>
  <c r="S45" i="81"/>
  <c r="Q45" i="81" s="1"/>
  <c r="J19" i="81" s="1"/>
  <c r="M48" i="81"/>
  <c r="Y72" i="81"/>
  <c r="U46" i="81" s="1"/>
  <c r="U72" i="81"/>
  <c r="O73" i="81"/>
  <c r="H47" i="81" s="1"/>
  <c r="F73" i="81"/>
  <c r="Q100" i="81"/>
  <c r="M74" i="81" s="1"/>
  <c r="J100" i="81"/>
  <c r="J74" i="81" s="1"/>
  <c r="D100" i="81"/>
  <c r="H74" i="81" s="1"/>
  <c r="AA76" i="81"/>
  <c r="Q76" i="82"/>
  <c r="H102" i="82"/>
  <c r="F101" i="81"/>
  <c r="AB74" i="81"/>
  <c r="W76" i="81"/>
  <c r="U101" i="81"/>
  <c r="X76" i="82"/>
  <c r="AA75" i="82"/>
  <c r="X74" i="81"/>
  <c r="AB76" i="82"/>
  <c r="O102" i="82"/>
  <c r="M102" i="82"/>
  <c r="F102" i="82"/>
  <c r="W75" i="82"/>
  <c r="S102" i="82"/>
  <c r="O103" i="81"/>
  <c r="D76" i="82"/>
  <c r="D77" i="81"/>
  <c r="M103" i="81"/>
  <c r="Q77" i="81"/>
  <c r="S103" i="81"/>
  <c r="H101" i="81"/>
  <c r="U102" i="82"/>
  <c r="S76" i="82" l="1"/>
  <c r="S77" i="81"/>
  <c r="C104" i="81"/>
  <c r="C78" i="81"/>
  <c r="F47" i="81"/>
  <c r="D47" i="81" s="1"/>
  <c r="F21" i="81" s="1"/>
  <c r="C77" i="82"/>
  <c r="F48" i="82"/>
  <c r="D48" i="82" s="1"/>
  <c r="F22" i="82" s="1"/>
  <c r="M50" i="82"/>
  <c r="D102" i="82"/>
  <c r="H76" i="82" s="1"/>
  <c r="Q102" i="82"/>
  <c r="M76" i="82" s="1"/>
  <c r="J102" i="82"/>
  <c r="J76" i="82" s="1"/>
  <c r="F75" i="82"/>
  <c r="D20" i="82"/>
  <c r="O75" i="82"/>
  <c r="H49" i="82" s="1"/>
  <c r="Y74" i="82"/>
  <c r="U48" i="82" s="1"/>
  <c r="U74" i="82"/>
  <c r="S47" i="82"/>
  <c r="Q47" i="82" s="1"/>
  <c r="J21" i="82" s="1"/>
  <c r="O47" i="82"/>
  <c r="J47" i="82" s="1"/>
  <c r="H21" i="82" s="1"/>
  <c r="D19" i="81"/>
  <c r="O46" i="81"/>
  <c r="J46" i="81" s="1"/>
  <c r="H20" i="81" s="1"/>
  <c r="S46" i="81"/>
  <c r="Q46" i="81" s="1"/>
  <c r="J20" i="81" s="1"/>
  <c r="M49" i="81"/>
  <c r="Y73" i="81"/>
  <c r="U47" i="81" s="1"/>
  <c r="U73" i="81"/>
  <c r="O74" i="81"/>
  <c r="H48" i="81" s="1"/>
  <c r="F74" i="81"/>
  <c r="Q101" i="81"/>
  <c r="M75" i="81" s="1"/>
  <c r="J101" i="81"/>
  <c r="J75" i="81" s="1"/>
  <c r="D101" i="81"/>
  <c r="H75" i="81" s="1"/>
  <c r="X75" i="81"/>
  <c r="H103" i="82"/>
  <c r="M103" i="82"/>
  <c r="W76" i="82"/>
  <c r="AB75" i="81"/>
  <c r="F102" i="81"/>
  <c r="F103" i="82"/>
  <c r="S104" i="81"/>
  <c r="Q77" i="82"/>
  <c r="AA77" i="81"/>
  <c r="U102" i="81"/>
  <c r="X77" i="82"/>
  <c r="S103" i="82"/>
  <c r="AB77" i="82"/>
  <c r="AA76" i="82"/>
  <c r="U103" i="82"/>
  <c r="O104" i="81"/>
  <c r="W77" i="81"/>
  <c r="H102" i="81"/>
  <c r="Q78" i="81"/>
  <c r="M104" i="81"/>
  <c r="O103" i="82"/>
  <c r="D77" i="82"/>
  <c r="D78" i="81"/>
  <c r="S77" i="82" l="1"/>
  <c r="S78" i="81"/>
  <c r="C105" i="81"/>
  <c r="C79" i="81"/>
  <c r="F48" i="81"/>
  <c r="D48" i="81" s="1"/>
  <c r="F22" i="81" s="1"/>
  <c r="C78" i="82"/>
  <c r="F49" i="82"/>
  <c r="D49" i="82" s="1"/>
  <c r="F23" i="82" s="1"/>
  <c r="M51" i="82"/>
  <c r="D103" i="82"/>
  <c r="H77" i="82" s="1"/>
  <c r="Q103" i="82"/>
  <c r="M77" i="82" s="1"/>
  <c r="J103" i="82"/>
  <c r="J77" i="82" s="1"/>
  <c r="F76" i="82"/>
  <c r="D21" i="82"/>
  <c r="U75" i="82"/>
  <c r="O76" i="82"/>
  <c r="H50" i="82" s="1"/>
  <c r="Y75" i="82"/>
  <c r="U49" i="82" s="1"/>
  <c r="O48" i="82"/>
  <c r="J48" i="82" s="1"/>
  <c r="H22" i="82" s="1"/>
  <c r="S48" i="82"/>
  <c r="Q48" i="82" s="1"/>
  <c r="J22" i="82" s="1"/>
  <c r="D20" i="81"/>
  <c r="O47" i="81"/>
  <c r="J47" i="81" s="1"/>
  <c r="H21" i="81" s="1"/>
  <c r="S47" i="81"/>
  <c r="Q47" i="81" s="1"/>
  <c r="J21" i="81" s="1"/>
  <c r="M50" i="81"/>
  <c r="Y74" i="81"/>
  <c r="U48" i="81" s="1"/>
  <c r="U74" i="81"/>
  <c r="O75" i="81"/>
  <c r="H49" i="81" s="1"/>
  <c r="F75" i="81"/>
  <c r="Q102" i="81"/>
  <c r="M76" i="81" s="1"/>
  <c r="J102" i="81"/>
  <c r="J76" i="81" s="1"/>
  <c r="D102" i="81"/>
  <c r="H76" i="81" s="1"/>
  <c r="S105" i="81"/>
  <c r="O104" i="82"/>
  <c r="W78" i="81"/>
  <c r="AB78" i="82"/>
  <c r="F103" i="81"/>
  <c r="M105" i="81"/>
  <c r="AA77" i="82"/>
  <c r="U104" i="82"/>
  <c r="D79" i="81"/>
  <c r="AB76" i="81"/>
  <c r="Q79" i="81"/>
  <c r="U103" i="81"/>
  <c r="X76" i="81"/>
  <c r="H103" i="81"/>
  <c r="W77" i="82"/>
  <c r="H104" i="82"/>
  <c r="AA78" i="81"/>
  <c r="M104" i="82"/>
  <c r="F104" i="82"/>
  <c r="S104" i="82"/>
  <c r="Q78" i="82"/>
  <c r="D78" i="82"/>
  <c r="O105" i="81"/>
  <c r="X78" i="82"/>
  <c r="S78" i="82" l="1"/>
  <c r="S79" i="81"/>
  <c r="C106" i="81"/>
  <c r="C80" i="81"/>
  <c r="F49" i="81"/>
  <c r="D49" i="81" s="1"/>
  <c r="F23" i="81" s="1"/>
  <c r="C79" i="82"/>
  <c r="F50" i="82"/>
  <c r="D50" i="82" s="1"/>
  <c r="F24" i="82" s="1"/>
  <c r="M52" i="82"/>
  <c r="D104" i="82"/>
  <c r="H78" i="82" s="1"/>
  <c r="Q104" i="82"/>
  <c r="M78" i="82" s="1"/>
  <c r="J104" i="82"/>
  <c r="J78" i="82" s="1"/>
  <c r="F77" i="82"/>
  <c r="D22" i="82"/>
  <c r="O77" i="82"/>
  <c r="H51" i="82" s="1"/>
  <c r="Y76" i="82"/>
  <c r="U50" i="82" s="1"/>
  <c r="U76" i="82"/>
  <c r="S49" i="82"/>
  <c r="Q49" i="82" s="1"/>
  <c r="J23" i="82" s="1"/>
  <c r="O49" i="82"/>
  <c r="J49" i="82" s="1"/>
  <c r="H23" i="82" s="1"/>
  <c r="D21" i="81"/>
  <c r="O48" i="81"/>
  <c r="J48" i="81" s="1"/>
  <c r="H22" i="81" s="1"/>
  <c r="S48" i="81"/>
  <c r="Q48" i="81" s="1"/>
  <c r="J22" i="81" s="1"/>
  <c r="M51" i="81"/>
  <c r="Y75" i="81"/>
  <c r="U49" i="81" s="1"/>
  <c r="U75" i="81"/>
  <c r="O76" i="81"/>
  <c r="H50" i="81" s="1"/>
  <c r="F76" i="81"/>
  <c r="Q103" i="81"/>
  <c r="M77" i="81" s="1"/>
  <c r="J103" i="81"/>
  <c r="J77" i="81" s="1"/>
  <c r="D103" i="81"/>
  <c r="H77" i="81" s="1"/>
  <c r="AB79" i="82"/>
  <c r="D79" i="82"/>
  <c r="H105" i="82"/>
  <c r="F105" i="82"/>
  <c r="D80" i="81"/>
  <c r="H104" i="81"/>
  <c r="U104" i="81"/>
  <c r="AA79" i="81"/>
  <c r="W79" i="81"/>
  <c r="O106" i="81"/>
  <c r="AA78" i="82"/>
  <c r="Q79" i="82"/>
  <c r="S106" i="81"/>
  <c r="M106" i="81"/>
  <c r="AB77" i="81"/>
  <c r="X79" i="82"/>
  <c r="X77" i="81"/>
  <c r="W78" i="82"/>
  <c r="Q80" i="81"/>
  <c r="U105" i="82"/>
  <c r="O105" i="82"/>
  <c r="F104" i="81"/>
  <c r="S105" i="82"/>
  <c r="M105" i="82"/>
  <c r="S79" i="82" l="1"/>
  <c r="S80" i="81"/>
  <c r="C107" i="81"/>
  <c r="C81" i="81"/>
  <c r="F50" i="81"/>
  <c r="D50" i="81" s="1"/>
  <c r="F24" i="81" s="1"/>
  <c r="C80" i="82"/>
  <c r="F51" i="82"/>
  <c r="D51" i="82" s="1"/>
  <c r="F25" i="82" s="1"/>
  <c r="M53" i="82"/>
  <c r="D105" i="82"/>
  <c r="H79" i="82" s="1"/>
  <c r="Q105" i="82"/>
  <c r="M79" i="82" s="1"/>
  <c r="J105" i="82"/>
  <c r="J79" i="82" s="1"/>
  <c r="F78" i="82"/>
  <c r="D23" i="82"/>
  <c r="U77" i="82"/>
  <c r="O78" i="82"/>
  <c r="H52" i="82" s="1"/>
  <c r="Y77" i="82"/>
  <c r="U51" i="82" s="1"/>
  <c r="O50" i="82"/>
  <c r="J50" i="82" s="1"/>
  <c r="H24" i="82" s="1"/>
  <c r="S50" i="82"/>
  <c r="Q50" i="82" s="1"/>
  <c r="J24" i="82" s="1"/>
  <c r="D22" i="81"/>
  <c r="O49" i="81"/>
  <c r="J49" i="81" s="1"/>
  <c r="H23" i="81" s="1"/>
  <c r="S49" i="81"/>
  <c r="Q49" i="81" s="1"/>
  <c r="J23" i="81" s="1"/>
  <c r="M52" i="81"/>
  <c r="Y76" i="81"/>
  <c r="U50" i="81" s="1"/>
  <c r="U76" i="81"/>
  <c r="O77" i="81"/>
  <c r="H51" i="81" s="1"/>
  <c r="F77" i="81"/>
  <c r="Q104" i="81"/>
  <c r="M78" i="81" s="1"/>
  <c r="J104" i="81"/>
  <c r="J78" i="81" s="1"/>
  <c r="D104" i="81"/>
  <c r="H78" i="81" s="1"/>
  <c r="Q81" i="81"/>
  <c r="D81" i="81"/>
  <c r="S107" i="81"/>
  <c r="H106" i="82"/>
  <c r="O106" i="82"/>
  <c r="S106" i="82"/>
  <c r="X80" i="82"/>
  <c r="O107" i="81"/>
  <c r="D80" i="82"/>
  <c r="M107" i="81"/>
  <c r="Q80" i="82"/>
  <c r="W79" i="82"/>
  <c r="AA79" i="82"/>
  <c r="M106" i="82"/>
  <c r="W80" i="81"/>
  <c r="AB80" i="82"/>
  <c r="U106" i="82"/>
  <c r="U105" i="81"/>
  <c r="AA80" i="81"/>
  <c r="X78" i="81"/>
  <c r="F106" i="82"/>
  <c r="H105" i="81"/>
  <c r="F105" i="81"/>
  <c r="AB78" i="81"/>
  <c r="S80" i="82" l="1"/>
  <c r="S81" i="81"/>
  <c r="C108" i="81"/>
  <c r="C82" i="81"/>
  <c r="F51" i="81"/>
  <c r="D51" i="81" s="1"/>
  <c r="F25" i="81" s="1"/>
  <c r="C81" i="82"/>
  <c r="F52" i="82"/>
  <c r="D52" i="82" s="1"/>
  <c r="F26" i="82" s="1"/>
  <c r="M54" i="82"/>
  <c r="D106" i="82"/>
  <c r="H80" i="82" s="1"/>
  <c r="J106" i="82"/>
  <c r="J80" i="82" s="1"/>
  <c r="Q106" i="82"/>
  <c r="M80" i="82" s="1"/>
  <c r="F79" i="82"/>
  <c r="O79" i="82"/>
  <c r="H53" i="82" s="1"/>
  <c r="Y78" i="82"/>
  <c r="U52" i="82" s="1"/>
  <c r="U78" i="82"/>
  <c r="D24" i="82"/>
  <c r="S51" i="82"/>
  <c r="Q51" i="82" s="1"/>
  <c r="J25" i="82" s="1"/>
  <c r="O51" i="82"/>
  <c r="J51" i="82" s="1"/>
  <c r="H25" i="82" s="1"/>
  <c r="D23" i="81"/>
  <c r="O50" i="81"/>
  <c r="J50" i="81" s="1"/>
  <c r="H24" i="81" s="1"/>
  <c r="S50" i="81"/>
  <c r="Q50" i="81" s="1"/>
  <c r="J24" i="81" s="1"/>
  <c r="M53" i="81"/>
  <c r="Y77" i="81"/>
  <c r="U51" i="81" s="1"/>
  <c r="U77" i="81"/>
  <c r="O78" i="81"/>
  <c r="H52" i="81" s="1"/>
  <c r="F78" i="81"/>
  <c r="Q105" i="81"/>
  <c r="M79" i="81" s="1"/>
  <c r="J105" i="81"/>
  <c r="J79" i="81" s="1"/>
  <c r="D105" i="81"/>
  <c r="H79" i="81" s="1"/>
  <c r="X81" i="82"/>
  <c r="O108" i="81"/>
  <c r="S108" i="81"/>
  <c r="AB81" i="82"/>
  <c r="H106" i="81"/>
  <c r="U107" i="82"/>
  <c r="U106" i="81"/>
  <c r="M108" i="81"/>
  <c r="O107" i="82"/>
  <c r="F107" i="82"/>
  <c r="S107" i="82"/>
  <c r="D81" i="82"/>
  <c r="X79" i="81"/>
  <c r="D82" i="81"/>
  <c r="AB79" i="81"/>
  <c r="AA81" i="81"/>
  <c r="Q81" i="82"/>
  <c r="Q82" i="81"/>
  <c r="AA80" i="82"/>
  <c r="W81" i="81"/>
  <c r="F106" i="81"/>
  <c r="W80" i="82"/>
  <c r="M107" i="82"/>
  <c r="H107" i="82"/>
  <c r="S81" i="82" l="1"/>
  <c r="S82" i="81"/>
  <c r="C109" i="81"/>
  <c r="C83" i="81"/>
  <c r="F52" i="81"/>
  <c r="D52" i="81" s="1"/>
  <c r="F26" i="81" s="1"/>
  <c r="C82" i="82"/>
  <c r="F53" i="82"/>
  <c r="D53" i="82" s="1"/>
  <c r="F27" i="82" s="1"/>
  <c r="M55" i="82"/>
  <c r="D107" i="82"/>
  <c r="H81" i="82" s="1"/>
  <c r="Q107" i="82"/>
  <c r="M81" i="82" s="1"/>
  <c r="J107" i="82"/>
  <c r="J81" i="82" s="1"/>
  <c r="F80" i="82"/>
  <c r="D25" i="82"/>
  <c r="U79" i="82"/>
  <c r="O80" i="82"/>
  <c r="H54" i="82" s="1"/>
  <c r="Y79" i="82"/>
  <c r="U53" i="82" s="1"/>
  <c r="O52" i="82"/>
  <c r="J52" i="82" s="1"/>
  <c r="H26" i="82" s="1"/>
  <c r="S52" i="82"/>
  <c r="Q52" i="82" s="1"/>
  <c r="J26" i="82" s="1"/>
  <c r="D24" i="81"/>
  <c r="O51" i="81"/>
  <c r="J51" i="81" s="1"/>
  <c r="H25" i="81" s="1"/>
  <c r="S51" i="81"/>
  <c r="Q51" i="81" s="1"/>
  <c r="J25" i="81" s="1"/>
  <c r="M54" i="81"/>
  <c r="Y78" i="81"/>
  <c r="U52" i="81" s="1"/>
  <c r="U78" i="81"/>
  <c r="O79" i="81"/>
  <c r="H53" i="81" s="1"/>
  <c r="F79" i="81"/>
  <c r="Q106" i="81"/>
  <c r="M80" i="81" s="1"/>
  <c r="J106" i="81"/>
  <c r="J80" i="81" s="1"/>
  <c r="D106" i="81"/>
  <c r="H80" i="81" s="1"/>
  <c r="AA82" i="81"/>
  <c r="U108" i="82"/>
  <c r="M108" i="82"/>
  <c r="D83" i="81"/>
  <c r="F108" i="82"/>
  <c r="H108" i="82"/>
  <c r="Q82" i="82"/>
  <c r="W82" i="81"/>
  <c r="AB82" i="82"/>
  <c r="AA81" i="82"/>
  <c r="O108" i="82"/>
  <c r="H107" i="81"/>
  <c r="X82" i="82"/>
  <c r="S109" i="81"/>
  <c r="Q83" i="81"/>
  <c r="W81" i="82"/>
  <c r="M109" i="81"/>
  <c r="AB80" i="81"/>
  <c r="U107" i="81"/>
  <c r="F107" i="81"/>
  <c r="X80" i="81"/>
  <c r="S108" i="82"/>
  <c r="D82" i="82"/>
  <c r="O109" i="81"/>
  <c r="S82" i="82" l="1"/>
  <c r="S83" i="81"/>
  <c r="F53" i="81"/>
  <c r="D53" i="81" s="1"/>
  <c r="F27" i="81" s="1"/>
  <c r="C83" i="82"/>
  <c r="F54" i="82"/>
  <c r="D54" i="82" s="1"/>
  <c r="F28" i="82" s="1"/>
  <c r="M56" i="82"/>
  <c r="D108" i="82"/>
  <c r="H82" i="82" s="1"/>
  <c r="Q108" i="82"/>
  <c r="M82" i="82" s="1"/>
  <c r="J108" i="82"/>
  <c r="J82" i="82" s="1"/>
  <c r="F81" i="82"/>
  <c r="O81" i="82"/>
  <c r="H55" i="82" s="1"/>
  <c r="Y80" i="82"/>
  <c r="U54" i="82" s="1"/>
  <c r="U80" i="82"/>
  <c r="D26" i="82"/>
  <c r="S53" i="82"/>
  <c r="Q53" i="82" s="1"/>
  <c r="J27" i="82" s="1"/>
  <c r="O53" i="82"/>
  <c r="J53" i="82" s="1"/>
  <c r="H27" i="82" s="1"/>
  <c r="D25" i="81"/>
  <c r="O52" i="81"/>
  <c r="J52" i="81" s="1"/>
  <c r="H26" i="81" s="1"/>
  <c r="S52" i="81"/>
  <c r="Q52" i="81" s="1"/>
  <c r="J26" i="81" s="1"/>
  <c r="M55" i="81"/>
  <c r="Y79" i="81"/>
  <c r="U53" i="81" s="1"/>
  <c r="U79" i="81"/>
  <c r="O80" i="81"/>
  <c r="H54" i="81" s="1"/>
  <c r="F80" i="81"/>
  <c r="Q107" i="81"/>
  <c r="M81" i="81" s="1"/>
  <c r="J107" i="81"/>
  <c r="J81" i="81" s="1"/>
  <c r="D107" i="81"/>
  <c r="H81" i="81" s="1"/>
  <c r="AA83" i="81"/>
  <c r="W83" i="81"/>
  <c r="M109" i="82"/>
  <c r="F109" i="82"/>
  <c r="W82" i="82"/>
  <c r="AA82" i="82"/>
  <c r="H108" i="81"/>
  <c r="D83" i="82"/>
  <c r="H109" i="82"/>
  <c r="Q83" i="82"/>
  <c r="U109" i="82"/>
  <c r="X83" i="82"/>
  <c r="O109" i="82"/>
  <c r="AB83" i="82"/>
  <c r="S109" i="82"/>
  <c r="U108" i="81"/>
  <c r="F108" i="81"/>
  <c r="X81" i="81"/>
  <c r="AB81" i="81"/>
  <c r="S83" i="82" l="1"/>
  <c r="F54" i="81"/>
  <c r="D54" i="81" s="1"/>
  <c r="F28" i="81" s="1"/>
  <c r="F55" i="82"/>
  <c r="D55" i="82" s="1"/>
  <c r="F29" i="82" s="1"/>
  <c r="M57" i="82"/>
  <c r="D109" i="82"/>
  <c r="H83" i="82" s="1"/>
  <c r="J109" i="82"/>
  <c r="J83" i="82" s="1"/>
  <c r="Q109" i="82"/>
  <c r="M83" i="82" s="1"/>
  <c r="F82" i="82"/>
  <c r="D27" i="82"/>
  <c r="U81" i="82"/>
  <c r="O82" i="82"/>
  <c r="H56" i="82" s="1"/>
  <c r="Y81" i="82"/>
  <c r="U55" i="82" s="1"/>
  <c r="O54" i="82"/>
  <c r="J54" i="82" s="1"/>
  <c r="H28" i="82" s="1"/>
  <c r="S54" i="82"/>
  <c r="Q54" i="82" s="1"/>
  <c r="J28" i="82" s="1"/>
  <c r="D26" i="81"/>
  <c r="O53" i="81"/>
  <c r="J53" i="81" s="1"/>
  <c r="H27" i="81" s="1"/>
  <c r="S53" i="81"/>
  <c r="Q53" i="81" s="1"/>
  <c r="J27" i="81" s="1"/>
  <c r="M56" i="81"/>
  <c r="Y80" i="81"/>
  <c r="U54" i="81" s="1"/>
  <c r="U80" i="81"/>
  <c r="O81" i="81"/>
  <c r="H55" i="81" s="1"/>
  <c r="F81" i="81"/>
  <c r="Q108" i="81"/>
  <c r="M82" i="81" s="1"/>
  <c r="J108" i="81"/>
  <c r="J82" i="81" s="1"/>
  <c r="D108" i="81"/>
  <c r="H82" i="81" s="1"/>
  <c r="AA83" i="82"/>
  <c r="H109" i="81"/>
  <c r="U109" i="81"/>
  <c r="X82" i="81"/>
  <c r="AB82" i="81"/>
  <c r="W83" i="82"/>
  <c r="F109" i="81"/>
  <c r="F55" i="81" l="1"/>
  <c r="D55" i="81" s="1"/>
  <c r="F29" i="81" s="1"/>
  <c r="F56" i="82"/>
  <c r="D56" i="82" s="1"/>
  <c r="F30" i="82" s="1"/>
  <c r="F83" i="82"/>
  <c r="D28" i="82"/>
  <c r="O83" i="82"/>
  <c r="H57" i="82" s="1"/>
  <c r="Y82" i="82"/>
  <c r="U56" i="82" s="1"/>
  <c r="U82" i="82"/>
  <c r="S55" i="82"/>
  <c r="Q55" i="82" s="1"/>
  <c r="J29" i="82" s="1"/>
  <c r="O55" i="82"/>
  <c r="J55" i="82" s="1"/>
  <c r="H29" i="82" s="1"/>
  <c r="D27" i="81"/>
  <c r="O54" i="81"/>
  <c r="J54" i="81" s="1"/>
  <c r="H28" i="81" s="1"/>
  <c r="S54" i="81"/>
  <c r="Q54" i="81" s="1"/>
  <c r="J28" i="81" s="1"/>
  <c r="M57" i="81"/>
  <c r="Y81" i="81"/>
  <c r="U55" i="81" s="1"/>
  <c r="U81" i="81"/>
  <c r="O82" i="81"/>
  <c r="H56" i="81" s="1"/>
  <c r="F82" i="81"/>
  <c r="Q109" i="81"/>
  <c r="M83" i="81" s="1"/>
  <c r="J109" i="81"/>
  <c r="J83" i="81" s="1"/>
  <c r="D109" i="81"/>
  <c r="H83" i="81" s="1"/>
  <c r="AB83" i="81"/>
  <c r="X83" i="81"/>
  <c r="Y83" i="81" l="1"/>
  <c r="U57" i="81" s="1"/>
  <c r="U83" i="81"/>
  <c r="F56" i="81"/>
  <c r="D56" i="81" s="1"/>
  <c r="F30" i="81" s="1"/>
  <c r="Y83" i="82"/>
  <c r="U57" i="82" s="1"/>
  <c r="U83" i="82"/>
  <c r="S57" i="82" s="1"/>
  <c r="F57" i="82"/>
  <c r="D57" i="82" s="1"/>
  <c r="F31" i="82" s="1"/>
  <c r="D29" i="82"/>
  <c r="O56" i="82"/>
  <c r="J56" i="82" s="1"/>
  <c r="H30" i="82" s="1"/>
  <c r="S56" i="82"/>
  <c r="Q56" i="82" s="1"/>
  <c r="J30" i="82" s="1"/>
  <c r="D28" i="81"/>
  <c r="O55" i="81"/>
  <c r="J55" i="81" s="1"/>
  <c r="H29" i="81" s="1"/>
  <c r="S55" i="81"/>
  <c r="Q55" i="81" s="1"/>
  <c r="J29" i="81" s="1"/>
  <c r="Y82" i="81"/>
  <c r="U56" i="81" s="1"/>
  <c r="U82" i="81"/>
  <c r="O83" i="81"/>
  <c r="H57" i="81" s="1"/>
  <c r="F83" i="81"/>
  <c r="F57" i="81" l="1"/>
  <c r="D57" i="81" s="1"/>
  <c r="F31" i="81" s="1"/>
  <c r="O57" i="82"/>
  <c r="J57" i="82" s="1"/>
  <c r="H31" i="82" s="1"/>
  <c r="Q57" i="82"/>
  <c r="J31" i="82" s="1"/>
  <c r="D30" i="82"/>
  <c r="D29" i="81"/>
  <c r="O56" i="81"/>
  <c r="J56" i="81" s="1"/>
  <c r="H30" i="81" s="1"/>
  <c r="S56" i="81"/>
  <c r="Q56" i="81" s="1"/>
  <c r="J30" i="81" s="1"/>
  <c r="O57" i="81"/>
  <c r="J57" i="81" s="1"/>
  <c r="H31" i="81" s="1"/>
  <c r="S57" i="81"/>
  <c r="Q57" i="81" s="1"/>
  <c r="J31" i="81" s="1"/>
  <c r="D31" i="82" l="1"/>
  <c r="D30" i="81"/>
  <c r="D31" i="81"/>
</calcChain>
</file>

<file path=xl/sharedStrings.xml><?xml version="1.0" encoding="utf-8"?>
<sst xmlns="http://schemas.openxmlformats.org/spreadsheetml/2006/main" count="146" uniqueCount="57">
  <si>
    <t>季度</t>
  </si>
  <si>
    <t>一级分析</t>
    <phoneticPr fontId="7" type="noConversion"/>
  </si>
  <si>
    <t>=</t>
  </si>
  <si>
    <t>最近更新：2022/6/13</t>
    <phoneticPr fontId="7" type="noConversion"/>
  </si>
  <si>
    <t>二级分析</t>
    <phoneticPr fontId="7" type="noConversion"/>
  </si>
  <si>
    <t>×</t>
    <phoneticPr fontId="7" type="noConversion"/>
  </si>
  <si>
    <t>权益乘数*</t>
    <phoneticPr fontId="7" type="noConversion"/>
  </si>
  <si>
    <t>资产周转率</t>
    <phoneticPr fontId="7" type="noConversion"/>
  </si>
  <si>
    <t>营业总收入</t>
    <phoneticPr fontId="7" type="noConversion"/>
  </si>
  <si>
    <t>÷</t>
    <phoneticPr fontId="7" type="noConversion"/>
  </si>
  <si>
    <t>平均总资产</t>
    <phoneticPr fontId="7" type="noConversion"/>
  </si>
  <si>
    <t>平均总资产</t>
    <phoneticPr fontId="7" type="noConversion"/>
  </si>
  <si>
    <t>平均归母股东权益</t>
    <phoneticPr fontId="7" type="noConversion"/>
  </si>
  <si>
    <t>三级分析</t>
    <phoneticPr fontId="7" type="noConversion"/>
  </si>
  <si>
    <t>期初股东权益</t>
    <phoneticPr fontId="7" type="noConversion"/>
  </si>
  <si>
    <t>期末股东权益</t>
    <phoneticPr fontId="7" type="noConversion"/>
  </si>
  <si>
    <t>四级分析</t>
    <phoneticPr fontId="7" type="noConversion"/>
  </si>
  <si>
    <t>EBIT</t>
    <phoneticPr fontId="7" type="noConversion"/>
  </si>
  <si>
    <t>营业总收入</t>
    <phoneticPr fontId="7" type="noConversion"/>
  </si>
  <si>
    <t>净利润</t>
    <phoneticPr fontId="7" type="noConversion"/>
  </si>
  <si>
    <t>利润总额</t>
    <phoneticPr fontId="7" type="noConversion"/>
  </si>
  <si>
    <t>EBIT</t>
    <phoneticPr fontId="7" type="noConversion"/>
  </si>
  <si>
    <t>经营利润率(%)</t>
    <phoneticPr fontId="7" type="noConversion"/>
  </si>
  <si>
    <t>经营利润率(%)</t>
    <phoneticPr fontId="7" type="noConversion"/>
  </si>
  <si>
    <t>考虑税负因素(%)</t>
    <phoneticPr fontId="7" type="noConversion"/>
  </si>
  <si>
    <t>考虑利息负担(%)</t>
    <phoneticPr fontId="7" type="noConversion"/>
  </si>
  <si>
    <t>销售净利率(%)</t>
    <phoneticPr fontId="7" type="noConversion"/>
  </si>
  <si>
    <t>销售净利率(%)</t>
    <phoneticPr fontId="7" type="noConversion"/>
  </si>
  <si>
    <t>归母股东净利润占比(%)</t>
    <phoneticPr fontId="7" type="noConversion"/>
  </si>
  <si>
    <t>ROE(%)</t>
    <phoneticPr fontId="7" type="noConversion"/>
  </si>
  <si>
    <t>总资产周转率(次)</t>
    <phoneticPr fontId="7" type="noConversion"/>
  </si>
  <si>
    <t>权益乘数*</t>
    <phoneticPr fontId="7" type="noConversion"/>
  </si>
  <si>
    <t xml:space="preserve">  一级分析图</t>
    <phoneticPr fontId="7" type="noConversion"/>
  </si>
  <si>
    <t>销售净利率(%)</t>
    <phoneticPr fontId="7" type="noConversion"/>
  </si>
  <si>
    <t>经营利润率(%)</t>
    <phoneticPr fontId="7" type="noConversion"/>
  </si>
  <si>
    <t>考虑利息负担(%)</t>
    <phoneticPr fontId="7" type="noConversion"/>
  </si>
  <si>
    <t>×</t>
    <phoneticPr fontId="7" type="noConversion"/>
  </si>
  <si>
    <t>考虑税负因素(%)</t>
    <phoneticPr fontId="7" type="noConversion"/>
  </si>
  <si>
    <t>归属母公司股东净利润占比(%)</t>
    <phoneticPr fontId="7" type="noConversion"/>
  </si>
  <si>
    <t>归属母公司股东净利润</t>
    <phoneticPr fontId="7" type="noConversion"/>
  </si>
  <si>
    <t>净利润</t>
    <phoneticPr fontId="7" type="noConversion"/>
  </si>
  <si>
    <t>平均总资产</t>
    <phoneticPr fontId="7" type="noConversion"/>
  </si>
  <si>
    <t>期初总资产</t>
    <phoneticPr fontId="7" type="noConversion"/>
  </si>
  <si>
    <t>期末总资产</t>
    <phoneticPr fontId="7" type="noConversion"/>
  </si>
  <si>
    <t>平均归母股东权益</t>
    <phoneticPr fontId="7" type="noConversion"/>
  </si>
  <si>
    <t>上期截止日期</t>
    <phoneticPr fontId="7" type="noConversion"/>
  </si>
  <si>
    <t>季度</t>
    <phoneticPr fontId="7" type="noConversion"/>
  </si>
  <si>
    <t>季度</t>
    <phoneticPr fontId="7" type="noConversion"/>
  </si>
  <si>
    <t>股票代码</t>
    <phoneticPr fontId="7" type="noConversion"/>
  </si>
  <si>
    <t>杜邦分析</t>
    <phoneticPr fontId="7" type="noConversion"/>
  </si>
  <si>
    <t>600519.SH</t>
    <phoneticPr fontId="20" type="noConversion"/>
  </si>
  <si>
    <t>杜邦分析</t>
    <phoneticPr fontId="7" type="noConversion"/>
  </si>
  <si>
    <t>日期</t>
    <phoneticPr fontId="7" type="noConversion"/>
  </si>
  <si>
    <t>证券简称</t>
    <phoneticPr fontId="7" type="noConversion"/>
  </si>
  <si>
    <t>0700.HK</t>
    <phoneticPr fontId="20" type="noConversion"/>
  </si>
  <si>
    <t>证券简称</t>
    <phoneticPr fontId="7" type="noConversion"/>
  </si>
  <si>
    <t>杜邦分析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</si>
</sst>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76" formatCode="yyyy\-mm\-dd"/>
    <numFmt numFmtId="177" formatCode="0.0000"/>
    <numFmt numFmtId="178" formatCode="###,###,##0"/>
    <numFmt numFmtId="179" formatCode="_ * #,##0_ ;_ * \-#,##0_ ;_ * &quot;-&quot;??_ ;_ @_ "/>
    <numFmt numFmtId="180" formatCode="###,###,##0.0000"/>
  </numFmts>
  <fonts count="24"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4"/>
      <color theme="1"/>
      <name val="Arial"/>
      <family val="2"/>
    </font>
    <font>
      <sz val="10"/>
      <color rgb="FF0066CC"/>
      <name val="Arial"/>
      <family val="2"/>
    </font>
    <font>
      <i/>
      <sz val="10"/>
      <color indexed="8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theme="0"/>
      <name val="微软雅黑"/>
      <family val="2"/>
      <charset val="134"/>
    </font>
    <font>
      <sz val="10"/>
      <name val="Arial"/>
      <family val="3"/>
      <charset val="134"/>
    </font>
    <font>
      <b/>
      <sz val="10"/>
      <color theme="1" tint="0.249977111117893"/>
      <name val="宋体"/>
      <family val="3"/>
      <charset val="134"/>
    </font>
    <font>
      <sz val="12"/>
      <name val="微软雅黑"/>
      <family val="2"/>
      <charset val="134"/>
    </font>
    <font>
      <b/>
      <sz val="10"/>
      <color rgb="FF212121"/>
      <name val="Arial Unicode MS"/>
      <family val="2"/>
      <charset val="134"/>
    </font>
    <font>
      <sz val="10"/>
      <name val="Arial"/>
      <family val="2"/>
    </font>
    <font>
      <b/>
      <sz val="10"/>
      <name val="Arial Unicode MS"/>
      <family val="2"/>
      <charset val="134"/>
    </font>
    <font>
      <b/>
      <sz val="10"/>
      <color rgb="FF21212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212121"/>
      <name val="Arial"/>
      <family val="2"/>
    </font>
    <font>
      <b/>
      <sz val="10"/>
      <color theme="1"/>
      <name val="微软雅黑"/>
      <family val="2"/>
      <charset val="134"/>
    </font>
    <font>
      <sz val="9"/>
      <name val="黑体"/>
      <family val="3"/>
      <charset val="134"/>
      <scheme val="minor"/>
    </font>
    <font>
      <sz val="10"/>
      <color rgb="FF333333"/>
      <name val="Arial"/>
      <family val="2"/>
    </font>
    <font>
      <sz val="11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32323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rgb="FFE1E1E1"/>
        </stop>
      </gradientFill>
    </fill>
    <fill>
      <patternFill patternType="solid">
        <fgColor rgb="FFEFF6FB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C658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 style="dotted">
        <color theme="0" tint="-0.249977111117893"/>
      </right>
      <top/>
      <bottom/>
      <diagonal/>
    </border>
  </borders>
  <cellStyleXfs count="10">
    <xf numFmtId="0" fontId="0" fillId="0" borderId="0"/>
    <xf numFmtId="0" fontId="2" fillId="5" borderId="0" applyNumberFormat="0" applyFont="0" applyBorder="0" applyAlignment="0" applyProtection="0"/>
    <xf numFmtId="0" fontId="1" fillId="3" borderId="3" applyNumberFormat="0" applyFill="0" applyBorder="0" applyProtection="0">
      <alignment horizontal="left"/>
    </xf>
    <xf numFmtId="0" fontId="5" fillId="3" borderId="0" applyNumberFormat="0" applyFill="0" applyBorder="0" applyProtection="0">
      <alignment horizontal="left"/>
    </xf>
    <xf numFmtId="4" fontId="6" fillId="3" borderId="0" applyNumberFormat="0" applyFill="0" applyBorder="0" applyProtection="0">
      <alignment horizontal="left"/>
    </xf>
    <xf numFmtId="0" fontId="4" fillId="4" borderId="2" applyAlignment="0">
      <alignment horizontal="right" vertical="center"/>
    </xf>
    <xf numFmtId="0" fontId="3" fillId="2" borderId="1">
      <alignment horizontal="right" vertical="center" indent="1"/>
    </xf>
    <xf numFmtId="0" fontId="5" fillId="3" borderId="0" applyNumberFormat="0" applyFill="0" applyBorder="0" applyAlignment="0" applyProtection="0">
      <alignment horizontal="right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</cellStyleXfs>
  <cellXfs count="95">
    <xf numFmtId="0" fontId="0" fillId="0" borderId="0" xfId="0"/>
    <xf numFmtId="0" fontId="0" fillId="0" borderId="0" xfId="0"/>
    <xf numFmtId="0" fontId="0" fillId="0" borderId="0" xfId="0" applyFill="1"/>
    <xf numFmtId="0" fontId="0" fillId="6" borderId="0" xfId="0" applyFill="1"/>
    <xf numFmtId="0" fontId="9" fillId="6" borderId="0" xfId="0" applyFont="1" applyFill="1" applyAlignment="1">
      <alignment vertical="center"/>
    </xf>
    <xf numFmtId="0" fontId="0" fillId="3" borderId="0" xfId="0" applyFill="1"/>
    <xf numFmtId="0" fontId="8" fillId="3" borderId="0" xfId="0" applyFont="1" applyFill="1"/>
    <xf numFmtId="0" fontId="0" fillId="7" borderId="0" xfId="0" applyFill="1"/>
    <xf numFmtId="0" fontId="0" fillId="3" borderId="4" xfId="0" applyFill="1" applyBorder="1"/>
    <xf numFmtId="0" fontId="10" fillId="3" borderId="0" xfId="0" applyFont="1" applyFill="1"/>
    <xf numFmtId="0" fontId="11" fillId="3" borderId="0" xfId="0" applyFont="1" applyFill="1"/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12" fillId="3" borderId="4" xfId="0" applyFont="1" applyFill="1" applyBorder="1" applyAlignment="1">
      <alignment vertical="top"/>
    </xf>
    <xf numFmtId="0" fontId="13" fillId="8" borderId="0" xfId="0" applyFont="1" applyFill="1"/>
    <xf numFmtId="0" fontId="13" fillId="8" borderId="0" xfId="0" applyFont="1" applyFill="1" applyAlignment="1">
      <alignment horizontal="center"/>
    </xf>
    <xf numFmtId="0" fontId="0" fillId="3" borderId="0" xfId="0" applyFill="1" applyBorder="1"/>
    <xf numFmtId="0" fontId="13" fillId="8" borderId="5" xfId="0" applyFont="1" applyFill="1" applyBorder="1" applyAlignment="1">
      <alignment horizontal="center"/>
    </xf>
    <xf numFmtId="0" fontId="0" fillId="3" borderId="0" xfId="0" applyFont="1" applyFill="1"/>
    <xf numFmtId="0" fontId="15" fillId="8" borderId="5" xfId="0" applyFont="1" applyFill="1" applyBorder="1" applyAlignment="1">
      <alignment horizontal="center"/>
    </xf>
    <xf numFmtId="0" fontId="15" fillId="8" borderId="0" xfId="0" applyFont="1" applyFill="1"/>
    <xf numFmtId="0" fontId="15" fillId="8" borderId="0" xfId="0" applyFont="1" applyFill="1" applyAlignment="1">
      <alignment horizontal="center"/>
    </xf>
    <xf numFmtId="0" fontId="16" fillId="8" borderId="0" xfId="0" applyFont="1" applyFill="1"/>
    <xf numFmtId="0" fontId="16" fillId="8" borderId="0" xfId="0" applyFont="1" applyFill="1" applyAlignment="1">
      <alignment horizontal="center"/>
    </xf>
    <xf numFmtId="0" fontId="16" fillId="8" borderId="5" xfId="0" applyFont="1" applyFill="1" applyBorder="1" applyAlignment="1">
      <alignment horizontal="center"/>
    </xf>
    <xf numFmtId="0" fontId="17" fillId="7" borderId="0" xfId="0" applyFont="1" applyFill="1"/>
    <xf numFmtId="0" fontId="17" fillId="3" borderId="0" xfId="0" applyFont="1" applyFill="1"/>
    <xf numFmtId="0" fontId="16" fillId="8" borderId="0" xfId="0" applyFont="1" applyFill="1" applyBorder="1" applyAlignment="1">
      <alignment horizontal="center"/>
    </xf>
    <xf numFmtId="0" fontId="17" fillId="0" borderId="0" xfId="0" applyFont="1"/>
    <xf numFmtId="14" fontId="18" fillId="3" borderId="0" xfId="0" applyNumberFormat="1" applyFont="1" applyFill="1" applyAlignment="1">
      <alignment horizontal="left"/>
    </xf>
    <xf numFmtId="10" fontId="18" fillId="3" borderId="0" xfId="9" applyNumberFormat="1" applyFont="1" applyFill="1" applyAlignment="1">
      <alignment horizontal="center"/>
    </xf>
    <xf numFmtId="0" fontId="18" fillId="3" borderId="0" xfId="0" applyFont="1" applyFill="1"/>
    <xf numFmtId="2" fontId="18" fillId="3" borderId="0" xfId="0" applyNumberFormat="1" applyFont="1" applyFill="1" applyAlignment="1">
      <alignment horizontal="center"/>
    </xf>
    <xf numFmtId="176" fontId="18" fillId="9" borderId="0" xfId="0" applyNumberFormat="1" applyFont="1" applyFill="1" applyAlignment="1">
      <alignment horizontal="left"/>
    </xf>
    <xf numFmtId="10" fontId="18" fillId="9" borderId="0" xfId="9" applyNumberFormat="1" applyFont="1" applyFill="1" applyAlignment="1">
      <alignment horizontal="center"/>
    </xf>
    <xf numFmtId="0" fontId="18" fillId="9" borderId="0" xfId="0" applyFont="1" applyFill="1"/>
    <xf numFmtId="2" fontId="18" fillId="9" borderId="0" xfId="0" applyNumberFormat="1" applyFont="1" applyFill="1" applyAlignment="1">
      <alignment horizontal="center"/>
    </xf>
    <xf numFmtId="176" fontId="18" fillId="3" borderId="0" xfId="0" applyNumberFormat="1" applyFont="1" applyFill="1" applyAlignment="1">
      <alignment horizontal="left"/>
    </xf>
    <xf numFmtId="10" fontId="0" fillId="3" borderId="0" xfId="9" applyNumberFormat="1" applyFont="1" applyFill="1" applyAlignment="1">
      <alignment horizontal="center"/>
    </xf>
    <xf numFmtId="2" fontId="0" fillId="3" borderId="0" xfId="0" applyNumberFormat="1" applyFont="1" applyFill="1" applyAlignment="1">
      <alignment horizontal="center"/>
    </xf>
    <xf numFmtId="14" fontId="0" fillId="0" borderId="0" xfId="0" applyNumberFormat="1" applyFont="1" applyBorder="1" applyAlignment="1">
      <alignment horizontal="left" vertical="center"/>
    </xf>
    <xf numFmtId="10" fontId="18" fillId="3" borderId="5" xfId="9" applyNumberFormat="1" applyFont="1" applyFill="1" applyBorder="1" applyAlignment="1">
      <alignment horizontal="center"/>
    </xf>
    <xf numFmtId="2" fontId="18" fillId="3" borderId="0" xfId="8" applyNumberFormat="1" applyFont="1" applyFill="1" applyAlignment="1">
      <alignment horizontal="center"/>
    </xf>
    <xf numFmtId="43" fontId="18" fillId="3" borderId="0" xfId="8" applyFont="1" applyFill="1" applyAlignment="1"/>
    <xf numFmtId="43" fontId="18" fillId="3" borderId="5" xfId="8" applyFont="1" applyFill="1" applyBorder="1" applyAlignment="1"/>
    <xf numFmtId="43" fontId="18" fillId="3" borderId="0" xfId="8" applyFont="1" applyFill="1" applyAlignment="1">
      <alignment horizontal="center"/>
    </xf>
    <xf numFmtId="10" fontId="18" fillId="9" borderId="5" xfId="9" applyNumberFormat="1" applyFont="1" applyFill="1" applyBorder="1" applyAlignment="1">
      <alignment horizontal="center"/>
    </xf>
    <xf numFmtId="2" fontId="18" fillId="9" borderId="0" xfId="8" applyNumberFormat="1" applyFont="1" applyFill="1" applyAlignment="1">
      <alignment horizontal="center"/>
    </xf>
    <xf numFmtId="43" fontId="18" fillId="9" borderId="0" xfId="8" applyFont="1" applyFill="1" applyAlignment="1"/>
    <xf numFmtId="43" fontId="18" fillId="9" borderId="5" xfId="8" applyFont="1" applyFill="1" applyBorder="1" applyAlignment="1"/>
    <xf numFmtId="43" fontId="18" fillId="9" borderId="0" xfId="8" applyFont="1" applyFill="1" applyAlignment="1">
      <alignment horizontal="center"/>
    </xf>
    <xf numFmtId="10" fontId="0" fillId="3" borderId="5" xfId="9" applyNumberFormat="1" applyFont="1" applyFill="1" applyBorder="1" applyAlignment="1">
      <alignment horizontal="center"/>
    </xf>
    <xf numFmtId="2" fontId="0" fillId="3" borderId="0" xfId="8" applyNumberFormat="1" applyFont="1" applyFill="1" applyAlignment="1">
      <alignment horizontal="center"/>
    </xf>
    <xf numFmtId="43" fontId="0" fillId="3" borderId="0" xfId="8" applyFont="1" applyFill="1" applyAlignment="1"/>
    <xf numFmtId="43" fontId="0" fillId="3" borderId="5" xfId="8" applyFont="1" applyFill="1" applyBorder="1" applyAlignment="1"/>
    <xf numFmtId="43" fontId="0" fillId="3" borderId="0" xfId="8" applyFont="1" applyFill="1" applyAlignment="1">
      <alignment horizontal="center"/>
    </xf>
    <xf numFmtId="10" fontId="18" fillId="3" borderId="5" xfId="0" applyNumberFormat="1" applyFont="1" applyFill="1" applyBorder="1" applyAlignment="1">
      <alignment horizontal="center"/>
    </xf>
    <xf numFmtId="0" fontId="18" fillId="3" borderId="0" xfId="0" applyFont="1" applyFill="1" applyBorder="1"/>
    <xf numFmtId="43" fontId="18" fillId="3" borderId="5" xfId="8" applyNumberFormat="1" applyFont="1" applyFill="1" applyBorder="1" applyAlignment="1"/>
    <xf numFmtId="43" fontId="18" fillId="3" borderId="0" xfId="8" applyFont="1" applyFill="1" applyBorder="1" applyAlignment="1"/>
    <xf numFmtId="0" fontId="18" fillId="9" borderId="0" xfId="0" applyFont="1" applyFill="1" applyBorder="1"/>
    <xf numFmtId="43" fontId="18" fillId="9" borderId="5" xfId="8" applyNumberFormat="1" applyFont="1" applyFill="1" applyBorder="1" applyAlignment="1"/>
    <xf numFmtId="43" fontId="18" fillId="9" borderId="0" xfId="8" applyFont="1" applyFill="1" applyBorder="1" applyAlignment="1"/>
    <xf numFmtId="0" fontId="0" fillId="3" borderId="0" xfId="0" applyFont="1" applyFill="1" applyBorder="1"/>
    <xf numFmtId="43" fontId="0" fillId="3" borderId="5" xfId="8" applyNumberFormat="1" applyFont="1" applyFill="1" applyBorder="1" applyAlignment="1"/>
    <xf numFmtId="43" fontId="0" fillId="3" borderId="0" xfId="8" applyFont="1" applyFill="1" applyBorder="1" applyAlignment="1"/>
    <xf numFmtId="43" fontId="18" fillId="3" borderId="0" xfId="8" applyNumberFormat="1" applyFont="1" applyFill="1" applyAlignment="1"/>
    <xf numFmtId="43" fontId="18" fillId="9" borderId="0" xfId="8" applyNumberFormat="1" applyFont="1" applyFill="1" applyAlignment="1"/>
    <xf numFmtId="43" fontId="0" fillId="3" borderId="0" xfId="8" applyNumberFormat="1" applyFont="1" applyFill="1" applyAlignment="1"/>
    <xf numFmtId="179" fontId="18" fillId="3" borderId="0" xfId="8" applyNumberFormat="1" applyFont="1" applyFill="1" applyAlignment="1">
      <alignment horizontal="center"/>
    </xf>
    <xf numFmtId="179" fontId="18" fillId="9" borderId="0" xfId="8" applyNumberFormat="1" applyFont="1" applyFill="1" applyAlignment="1">
      <alignment horizontal="center"/>
    </xf>
    <xf numFmtId="179" fontId="0" fillId="3" borderId="0" xfId="8" applyNumberFormat="1" applyFont="1" applyFill="1" applyAlignment="1">
      <alignment horizontal="center"/>
    </xf>
    <xf numFmtId="180" fontId="18" fillId="3" borderId="0" xfId="8" applyNumberFormat="1" applyFont="1" applyFill="1" applyAlignment="1"/>
    <xf numFmtId="179" fontId="18" fillId="3" borderId="5" xfId="8" applyNumberFormat="1" applyFont="1" applyFill="1" applyBorder="1" applyAlignment="1"/>
    <xf numFmtId="179" fontId="18" fillId="3" borderId="0" xfId="8" applyNumberFormat="1" applyFont="1" applyFill="1" applyBorder="1" applyAlignment="1"/>
    <xf numFmtId="179" fontId="18" fillId="3" borderId="0" xfId="8" applyNumberFormat="1" applyFont="1" applyFill="1" applyAlignment="1"/>
    <xf numFmtId="179" fontId="18" fillId="9" borderId="5" xfId="8" applyNumberFormat="1" applyFont="1" applyFill="1" applyBorder="1" applyAlignment="1"/>
    <xf numFmtId="179" fontId="18" fillId="9" borderId="0" xfId="8" applyNumberFormat="1" applyFont="1" applyFill="1" applyBorder="1" applyAlignment="1"/>
    <xf numFmtId="179" fontId="18" fillId="9" borderId="0" xfId="8" applyNumberFormat="1" applyFont="1" applyFill="1" applyAlignment="1"/>
    <xf numFmtId="179" fontId="0" fillId="3" borderId="5" xfId="8" applyNumberFormat="1" applyFont="1" applyFill="1" applyBorder="1" applyAlignment="1"/>
    <xf numFmtId="179" fontId="0" fillId="3" borderId="0" xfId="8" applyNumberFormat="1" applyFont="1" applyFill="1" applyBorder="1" applyAlignment="1"/>
    <xf numFmtId="179" fontId="0" fillId="3" borderId="0" xfId="8" applyNumberFormat="1" applyFont="1" applyFill="1" applyAlignment="1"/>
    <xf numFmtId="178" fontId="18" fillId="3" borderId="0" xfId="8" applyNumberFormat="1" applyFont="1" applyFill="1" applyAlignment="1">
      <alignment horizontal="center"/>
    </xf>
    <xf numFmtId="178" fontId="18" fillId="3" borderId="0" xfId="8" applyNumberFormat="1" applyFont="1" applyFill="1" applyAlignment="1"/>
    <xf numFmtId="178" fontId="18" fillId="9" borderId="0" xfId="8" applyNumberFormat="1" applyFont="1" applyFill="1" applyAlignment="1">
      <alignment horizontal="center"/>
    </xf>
    <xf numFmtId="178" fontId="18" fillId="9" borderId="0" xfId="8" applyNumberFormat="1" applyFont="1" applyFill="1" applyAlignment="1"/>
    <xf numFmtId="178" fontId="0" fillId="3" borderId="0" xfId="8" applyNumberFormat="1" applyFont="1" applyFill="1" applyAlignment="1">
      <alignment horizontal="center"/>
    </xf>
    <xf numFmtId="178" fontId="0" fillId="3" borderId="0" xfId="8" applyNumberFormat="1" applyFont="1" applyFill="1" applyAlignment="1"/>
    <xf numFmtId="0" fontId="16" fillId="10" borderId="0" xfId="0" applyFont="1" applyFill="1" applyBorder="1"/>
    <xf numFmtId="0" fontId="8" fillId="0" borderId="0" xfId="0" applyFont="1"/>
    <xf numFmtId="49" fontId="2" fillId="11" borderId="0" xfId="0" applyNumberFormat="1" applyFont="1" applyFill="1" applyAlignment="1">
      <alignment horizontal="right" vertical="center"/>
    </xf>
    <xf numFmtId="14" fontId="21" fillId="3" borderId="0" xfId="0" applyNumberFormat="1" applyFont="1" applyFill="1" applyAlignment="1">
      <alignment horizontal="right"/>
    </xf>
    <xf numFmtId="0" fontId="22" fillId="9" borderId="0" xfId="0" applyFont="1" applyFill="1" applyAlignment="1">
      <alignment horizontal="right" vertical="center"/>
    </xf>
    <xf numFmtId="0" fontId="19" fillId="9" borderId="0" xfId="0" applyFont="1" applyFill="1" applyAlignment="1"/>
    <xf numFmtId="0" fontId="23" fillId="6" borderId="0" xfId="0" applyFont="1" applyFill="1" applyAlignment="1">
      <alignment horizontal="center" vertical="center"/>
    </xf>
  </cellXfs>
  <cellStyles count="10">
    <cellStyle name="Background" xfId="1"/>
    <cellStyle name="CompanyName" xfId="5"/>
    <cellStyle name="DataOutput" xfId="7"/>
    <cellStyle name="FactSet header" xfId="6"/>
    <cellStyle name="KeyDataCalculated" xfId="4"/>
    <cellStyle name="KeyDataOutput" xfId="3"/>
    <cellStyle name="KeyName" xfId="2"/>
    <cellStyle name="百分比" xfId="9" builtinId="5"/>
    <cellStyle name="常规" xfId="0" builtinId="0" customBuiltin="1"/>
    <cellStyle name="千位分隔" xfId="8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339900"/>
      <rgbColor rgb="00000080"/>
      <rgbColor rgb="00996633"/>
      <rgbColor rgb="00800080"/>
      <rgbColor rgb="00009999"/>
      <rgbColor rgb="00C0C0C0"/>
      <rgbColor rgb="00646464"/>
      <rgbColor rgb="00005A9C"/>
      <rgbColor rgb="009A3366"/>
      <rgbColor rgb="008B2A2E"/>
      <rgbColor rgb="00C4A00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AEEF"/>
      <rgbColor rgb="00CCFFFF"/>
      <rgbColor rgb="00CCFFCC"/>
      <rgbColor rgb="00FFFF99"/>
      <rgbColor rgb="0099CCFF"/>
      <rgbColor rgb="00FF99CC"/>
      <rgbColor rgb="00CC99FF"/>
      <rgbColor rgb="00FFCC99"/>
      <rgbColor rgb="000066CC"/>
      <rgbColor rgb="0033CCCC"/>
      <rgbColor rgb="0099CC33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66CC"/>
      <rgbColor rgb="00333333"/>
    </indexedColors>
    <mruColors>
      <color rgb="FF63636D"/>
      <color rgb="FFDF5D5D"/>
      <color rgb="FF5FBEC0"/>
      <color rgb="FFF68616"/>
      <color rgb="FF2276A1"/>
      <color rgb="FFE8D078"/>
      <color rgb="FF2277A2"/>
      <color rgb="FF4B588D"/>
      <color rgb="FFE4C658"/>
      <color rgb="FF0093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v>总资产周转率(次)(右轴)</c:v>
          </c:tx>
          <c:spPr>
            <a:solidFill>
              <a:srgbClr val="2276A1"/>
            </a:solidFill>
            <a:ln>
              <a:noFill/>
            </a:ln>
            <a:effectLst/>
          </c:spPr>
          <c:invertIfNegative val="0"/>
          <c:cat>
            <c:strRef>
              <c:f>'杜邦分析-A股'!$C$12:$C$31</c:f>
              <c:strCache>
                <c:ptCount val="20"/>
                <c:pt idx="0">
                  <c:v>2023-12-31</c:v>
                </c:pt>
                <c:pt idx="1">
                  <c:v>2023-09-30</c:v>
                </c:pt>
                <c:pt idx="2">
                  <c:v>2023-06-30</c:v>
                </c:pt>
                <c:pt idx="3">
                  <c:v>2023-03-31</c:v>
                </c:pt>
                <c:pt idx="4">
                  <c:v>2022-12-31</c:v>
                </c:pt>
                <c:pt idx="5">
                  <c:v>2022-09-30</c:v>
                </c:pt>
                <c:pt idx="6">
                  <c:v>2022-06-30</c:v>
                </c:pt>
                <c:pt idx="7">
                  <c:v>2022-03-31</c:v>
                </c:pt>
                <c:pt idx="8">
                  <c:v>2021-12-31</c:v>
                </c:pt>
                <c:pt idx="9">
                  <c:v>2021-09-30</c:v>
                </c:pt>
                <c:pt idx="10">
                  <c:v>2021-06-30</c:v>
                </c:pt>
                <c:pt idx="11">
                  <c:v>2021-03-31</c:v>
                </c:pt>
                <c:pt idx="12">
                  <c:v>2020-12-31</c:v>
                </c:pt>
                <c:pt idx="13">
                  <c:v>2020-09-30</c:v>
                </c:pt>
                <c:pt idx="14">
                  <c:v>2020-06-30</c:v>
                </c:pt>
                <c:pt idx="15">
                  <c:v>2020-03-31</c:v>
                </c:pt>
                <c:pt idx="16">
                  <c:v>2019-12-31</c:v>
                </c:pt>
                <c:pt idx="17">
                  <c:v>2019-09-30</c:v>
                </c:pt>
                <c:pt idx="18">
                  <c:v>2019-06-30</c:v>
                </c:pt>
                <c:pt idx="19">
                  <c:v>2019-03-31</c:v>
                </c:pt>
              </c:strCache>
            </c:strRef>
          </c:cat>
          <c:val>
            <c:numRef>
              <c:f>'杜邦分析-A股'!$H$12:$H$31</c:f>
              <c:numCache>
                <c:formatCode>0.00</c:formatCode>
                <c:ptCount val="20"/>
                <c:pt idx="0">
                  <c:v>0.5713165667180955</c:v>
                </c:pt>
                <c:pt idx="1">
                  <c:v>0.4078524113795946</c:v>
                </c:pt>
                <c:pt idx="2">
                  <c:v>0.28625658546348243</c:v>
                </c:pt>
                <c:pt idx="3">
                  <c:v>0.15359872322554285</c:v>
                </c:pt>
                <c:pt idx="4">
                  <c:v>0.50067006186892904</c:v>
                </c:pt>
                <c:pt idx="5">
                  <c:v>0.35705466647963457</c:v>
                </c:pt>
                <c:pt idx="6">
                  <c:v>0.2401674021903982</c:v>
                </c:pt>
                <c:pt idx="7">
                  <c:v>0.13105279505614559</c:v>
                </c:pt>
                <c:pt idx="8">
                  <c:v>0.467232980917138</c:v>
                </c:pt>
                <c:pt idx="9">
                  <c:v>0.35176213371051968</c:v>
                </c:pt>
                <c:pt idx="10">
                  <c:v>0.23798182156912931</c:v>
                </c:pt>
                <c:pt idx="11">
                  <c:v>0.1309557595419294</c:v>
                </c:pt>
                <c:pt idx="12">
                  <c:v>0.49436832681431747</c:v>
                </c:pt>
                <c:pt idx="13">
                  <c:v>0.37851357366126176</c:v>
                </c:pt>
                <c:pt idx="14">
                  <c:v>0.25692117733973946</c:v>
                </c:pt>
                <c:pt idx="15">
                  <c:v>0.13874841802243068</c:v>
                </c:pt>
                <c:pt idx="16">
                  <c:v>0.51826874216927477</c:v>
                </c:pt>
                <c:pt idx="17">
                  <c:v>0.39397790002556182</c:v>
                </c:pt>
                <c:pt idx="18">
                  <c:v>0.25339504379638206</c:v>
                </c:pt>
                <c:pt idx="19">
                  <c:v>0.14061979900841584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7-468B-A02A-24D4CEA448B2}"/>
            </c:ext>
          </c:extLst>
        </c:ser>
        <c:ser>
          <c:idx val="3"/>
          <c:order val="3"/>
          <c:tx>
            <c:v>权益乘数*(右轴)</c:v>
          </c:tx>
          <c:spPr>
            <a:solidFill>
              <a:srgbClr val="F68616"/>
            </a:solidFill>
            <a:ln>
              <a:noFill/>
            </a:ln>
            <a:effectLst/>
          </c:spPr>
          <c:invertIfNegative val="0"/>
          <c:val>
            <c:numRef>
              <c:f>'杜邦分析-A股'!$J$12:$J$31</c:f>
              <c:numCache>
                <c:formatCode>0.00</c:formatCode>
                <c:ptCount val="20"/>
                <c:pt idx="0">
                  <c:v>1.2756438647692177</c:v>
                </c:pt>
                <c:pt idx="1">
                  <c:v>1.2434919522460508</c:v>
                </c:pt>
                <c:pt idx="2">
                  <c:v>1.2448310839259189</c:v>
                </c:pt>
                <c:pt idx="3">
                  <c:v>1.2332307297886522</c:v>
                </c:pt>
                <c:pt idx="4">
                  <c:v>1.3164661201138348</c:v>
                </c:pt>
                <c:pt idx="5">
                  <c:v>1.2692176024217363</c:v>
                </c:pt>
                <c:pt idx="6">
                  <c:v>1.2970711228497955</c:v>
                </c:pt>
                <c:pt idx="7">
                  <c:v>1.2779245834775339</c:v>
                </c:pt>
                <c:pt idx="8">
                  <c:v>1.3354648464433161</c:v>
                </c:pt>
                <c:pt idx="9">
                  <c:v>1.3051407088041658</c:v>
                </c:pt>
                <c:pt idx="10">
                  <c:v>1.3194566973382027</c:v>
                </c:pt>
                <c:pt idx="11">
                  <c:v>1.2733744305705637</c:v>
                </c:pt>
                <c:pt idx="12">
                  <c:v>1.3333133869704832</c:v>
                </c:pt>
                <c:pt idx="13">
                  <c:v>1.2923370568165151</c:v>
                </c:pt>
                <c:pt idx="14">
                  <c:v>1.3001182062552334</c:v>
                </c:pt>
                <c:pt idx="15">
                  <c:v>1.2790202402959183</c:v>
                </c:pt>
                <c:pt idx="16">
                  <c:v>1.3779005139361955</c:v>
                </c:pt>
                <c:pt idx="17">
                  <c:v>1.3540589781613703</c:v>
                </c:pt>
                <c:pt idx="18">
                  <c:v>1.4278456270763709</c:v>
                </c:pt>
                <c:pt idx="19">
                  <c:v>1.3496821162424399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B7-468B-A02A-24D4CEA44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3159744"/>
        <c:axId val="993159328"/>
      </c:barChart>
      <c:lineChart>
        <c:grouping val="standard"/>
        <c:varyColors val="0"/>
        <c:ser>
          <c:idx val="1"/>
          <c:order val="0"/>
          <c:tx>
            <c:strRef>
              <c:f>'杜邦分析-A股'!$F$11</c:f>
              <c:strCache>
                <c:ptCount val="1"/>
                <c:pt idx="0">
                  <c:v>销售净利率(%)</c:v>
                </c:pt>
              </c:strCache>
            </c:strRef>
          </c:tx>
          <c:spPr>
            <a:ln w="28575" cap="rnd">
              <a:solidFill>
                <a:srgbClr val="5FBEC0"/>
              </a:solidFill>
              <a:round/>
            </a:ln>
            <a:effectLst/>
          </c:spPr>
          <c:marker>
            <c:symbol val="none"/>
          </c:marker>
          <c:cat>
            <c:strRef>
              <c:f>'杜邦分析-A股'!$C$12:$C$31</c:f>
              <c:strCache>
                <c:ptCount val="20"/>
                <c:pt idx="0">
                  <c:v>2023-12-31</c:v>
                </c:pt>
                <c:pt idx="1">
                  <c:v>2023-09-30</c:v>
                </c:pt>
                <c:pt idx="2">
                  <c:v>2023-06-30</c:v>
                </c:pt>
                <c:pt idx="3">
                  <c:v>2023-03-31</c:v>
                </c:pt>
                <c:pt idx="4">
                  <c:v>2022-12-31</c:v>
                </c:pt>
                <c:pt idx="5">
                  <c:v>2022-09-30</c:v>
                </c:pt>
                <c:pt idx="6">
                  <c:v>2022-06-30</c:v>
                </c:pt>
                <c:pt idx="7">
                  <c:v>2022-03-31</c:v>
                </c:pt>
                <c:pt idx="8">
                  <c:v>2021-12-31</c:v>
                </c:pt>
                <c:pt idx="9">
                  <c:v>2021-09-30</c:v>
                </c:pt>
                <c:pt idx="10">
                  <c:v>2021-06-30</c:v>
                </c:pt>
                <c:pt idx="11">
                  <c:v>2021-03-31</c:v>
                </c:pt>
                <c:pt idx="12">
                  <c:v>2020-12-31</c:v>
                </c:pt>
                <c:pt idx="13">
                  <c:v>2020-09-30</c:v>
                </c:pt>
                <c:pt idx="14">
                  <c:v>2020-06-30</c:v>
                </c:pt>
                <c:pt idx="15">
                  <c:v>2020-03-31</c:v>
                </c:pt>
                <c:pt idx="16">
                  <c:v>2019-12-31</c:v>
                </c:pt>
                <c:pt idx="17">
                  <c:v>2019-09-30</c:v>
                </c:pt>
                <c:pt idx="18">
                  <c:v>2019-06-30</c:v>
                </c:pt>
                <c:pt idx="19">
                  <c:v>2019-03-31</c:v>
                </c:pt>
              </c:strCache>
            </c:strRef>
          </c:cat>
          <c:val>
            <c:numRef>
              <c:f>'杜邦分析-A股'!$F$12:$F$31</c:f>
              <c:numCache>
                <c:formatCode>0.00%</c:formatCode>
                <c:ptCount val="20"/>
                <c:pt idx="0">
                  <c:v>0.49637292501731894</c:v>
                </c:pt>
                <c:pt idx="1">
                  <c:v>0.50207249654744746</c:v>
                </c:pt>
                <c:pt idx="2">
                  <c:v>0.50685774338584211</c:v>
                </c:pt>
                <c:pt idx="3">
                  <c:v>0.52806631402635706</c:v>
                </c:pt>
                <c:pt idx="4">
                  <c:v>0.49168558980787636</c:v>
                </c:pt>
                <c:pt idx="5">
                  <c:v>0.49450777144589453</c:v>
                </c:pt>
                <c:pt idx="6">
                  <c:v>0.50121373741018305</c:v>
                </c:pt>
                <c:pt idx="7">
                  <c:v>0.51962772558237946</c:v>
                </c:pt>
                <c:pt idx="8">
                  <c:v>0.47924441714144284</c:v>
                </c:pt>
                <c:pt idx="9">
                  <c:v>0.48364241771064642</c:v>
                </c:pt>
                <c:pt idx="10">
                  <c:v>0.48606498711724594</c:v>
                </c:pt>
                <c:pt idx="11">
                  <c:v>0.49722406863119661</c:v>
                </c:pt>
                <c:pt idx="12">
                  <c:v>0.47653578135558616</c:v>
                </c:pt>
                <c:pt idx="13">
                  <c:v>0.48619710860616994</c:v>
                </c:pt>
                <c:pt idx="14">
                  <c:v>0.49527701278103653</c:v>
                </c:pt>
                <c:pt idx="15">
                  <c:v>0.51757117371795125</c:v>
                </c:pt>
                <c:pt idx="16">
                  <c:v>0.46375306123510951</c:v>
                </c:pt>
                <c:pt idx="17">
                  <c:v>0.47953860031733864</c:v>
                </c:pt>
                <c:pt idx="18">
                  <c:v>0.48456950032067458</c:v>
                </c:pt>
                <c:pt idx="19">
                  <c:v>0.49916232908031954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7-468B-A02A-24D4CEA448B2}"/>
            </c:ext>
          </c:extLst>
        </c:ser>
        <c:ser>
          <c:idx val="0"/>
          <c:order val="1"/>
          <c:tx>
            <c:strRef>
              <c:f>'杜邦分析-A股'!$D$11</c:f>
              <c:strCache>
                <c:ptCount val="1"/>
                <c:pt idx="0">
                  <c:v>ROE(%)</c:v>
                </c:pt>
              </c:strCache>
            </c:strRef>
          </c:tx>
          <c:spPr>
            <a:ln w="28575" cap="rnd">
              <a:solidFill>
                <a:srgbClr val="DF5D5D"/>
              </a:solidFill>
              <a:round/>
            </a:ln>
            <a:effectLst/>
          </c:spPr>
          <c:marker>
            <c:symbol val="none"/>
          </c:marker>
          <c:cat>
            <c:strRef>
              <c:f>'杜邦分析-A股'!$C$12:$C$31</c:f>
              <c:strCache>
                <c:ptCount val="20"/>
                <c:pt idx="0">
                  <c:v>2023-12-31</c:v>
                </c:pt>
                <c:pt idx="1">
                  <c:v>2023-09-30</c:v>
                </c:pt>
                <c:pt idx="2">
                  <c:v>2023-06-30</c:v>
                </c:pt>
                <c:pt idx="3">
                  <c:v>2023-03-31</c:v>
                </c:pt>
                <c:pt idx="4">
                  <c:v>2022-12-31</c:v>
                </c:pt>
                <c:pt idx="5">
                  <c:v>2022-09-30</c:v>
                </c:pt>
                <c:pt idx="6">
                  <c:v>2022-06-30</c:v>
                </c:pt>
                <c:pt idx="7">
                  <c:v>2022-03-31</c:v>
                </c:pt>
                <c:pt idx="8">
                  <c:v>2021-12-31</c:v>
                </c:pt>
                <c:pt idx="9">
                  <c:v>2021-09-30</c:v>
                </c:pt>
                <c:pt idx="10">
                  <c:v>2021-06-30</c:v>
                </c:pt>
                <c:pt idx="11">
                  <c:v>2021-03-31</c:v>
                </c:pt>
                <c:pt idx="12">
                  <c:v>2020-12-31</c:v>
                </c:pt>
                <c:pt idx="13">
                  <c:v>2020-09-30</c:v>
                </c:pt>
                <c:pt idx="14">
                  <c:v>2020-06-30</c:v>
                </c:pt>
                <c:pt idx="15">
                  <c:v>2020-03-31</c:v>
                </c:pt>
                <c:pt idx="16">
                  <c:v>2019-12-31</c:v>
                </c:pt>
                <c:pt idx="17">
                  <c:v>2019-09-30</c:v>
                </c:pt>
                <c:pt idx="18">
                  <c:v>2019-06-30</c:v>
                </c:pt>
                <c:pt idx="19">
                  <c:v>2019-03-31</c:v>
                </c:pt>
              </c:strCache>
            </c:strRef>
          </c:cat>
          <c:val>
            <c:numRef>
              <c:f>'杜邦分析-A股'!$D$12:$D$31</c:f>
              <c:numCache>
                <c:formatCode>0.00%</c:formatCode>
                <c:ptCount val="20"/>
                <c:pt idx="0">
                  <c:v>0.36175483713215689</c:v>
                </c:pt>
                <c:pt idx="1">
                  <c:v>0.25463168544521042</c:v>
                </c:pt>
                <c:pt idx="2">
                  <c:v>0.18061424357292355</c:v>
                </c:pt>
                <c:pt idx="3">
                  <c:v>0.10002772878372097</c:v>
                </c:pt>
                <c:pt idx="4">
                  <c:v>0.32407743298399749</c:v>
                </c:pt>
                <c:pt idx="5">
                  <c:v>0.22410106535328878</c:v>
                </c:pt>
                <c:pt idx="6">
                  <c:v>0.15613519745631749</c:v>
                </c:pt>
                <c:pt idx="7">
                  <c:v>8.7024959161371776E-2</c:v>
                </c:pt>
                <c:pt idx="8">
                  <c:v>0.29903568266453184</c:v>
                </c:pt>
                <c:pt idx="9">
                  <c:v>0.2220397892721111</c:v>
                </c:pt>
                <c:pt idx="10">
                  <c:v>0.15262766663143776</c:v>
                </c:pt>
                <c:pt idx="11">
                  <c:v>8.2914955446079394E-2</c:v>
                </c:pt>
                <c:pt idx="12">
                  <c:v>0.31410756348001301</c:v>
                </c:pt>
                <c:pt idx="13">
                  <c:v>0.23783163827550513</c:v>
                </c:pt>
                <c:pt idx="14">
                  <c:v>0.16543634061238979</c:v>
                </c:pt>
                <c:pt idx="15">
                  <c:v>9.1849233724482421E-2</c:v>
                </c:pt>
                <c:pt idx="16">
                  <c:v>0.33117661891927502</c:v>
                </c:pt>
                <c:pt idx="17">
                  <c:v>0.25581912753725017</c:v>
                </c:pt>
                <c:pt idx="18">
                  <c:v>0.17532160886491358</c:v>
                </c:pt>
                <c:pt idx="19">
                  <c:v>9.4737030693064175E-2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7-468B-A02A-24D4CEA44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6827968"/>
        <c:axId val="1036818784"/>
      </c:lineChart>
      <c:catAx>
        <c:axId val="1036827968"/>
        <c:scaling>
          <c:orientation val="minMax"/>
        </c:scaling>
        <c:delete val="0"/>
        <c:axPos val="b"/>
        <c:numFmt formatCode="yyyy\-m\-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Algn val="ctr"/>
        <c:lblOffset val="100"/>
        <c:noMultiLvlLbl val="1"/>
      </c:cat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valAx>
        <c:axId val="99315932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993159744"/>
        <c:crosses val="max"/>
        <c:crossBetween val="between"/>
      </c:valAx>
      <c:catAx>
        <c:axId val="993159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3159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083517897195299"/>
          <c:y val="0.90414698162729656"/>
          <c:w val="0.68562499005559219"/>
          <c:h val="6.6874329388071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v>总资产周转率(次)(右轴)</c:v>
          </c:tx>
          <c:spPr>
            <a:solidFill>
              <a:srgbClr val="2276A1"/>
            </a:solidFill>
            <a:ln>
              <a:noFill/>
            </a:ln>
            <a:effectLst/>
          </c:spPr>
          <c:invertIfNegative val="0"/>
          <c:cat>
            <c:strRef>
              <c:f>'杜邦分析-海外股'!$C$12:$C$31</c:f>
              <c:strCache>
                <c:ptCount val="20"/>
                <c:pt idx="0">
                  <c:v>2023-12-31</c:v>
                </c:pt>
                <c:pt idx="1">
                  <c:v>2023-09-30</c:v>
                </c:pt>
                <c:pt idx="2">
                  <c:v>2023-06-30</c:v>
                </c:pt>
                <c:pt idx="3">
                  <c:v>2023-03-31</c:v>
                </c:pt>
                <c:pt idx="4">
                  <c:v>2022-12-31</c:v>
                </c:pt>
                <c:pt idx="5">
                  <c:v>2022-09-30</c:v>
                </c:pt>
                <c:pt idx="6">
                  <c:v>2022-06-30</c:v>
                </c:pt>
                <c:pt idx="7">
                  <c:v>2022-03-31</c:v>
                </c:pt>
                <c:pt idx="8">
                  <c:v>2021-12-31</c:v>
                </c:pt>
                <c:pt idx="9">
                  <c:v>2021-09-30</c:v>
                </c:pt>
                <c:pt idx="10">
                  <c:v>2021-06-30</c:v>
                </c:pt>
                <c:pt idx="11">
                  <c:v>2021-03-31</c:v>
                </c:pt>
                <c:pt idx="12">
                  <c:v>2020-12-31</c:v>
                </c:pt>
                <c:pt idx="13">
                  <c:v>2020-09-30</c:v>
                </c:pt>
                <c:pt idx="14">
                  <c:v>2020-06-30</c:v>
                </c:pt>
                <c:pt idx="15">
                  <c:v>2020-03-31</c:v>
                </c:pt>
                <c:pt idx="16">
                  <c:v>2019-12-31</c:v>
                </c:pt>
                <c:pt idx="17">
                  <c:v>2019-09-30</c:v>
                </c:pt>
                <c:pt idx="18">
                  <c:v>2019-06-30</c:v>
                </c:pt>
                <c:pt idx="19">
                  <c:v>2019-03-31</c:v>
                </c:pt>
              </c:strCache>
            </c:strRef>
          </c:cat>
          <c:val>
            <c:numRef>
              <c:f>'杜邦分析-海外股'!$H$12:$H$31</c:f>
              <c:numCache>
                <c:formatCode>0.00</c:formatCode>
                <c:ptCount val="20"/>
                <c:pt idx="0">
                  <c:v>0.38601726513186857</c:v>
                </c:pt>
                <c:pt idx="1">
                  <c:v>0.29096892828153431</c:v>
                </c:pt>
                <c:pt idx="2">
                  <c:v>0.19205978622649517</c:v>
                </c:pt>
                <c:pt idx="3">
                  <c:v>9.6910934092152165E-2</c:v>
                </c:pt>
                <c:pt idx="4">
                  <c:v>0.34762756249422111</c:v>
                </c:pt>
                <c:pt idx="5">
                  <c:v>0.26506848229109337</c:v>
                </c:pt>
                <c:pt idx="6">
                  <c:v>0.17545709958193809</c:v>
                </c:pt>
                <c:pt idx="7">
                  <c:v>8.7217151528300785E-2</c:v>
                </c:pt>
                <c:pt idx="8">
                  <c:v>0.38111826746586397</c:v>
                </c:pt>
                <c:pt idx="9">
                  <c:v>0.28800186417898049</c:v>
                </c:pt>
                <c:pt idx="10">
                  <c:v>0.19278920397292787</c:v>
                </c:pt>
                <c:pt idx="11">
                  <c:v>9.8282713441908351E-2</c:v>
                </c:pt>
                <c:pt idx="12">
                  <c:v>0.42149312038807191</c:v>
                </c:pt>
                <c:pt idx="13">
                  <c:v>0.32499306208212164</c:v>
                </c:pt>
                <c:pt idx="14">
                  <c:v>0.21097216505088642</c:v>
                </c:pt>
                <c:pt idx="15">
                  <c:v>0.10977022556910324</c:v>
                </c:pt>
                <c:pt idx="16">
                  <c:v>0.44982107377197234</c:v>
                </c:pt>
                <c:pt idx="17">
                  <c:v>0.34375464869918715</c:v>
                </c:pt>
                <c:pt idx="18">
                  <c:v>0.22654076740555121</c:v>
                </c:pt>
                <c:pt idx="19">
                  <c:v>0.11395575788356863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16-4FE2-BB6F-C1CD4BA6DAE2}"/>
            </c:ext>
          </c:extLst>
        </c:ser>
        <c:ser>
          <c:idx val="3"/>
          <c:order val="1"/>
          <c:tx>
            <c:v>权益乘数*(右轴)</c:v>
          </c:tx>
          <c:spPr>
            <a:solidFill>
              <a:srgbClr val="F68616"/>
            </a:solidFill>
            <a:ln>
              <a:noFill/>
            </a:ln>
            <a:effectLst/>
          </c:spPr>
          <c:invertIfNegative val="0"/>
          <c:val>
            <c:numRef>
              <c:f>'杜邦分析-海外股'!$J$12:$J$31</c:f>
              <c:numCache>
                <c:formatCode>0.00</c:formatCode>
                <c:ptCount val="20"/>
                <c:pt idx="0">
                  <c:v>2.0623621715811034</c:v>
                </c:pt>
                <c:pt idx="1">
                  <c:v>2.0936663747017428</c:v>
                </c:pt>
                <c:pt idx="2">
                  <c:v>2.0775228430999269</c:v>
                </c:pt>
                <c:pt idx="3">
                  <c:v>2.0637313534336883</c:v>
                </c:pt>
                <c:pt idx="4">
                  <c:v>2.088443990600187</c:v>
                </c:pt>
                <c:pt idx="5">
                  <c:v>1.978280253920865</c:v>
                </c:pt>
                <c:pt idx="6">
                  <c:v>1.99121528293167</c:v>
                </c:pt>
                <c:pt idx="7">
                  <c:v>1.9609925272605384</c:v>
                </c:pt>
                <c:pt idx="8">
                  <c:v>1.9504880873319768</c:v>
                </c:pt>
                <c:pt idx="9">
                  <c:v>1.859001486683926</c:v>
                </c:pt>
                <c:pt idx="10">
                  <c:v>1.8392552917672726</c:v>
                </c:pt>
                <c:pt idx="11">
                  <c:v>1.8805877489091252</c:v>
                </c:pt>
                <c:pt idx="12">
                  <c:v>2.0123437348793427</c:v>
                </c:pt>
                <c:pt idx="13">
                  <c:v>2.1231886426046906</c:v>
                </c:pt>
                <c:pt idx="14">
                  <c:v>2.1831393997613922</c:v>
                </c:pt>
                <c:pt idx="15">
                  <c:v>2.2109653801668667</c:v>
                </c:pt>
                <c:pt idx="16">
                  <c:v>2.2182908058015172</c:v>
                </c:pt>
                <c:pt idx="17">
                  <c:v>2.1714919201860639</c:v>
                </c:pt>
                <c:pt idx="18">
                  <c:v>2.169660237250798</c:v>
                </c:pt>
                <c:pt idx="19">
                  <c:v>2.1881152977866734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16-4FE2-BB6F-C1CD4BA6D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7140208"/>
        <c:axId val="993134784"/>
      </c:barChart>
      <c:lineChart>
        <c:grouping val="standard"/>
        <c:varyColors val="0"/>
        <c:ser>
          <c:idx val="1"/>
          <c:order val="2"/>
          <c:tx>
            <c:strRef>
              <c:f>'杜邦分析-海外股'!$F$11</c:f>
              <c:strCache>
                <c:ptCount val="1"/>
                <c:pt idx="0">
                  <c:v>销售净利率(%)</c:v>
                </c:pt>
              </c:strCache>
            </c:strRef>
          </c:tx>
          <c:spPr>
            <a:ln w="28575" cap="rnd">
              <a:solidFill>
                <a:srgbClr val="5FBEC0"/>
              </a:solidFill>
              <a:round/>
            </a:ln>
            <a:effectLst/>
          </c:spPr>
          <c:marker>
            <c:symbol val="none"/>
          </c:marker>
          <c:cat>
            <c:strRef>
              <c:f>'杜邦分析-海外股'!$C$12:$C$31</c:f>
              <c:strCache>
                <c:ptCount val="20"/>
                <c:pt idx="0">
                  <c:v>2023-12-31</c:v>
                </c:pt>
                <c:pt idx="1">
                  <c:v>2023-09-30</c:v>
                </c:pt>
                <c:pt idx="2">
                  <c:v>2023-06-30</c:v>
                </c:pt>
                <c:pt idx="3">
                  <c:v>2023-03-31</c:v>
                </c:pt>
                <c:pt idx="4">
                  <c:v>2022-12-31</c:v>
                </c:pt>
                <c:pt idx="5">
                  <c:v>2022-09-30</c:v>
                </c:pt>
                <c:pt idx="6">
                  <c:v>2022-06-30</c:v>
                </c:pt>
                <c:pt idx="7">
                  <c:v>2022-03-31</c:v>
                </c:pt>
                <c:pt idx="8">
                  <c:v>2021-12-31</c:v>
                </c:pt>
                <c:pt idx="9">
                  <c:v>2021-09-30</c:v>
                </c:pt>
                <c:pt idx="10">
                  <c:v>2021-06-30</c:v>
                </c:pt>
                <c:pt idx="11">
                  <c:v>2021-03-31</c:v>
                </c:pt>
                <c:pt idx="12">
                  <c:v>2020-12-31</c:v>
                </c:pt>
                <c:pt idx="13">
                  <c:v>2020-09-30</c:v>
                </c:pt>
                <c:pt idx="14">
                  <c:v>2020-06-30</c:v>
                </c:pt>
                <c:pt idx="15">
                  <c:v>2020-03-31</c:v>
                </c:pt>
                <c:pt idx="16">
                  <c:v>2019-12-31</c:v>
                </c:pt>
                <c:pt idx="17">
                  <c:v>2019-09-30</c:v>
                </c:pt>
                <c:pt idx="18">
                  <c:v>2019-06-30</c:v>
                </c:pt>
                <c:pt idx="19">
                  <c:v>2019-03-31</c:v>
                </c:pt>
              </c:strCache>
            </c:strRef>
          </c:cat>
          <c:val>
            <c:numRef>
              <c:f>'杜邦分析-海外股'!$F$12:$F$31</c:f>
              <c:numCache>
                <c:formatCode>0.00%</c:formatCode>
                <c:ptCount val="20"/>
                <c:pt idx="0">
                  <c:v>0.18918417444562119</c:v>
                </c:pt>
                <c:pt idx="1">
                  <c:v>0.19433077945171975</c:v>
                </c:pt>
                <c:pt idx="2">
                  <c:v>0.17383035756064627</c:v>
                </c:pt>
                <c:pt idx="3">
                  <c:v>0.17226941181176908</c:v>
                </c:pt>
                <c:pt idx="4">
                  <c:v>0.33945058353409596</c:v>
                </c:pt>
                <c:pt idx="5">
                  <c:v>0.20013525456667272</c:v>
                </c:pt>
                <c:pt idx="6">
                  <c:v>0.15596000074210128</c:v>
                </c:pt>
                <c:pt idx="7">
                  <c:v>0.1728266566276177</c:v>
                </c:pt>
                <c:pt idx="8">
                  <c:v>0.40050450078115679</c:v>
                </c:pt>
                <c:pt idx="9">
                  <c:v>0.31086683838103357</c:v>
                </c:pt>
                <c:pt idx="10">
                  <c:v>0.32875127346819966</c:v>
                </c:pt>
                <c:pt idx="11">
                  <c:v>0.35262547892013202</c:v>
                </c:pt>
                <c:pt idx="12">
                  <c:v>0.33158875170101898</c:v>
                </c:pt>
                <c:pt idx="13">
                  <c:v>0.28859484206145319</c:v>
                </c:pt>
                <c:pt idx="14">
                  <c:v>0.27810520838940023</c:v>
                </c:pt>
                <c:pt idx="15">
                  <c:v>0.2673946236061629</c:v>
                </c:pt>
                <c:pt idx="16">
                  <c:v>0.24731704343354829</c:v>
                </c:pt>
                <c:pt idx="17">
                  <c:v>0.26417012249467819</c:v>
                </c:pt>
                <c:pt idx="18">
                  <c:v>0.29428014672168734</c:v>
                </c:pt>
                <c:pt idx="19">
                  <c:v>0.31746587329366466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16-4FE2-BB6F-C1CD4BA6DAE2}"/>
            </c:ext>
          </c:extLst>
        </c:ser>
        <c:ser>
          <c:idx val="0"/>
          <c:order val="3"/>
          <c:tx>
            <c:strRef>
              <c:f>'杜邦分析-海外股'!$D$11</c:f>
              <c:strCache>
                <c:ptCount val="1"/>
                <c:pt idx="0">
                  <c:v>ROE(%)</c:v>
                </c:pt>
              </c:strCache>
            </c:strRef>
          </c:tx>
          <c:spPr>
            <a:ln w="28575" cap="rnd">
              <a:solidFill>
                <a:srgbClr val="DF5D5D"/>
              </a:solidFill>
              <a:round/>
            </a:ln>
            <a:effectLst/>
          </c:spPr>
          <c:marker>
            <c:symbol val="none"/>
          </c:marker>
          <c:cat>
            <c:strRef>
              <c:f>'杜邦分析-海外股'!$C$12:$C$31</c:f>
              <c:strCache>
                <c:ptCount val="20"/>
                <c:pt idx="0">
                  <c:v>2023-12-31</c:v>
                </c:pt>
                <c:pt idx="1">
                  <c:v>2023-09-30</c:v>
                </c:pt>
                <c:pt idx="2">
                  <c:v>2023-06-30</c:v>
                </c:pt>
                <c:pt idx="3">
                  <c:v>2023-03-31</c:v>
                </c:pt>
                <c:pt idx="4">
                  <c:v>2022-12-31</c:v>
                </c:pt>
                <c:pt idx="5">
                  <c:v>2022-09-30</c:v>
                </c:pt>
                <c:pt idx="6">
                  <c:v>2022-06-30</c:v>
                </c:pt>
                <c:pt idx="7">
                  <c:v>2022-03-31</c:v>
                </c:pt>
                <c:pt idx="8">
                  <c:v>2021-12-31</c:v>
                </c:pt>
                <c:pt idx="9">
                  <c:v>2021-09-30</c:v>
                </c:pt>
                <c:pt idx="10">
                  <c:v>2021-06-30</c:v>
                </c:pt>
                <c:pt idx="11">
                  <c:v>2021-03-31</c:v>
                </c:pt>
                <c:pt idx="12">
                  <c:v>2020-12-31</c:v>
                </c:pt>
                <c:pt idx="13">
                  <c:v>2020-09-30</c:v>
                </c:pt>
                <c:pt idx="14">
                  <c:v>2020-06-30</c:v>
                </c:pt>
                <c:pt idx="15">
                  <c:v>2020-03-31</c:v>
                </c:pt>
                <c:pt idx="16">
                  <c:v>2019-12-31</c:v>
                </c:pt>
                <c:pt idx="17">
                  <c:v>2019-09-30</c:v>
                </c:pt>
                <c:pt idx="18">
                  <c:v>2019-06-30</c:v>
                </c:pt>
                <c:pt idx="19">
                  <c:v>2019-03-31</c:v>
                </c:pt>
              </c:strCache>
            </c:strRef>
          </c:cat>
          <c:val>
            <c:numRef>
              <c:f>'杜邦分析-海外股'!$D$12:$D$31</c:f>
              <c:numCache>
                <c:formatCode>0.00%</c:formatCode>
                <c:ptCount val="20"/>
                <c:pt idx="0">
                  <c:v>0.15061092221999994</c:v>
                </c:pt>
                <c:pt idx="1">
                  <c:v>0.11838472922770245</c:v>
                </c:pt>
                <c:pt idx="2">
                  <c:v>6.935980641293818E-2</c:v>
                </c:pt>
                <c:pt idx="3">
                  <c:v>3.4453560765770989E-2</c:v>
                </c:pt>
                <c:pt idx="4">
                  <c:v>0.24644135917627261</c:v>
                </c:pt>
                <c:pt idx="5">
                  <c:v>0.10494687364575647</c:v>
                </c:pt>
                <c:pt idx="6">
                  <c:v>5.4488191222023967E-2</c:v>
                </c:pt>
                <c:pt idx="7">
                  <c:v>2.9558920259216567E-2</c:v>
                </c:pt>
                <c:pt idx="8">
                  <c:v>0.29772168527355469</c:v>
                </c:pt>
                <c:pt idx="9">
                  <c:v>0.16643682874939125</c:v>
                </c:pt>
                <c:pt idx="10">
                  <c:v>0.11657144184168274</c:v>
                </c:pt>
                <c:pt idx="11">
                  <c:v>6.5175508733821094E-2</c:v>
                </c:pt>
                <c:pt idx="12">
                  <c:v>0.28124994501579148</c:v>
                </c:pt>
                <c:pt idx="13">
                  <c:v>0.19913666841947336</c:v>
                </c:pt>
                <c:pt idx="14">
                  <c:v>0.12809015457874323</c:v>
                </c:pt>
                <c:pt idx="15">
                  <c:v>6.48961854176726E-2</c:v>
                </c:pt>
                <c:pt idx="16">
                  <c:v>0.24678134289673853</c:v>
                </c:pt>
                <c:pt idx="17">
                  <c:v>0.19719254644724618</c:v>
                </c:pt>
                <c:pt idx="18">
                  <c:v>0.14464354631066842</c:v>
                </c:pt>
                <c:pt idx="19">
                  <c:v>7.9159587590476407E-2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16-4FE2-BB6F-C1CD4BA6D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6827968"/>
        <c:axId val="1036818784"/>
      </c:lineChart>
      <c:catAx>
        <c:axId val="1036827968"/>
        <c:scaling>
          <c:orientation val="minMax"/>
        </c:scaling>
        <c:delete val="0"/>
        <c:axPos val="b"/>
        <c:numFmt formatCode="yyyy\-m\-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036818784"/>
        <c:crosses val="autoZero"/>
        <c:auto val="1"/>
        <c:lblAlgn val="ctr"/>
        <c:lblOffset val="100"/>
        <c:noMultiLvlLbl val="1"/>
      </c:catAx>
      <c:valAx>
        <c:axId val="10368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036827968"/>
        <c:crosses val="autoZero"/>
        <c:crossBetween val="between"/>
      </c:valAx>
      <c:valAx>
        <c:axId val="99313478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167140208"/>
        <c:crosses val="max"/>
        <c:crossBetween val="between"/>
      </c:valAx>
      <c:catAx>
        <c:axId val="1167140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3134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083517897195299"/>
          <c:y val="0.90414698162729656"/>
          <c:w val="0.64327286881255086"/>
          <c:h val="6.6874329388071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133349</xdr:colOff>
      <xdr:row>10</xdr:row>
      <xdr:rowOff>142876</xdr:rowOff>
    </xdr:from>
    <xdr:to>
      <xdr:col>21</xdr:col>
      <xdr:colOff>0</xdr:colOff>
      <xdr:row>30</xdr:row>
      <xdr:rowOff>104776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135108</xdr:colOff>
      <xdr:row>0</xdr:row>
      <xdr:rowOff>81146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08" y="81146"/>
          <a:ext cx="607152" cy="219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133349</xdr:colOff>
      <xdr:row>10</xdr:row>
      <xdr:rowOff>142876</xdr:rowOff>
    </xdr:from>
    <xdr:to>
      <xdr:col>21</xdr:col>
      <xdr:colOff>0</xdr:colOff>
      <xdr:row>30</xdr:row>
      <xdr:rowOff>104776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322D57A-F742-4062-9D6A-5B494CBD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135108</xdr:colOff>
      <xdr:row>0</xdr:row>
      <xdr:rowOff>81146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08" y="81146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ks_fa_ebit"/>
      <definedName name="hks_stm_bs"/>
      <definedName name="hks_stm_is"/>
      <definedName name="s_fa_ebit"/>
      <definedName name="s_fa_latelyrd_bt"/>
      <definedName name="s_info_name"/>
      <definedName name="s_stm_rpt_s"/>
      <definedName name="s_stm07_bs"/>
      <definedName name="S_STM07_I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FactSet_2012_QR">
  <a:themeElements>
    <a:clrScheme name="FactSet 2012 QR">
      <a:dk1>
        <a:sysClr val="windowText" lastClr="000000"/>
      </a:dk1>
      <a:lt1>
        <a:sysClr val="window" lastClr="FFFFFF"/>
      </a:lt1>
      <a:dk2>
        <a:srgbClr val="00B0F0"/>
      </a:dk2>
      <a:lt2>
        <a:srgbClr val="B4DFEF"/>
      </a:lt2>
      <a:accent1>
        <a:srgbClr val="00AEEF"/>
      </a:accent1>
      <a:accent2>
        <a:srgbClr val="99CC33"/>
      </a:accent2>
      <a:accent3>
        <a:srgbClr val="9A3366"/>
      </a:accent3>
      <a:accent4>
        <a:srgbClr val="FFCC00"/>
      </a:accent4>
      <a:accent5>
        <a:srgbClr val="969696"/>
      </a:accent5>
      <a:accent6>
        <a:srgbClr val="0066CC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accent5"/>
        </a:solidFill>
        <a:ln w="12700" cap="flat" cmpd="sng" algn="ctr">
          <a:solidFill>
            <a:schemeClr val="accent5">
              <a:lumMod val="75000"/>
            </a:schemeClr>
          </a:solidFill>
          <a:prstDash val="solid"/>
          <a:round/>
          <a:headEnd type="oval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1200" b="1" i="0" u="none" strike="noStrike" cap="none" normalizeH="0" baseline="0" dirty="0" smtClean="0">
            <a:ln>
              <a:noFill/>
            </a:ln>
            <a:solidFill>
              <a:schemeClr val="tx1"/>
            </a:solidFill>
            <a:effectLst/>
            <a:latin typeface="Generis Sans Com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hlink"/>
        </a:solidFill>
        <a:ln w="12700" cap="flat" cmpd="sng" algn="ctr">
          <a:solidFill>
            <a:schemeClr val="hlink"/>
          </a:solidFill>
          <a:prstDash val="solid"/>
          <a:round/>
          <a:headEnd type="oval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1200" b="1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Generis Sans Com" pitchFamily="34" charset="0"/>
          </a:defRPr>
        </a:defPPr>
      </a:lstStyle>
    </a:lnDef>
  </a:objectDefaults>
  <a:extraClrSchemeLst>
    <a:extraClrScheme>
      <a:clrScheme name="Custom Desig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CC3300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E2ADAA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008000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007300"/>
        </a:accent6>
        <a:hlink>
          <a:srgbClr val="F8C807"/>
        </a:hlink>
        <a:folHlink>
          <a:srgbClr val="CC0099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14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99FF33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8AE72D"/>
        </a:accent6>
        <a:hlink>
          <a:srgbClr val="F8C807"/>
        </a:hlink>
        <a:folHlink>
          <a:srgbClr val="CC0099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1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99FF33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8AE72D"/>
        </a:accent6>
        <a:hlink>
          <a:srgbClr val="F8C807"/>
        </a:hlink>
        <a:folHlink>
          <a:srgbClr val="86ADBC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1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99CC00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8AB900"/>
        </a:accent6>
        <a:hlink>
          <a:srgbClr val="F8C807"/>
        </a:hlink>
        <a:folHlink>
          <a:srgbClr val="86ADBC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AE123"/>
  <sheetViews>
    <sheetView showGridLines="0" tabSelected="1" zoomScaleNormal="100" workbookViewId="0">
      <pane ySplit="1" topLeftCell="A2" activePane="bottomLeft" state="frozen"/>
      <selection pane="bottomLeft" activeCell="C59" sqref="C59"/>
    </sheetView>
  </sheetViews>
  <sheetFormatPr defaultColWidth="9.140625" defaultRowHeight="12.75"/>
  <cols>
    <col min="1" max="1" width="2.7109375" style="1" customWidth="1"/>
    <col min="2" max="2" width="1.5703125" style="1" customWidth="1"/>
    <col min="3" max="4" width="20.7109375" style="1" customWidth="1"/>
    <col min="5" max="5" width="2.7109375" style="1" customWidth="1"/>
    <col min="6" max="6" width="18.7109375" style="1" customWidth="1"/>
    <col min="7" max="7" width="2.7109375" style="1" customWidth="1"/>
    <col min="8" max="8" width="20.7109375" style="1" customWidth="1"/>
    <col min="9" max="9" width="2.7109375" style="1" customWidth="1"/>
    <col min="10" max="10" width="18.7109375" style="1" customWidth="1"/>
    <col min="11" max="11" width="2.7109375" style="1" customWidth="1"/>
    <col min="12" max="12" width="1.7109375" style="1" customWidth="1"/>
    <col min="13" max="13" width="20.7109375" style="1" customWidth="1"/>
    <col min="14" max="14" width="2.7109375" style="1" customWidth="1"/>
    <col min="15" max="15" width="28.7109375" style="1" customWidth="1"/>
    <col min="16" max="16" width="2.7109375" style="1" customWidth="1"/>
    <col min="17" max="17" width="20.7109375" style="1" customWidth="1"/>
    <col min="18" max="18" width="2.7109375" style="1" customWidth="1"/>
    <col min="19" max="19" width="22.7109375" style="1" customWidth="1"/>
    <col min="20" max="20" width="2.7109375" style="1" customWidth="1"/>
    <col min="21" max="21" width="20.7109375" style="1" customWidth="1"/>
    <col min="22" max="22" width="2.7109375" style="1" customWidth="1"/>
    <col min="23" max="23" width="20.28515625" style="1" customWidth="1"/>
    <col min="24" max="24" width="20.7109375" style="1" customWidth="1"/>
    <col min="25" max="25" width="21" style="1" customWidth="1"/>
    <col min="26" max="26" width="2.7109375" style="1" customWidth="1"/>
    <col min="27" max="27" width="20.28515625" style="1" bestFit="1" customWidth="1"/>
    <col min="28" max="28" width="20.7109375" style="1" customWidth="1"/>
    <col min="29" max="29" width="2.28515625" style="1" customWidth="1"/>
    <col min="30" max="30" width="2.5703125" style="1" customWidth="1"/>
    <col min="31" max="16384" width="9.140625" style="1"/>
  </cols>
  <sheetData>
    <row r="1" spans="1:30" ht="27.75" customHeight="1">
      <c r="A1" s="3"/>
      <c r="B1" s="3"/>
      <c r="C1" s="3"/>
      <c r="D1" s="94" t="s">
        <v>51</v>
      </c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3"/>
      <c r="U1" s="3"/>
      <c r="V1" s="3"/>
      <c r="W1" s="3"/>
      <c r="X1" s="3"/>
      <c r="Y1" s="3"/>
      <c r="Z1" s="3"/>
      <c r="AA1" s="4"/>
      <c r="AB1" s="4"/>
      <c r="AC1" s="3"/>
      <c r="AD1" s="3"/>
    </row>
    <row r="2" spans="1:30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9.9499999999999993" customHeight="1">
      <c r="A3" s="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7"/>
      <c r="X3" s="7"/>
      <c r="Y3" s="7"/>
      <c r="Z3" s="7"/>
      <c r="AA3" s="7"/>
      <c r="AB3" s="7"/>
      <c r="AC3" s="7"/>
      <c r="AD3" s="7"/>
    </row>
    <row r="4" spans="1:30" ht="16.5">
      <c r="A4" s="7"/>
      <c r="B4" s="5"/>
      <c r="C4" s="88" t="s">
        <v>48</v>
      </c>
      <c r="D4" s="90" t="s">
        <v>50</v>
      </c>
      <c r="E4" s="5"/>
      <c r="F4" s="88" t="s">
        <v>53</v>
      </c>
      <c r="G4" s="88"/>
      <c r="H4" s="92" t="str">
        <f>[1]!s_info_name(D4)</f>
        <v>贵州茅台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7"/>
      <c r="X4" s="7"/>
      <c r="Y4" s="7"/>
      <c r="Z4" s="7"/>
      <c r="AA4" s="7"/>
      <c r="AB4" s="7"/>
      <c r="AC4" s="7"/>
      <c r="AD4" s="7"/>
    </row>
    <row r="5" spans="1:30" ht="16.5">
      <c r="A5" s="7"/>
      <c r="B5" s="5"/>
      <c r="C5" s="93" t="s">
        <v>52</v>
      </c>
      <c r="D5" s="91">
        <f ca="1">TODAY()</f>
        <v>45394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7"/>
      <c r="X5" s="7"/>
      <c r="Y5" s="7"/>
      <c r="Z5" s="7"/>
      <c r="AA5" s="7"/>
      <c r="AB5" s="7"/>
      <c r="AC5" s="7"/>
      <c r="AD5" s="7"/>
    </row>
    <row r="6" spans="1:30" ht="9.9499999999999993" customHeight="1">
      <c r="A6" s="7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7"/>
      <c r="X6" s="7"/>
      <c r="Y6" s="7"/>
      <c r="Z6" s="7"/>
      <c r="AA6" s="7"/>
      <c r="AB6" s="7"/>
      <c r="AC6" s="7"/>
      <c r="AD6" s="7"/>
    </row>
    <row r="7" spans="1:30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7.5" customHeight="1">
      <c r="A8" s="7"/>
      <c r="B8" s="5"/>
      <c r="C8" s="5"/>
      <c r="D8" s="5"/>
      <c r="E8" s="5"/>
      <c r="F8" s="5"/>
      <c r="G8" s="5"/>
      <c r="H8" s="5"/>
      <c r="I8" s="5"/>
      <c r="J8" s="5"/>
      <c r="K8" s="5"/>
      <c r="L8" s="7"/>
      <c r="M8" s="5"/>
      <c r="N8" s="5"/>
      <c r="O8" s="5"/>
      <c r="P8" s="5"/>
      <c r="Q8" s="5"/>
      <c r="R8" s="5"/>
      <c r="S8" s="5"/>
      <c r="T8" s="5"/>
      <c r="U8" s="5"/>
      <c r="V8" s="5"/>
      <c r="W8" s="7"/>
      <c r="X8" s="7"/>
      <c r="Y8" s="7"/>
      <c r="Z8" s="7"/>
      <c r="AA8" s="7"/>
      <c r="AB8" s="7"/>
      <c r="AC8" s="7"/>
      <c r="AD8" s="7"/>
    </row>
    <row r="9" spans="1:30" ht="22.5" customHeight="1">
      <c r="A9" s="7"/>
      <c r="B9" s="5"/>
      <c r="C9" s="13" t="s">
        <v>1</v>
      </c>
      <c r="D9" s="8"/>
      <c r="E9" s="8"/>
      <c r="F9" s="8"/>
      <c r="G9" s="8"/>
      <c r="H9" s="8"/>
      <c r="I9" s="8"/>
      <c r="J9" s="8"/>
      <c r="K9" s="5"/>
      <c r="L9" s="7"/>
      <c r="M9" s="13" t="s">
        <v>32</v>
      </c>
      <c r="N9" s="8"/>
      <c r="O9" s="8"/>
      <c r="P9" s="8"/>
      <c r="Q9" s="8"/>
      <c r="R9" s="8"/>
      <c r="S9" s="8"/>
      <c r="T9" s="8"/>
      <c r="U9" s="8"/>
      <c r="V9" s="5"/>
      <c r="W9" s="7"/>
      <c r="X9" s="7"/>
      <c r="Y9" s="7"/>
      <c r="Z9" s="7"/>
      <c r="AA9" s="7"/>
      <c r="AB9" s="7"/>
      <c r="AC9" s="7"/>
      <c r="AD9" s="7"/>
    </row>
    <row r="10" spans="1:30" ht="8.25" customHeight="1">
      <c r="A10" s="7"/>
      <c r="B10" s="5"/>
      <c r="C10" s="5"/>
      <c r="D10" s="5"/>
      <c r="E10" s="5"/>
      <c r="F10" s="5"/>
      <c r="G10" s="5"/>
      <c r="H10" s="5"/>
      <c r="I10" s="5"/>
      <c r="J10" s="5"/>
      <c r="K10" s="5"/>
      <c r="L10" s="7"/>
      <c r="M10" s="5"/>
      <c r="N10" s="5"/>
      <c r="O10" s="5"/>
      <c r="P10" s="5"/>
      <c r="Q10" s="5"/>
      <c r="R10" s="5"/>
      <c r="S10" s="5"/>
      <c r="T10" s="5"/>
      <c r="U10" s="5"/>
      <c r="V10" s="5"/>
      <c r="W10" s="7"/>
      <c r="X10" s="7"/>
      <c r="Y10" s="7"/>
      <c r="Z10" s="7"/>
      <c r="AA10" s="7"/>
      <c r="AB10" s="7"/>
      <c r="AC10" s="7"/>
      <c r="AD10" s="7"/>
    </row>
    <row r="11" spans="1:30" ht="18.75" customHeight="1">
      <c r="A11" s="7"/>
      <c r="B11" s="5"/>
      <c r="C11" s="22" t="s">
        <v>0</v>
      </c>
      <c r="D11" s="23" t="s">
        <v>29</v>
      </c>
      <c r="E11" s="22" t="s">
        <v>2</v>
      </c>
      <c r="F11" s="23" t="s">
        <v>27</v>
      </c>
      <c r="G11" s="22" t="s">
        <v>5</v>
      </c>
      <c r="H11" s="23" t="s">
        <v>30</v>
      </c>
      <c r="I11" s="22" t="s">
        <v>5</v>
      </c>
      <c r="J11" s="23" t="s">
        <v>6</v>
      </c>
      <c r="K11" s="5"/>
      <c r="L11" s="7"/>
      <c r="M11" s="10"/>
      <c r="N11" s="10"/>
      <c r="O11" s="10"/>
      <c r="P11" s="10"/>
      <c r="Q11" s="10"/>
      <c r="R11" s="10"/>
      <c r="S11" s="10"/>
      <c r="T11" s="10"/>
      <c r="U11" s="10"/>
      <c r="V11" s="5"/>
      <c r="W11" s="7"/>
      <c r="X11" s="7"/>
      <c r="Y11" s="7"/>
      <c r="Z11" s="7"/>
      <c r="AA11" s="7"/>
      <c r="AB11" s="7"/>
      <c r="AC11" s="7"/>
      <c r="AD11" s="7"/>
    </row>
    <row r="12" spans="1:30">
      <c r="A12" s="7"/>
      <c r="B12" s="5"/>
      <c r="C12" s="29" t="str">
        <f ca="1">[1]!s_fa_latelyrd_bt($D$4,$D$5)</f>
        <v>2023-12-31</v>
      </c>
      <c r="D12" s="30">
        <f ca="1">F12*H12*J12</f>
        <v>0.36175483713215689</v>
      </c>
      <c r="E12" s="31"/>
      <c r="F12" s="30">
        <f ca="1">D38</f>
        <v>0.49637292501731894</v>
      </c>
      <c r="G12" s="31"/>
      <c r="H12" s="32">
        <f ca="1">J38</f>
        <v>0.5713165667180955</v>
      </c>
      <c r="I12" s="31"/>
      <c r="J12" s="32">
        <f ca="1">Q38</f>
        <v>1.2756438647692177</v>
      </c>
      <c r="K12" s="5"/>
      <c r="L12" s="7"/>
      <c r="M12" s="6"/>
      <c r="N12" s="6"/>
      <c r="O12" s="6"/>
      <c r="P12" s="6"/>
      <c r="Q12" s="6"/>
      <c r="R12" s="6"/>
      <c r="S12" s="6"/>
      <c r="T12" s="6"/>
      <c r="U12" s="6"/>
      <c r="V12" s="5"/>
      <c r="W12" s="7"/>
      <c r="X12" s="7"/>
      <c r="Y12" s="7"/>
      <c r="Z12" s="7"/>
      <c r="AA12" s="7"/>
      <c r="AB12" s="7"/>
      <c r="AC12" s="7"/>
      <c r="AD12" s="7"/>
    </row>
    <row r="13" spans="1:30">
      <c r="A13" s="7"/>
      <c r="B13" s="5"/>
      <c r="C13" s="33">
        <f ca="1">EOMONTH(C12,-3)</f>
        <v>45199</v>
      </c>
      <c r="D13" s="34">
        <f t="shared" ref="D13:D31" ca="1" si="0">F13*H13*J13</f>
        <v>0.25463168544521042</v>
      </c>
      <c r="E13" s="35"/>
      <c r="F13" s="34">
        <f t="shared" ref="F13:F31" ca="1" si="1">D39</f>
        <v>0.50207249654744746</v>
      </c>
      <c r="G13" s="35"/>
      <c r="H13" s="36">
        <f t="shared" ref="H13:H31" ca="1" si="2">J39</f>
        <v>0.4078524113795946</v>
      </c>
      <c r="I13" s="35"/>
      <c r="J13" s="36">
        <f t="shared" ref="J13:J31" ca="1" si="3">Q39</f>
        <v>1.2434919522460508</v>
      </c>
      <c r="K13" s="5"/>
      <c r="L13" s="7"/>
      <c r="M13" s="9"/>
      <c r="N13" s="9"/>
      <c r="O13" s="9"/>
      <c r="P13" s="9"/>
      <c r="Q13" s="9"/>
      <c r="R13" s="9"/>
      <c r="S13" s="9"/>
      <c r="T13" s="9"/>
      <c r="U13" s="9"/>
      <c r="V13" s="5"/>
      <c r="W13" s="7"/>
      <c r="X13" s="7"/>
      <c r="Y13" s="7"/>
      <c r="Z13" s="7"/>
      <c r="AA13" s="7"/>
      <c r="AB13" s="7"/>
      <c r="AC13" s="7"/>
      <c r="AD13" s="7"/>
    </row>
    <row r="14" spans="1:30">
      <c r="A14" s="7"/>
      <c r="B14" s="5"/>
      <c r="C14" s="37">
        <f t="shared" ref="C14:C31" ca="1" si="4">EOMONTH(C13,-3)</f>
        <v>45107</v>
      </c>
      <c r="D14" s="30">
        <f t="shared" ca="1" si="0"/>
        <v>0.18061424357292355</v>
      </c>
      <c r="E14" s="31"/>
      <c r="F14" s="30">
        <f t="shared" ca="1" si="1"/>
        <v>0.50685774338584211</v>
      </c>
      <c r="G14" s="31"/>
      <c r="H14" s="32">
        <f t="shared" ca="1" si="2"/>
        <v>0.28625658546348243</v>
      </c>
      <c r="I14" s="31"/>
      <c r="J14" s="32">
        <f t="shared" ca="1" si="3"/>
        <v>1.2448310839259189</v>
      </c>
      <c r="K14" s="5"/>
      <c r="L14" s="7"/>
      <c r="M14" s="6"/>
      <c r="N14" s="6"/>
      <c r="O14" s="6"/>
      <c r="P14" s="6"/>
      <c r="Q14" s="6"/>
      <c r="R14" s="6"/>
      <c r="S14" s="6"/>
      <c r="T14" s="6"/>
      <c r="U14" s="6"/>
      <c r="V14" s="5"/>
      <c r="W14" s="7"/>
      <c r="X14" s="7"/>
      <c r="Y14" s="7"/>
      <c r="Z14" s="7"/>
      <c r="AA14" s="7"/>
      <c r="AB14" s="7"/>
      <c r="AC14" s="7"/>
      <c r="AD14" s="7"/>
    </row>
    <row r="15" spans="1:30">
      <c r="A15" s="7"/>
      <c r="B15" s="5"/>
      <c r="C15" s="33">
        <f t="shared" ca="1" si="4"/>
        <v>45016</v>
      </c>
      <c r="D15" s="34">
        <f t="shared" ca="1" si="0"/>
        <v>0.10002772878372097</v>
      </c>
      <c r="E15" s="35"/>
      <c r="F15" s="34">
        <f t="shared" ca="1" si="1"/>
        <v>0.52806631402635706</v>
      </c>
      <c r="G15" s="35"/>
      <c r="H15" s="36">
        <f t="shared" ca="1" si="2"/>
        <v>0.15359872322554285</v>
      </c>
      <c r="I15" s="35"/>
      <c r="J15" s="36">
        <f t="shared" ca="1" si="3"/>
        <v>1.2332307297886522</v>
      </c>
      <c r="K15" s="5"/>
      <c r="L15" s="7"/>
      <c r="M15" s="9"/>
      <c r="N15" s="9"/>
      <c r="O15" s="9"/>
      <c r="P15" s="9"/>
      <c r="Q15" s="9"/>
      <c r="R15" s="9"/>
      <c r="S15" s="9"/>
      <c r="T15" s="9"/>
      <c r="U15" s="9"/>
      <c r="V15" s="5"/>
      <c r="W15" s="7"/>
      <c r="X15" s="7"/>
      <c r="Y15" s="7"/>
      <c r="Z15" s="7"/>
      <c r="AA15" s="7"/>
      <c r="AB15" s="7"/>
      <c r="AC15" s="7"/>
      <c r="AD15" s="7"/>
    </row>
    <row r="16" spans="1:30">
      <c r="A16" s="7"/>
      <c r="B16" s="5"/>
      <c r="C16" s="37">
        <f t="shared" ca="1" si="4"/>
        <v>44926</v>
      </c>
      <c r="D16" s="30">
        <f t="shared" ca="1" si="0"/>
        <v>0.32407743298399749</v>
      </c>
      <c r="E16" s="31"/>
      <c r="F16" s="30">
        <f t="shared" ca="1" si="1"/>
        <v>0.49168558980787636</v>
      </c>
      <c r="G16" s="31"/>
      <c r="H16" s="32">
        <f t="shared" ca="1" si="2"/>
        <v>0.50067006186892904</v>
      </c>
      <c r="I16" s="31"/>
      <c r="J16" s="32">
        <f t="shared" ca="1" si="3"/>
        <v>1.3164661201138348</v>
      </c>
      <c r="K16" s="5"/>
      <c r="L16" s="7"/>
      <c r="M16" s="9"/>
      <c r="N16" s="9"/>
      <c r="O16" s="9"/>
      <c r="P16" s="9"/>
      <c r="Q16" s="9"/>
      <c r="R16" s="9"/>
      <c r="S16" s="9"/>
      <c r="T16" s="9"/>
      <c r="U16" s="9"/>
      <c r="V16" s="5"/>
      <c r="W16" s="7"/>
      <c r="X16" s="7"/>
      <c r="Y16" s="7"/>
      <c r="Z16" s="7"/>
      <c r="AA16" s="7"/>
      <c r="AB16" s="7"/>
      <c r="AC16" s="7"/>
      <c r="AD16" s="7"/>
    </row>
    <row r="17" spans="1:31">
      <c r="A17" s="7"/>
      <c r="B17" s="5"/>
      <c r="C17" s="33">
        <f t="shared" ca="1" si="4"/>
        <v>44834</v>
      </c>
      <c r="D17" s="34">
        <f t="shared" ca="1" si="0"/>
        <v>0.22410106535328878</v>
      </c>
      <c r="E17" s="35"/>
      <c r="F17" s="34">
        <f t="shared" ca="1" si="1"/>
        <v>0.49450777144589453</v>
      </c>
      <c r="G17" s="35"/>
      <c r="H17" s="36">
        <f t="shared" ca="1" si="2"/>
        <v>0.35705466647963457</v>
      </c>
      <c r="I17" s="35"/>
      <c r="J17" s="36">
        <f t="shared" ca="1" si="3"/>
        <v>1.2692176024217363</v>
      </c>
      <c r="K17" s="5"/>
      <c r="L17" s="7"/>
      <c r="M17" s="6"/>
      <c r="N17" s="6"/>
      <c r="O17" s="6"/>
      <c r="P17" s="6"/>
      <c r="Q17" s="6"/>
      <c r="R17" s="6"/>
      <c r="S17" s="6"/>
      <c r="T17" s="6"/>
      <c r="U17" s="6"/>
      <c r="V17" s="5"/>
      <c r="W17" s="7"/>
      <c r="X17" s="7"/>
      <c r="Y17" s="7"/>
      <c r="Z17" s="7"/>
      <c r="AA17" s="7"/>
      <c r="AB17" s="7"/>
      <c r="AC17" s="7"/>
      <c r="AD17" s="7"/>
      <c r="AE17" s="2"/>
    </row>
    <row r="18" spans="1:31" ht="11.25" customHeight="1">
      <c r="A18" s="7"/>
      <c r="B18" s="5"/>
      <c r="C18" s="37">
        <f t="shared" ca="1" si="4"/>
        <v>44742</v>
      </c>
      <c r="D18" s="38">
        <f t="shared" ca="1" si="0"/>
        <v>0.15613519745631749</v>
      </c>
      <c r="E18" s="18"/>
      <c r="F18" s="38">
        <f t="shared" ca="1" si="1"/>
        <v>0.50121373741018305</v>
      </c>
      <c r="G18" s="18"/>
      <c r="H18" s="39">
        <f t="shared" ca="1" si="2"/>
        <v>0.2401674021903982</v>
      </c>
      <c r="I18" s="18"/>
      <c r="J18" s="39">
        <f t="shared" ca="1" si="3"/>
        <v>1.2970711228497955</v>
      </c>
      <c r="K18" s="5"/>
      <c r="L18" s="7"/>
      <c r="M18" s="9"/>
      <c r="N18" s="9"/>
      <c r="O18" s="9"/>
      <c r="P18" s="9"/>
      <c r="Q18" s="9"/>
      <c r="R18" s="9"/>
      <c r="S18" s="9"/>
      <c r="T18" s="9"/>
      <c r="U18" s="9"/>
      <c r="V18" s="5"/>
      <c r="W18" s="7"/>
      <c r="X18" s="7"/>
      <c r="Y18" s="7"/>
      <c r="Z18" s="7"/>
      <c r="AA18" s="7"/>
      <c r="AB18" s="7"/>
      <c r="AC18" s="7"/>
      <c r="AD18" s="7"/>
    </row>
    <row r="19" spans="1:31" ht="11.25" customHeight="1">
      <c r="A19" s="7"/>
      <c r="B19" s="5"/>
      <c r="C19" s="33">
        <f t="shared" ca="1" si="4"/>
        <v>44651</v>
      </c>
      <c r="D19" s="34">
        <f t="shared" ca="1" si="0"/>
        <v>8.7024959161371776E-2</v>
      </c>
      <c r="E19" s="35"/>
      <c r="F19" s="34">
        <f t="shared" ca="1" si="1"/>
        <v>0.51962772558237946</v>
      </c>
      <c r="G19" s="35"/>
      <c r="H19" s="36">
        <f t="shared" ca="1" si="2"/>
        <v>0.13105279505614559</v>
      </c>
      <c r="I19" s="35"/>
      <c r="J19" s="36">
        <f t="shared" ca="1" si="3"/>
        <v>1.2779245834775339</v>
      </c>
      <c r="K19" s="5"/>
      <c r="L19" s="7"/>
      <c r="M19" s="9"/>
      <c r="N19" s="9"/>
      <c r="O19" s="9"/>
      <c r="P19" s="9"/>
      <c r="Q19" s="9"/>
      <c r="R19" s="9"/>
      <c r="S19" s="9"/>
      <c r="T19" s="9"/>
      <c r="U19" s="9"/>
      <c r="V19" s="5"/>
      <c r="W19" s="7"/>
      <c r="X19" s="7"/>
      <c r="Y19" s="7"/>
      <c r="Z19" s="7"/>
      <c r="AA19" s="7"/>
      <c r="AB19" s="7"/>
      <c r="AC19" s="7"/>
      <c r="AD19" s="7"/>
    </row>
    <row r="20" spans="1:31" ht="11.25" customHeight="1">
      <c r="A20" s="7"/>
      <c r="B20" s="5"/>
      <c r="C20" s="37">
        <f t="shared" ca="1" si="4"/>
        <v>44561</v>
      </c>
      <c r="D20" s="38">
        <f t="shared" ca="1" si="0"/>
        <v>0.29903568266453184</v>
      </c>
      <c r="E20" s="18"/>
      <c r="F20" s="38">
        <f t="shared" ca="1" si="1"/>
        <v>0.47924441714144284</v>
      </c>
      <c r="G20" s="18"/>
      <c r="H20" s="39">
        <f t="shared" ca="1" si="2"/>
        <v>0.467232980917138</v>
      </c>
      <c r="I20" s="18"/>
      <c r="J20" s="39">
        <f t="shared" ca="1" si="3"/>
        <v>1.3354648464433161</v>
      </c>
      <c r="K20" s="5"/>
      <c r="L20" s="7"/>
      <c r="M20" s="9"/>
      <c r="N20" s="9"/>
      <c r="O20" s="9"/>
      <c r="P20" s="9"/>
      <c r="Q20" s="9"/>
      <c r="R20" s="9"/>
      <c r="S20" s="9"/>
      <c r="T20" s="9"/>
      <c r="U20" s="9"/>
      <c r="V20" s="5"/>
      <c r="W20" s="7"/>
      <c r="X20" s="7"/>
      <c r="Y20" s="7"/>
      <c r="Z20" s="7"/>
      <c r="AA20" s="7"/>
      <c r="AB20" s="7"/>
      <c r="AC20" s="7"/>
      <c r="AD20" s="7"/>
    </row>
    <row r="21" spans="1:31" ht="11.25" customHeight="1">
      <c r="A21" s="7"/>
      <c r="B21" s="5"/>
      <c r="C21" s="33">
        <f t="shared" ca="1" si="4"/>
        <v>44469</v>
      </c>
      <c r="D21" s="34">
        <f t="shared" ca="1" si="0"/>
        <v>0.2220397892721111</v>
      </c>
      <c r="E21" s="35"/>
      <c r="F21" s="34">
        <f t="shared" ca="1" si="1"/>
        <v>0.48364241771064642</v>
      </c>
      <c r="G21" s="35"/>
      <c r="H21" s="36">
        <f t="shared" ca="1" si="2"/>
        <v>0.35176213371051968</v>
      </c>
      <c r="I21" s="35"/>
      <c r="J21" s="36">
        <f t="shared" ca="1" si="3"/>
        <v>1.3051407088041658</v>
      </c>
      <c r="K21" s="5"/>
      <c r="L21" s="7"/>
      <c r="M21" s="5"/>
      <c r="N21" s="5"/>
      <c r="O21" s="5"/>
      <c r="P21" s="5"/>
      <c r="Q21" s="5"/>
      <c r="R21" s="5"/>
      <c r="S21" s="5"/>
      <c r="T21" s="5"/>
      <c r="U21" s="5"/>
      <c r="V21" s="5"/>
      <c r="W21" s="7"/>
      <c r="X21" s="7"/>
      <c r="Y21" s="7"/>
      <c r="Z21" s="7"/>
      <c r="AA21" s="7"/>
      <c r="AB21" s="7"/>
      <c r="AC21" s="7"/>
      <c r="AD21" s="7"/>
    </row>
    <row r="22" spans="1:31" ht="11.25" customHeight="1">
      <c r="A22" s="7"/>
      <c r="B22" s="5"/>
      <c r="C22" s="37">
        <f t="shared" ca="1" si="4"/>
        <v>44377</v>
      </c>
      <c r="D22" s="38">
        <f t="shared" ca="1" si="0"/>
        <v>0.15262766663143776</v>
      </c>
      <c r="E22" s="18"/>
      <c r="F22" s="38">
        <f t="shared" ca="1" si="1"/>
        <v>0.48606498711724594</v>
      </c>
      <c r="G22" s="18"/>
      <c r="H22" s="39">
        <f t="shared" ca="1" si="2"/>
        <v>0.23798182156912931</v>
      </c>
      <c r="I22" s="18"/>
      <c r="J22" s="39">
        <f t="shared" ca="1" si="3"/>
        <v>1.3194566973382027</v>
      </c>
      <c r="K22" s="5"/>
      <c r="L22" s="7"/>
      <c r="M22" s="5"/>
      <c r="N22" s="5"/>
      <c r="O22" s="5"/>
      <c r="P22" s="5"/>
      <c r="Q22" s="5"/>
      <c r="R22" s="5"/>
      <c r="S22" s="5"/>
      <c r="T22" s="5"/>
      <c r="U22" s="5"/>
      <c r="V22" s="5"/>
      <c r="W22" s="7"/>
      <c r="X22" s="7"/>
      <c r="Y22" s="7"/>
      <c r="Z22" s="7"/>
      <c r="AA22" s="7"/>
      <c r="AB22" s="7"/>
      <c r="AC22" s="7"/>
      <c r="AD22" s="7"/>
    </row>
    <row r="23" spans="1:31" ht="11.25" customHeight="1">
      <c r="A23" s="7"/>
      <c r="B23" s="5"/>
      <c r="C23" s="33">
        <f t="shared" ca="1" si="4"/>
        <v>44286</v>
      </c>
      <c r="D23" s="34">
        <f t="shared" ca="1" si="0"/>
        <v>8.2914955446079394E-2</v>
      </c>
      <c r="E23" s="35"/>
      <c r="F23" s="34">
        <f t="shared" ca="1" si="1"/>
        <v>0.49722406863119661</v>
      </c>
      <c r="G23" s="35"/>
      <c r="H23" s="36">
        <f t="shared" ca="1" si="2"/>
        <v>0.1309557595419294</v>
      </c>
      <c r="I23" s="35"/>
      <c r="J23" s="36">
        <f t="shared" ca="1" si="3"/>
        <v>1.2733744305705637</v>
      </c>
      <c r="K23" s="5"/>
      <c r="L23" s="7"/>
      <c r="M23" s="5"/>
      <c r="N23" s="5"/>
      <c r="O23" s="5"/>
      <c r="P23" s="5"/>
      <c r="Q23" s="5"/>
      <c r="R23" s="5"/>
      <c r="S23" s="5"/>
      <c r="T23" s="5"/>
      <c r="U23" s="5"/>
      <c r="V23" s="5"/>
      <c r="W23" s="7"/>
      <c r="X23" s="7"/>
      <c r="Y23" s="7"/>
      <c r="Z23" s="7"/>
      <c r="AA23" s="7"/>
      <c r="AB23" s="7"/>
      <c r="AC23" s="7"/>
      <c r="AD23" s="7"/>
    </row>
    <row r="24" spans="1:31" ht="11.25" customHeight="1">
      <c r="A24" s="7"/>
      <c r="B24" s="5"/>
      <c r="C24" s="37">
        <f t="shared" ca="1" si="4"/>
        <v>44196</v>
      </c>
      <c r="D24" s="38">
        <f t="shared" ca="1" si="0"/>
        <v>0.31410756348001301</v>
      </c>
      <c r="E24" s="18"/>
      <c r="F24" s="38">
        <f t="shared" ca="1" si="1"/>
        <v>0.47653578135558616</v>
      </c>
      <c r="G24" s="18"/>
      <c r="H24" s="39">
        <f t="shared" ca="1" si="2"/>
        <v>0.49436832681431747</v>
      </c>
      <c r="I24" s="18"/>
      <c r="J24" s="39">
        <f t="shared" ca="1" si="3"/>
        <v>1.3333133869704832</v>
      </c>
      <c r="K24" s="5"/>
      <c r="L24" s="7"/>
      <c r="M24" s="5"/>
      <c r="N24" s="5"/>
      <c r="O24" s="5"/>
      <c r="P24" s="5"/>
      <c r="Q24" s="5"/>
      <c r="R24" s="5"/>
      <c r="S24" s="5"/>
      <c r="T24" s="5"/>
      <c r="U24" s="5"/>
      <c r="V24" s="5"/>
      <c r="W24" s="7"/>
      <c r="X24" s="7"/>
      <c r="Y24" s="7"/>
      <c r="Z24" s="7"/>
      <c r="AA24" s="7"/>
      <c r="AB24" s="7"/>
      <c r="AC24" s="7"/>
      <c r="AD24" s="7"/>
    </row>
    <row r="25" spans="1:31" ht="11.25" customHeight="1">
      <c r="A25" s="7"/>
      <c r="B25" s="5"/>
      <c r="C25" s="33">
        <f t="shared" ca="1" si="4"/>
        <v>44104</v>
      </c>
      <c r="D25" s="34">
        <f t="shared" ca="1" si="0"/>
        <v>0.23783163827550513</v>
      </c>
      <c r="E25" s="35"/>
      <c r="F25" s="34">
        <f t="shared" ca="1" si="1"/>
        <v>0.48619710860616994</v>
      </c>
      <c r="G25" s="35"/>
      <c r="H25" s="36">
        <f t="shared" ca="1" si="2"/>
        <v>0.37851357366126176</v>
      </c>
      <c r="I25" s="35"/>
      <c r="J25" s="36">
        <f t="shared" ca="1" si="3"/>
        <v>1.2923370568165151</v>
      </c>
      <c r="K25" s="5"/>
      <c r="L25" s="7"/>
      <c r="M25" s="5"/>
      <c r="N25" s="5"/>
      <c r="O25" s="5"/>
      <c r="P25" s="5"/>
      <c r="Q25" s="5"/>
      <c r="R25" s="5"/>
      <c r="S25" s="5"/>
      <c r="T25" s="5"/>
      <c r="U25" s="5"/>
      <c r="V25" s="5"/>
      <c r="W25" s="7"/>
      <c r="X25" s="7"/>
      <c r="Y25" s="7"/>
      <c r="Z25" s="7"/>
      <c r="AA25" s="7"/>
      <c r="AB25" s="7"/>
      <c r="AC25" s="7"/>
      <c r="AD25" s="7"/>
    </row>
    <row r="26" spans="1:31" ht="11.25" customHeight="1">
      <c r="A26" s="7"/>
      <c r="B26" s="5"/>
      <c r="C26" s="37">
        <f t="shared" ca="1" si="4"/>
        <v>44012</v>
      </c>
      <c r="D26" s="38">
        <f t="shared" ca="1" si="0"/>
        <v>0.16543634061238979</v>
      </c>
      <c r="E26" s="18"/>
      <c r="F26" s="38">
        <f t="shared" ca="1" si="1"/>
        <v>0.49527701278103653</v>
      </c>
      <c r="G26" s="18"/>
      <c r="H26" s="39">
        <f t="shared" ca="1" si="2"/>
        <v>0.25692117733973946</v>
      </c>
      <c r="I26" s="18"/>
      <c r="J26" s="39">
        <f t="shared" ca="1" si="3"/>
        <v>1.3001182062552334</v>
      </c>
      <c r="K26" s="5"/>
      <c r="L26" s="7"/>
      <c r="M26" s="5"/>
      <c r="N26" s="5"/>
      <c r="O26" s="5"/>
      <c r="P26" s="5"/>
      <c r="Q26" s="5"/>
      <c r="R26" s="5"/>
      <c r="S26" s="5"/>
      <c r="T26" s="5"/>
      <c r="U26" s="5"/>
      <c r="V26" s="5"/>
      <c r="W26" s="7"/>
      <c r="X26" s="7"/>
      <c r="Y26" s="7"/>
      <c r="Z26" s="7"/>
      <c r="AA26" s="7"/>
      <c r="AB26" s="7"/>
      <c r="AC26" s="7"/>
      <c r="AD26" s="7"/>
    </row>
    <row r="27" spans="1:31" ht="11.25" customHeight="1">
      <c r="A27" s="7"/>
      <c r="B27" s="5"/>
      <c r="C27" s="33">
        <f t="shared" ca="1" si="4"/>
        <v>43921</v>
      </c>
      <c r="D27" s="34">
        <f t="shared" ca="1" si="0"/>
        <v>9.1849233724482421E-2</v>
      </c>
      <c r="E27" s="35"/>
      <c r="F27" s="34">
        <f t="shared" ca="1" si="1"/>
        <v>0.51757117371795125</v>
      </c>
      <c r="G27" s="35"/>
      <c r="H27" s="36">
        <f t="shared" ca="1" si="2"/>
        <v>0.13874841802243068</v>
      </c>
      <c r="I27" s="35"/>
      <c r="J27" s="36">
        <f t="shared" ca="1" si="3"/>
        <v>1.2790202402959183</v>
      </c>
      <c r="K27" s="5"/>
      <c r="L27" s="7"/>
      <c r="M27" s="5"/>
      <c r="N27" s="5"/>
      <c r="O27" s="5"/>
      <c r="P27" s="5"/>
      <c r="Q27" s="5"/>
      <c r="R27" s="5"/>
      <c r="S27" s="5"/>
      <c r="T27" s="5"/>
      <c r="U27" s="5"/>
      <c r="V27" s="5"/>
      <c r="W27" s="7"/>
      <c r="X27" s="7"/>
      <c r="Y27" s="7"/>
      <c r="Z27" s="7"/>
      <c r="AA27" s="7"/>
      <c r="AB27" s="7"/>
      <c r="AC27" s="7"/>
      <c r="AD27" s="7"/>
    </row>
    <row r="28" spans="1:31" ht="11.25" customHeight="1">
      <c r="A28" s="7"/>
      <c r="B28" s="5"/>
      <c r="C28" s="37">
        <f t="shared" ca="1" si="4"/>
        <v>43830</v>
      </c>
      <c r="D28" s="38">
        <f t="shared" ca="1" si="0"/>
        <v>0.33117661891927502</v>
      </c>
      <c r="E28" s="18"/>
      <c r="F28" s="38">
        <f t="shared" ca="1" si="1"/>
        <v>0.46375306123510951</v>
      </c>
      <c r="G28" s="18"/>
      <c r="H28" s="39">
        <f t="shared" ca="1" si="2"/>
        <v>0.51826874216927477</v>
      </c>
      <c r="I28" s="18"/>
      <c r="J28" s="39">
        <f t="shared" ca="1" si="3"/>
        <v>1.3779005139361955</v>
      </c>
      <c r="K28" s="5"/>
      <c r="L28" s="7"/>
      <c r="M28" s="5"/>
      <c r="N28" s="5"/>
      <c r="O28" s="5"/>
      <c r="P28" s="5"/>
      <c r="Q28" s="5"/>
      <c r="R28" s="5"/>
      <c r="S28" s="5"/>
      <c r="T28" s="5"/>
      <c r="U28" s="5"/>
      <c r="V28" s="5"/>
      <c r="W28" s="7"/>
      <c r="X28" s="7"/>
      <c r="Y28" s="7"/>
      <c r="Z28" s="7"/>
      <c r="AA28" s="7"/>
      <c r="AB28" s="7"/>
      <c r="AC28" s="7"/>
      <c r="AD28" s="7"/>
    </row>
    <row r="29" spans="1:31" ht="11.25" customHeight="1">
      <c r="A29" s="7"/>
      <c r="B29" s="5"/>
      <c r="C29" s="33">
        <f t="shared" ca="1" si="4"/>
        <v>43738</v>
      </c>
      <c r="D29" s="34">
        <f t="shared" ca="1" si="0"/>
        <v>0.25581912753725017</v>
      </c>
      <c r="E29" s="35"/>
      <c r="F29" s="34">
        <f t="shared" ca="1" si="1"/>
        <v>0.47953860031733864</v>
      </c>
      <c r="G29" s="35"/>
      <c r="H29" s="36">
        <f t="shared" ca="1" si="2"/>
        <v>0.39397790002556182</v>
      </c>
      <c r="I29" s="35"/>
      <c r="J29" s="36">
        <f t="shared" ca="1" si="3"/>
        <v>1.3540589781613703</v>
      </c>
      <c r="K29" s="5"/>
      <c r="L29" s="7"/>
      <c r="M29" s="5"/>
      <c r="N29" s="5"/>
      <c r="O29" s="5"/>
      <c r="P29" s="5"/>
      <c r="Q29" s="5"/>
      <c r="R29" s="5"/>
      <c r="S29" s="5"/>
      <c r="T29" s="5"/>
      <c r="U29" s="5"/>
      <c r="V29" s="5"/>
      <c r="W29" s="7"/>
      <c r="X29" s="7"/>
      <c r="Y29" s="7"/>
      <c r="Z29" s="7"/>
      <c r="AA29" s="7"/>
      <c r="AB29" s="7"/>
      <c r="AC29" s="7"/>
      <c r="AD29" s="7"/>
    </row>
    <row r="30" spans="1:31" ht="11.25" customHeight="1">
      <c r="A30" s="7"/>
      <c r="B30" s="5"/>
      <c r="C30" s="37">
        <f t="shared" ca="1" si="4"/>
        <v>43646</v>
      </c>
      <c r="D30" s="38">
        <f t="shared" ca="1" si="0"/>
        <v>0.17532160886491358</v>
      </c>
      <c r="E30" s="18"/>
      <c r="F30" s="38">
        <f t="shared" ca="1" si="1"/>
        <v>0.48456950032067458</v>
      </c>
      <c r="G30" s="18"/>
      <c r="H30" s="39">
        <f t="shared" ca="1" si="2"/>
        <v>0.25339504379638206</v>
      </c>
      <c r="I30" s="18"/>
      <c r="J30" s="39">
        <f t="shared" ca="1" si="3"/>
        <v>1.4278456270763709</v>
      </c>
      <c r="K30" s="5"/>
      <c r="L30" s="7"/>
      <c r="M30" s="5"/>
      <c r="N30" s="5"/>
      <c r="O30" s="5"/>
      <c r="P30" s="5"/>
      <c r="Q30" s="5"/>
      <c r="R30" s="5"/>
      <c r="S30" s="5"/>
      <c r="T30" s="5"/>
      <c r="U30" s="5"/>
      <c r="V30" s="5"/>
      <c r="W30" s="7"/>
      <c r="X30" s="7"/>
      <c r="Y30" s="7"/>
      <c r="Z30" s="7"/>
      <c r="AA30" s="7"/>
      <c r="AB30" s="7"/>
      <c r="AC30" s="7"/>
      <c r="AD30" s="7"/>
    </row>
    <row r="31" spans="1:31" ht="11.25" customHeight="1">
      <c r="A31" s="7"/>
      <c r="B31" s="5"/>
      <c r="C31" s="33">
        <f t="shared" ca="1" si="4"/>
        <v>43555</v>
      </c>
      <c r="D31" s="34">
        <f t="shared" ca="1" si="0"/>
        <v>9.4737030693064175E-2</v>
      </c>
      <c r="E31" s="35"/>
      <c r="F31" s="34">
        <f t="shared" ca="1" si="1"/>
        <v>0.49916232908031954</v>
      </c>
      <c r="G31" s="35"/>
      <c r="H31" s="36">
        <f t="shared" ca="1" si="2"/>
        <v>0.14061979900841584</v>
      </c>
      <c r="I31" s="35"/>
      <c r="J31" s="36">
        <f t="shared" ca="1" si="3"/>
        <v>1.3496821162424399</v>
      </c>
      <c r="K31" s="5"/>
      <c r="L31" s="7"/>
      <c r="M31" s="5"/>
      <c r="N31" s="5"/>
      <c r="O31" s="5"/>
      <c r="P31" s="5"/>
      <c r="Q31" s="5"/>
      <c r="R31" s="5"/>
      <c r="S31" s="5"/>
      <c r="T31" s="5"/>
      <c r="U31" s="5"/>
      <c r="V31" s="5"/>
      <c r="W31" s="7"/>
      <c r="X31" s="7"/>
      <c r="Y31" s="7"/>
      <c r="Z31" s="7"/>
      <c r="AA31" s="7"/>
      <c r="AB31" s="7"/>
      <c r="AC31" s="7"/>
      <c r="AD31" s="7"/>
    </row>
    <row r="32" spans="1:31" ht="11.25" customHeight="1">
      <c r="A32" s="7"/>
      <c r="B32" s="5"/>
      <c r="C32" s="5"/>
      <c r="D32" s="5"/>
      <c r="E32" s="5"/>
      <c r="F32" s="5"/>
      <c r="G32" s="5"/>
      <c r="H32" s="5"/>
      <c r="I32" s="5"/>
      <c r="J32" s="5"/>
      <c r="K32" s="5"/>
      <c r="L32" s="7"/>
      <c r="M32" s="5"/>
      <c r="N32" s="5"/>
      <c r="O32" s="5"/>
      <c r="P32" s="5"/>
      <c r="Q32" s="5"/>
      <c r="R32" s="5"/>
      <c r="S32" s="5"/>
      <c r="T32" s="5"/>
      <c r="U32" s="5"/>
      <c r="V32" s="5"/>
      <c r="W32" s="7"/>
      <c r="X32" s="7"/>
      <c r="Y32" s="7"/>
      <c r="Z32" s="7"/>
      <c r="AA32" s="7"/>
      <c r="AB32" s="7"/>
      <c r="AC32" s="7"/>
      <c r="AD32" s="7"/>
    </row>
    <row r="33" spans="1:30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>
      <c r="A34" s="7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  <c r="X34" s="7"/>
      <c r="Y34" s="7"/>
      <c r="Z34" s="7"/>
      <c r="AA34" s="7"/>
      <c r="AB34" s="7"/>
      <c r="AC34" s="7"/>
      <c r="AD34" s="7"/>
    </row>
    <row r="35" spans="1:30" ht="17.25">
      <c r="A35" s="7"/>
      <c r="B35" s="5"/>
      <c r="C35" s="13" t="s">
        <v>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5"/>
      <c r="W35" s="7"/>
      <c r="X35" s="7"/>
      <c r="Y35" s="7"/>
      <c r="Z35" s="7"/>
      <c r="AA35" s="7"/>
      <c r="AB35" s="7"/>
      <c r="AC35" s="7"/>
      <c r="AD35" s="7"/>
    </row>
    <row r="36" spans="1:30">
      <c r="A36" s="7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7"/>
      <c r="X36" s="7"/>
      <c r="Y36" s="7"/>
      <c r="Z36" s="7"/>
      <c r="AA36" s="7"/>
      <c r="AB36" s="7"/>
      <c r="AC36" s="7"/>
      <c r="AD36" s="7"/>
    </row>
    <row r="37" spans="1:30" ht="16.5">
      <c r="A37" s="7"/>
      <c r="B37" s="5"/>
      <c r="C37" s="22" t="s">
        <v>0</v>
      </c>
      <c r="D37" s="23" t="s">
        <v>27</v>
      </c>
      <c r="E37" s="23" t="s">
        <v>2</v>
      </c>
      <c r="F37" s="23" t="s">
        <v>26</v>
      </c>
      <c r="G37" s="23" t="s">
        <v>5</v>
      </c>
      <c r="H37" s="24" t="s">
        <v>28</v>
      </c>
      <c r="I37" s="23"/>
      <c r="J37" s="23" t="s">
        <v>7</v>
      </c>
      <c r="K37" s="23" t="s">
        <v>2</v>
      </c>
      <c r="L37" s="23"/>
      <c r="M37" s="23" t="s">
        <v>8</v>
      </c>
      <c r="N37" s="23" t="s">
        <v>9</v>
      </c>
      <c r="O37" s="24" t="s">
        <v>10</v>
      </c>
      <c r="P37" s="23"/>
      <c r="Q37" s="23" t="s">
        <v>31</v>
      </c>
      <c r="R37" s="23" t="s">
        <v>2</v>
      </c>
      <c r="S37" s="23" t="s">
        <v>11</v>
      </c>
      <c r="T37" s="23" t="s">
        <v>9</v>
      </c>
      <c r="U37" s="23" t="s">
        <v>12</v>
      </c>
      <c r="V37" s="5"/>
      <c r="W37" s="7"/>
      <c r="X37" s="7"/>
      <c r="Y37" s="7"/>
      <c r="Z37" s="7"/>
      <c r="AA37" s="7"/>
      <c r="AB37" s="7"/>
      <c r="AC37" s="7"/>
      <c r="AD37" s="7"/>
    </row>
    <row r="38" spans="1:30">
      <c r="A38" s="7"/>
      <c r="B38" s="5"/>
      <c r="C38" s="40" t="str">
        <f ca="1">[1]!s_fa_latelyrd_bt($D$4,$D$5)</f>
        <v>2023-12-31</v>
      </c>
      <c r="D38" s="30">
        <f ca="1">F38*H38</f>
        <v>0.49637292501731894</v>
      </c>
      <c r="E38" s="31"/>
      <c r="F38" s="30">
        <f t="shared" ref="F38:F57" ca="1" si="5">F64</f>
        <v>0.51488646521207937</v>
      </c>
      <c r="G38" s="31"/>
      <c r="H38" s="41">
        <f t="shared" ref="H38:H57" ca="1" si="6">O64</f>
        <v>0.96404345142936554</v>
      </c>
      <c r="I38" s="31"/>
      <c r="J38" s="42">
        <f ca="1">M38/O38</f>
        <v>0.5713165667180955</v>
      </c>
      <c r="K38" s="31"/>
      <c r="L38" s="31"/>
      <c r="M38" s="43">
        <f ca="1">H90</f>
        <v>150560330316.45001</v>
      </c>
      <c r="N38" s="31"/>
      <c r="O38" s="44">
        <f t="shared" ref="O38:O57" ca="1" si="7">U64</f>
        <v>263532232543.75</v>
      </c>
      <c r="P38" s="31"/>
      <c r="Q38" s="32">
        <f ca="1">S38/U38</f>
        <v>1.2756438647692177</v>
      </c>
      <c r="R38" s="31"/>
      <c r="S38" s="45">
        <f t="shared" ref="S38:S57" ca="1" si="8">U64</f>
        <v>263532232543.75</v>
      </c>
      <c r="T38" s="31"/>
      <c r="U38" s="43">
        <f t="shared" ref="U38:U57" ca="1" si="9">Y64</f>
        <v>206587622001.715</v>
      </c>
      <c r="V38" s="5"/>
      <c r="W38" s="7"/>
      <c r="X38" s="7"/>
      <c r="Y38" s="7"/>
      <c r="Z38" s="7"/>
      <c r="AA38" s="7"/>
      <c r="AB38" s="7"/>
      <c r="AC38" s="7"/>
      <c r="AD38" s="7"/>
    </row>
    <row r="39" spans="1:30">
      <c r="A39" s="7"/>
      <c r="B39" s="5"/>
      <c r="C39" s="33">
        <f ca="1">EOMONTH(C38,-3)</f>
        <v>45199</v>
      </c>
      <c r="D39" s="34">
        <f t="shared" ref="D39:D57" ca="1" si="10">F39*H39</f>
        <v>0.50207249654744746</v>
      </c>
      <c r="E39" s="35"/>
      <c r="F39" s="34">
        <f t="shared" ca="1" si="5"/>
        <v>0.52059728055013876</v>
      </c>
      <c r="G39" s="35"/>
      <c r="H39" s="46">
        <f t="shared" ca="1" si="6"/>
        <v>0.96441628741680063</v>
      </c>
      <c r="I39" s="35"/>
      <c r="J39" s="47">
        <f t="shared" ref="J39:J57" ca="1" si="11">M39/O39</f>
        <v>0.4078524113795946</v>
      </c>
      <c r="K39" s="35"/>
      <c r="L39" s="35"/>
      <c r="M39" s="48">
        <f t="shared" ref="M39:M57" ca="1" si="12">H91</f>
        <v>105315900448.10001</v>
      </c>
      <c r="N39" s="35"/>
      <c r="O39" s="49">
        <f t="shared" ca="1" si="7"/>
        <v>258220614883.35999</v>
      </c>
      <c r="P39" s="35"/>
      <c r="Q39" s="36">
        <f t="shared" ref="Q39:Q57" ca="1" si="13">S39/U39</f>
        <v>1.2434919522460508</v>
      </c>
      <c r="R39" s="35"/>
      <c r="S39" s="50">
        <f t="shared" ca="1" si="8"/>
        <v>258220614883.35999</v>
      </c>
      <c r="T39" s="35"/>
      <c r="U39" s="48">
        <f t="shared" ca="1" si="9"/>
        <v>207657648621.64999</v>
      </c>
      <c r="V39" s="5"/>
      <c r="W39" s="7"/>
      <c r="X39" s="7"/>
      <c r="Y39" s="7"/>
      <c r="Z39" s="7"/>
      <c r="AA39" s="7"/>
      <c r="AB39" s="7"/>
      <c r="AC39" s="7"/>
      <c r="AD39" s="7"/>
    </row>
    <row r="40" spans="1:30">
      <c r="A40" s="7"/>
      <c r="B40" s="5"/>
      <c r="C40" s="37">
        <f t="shared" ref="C40:C57" ca="1" si="14">EOMONTH(C39,-3)</f>
        <v>45107</v>
      </c>
      <c r="D40" s="30">
        <f t="shared" ca="1" si="10"/>
        <v>0.50685774338584211</v>
      </c>
      <c r="E40" s="31"/>
      <c r="F40" s="30">
        <f t="shared" ca="1" si="5"/>
        <v>0.52589717559978244</v>
      </c>
      <c r="G40" s="31"/>
      <c r="H40" s="41">
        <f t="shared" ca="1" si="6"/>
        <v>0.96379628357534719</v>
      </c>
      <c r="I40" s="31"/>
      <c r="J40" s="42">
        <f t="shared" ca="1" si="11"/>
        <v>0.28625658546348243</v>
      </c>
      <c r="K40" s="31"/>
      <c r="L40" s="31"/>
      <c r="M40" s="43">
        <f t="shared" ca="1" si="12"/>
        <v>70987206095.380005</v>
      </c>
      <c r="N40" s="31"/>
      <c r="O40" s="44">
        <f t="shared" ca="1" si="7"/>
        <v>247984534505.79498</v>
      </c>
      <c r="P40" s="31"/>
      <c r="Q40" s="32">
        <f t="shared" ca="1" si="13"/>
        <v>1.2448310839259189</v>
      </c>
      <c r="R40" s="31"/>
      <c r="S40" s="45">
        <f t="shared" ca="1" si="8"/>
        <v>247984534505.79498</v>
      </c>
      <c r="T40" s="31"/>
      <c r="U40" s="43">
        <f t="shared" ca="1" si="9"/>
        <v>199211393182.52499</v>
      </c>
      <c r="V40" s="5"/>
      <c r="W40" s="7"/>
      <c r="X40" s="7"/>
      <c r="Y40" s="7"/>
      <c r="Z40" s="7"/>
      <c r="AA40" s="7"/>
      <c r="AB40" s="7"/>
      <c r="AC40" s="7"/>
      <c r="AD40" s="7"/>
    </row>
    <row r="41" spans="1:30">
      <c r="A41" s="7"/>
      <c r="B41" s="5"/>
      <c r="C41" s="33">
        <f t="shared" ca="1" si="14"/>
        <v>45016</v>
      </c>
      <c r="D41" s="34">
        <f t="shared" ca="1" si="10"/>
        <v>0.52806631402635706</v>
      </c>
      <c r="E41" s="35"/>
      <c r="F41" s="34">
        <f t="shared" ca="1" si="5"/>
        <v>0.54659998126030396</v>
      </c>
      <c r="G41" s="35"/>
      <c r="H41" s="46">
        <f t="shared" ca="1" si="6"/>
        <v>0.96609281399678515</v>
      </c>
      <c r="I41" s="35"/>
      <c r="J41" s="47">
        <f t="shared" ca="1" si="11"/>
        <v>0.15359872322554285</v>
      </c>
      <c r="K41" s="35"/>
      <c r="L41" s="35"/>
      <c r="M41" s="48">
        <f t="shared" ca="1" si="12"/>
        <v>39379301807.75</v>
      </c>
      <c r="N41" s="35"/>
      <c r="O41" s="49">
        <f t="shared" ca="1" si="7"/>
        <v>256377793908.64999</v>
      </c>
      <c r="P41" s="35"/>
      <c r="Q41" s="36">
        <f t="shared" ca="1" si="13"/>
        <v>1.2332307297886522</v>
      </c>
      <c r="R41" s="35"/>
      <c r="S41" s="50">
        <f t="shared" ca="1" si="8"/>
        <v>256377793908.64999</v>
      </c>
      <c r="T41" s="35"/>
      <c r="U41" s="48">
        <f t="shared" ca="1" si="9"/>
        <v>207891181849.31</v>
      </c>
      <c r="V41" s="5"/>
      <c r="W41" s="7"/>
      <c r="X41" s="7"/>
      <c r="Y41" s="7"/>
      <c r="Z41" s="7"/>
      <c r="AA41" s="7"/>
      <c r="AB41" s="7"/>
      <c r="AC41" s="7"/>
      <c r="AD41" s="7"/>
    </row>
    <row r="42" spans="1:30">
      <c r="A42" s="7"/>
      <c r="B42" s="5"/>
      <c r="C42" s="37">
        <f t="shared" ca="1" si="14"/>
        <v>44926</v>
      </c>
      <c r="D42" s="30">
        <f t="shared" ca="1" si="10"/>
        <v>0.49168558980787636</v>
      </c>
      <c r="E42" s="31"/>
      <c r="F42" s="30">
        <f t="shared" ca="1" si="5"/>
        <v>0.51252926288477618</v>
      </c>
      <c r="G42" s="31"/>
      <c r="H42" s="41">
        <f t="shared" ca="1" si="6"/>
        <v>0.95933174047549796</v>
      </c>
      <c r="I42" s="31"/>
      <c r="J42" s="42">
        <f t="shared" ca="1" si="11"/>
        <v>0.50067006186892904</v>
      </c>
      <c r="K42" s="31"/>
      <c r="L42" s="31"/>
      <c r="M42" s="43">
        <f t="shared" ca="1" si="12"/>
        <v>127553959355.97</v>
      </c>
      <c r="N42" s="31"/>
      <c r="O42" s="44">
        <f t="shared" ca="1" si="7"/>
        <v>254766500077.57501</v>
      </c>
      <c r="P42" s="31"/>
      <c r="Q42" s="32">
        <f t="shared" ca="1" si="13"/>
        <v>1.3164661201138348</v>
      </c>
      <c r="R42" s="31"/>
      <c r="S42" s="45">
        <f t="shared" ca="1" si="8"/>
        <v>254766500077.57501</v>
      </c>
      <c r="T42" s="31"/>
      <c r="U42" s="43">
        <f t="shared" ca="1" si="9"/>
        <v>193523020596.64502</v>
      </c>
      <c r="V42" s="5"/>
      <c r="W42" s="7"/>
      <c r="X42" s="7"/>
      <c r="Y42" s="7"/>
      <c r="Z42" s="7"/>
      <c r="AA42" s="7"/>
      <c r="AB42" s="7"/>
      <c r="AC42" s="7"/>
      <c r="AD42" s="7"/>
    </row>
    <row r="43" spans="1:30">
      <c r="A43" s="7"/>
      <c r="B43" s="5"/>
      <c r="C43" s="33">
        <f t="shared" ca="1" si="14"/>
        <v>44834</v>
      </c>
      <c r="D43" s="34">
        <f t="shared" ca="1" si="10"/>
        <v>0.49450777144589453</v>
      </c>
      <c r="E43" s="35"/>
      <c r="F43" s="34">
        <f t="shared" ca="1" si="5"/>
        <v>0.51582713906898592</v>
      </c>
      <c r="G43" s="35"/>
      <c r="H43" s="46">
        <f t="shared" ca="1" si="6"/>
        <v>0.95866955030405998</v>
      </c>
      <c r="I43" s="35"/>
      <c r="J43" s="47">
        <f t="shared" ca="1" si="11"/>
        <v>0.35705466647963457</v>
      </c>
      <c r="K43" s="35"/>
      <c r="L43" s="35"/>
      <c r="M43" s="48">
        <f t="shared" ca="1" si="12"/>
        <v>89785880318.360001</v>
      </c>
      <c r="N43" s="35"/>
      <c r="O43" s="49">
        <f t="shared" ca="1" si="7"/>
        <v>251462559511.125</v>
      </c>
      <c r="P43" s="35"/>
      <c r="Q43" s="36">
        <f t="shared" ca="1" si="13"/>
        <v>1.2692176024217363</v>
      </c>
      <c r="R43" s="35"/>
      <c r="S43" s="50">
        <f t="shared" ca="1" si="8"/>
        <v>251462559511.125</v>
      </c>
      <c r="T43" s="35"/>
      <c r="U43" s="48">
        <f t="shared" ca="1" si="9"/>
        <v>198124071893.83502</v>
      </c>
      <c r="V43" s="5"/>
      <c r="W43" s="7"/>
      <c r="X43" s="7"/>
      <c r="Y43" s="7"/>
      <c r="Z43" s="7"/>
      <c r="AA43" s="7"/>
      <c r="AB43" s="7"/>
      <c r="AC43" s="7"/>
      <c r="AD43" s="7"/>
    </row>
    <row r="44" spans="1:30">
      <c r="A44" s="7"/>
      <c r="B44" s="5"/>
      <c r="C44" s="37">
        <f t="shared" ca="1" si="14"/>
        <v>44742</v>
      </c>
      <c r="D44" s="38">
        <f t="shared" ca="1" si="10"/>
        <v>0.50121373741018305</v>
      </c>
      <c r="E44" s="18"/>
      <c r="F44" s="38">
        <f t="shared" ca="1" si="5"/>
        <v>0.52327595760971612</v>
      </c>
      <c r="G44" s="18"/>
      <c r="H44" s="51">
        <f t="shared" ca="1" si="6"/>
        <v>0.9578382689311552</v>
      </c>
      <c r="I44" s="18"/>
      <c r="J44" s="52">
        <f t="shared" ca="1" si="11"/>
        <v>0.2401674021903982</v>
      </c>
      <c r="K44" s="18"/>
      <c r="L44" s="18"/>
      <c r="M44" s="53">
        <f t="shared" ca="1" si="12"/>
        <v>59443518511.239998</v>
      </c>
      <c r="N44" s="18"/>
      <c r="O44" s="54">
        <f t="shared" ca="1" si="7"/>
        <v>247508687561.66498</v>
      </c>
      <c r="P44" s="18"/>
      <c r="Q44" s="39">
        <f t="shared" ca="1" si="13"/>
        <v>1.2970711228497955</v>
      </c>
      <c r="R44" s="18"/>
      <c r="S44" s="55">
        <f t="shared" ca="1" si="8"/>
        <v>247508687561.66498</v>
      </c>
      <c r="T44" s="18"/>
      <c r="U44" s="53">
        <f t="shared" ca="1" si="9"/>
        <v>190821214967.66</v>
      </c>
      <c r="V44" s="5"/>
      <c r="W44" s="7"/>
      <c r="X44" s="7"/>
      <c r="Y44" s="7"/>
      <c r="Z44" s="7"/>
      <c r="AA44" s="7"/>
      <c r="AB44" s="7"/>
      <c r="AC44" s="7"/>
      <c r="AD44" s="7"/>
    </row>
    <row r="45" spans="1:30">
      <c r="A45" s="7"/>
      <c r="B45" s="5"/>
      <c r="C45" s="33">
        <f t="shared" ca="1" si="14"/>
        <v>44651</v>
      </c>
      <c r="D45" s="34">
        <f t="shared" ca="1" si="10"/>
        <v>0.51962772558237946</v>
      </c>
      <c r="E45" s="35"/>
      <c r="F45" s="34">
        <f t="shared" ca="1" si="5"/>
        <v>0.54093559144502179</v>
      </c>
      <c r="G45" s="35"/>
      <c r="H45" s="46">
        <f t="shared" ca="1" si="6"/>
        <v>0.96060923666397735</v>
      </c>
      <c r="I45" s="35"/>
      <c r="J45" s="47">
        <f t="shared" ca="1" si="11"/>
        <v>0.13105279505614559</v>
      </c>
      <c r="K45" s="35"/>
      <c r="L45" s="35"/>
      <c r="M45" s="48">
        <f t="shared" ca="1" si="12"/>
        <v>33187160227.049999</v>
      </c>
      <c r="N45" s="35"/>
      <c r="O45" s="49">
        <f t="shared" ca="1" si="7"/>
        <v>253235043272.69</v>
      </c>
      <c r="P45" s="35"/>
      <c r="Q45" s="36">
        <f t="shared" ca="1" si="13"/>
        <v>1.2779245834775339</v>
      </c>
      <c r="R45" s="35"/>
      <c r="S45" s="50">
        <f t="shared" ca="1" si="8"/>
        <v>253235043272.69</v>
      </c>
      <c r="T45" s="35"/>
      <c r="U45" s="48">
        <f t="shared" ca="1" si="9"/>
        <v>198161179890.27002</v>
      </c>
      <c r="V45" s="5"/>
      <c r="W45" s="7"/>
      <c r="X45" s="7"/>
      <c r="Y45" s="7"/>
      <c r="Z45" s="7"/>
      <c r="AA45" s="7"/>
      <c r="AB45" s="7"/>
      <c r="AC45" s="7"/>
      <c r="AD45" s="7"/>
    </row>
    <row r="46" spans="1:30">
      <c r="A46" s="7"/>
      <c r="B46" s="5"/>
      <c r="C46" s="37">
        <f t="shared" ca="1" si="14"/>
        <v>44561</v>
      </c>
      <c r="D46" s="38">
        <f t="shared" ca="1" si="10"/>
        <v>0.47924441714144284</v>
      </c>
      <c r="E46" s="18"/>
      <c r="F46" s="38">
        <f t="shared" ca="1" si="5"/>
        <v>0.50902934443530001</v>
      </c>
      <c r="G46" s="18"/>
      <c r="H46" s="51">
        <f t="shared" ca="1" si="6"/>
        <v>0.94148681678283286</v>
      </c>
      <c r="I46" s="18"/>
      <c r="J46" s="52">
        <f t="shared" ca="1" si="11"/>
        <v>0.467232980917138</v>
      </c>
      <c r="K46" s="18"/>
      <c r="L46" s="18"/>
      <c r="M46" s="53">
        <f t="shared" ca="1" si="12"/>
        <v>109464278563.89</v>
      </c>
      <c r="N46" s="18"/>
      <c r="O46" s="54">
        <f t="shared" ca="1" si="7"/>
        <v>234282002843.67999</v>
      </c>
      <c r="P46" s="18"/>
      <c r="Q46" s="39">
        <f t="shared" ca="1" si="13"/>
        <v>1.3354648464433161</v>
      </c>
      <c r="R46" s="18"/>
      <c r="S46" s="55">
        <f t="shared" ca="1" si="8"/>
        <v>234282002843.67999</v>
      </c>
      <c r="T46" s="18"/>
      <c r="U46" s="53">
        <f t="shared" ca="1" si="9"/>
        <v>175431051942.42499</v>
      </c>
      <c r="V46" s="5"/>
      <c r="W46" s="7"/>
      <c r="X46" s="7"/>
      <c r="Y46" s="7"/>
      <c r="Z46" s="7"/>
      <c r="AA46" s="7"/>
      <c r="AB46" s="7"/>
      <c r="AC46" s="7"/>
      <c r="AD46" s="7"/>
    </row>
    <row r="47" spans="1:30">
      <c r="A47" s="7"/>
      <c r="B47" s="5"/>
      <c r="C47" s="33">
        <f t="shared" ca="1" si="14"/>
        <v>44469</v>
      </c>
      <c r="D47" s="34">
        <f t="shared" ca="1" si="10"/>
        <v>0.48364241771064642</v>
      </c>
      <c r="E47" s="35"/>
      <c r="F47" s="34">
        <f t="shared" ca="1" si="5"/>
        <v>0.51360598029494242</v>
      </c>
      <c r="G47" s="35"/>
      <c r="H47" s="46">
        <f t="shared" ca="1" si="6"/>
        <v>0.94166040946974727</v>
      </c>
      <c r="I47" s="35"/>
      <c r="J47" s="47">
        <f t="shared" ca="1" si="11"/>
        <v>0.35176213371051968</v>
      </c>
      <c r="K47" s="35"/>
      <c r="L47" s="35"/>
      <c r="M47" s="48">
        <f t="shared" ca="1" si="12"/>
        <v>77053154965.960007</v>
      </c>
      <c r="N47" s="35"/>
      <c r="O47" s="49">
        <f t="shared" ca="1" si="7"/>
        <v>219049032234.29498</v>
      </c>
      <c r="P47" s="35"/>
      <c r="Q47" s="36">
        <f t="shared" ca="1" si="13"/>
        <v>1.3051407088041658</v>
      </c>
      <c r="R47" s="35"/>
      <c r="S47" s="50">
        <f t="shared" ca="1" si="8"/>
        <v>219049032234.29498</v>
      </c>
      <c r="T47" s="35"/>
      <c r="U47" s="48">
        <f t="shared" ca="1" si="9"/>
        <v>167835568040.01501</v>
      </c>
      <c r="V47" s="5"/>
      <c r="W47" s="7"/>
      <c r="X47" s="7"/>
      <c r="Y47" s="7"/>
      <c r="Z47" s="7"/>
      <c r="AA47" s="7"/>
      <c r="AB47" s="7"/>
      <c r="AC47" s="7"/>
      <c r="AD47" s="7"/>
    </row>
    <row r="48" spans="1:30">
      <c r="A48" s="7"/>
      <c r="B48" s="5"/>
      <c r="C48" s="37">
        <f t="shared" ca="1" si="14"/>
        <v>44377</v>
      </c>
      <c r="D48" s="38">
        <f t="shared" ca="1" si="10"/>
        <v>0.48606498711724594</v>
      </c>
      <c r="E48" s="18"/>
      <c r="F48" s="38">
        <f t="shared" ca="1" si="5"/>
        <v>0.51667716865798752</v>
      </c>
      <c r="G48" s="18"/>
      <c r="H48" s="51">
        <f t="shared" ca="1" si="6"/>
        <v>0.94075182067701313</v>
      </c>
      <c r="I48" s="18"/>
      <c r="J48" s="52">
        <f t="shared" ca="1" si="11"/>
        <v>0.23798182156912931</v>
      </c>
      <c r="K48" s="18"/>
      <c r="L48" s="18"/>
      <c r="M48" s="53">
        <f t="shared" ca="1" si="12"/>
        <v>50721582926.18</v>
      </c>
      <c r="N48" s="18"/>
      <c r="O48" s="54">
        <f t="shared" ca="1" si="7"/>
        <v>213132173675.065</v>
      </c>
      <c r="P48" s="18"/>
      <c r="Q48" s="39">
        <f t="shared" ca="1" si="13"/>
        <v>1.3194566973382027</v>
      </c>
      <c r="R48" s="18"/>
      <c r="S48" s="55">
        <f t="shared" ca="1" si="8"/>
        <v>213132173675.065</v>
      </c>
      <c r="T48" s="18"/>
      <c r="U48" s="53">
        <f t="shared" ca="1" si="9"/>
        <v>161530252644.91498</v>
      </c>
      <c r="V48" s="5"/>
      <c r="W48" s="7"/>
      <c r="X48" s="7"/>
      <c r="Y48" s="7"/>
      <c r="Z48" s="7"/>
      <c r="AA48" s="7"/>
      <c r="AB48" s="7"/>
      <c r="AC48" s="7"/>
      <c r="AD48" s="7"/>
    </row>
    <row r="49" spans="1:30">
      <c r="A49" s="7"/>
      <c r="B49" s="5"/>
      <c r="C49" s="33">
        <f t="shared" ca="1" si="14"/>
        <v>44286</v>
      </c>
      <c r="D49" s="34">
        <f t="shared" ca="1" si="10"/>
        <v>0.49722406863119661</v>
      </c>
      <c r="E49" s="35"/>
      <c r="F49" s="34">
        <f t="shared" ca="1" si="5"/>
        <v>0.52635557223144225</v>
      </c>
      <c r="G49" s="35"/>
      <c r="H49" s="46">
        <f t="shared" ca="1" si="6"/>
        <v>0.94465432658621817</v>
      </c>
      <c r="I49" s="35"/>
      <c r="J49" s="47">
        <f t="shared" ca="1" si="11"/>
        <v>0.1309557595419294</v>
      </c>
      <c r="K49" s="35"/>
      <c r="L49" s="35"/>
      <c r="M49" s="48">
        <f t="shared" ca="1" si="12"/>
        <v>28064735731.77</v>
      </c>
      <c r="N49" s="35"/>
      <c r="O49" s="49">
        <f t="shared" ca="1" si="7"/>
        <v>214306998256.03497</v>
      </c>
      <c r="P49" s="35"/>
      <c r="Q49" s="36">
        <f t="shared" ca="1" si="13"/>
        <v>1.2733744305705637</v>
      </c>
      <c r="R49" s="35"/>
      <c r="S49" s="50">
        <f t="shared" ca="1" si="8"/>
        <v>214306998256.03497</v>
      </c>
      <c r="T49" s="35"/>
      <c r="U49" s="48">
        <f t="shared" ca="1" si="9"/>
        <v>168298493444.70502</v>
      </c>
      <c r="V49" s="5"/>
      <c r="W49" s="7"/>
      <c r="X49" s="7"/>
      <c r="Y49" s="7"/>
      <c r="Z49" s="7"/>
      <c r="AA49" s="7"/>
      <c r="AB49" s="7"/>
      <c r="AC49" s="7"/>
      <c r="AD49" s="7"/>
    </row>
    <row r="50" spans="1:30">
      <c r="A50" s="7"/>
      <c r="B50" s="5"/>
      <c r="C50" s="37">
        <f t="shared" ca="1" si="14"/>
        <v>44196</v>
      </c>
      <c r="D50" s="38">
        <f t="shared" ca="1" si="10"/>
        <v>0.47653578135558616</v>
      </c>
      <c r="E50" s="18"/>
      <c r="F50" s="38">
        <f t="shared" ca="1" si="5"/>
        <v>0.50537495881451622</v>
      </c>
      <c r="G50" s="18"/>
      <c r="H50" s="51">
        <f t="shared" ca="1" si="6"/>
        <v>0.94293508818367344</v>
      </c>
      <c r="I50" s="18"/>
      <c r="J50" s="52">
        <f t="shared" ca="1" si="11"/>
        <v>0.49436832681431747</v>
      </c>
      <c r="K50" s="18"/>
      <c r="L50" s="18"/>
      <c r="M50" s="53">
        <f t="shared" ca="1" si="12"/>
        <v>97993240501.210007</v>
      </c>
      <c r="N50" s="18"/>
      <c r="O50" s="54">
        <f t="shared" ca="1" si="7"/>
        <v>198219091284.97998</v>
      </c>
      <c r="P50" s="18"/>
      <c r="Q50" s="39">
        <f t="shared" ca="1" si="13"/>
        <v>1.3333133869704832</v>
      </c>
      <c r="R50" s="18"/>
      <c r="S50" s="55">
        <f t="shared" ca="1" si="8"/>
        <v>198219091284.97998</v>
      </c>
      <c r="T50" s="18"/>
      <c r="U50" s="53">
        <f t="shared" ca="1" si="9"/>
        <v>148666542481.33499</v>
      </c>
      <c r="V50" s="5"/>
      <c r="W50" s="7"/>
      <c r="X50" s="7"/>
      <c r="Y50" s="7"/>
      <c r="Z50" s="7"/>
      <c r="AA50" s="7"/>
      <c r="AB50" s="7"/>
      <c r="AC50" s="7"/>
      <c r="AD50" s="7"/>
    </row>
    <row r="51" spans="1:30">
      <c r="A51" s="7"/>
      <c r="B51" s="5"/>
      <c r="C51" s="33">
        <f t="shared" ca="1" si="14"/>
        <v>44104</v>
      </c>
      <c r="D51" s="34">
        <f t="shared" ca="1" si="10"/>
        <v>0.48619710860616994</v>
      </c>
      <c r="E51" s="35"/>
      <c r="F51" s="34">
        <f t="shared" ca="1" si="5"/>
        <v>0.5152818798950427</v>
      </c>
      <c r="G51" s="35"/>
      <c r="H51" s="46">
        <f t="shared" ca="1" si="6"/>
        <v>0.94355561019378942</v>
      </c>
      <c r="I51" s="35"/>
      <c r="J51" s="47">
        <f t="shared" ca="1" si="11"/>
        <v>0.37851357366126176</v>
      </c>
      <c r="K51" s="35"/>
      <c r="L51" s="35"/>
      <c r="M51" s="48">
        <f t="shared" ca="1" si="12"/>
        <v>69574876860.529999</v>
      </c>
      <c r="N51" s="35"/>
      <c r="O51" s="49">
        <f t="shared" ca="1" si="7"/>
        <v>183810784346.64999</v>
      </c>
      <c r="P51" s="35"/>
      <c r="Q51" s="36">
        <f t="shared" ca="1" si="13"/>
        <v>1.2923370568165151</v>
      </c>
      <c r="R51" s="35"/>
      <c r="S51" s="50">
        <f t="shared" ca="1" si="8"/>
        <v>183810784346.64999</v>
      </c>
      <c r="T51" s="35"/>
      <c r="U51" s="48">
        <f t="shared" ca="1" si="9"/>
        <v>142231303650.33499</v>
      </c>
      <c r="V51" s="5"/>
      <c r="W51" s="7"/>
      <c r="X51" s="7"/>
      <c r="Y51" s="7"/>
      <c r="Z51" s="7"/>
      <c r="AA51" s="7"/>
      <c r="AB51" s="7"/>
      <c r="AC51" s="7"/>
      <c r="AD51" s="7"/>
    </row>
    <row r="52" spans="1:30">
      <c r="A52" s="7"/>
      <c r="B52" s="5"/>
      <c r="C52" s="37">
        <f t="shared" ca="1" si="14"/>
        <v>44012</v>
      </c>
      <c r="D52" s="38">
        <f t="shared" ca="1" si="10"/>
        <v>0.49527701278103653</v>
      </c>
      <c r="E52" s="18"/>
      <c r="F52" s="38">
        <f t="shared" ca="1" si="5"/>
        <v>0.52433167823732418</v>
      </c>
      <c r="G52" s="18"/>
      <c r="H52" s="51">
        <f t="shared" ca="1" si="6"/>
        <v>0.94458723998145144</v>
      </c>
      <c r="I52" s="18"/>
      <c r="J52" s="52">
        <f t="shared" ca="1" si="11"/>
        <v>0.25692117733973946</v>
      </c>
      <c r="K52" s="18"/>
      <c r="L52" s="18"/>
      <c r="M52" s="53">
        <f t="shared" ca="1" si="12"/>
        <v>45634371275.580002</v>
      </c>
      <c r="N52" s="18"/>
      <c r="O52" s="54">
        <f t="shared" ca="1" si="7"/>
        <v>177620123604.03998</v>
      </c>
      <c r="P52" s="18"/>
      <c r="Q52" s="39">
        <f t="shared" ca="1" si="13"/>
        <v>1.3001182062552334</v>
      </c>
      <c r="R52" s="18"/>
      <c r="S52" s="55">
        <f t="shared" ca="1" si="8"/>
        <v>177620123604.03998</v>
      </c>
      <c r="T52" s="18"/>
      <c r="U52" s="53">
        <f t="shared" ca="1" si="9"/>
        <v>136618441884.33</v>
      </c>
      <c r="V52" s="5"/>
      <c r="W52" s="7"/>
      <c r="X52" s="7"/>
      <c r="Y52" s="7"/>
      <c r="Z52" s="7"/>
      <c r="AA52" s="7"/>
      <c r="AB52" s="7"/>
      <c r="AC52" s="7"/>
      <c r="AD52" s="7"/>
    </row>
    <row r="53" spans="1:30">
      <c r="A53" s="7"/>
      <c r="B53" s="5"/>
      <c r="C53" s="33">
        <f t="shared" ca="1" si="14"/>
        <v>43921</v>
      </c>
      <c r="D53" s="34">
        <f t="shared" ca="1" si="10"/>
        <v>0.51757117371795125</v>
      </c>
      <c r="E53" s="35"/>
      <c r="F53" s="34">
        <f t="shared" ca="1" si="5"/>
        <v>0.54797153415411537</v>
      </c>
      <c r="G53" s="35"/>
      <c r="H53" s="46">
        <f t="shared" ca="1" si="6"/>
        <v>0.94452200791215901</v>
      </c>
      <c r="I53" s="35"/>
      <c r="J53" s="47">
        <f t="shared" ca="1" si="11"/>
        <v>0.13874841802243068</v>
      </c>
      <c r="K53" s="35"/>
      <c r="L53" s="35"/>
      <c r="M53" s="48">
        <f t="shared" ca="1" si="12"/>
        <v>25298492025.939999</v>
      </c>
      <c r="N53" s="35"/>
      <c r="O53" s="49">
        <f t="shared" ca="1" si="7"/>
        <v>182333552962.38501</v>
      </c>
      <c r="P53" s="35"/>
      <c r="Q53" s="36">
        <f t="shared" ca="1" si="13"/>
        <v>1.2790202402959183</v>
      </c>
      <c r="R53" s="35"/>
      <c r="S53" s="50">
        <f t="shared" ca="1" si="8"/>
        <v>182333552962.38501</v>
      </c>
      <c r="T53" s="35"/>
      <c r="U53" s="48">
        <f t="shared" ca="1" si="9"/>
        <v>142557206850.92499</v>
      </c>
      <c r="V53" s="5"/>
      <c r="W53" s="7"/>
      <c r="X53" s="7"/>
      <c r="Y53" s="7"/>
      <c r="Z53" s="7"/>
      <c r="AA53" s="7"/>
      <c r="AB53" s="7"/>
      <c r="AC53" s="7"/>
      <c r="AD53" s="7"/>
    </row>
    <row r="54" spans="1:30">
      <c r="A54" s="7"/>
      <c r="B54" s="5"/>
      <c r="C54" s="37">
        <f t="shared" ca="1" si="14"/>
        <v>43830</v>
      </c>
      <c r="D54" s="38">
        <f t="shared" ca="1" si="10"/>
        <v>0.46375306123510951</v>
      </c>
      <c r="E54" s="18"/>
      <c r="F54" s="38">
        <f t="shared" ca="1" si="5"/>
        <v>0.49485486060905215</v>
      </c>
      <c r="G54" s="18"/>
      <c r="H54" s="51">
        <f t="shared" ca="1" si="6"/>
        <v>0.93714965366680747</v>
      </c>
      <c r="I54" s="18"/>
      <c r="J54" s="52">
        <f t="shared" ca="1" si="11"/>
        <v>0.51826874216927477</v>
      </c>
      <c r="K54" s="18"/>
      <c r="L54" s="18"/>
      <c r="M54" s="53">
        <f t="shared" ca="1" si="12"/>
        <v>88854337488.759995</v>
      </c>
      <c r="N54" s="18"/>
      <c r="O54" s="54">
        <f t="shared" ca="1" si="7"/>
        <v>171444523389.255</v>
      </c>
      <c r="P54" s="18"/>
      <c r="Q54" s="39">
        <f t="shared" ca="1" si="13"/>
        <v>1.3779005139361955</v>
      </c>
      <c r="R54" s="18"/>
      <c r="S54" s="55">
        <f t="shared" ca="1" si="8"/>
        <v>171444523389.255</v>
      </c>
      <c r="T54" s="18"/>
      <c r="U54" s="53">
        <f t="shared" ca="1" si="9"/>
        <v>124424457103.58</v>
      </c>
      <c r="V54" s="5"/>
      <c r="W54" s="7"/>
      <c r="X54" s="7"/>
      <c r="Y54" s="7"/>
      <c r="Z54" s="7"/>
      <c r="AA54" s="7"/>
      <c r="AB54" s="7"/>
      <c r="AC54" s="7"/>
      <c r="AD54" s="7"/>
    </row>
    <row r="55" spans="1:30">
      <c r="A55" s="7"/>
      <c r="B55" s="5"/>
      <c r="C55" s="33">
        <f t="shared" ca="1" si="14"/>
        <v>43738</v>
      </c>
      <c r="D55" s="34">
        <f t="shared" ca="1" si="10"/>
        <v>0.47953860031733864</v>
      </c>
      <c r="E55" s="35"/>
      <c r="F55" s="34">
        <f t="shared" ca="1" si="5"/>
        <v>0.51036034740845004</v>
      </c>
      <c r="G55" s="35"/>
      <c r="H55" s="46">
        <f t="shared" ca="1" si="6"/>
        <v>0.93960787265777868</v>
      </c>
      <c r="I55" s="35"/>
      <c r="J55" s="47">
        <f t="shared" ca="1" si="11"/>
        <v>0.39397790002556182</v>
      </c>
      <c r="K55" s="35"/>
      <c r="L55" s="35"/>
      <c r="M55" s="48">
        <f t="shared" ca="1" si="12"/>
        <v>63508663046.699997</v>
      </c>
      <c r="N55" s="35"/>
      <c r="O55" s="49">
        <f t="shared" ca="1" si="7"/>
        <v>161198541955.22</v>
      </c>
      <c r="P55" s="35"/>
      <c r="Q55" s="36">
        <f t="shared" ca="1" si="13"/>
        <v>1.3540589781613703</v>
      </c>
      <c r="R55" s="35"/>
      <c r="S55" s="50">
        <f t="shared" ca="1" si="8"/>
        <v>161198541955.22</v>
      </c>
      <c r="T55" s="35"/>
      <c r="U55" s="48">
        <f t="shared" ca="1" si="9"/>
        <v>119048390472.70001</v>
      </c>
      <c r="V55" s="5"/>
      <c r="W55" s="7"/>
      <c r="X55" s="7"/>
      <c r="Y55" s="7"/>
      <c r="Z55" s="7"/>
      <c r="AA55" s="7"/>
      <c r="AB55" s="7"/>
      <c r="AC55" s="7"/>
      <c r="AD55" s="7"/>
    </row>
    <row r="56" spans="1:30">
      <c r="A56" s="7"/>
      <c r="B56" s="5"/>
      <c r="C56" s="37">
        <f t="shared" ca="1" si="14"/>
        <v>43646</v>
      </c>
      <c r="D56" s="38">
        <f t="shared" ca="1" si="10"/>
        <v>0.48456950032067458</v>
      </c>
      <c r="E56" s="18"/>
      <c r="F56" s="38">
        <f t="shared" ca="1" si="5"/>
        <v>0.51482018842898847</v>
      </c>
      <c r="G56" s="18"/>
      <c r="H56" s="51">
        <f t="shared" ca="1" si="6"/>
        <v>0.94124028391227998</v>
      </c>
      <c r="I56" s="18"/>
      <c r="J56" s="52">
        <f t="shared" ca="1" si="11"/>
        <v>0.25339504379638206</v>
      </c>
      <c r="K56" s="18"/>
      <c r="L56" s="18"/>
      <c r="M56" s="53">
        <f t="shared" ca="1" si="12"/>
        <v>41172681309.940002</v>
      </c>
      <c r="N56" s="18"/>
      <c r="O56" s="54">
        <f t="shared" ca="1" si="7"/>
        <v>162484161856.87</v>
      </c>
      <c r="P56" s="18"/>
      <c r="Q56" s="39">
        <f t="shared" ca="1" si="13"/>
        <v>1.4278456270763709</v>
      </c>
      <c r="R56" s="18"/>
      <c r="S56" s="55">
        <f t="shared" ca="1" si="8"/>
        <v>162484161856.87</v>
      </c>
      <c r="T56" s="18"/>
      <c r="U56" s="53">
        <f t="shared" ca="1" si="9"/>
        <v>113796728985.03</v>
      </c>
      <c r="V56" s="5"/>
      <c r="W56" s="7"/>
      <c r="X56" s="7"/>
      <c r="Y56" s="7"/>
      <c r="Z56" s="7"/>
      <c r="AA56" s="7"/>
      <c r="AB56" s="7"/>
      <c r="AC56" s="7"/>
      <c r="AD56" s="7"/>
    </row>
    <row r="57" spans="1:30">
      <c r="A57" s="7"/>
      <c r="B57" s="5"/>
      <c r="C57" s="33">
        <f t="shared" ca="1" si="14"/>
        <v>43555</v>
      </c>
      <c r="D57" s="34">
        <f t="shared" ca="1" si="10"/>
        <v>0.49916232908031954</v>
      </c>
      <c r="E57" s="35"/>
      <c r="F57" s="34">
        <f t="shared" ca="1" si="5"/>
        <v>0.5300463835405308</v>
      </c>
      <c r="G57" s="35"/>
      <c r="H57" s="46">
        <f t="shared" ca="1" si="6"/>
        <v>0.94173329840698805</v>
      </c>
      <c r="I57" s="35"/>
      <c r="J57" s="47">
        <f t="shared" ca="1" si="11"/>
        <v>0.14061979900841584</v>
      </c>
      <c r="K57" s="35"/>
      <c r="L57" s="35"/>
      <c r="M57" s="48">
        <f t="shared" ca="1" si="12"/>
        <v>22480525254.689999</v>
      </c>
      <c r="N57" s="35"/>
      <c r="O57" s="49">
        <f t="shared" ca="1" si="7"/>
        <v>159867425591.64502</v>
      </c>
      <c r="P57" s="35"/>
      <c r="Q57" s="36">
        <f t="shared" ca="1" si="13"/>
        <v>1.3496821162424399</v>
      </c>
      <c r="R57" s="35"/>
      <c r="S57" s="50">
        <f t="shared" ca="1" si="8"/>
        <v>159867425591.64502</v>
      </c>
      <c r="T57" s="35"/>
      <c r="U57" s="48">
        <f t="shared" ca="1" si="9"/>
        <v>118448206187.04001</v>
      </c>
      <c r="V57" s="5"/>
      <c r="W57" s="7"/>
      <c r="X57" s="7"/>
      <c r="Y57" s="7"/>
      <c r="Z57" s="7"/>
      <c r="AA57" s="7"/>
      <c r="AB57" s="7"/>
      <c r="AC57" s="7"/>
      <c r="AD57" s="7"/>
    </row>
    <row r="58" spans="1:30">
      <c r="A58" s="7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7"/>
      <c r="X58" s="7"/>
      <c r="Y58" s="7"/>
      <c r="Z58" s="7"/>
      <c r="AA58" s="7"/>
      <c r="AB58" s="7"/>
      <c r="AC58" s="7"/>
      <c r="AD58" s="7"/>
    </row>
    <row r="59" spans="1:30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>
      <c r="A60" s="7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7"/>
    </row>
    <row r="61" spans="1:30" ht="17.25">
      <c r="A61" s="7"/>
      <c r="B61" s="5"/>
      <c r="C61" s="13" t="s">
        <v>13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5"/>
      <c r="AD61" s="7"/>
    </row>
    <row r="62" spans="1:30">
      <c r="A62" s="7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7"/>
    </row>
    <row r="63" spans="1:30" s="28" customFormat="1" ht="16.5">
      <c r="A63" s="25"/>
      <c r="B63" s="26"/>
      <c r="C63" s="22" t="s">
        <v>46</v>
      </c>
      <c r="D63" s="23" t="s">
        <v>45</v>
      </c>
      <c r="E63" s="23"/>
      <c r="F63" s="23" t="s">
        <v>26</v>
      </c>
      <c r="G63" s="23" t="s">
        <v>2</v>
      </c>
      <c r="H63" s="27" t="s">
        <v>22</v>
      </c>
      <c r="I63" s="23" t="s">
        <v>36</v>
      </c>
      <c r="J63" s="27" t="s">
        <v>37</v>
      </c>
      <c r="K63" s="27" t="s">
        <v>36</v>
      </c>
      <c r="L63" s="27"/>
      <c r="M63" s="24" t="s">
        <v>35</v>
      </c>
      <c r="N63" s="27"/>
      <c r="O63" s="27" t="s">
        <v>38</v>
      </c>
      <c r="P63" s="23" t="s">
        <v>2</v>
      </c>
      <c r="Q63" s="27" t="s">
        <v>39</v>
      </c>
      <c r="R63" s="23" t="s">
        <v>9</v>
      </c>
      <c r="S63" s="24" t="s">
        <v>40</v>
      </c>
      <c r="T63" s="23"/>
      <c r="U63" s="27" t="s">
        <v>41</v>
      </c>
      <c r="V63" s="23" t="s">
        <v>2</v>
      </c>
      <c r="W63" s="27" t="s">
        <v>42</v>
      </c>
      <c r="X63" s="24" t="s">
        <v>43</v>
      </c>
      <c r="Y63" s="23" t="s">
        <v>44</v>
      </c>
      <c r="Z63" s="23" t="s">
        <v>2</v>
      </c>
      <c r="AA63" s="27" t="s">
        <v>14</v>
      </c>
      <c r="AB63" s="23" t="s">
        <v>15</v>
      </c>
      <c r="AC63" s="26"/>
      <c r="AD63" s="25"/>
    </row>
    <row r="64" spans="1:30">
      <c r="A64" s="7"/>
      <c r="B64" s="5"/>
      <c r="C64" s="40" t="str">
        <f ca="1">[1]!s_fa_latelyrd_bt($D$4,$D$5)</f>
        <v>2023-12-31</v>
      </c>
      <c r="D64" s="37">
        <f ca="1">[1]!s_stm_rpt_s($D$4,C64,0)-1</f>
        <v>44926</v>
      </c>
      <c r="E64" s="31"/>
      <c r="F64" s="30">
        <f t="shared" ref="F64:F83" ca="1" si="15">H64*J64*M64</f>
        <v>0.51488646521207937</v>
      </c>
      <c r="G64" s="31"/>
      <c r="H64" s="30">
        <f t="shared" ref="H64:H83" ca="1" si="16">D90</f>
        <v>0.67569509301259023</v>
      </c>
      <c r="I64" s="31"/>
      <c r="J64" s="30">
        <f t="shared" ref="J64:J83" ca="1" si="17">J90</f>
        <v>0.74782526108480718</v>
      </c>
      <c r="K64" s="30"/>
      <c r="L64" s="30"/>
      <c r="M64" s="56">
        <f t="shared" ref="M64:M83" ca="1" si="18">Q90</f>
        <v>1.0189680795527325</v>
      </c>
      <c r="N64" s="57"/>
      <c r="O64" s="30">
        <f t="shared" ref="O64:O83" ca="1" si="19">Q64/S64</f>
        <v>0.96404345142936554</v>
      </c>
      <c r="P64" s="57"/>
      <c r="Q64" s="43">
        <f ca="1">[1]!S_STM07_IS($D$4,"W34070043",C64,1,1)</f>
        <v>74734071550.75</v>
      </c>
      <c r="R64" s="31"/>
      <c r="S64" s="58">
        <f ca="1">M90</f>
        <v>77521476277.800003</v>
      </c>
      <c r="T64" s="31"/>
      <c r="U64" s="59">
        <f ca="1">(W64+X64)/2</f>
        <v>263532232543.75</v>
      </c>
      <c r="V64" s="31"/>
      <c r="W64" s="59">
        <f ca="1">[1]!s_stm07_bs($D$4,"W28160527",D64,1,1)</f>
        <v>254364804995.25</v>
      </c>
      <c r="X64" s="44">
        <f ca="1">[1]!s_stm07_bs($D$4,"W28160527",C64,1,1)</f>
        <v>272699660092.25</v>
      </c>
      <c r="Y64" s="43">
        <f ca="1">(AA64+AB64)/2</f>
        <v>206587622001.715</v>
      </c>
      <c r="Z64" s="31"/>
      <c r="AA64" s="59">
        <f ca="1">[1]!s_stm07_bs($D$4,"W22016741",D64,1,1)</f>
        <v>197506672396</v>
      </c>
      <c r="AB64" s="59">
        <f ca="1">[1]!s_stm07_bs($D$4,"W22016741",C64,1,1)</f>
        <v>215668571607.42999</v>
      </c>
      <c r="AC64" s="5"/>
      <c r="AD64" s="7"/>
    </row>
    <row r="65" spans="1:30">
      <c r="A65" s="7"/>
      <c r="B65" s="5"/>
      <c r="C65" s="33">
        <f ca="1">EOMONTH(C64,-3)</f>
        <v>45199</v>
      </c>
      <c r="D65" s="33">
        <f ca="1">[1]!s_stm_rpt_s($D$4,C65,0)-1</f>
        <v>44926</v>
      </c>
      <c r="E65" s="35"/>
      <c r="F65" s="34">
        <f t="shared" ca="1" si="15"/>
        <v>0.52059728055013876</v>
      </c>
      <c r="G65" s="35"/>
      <c r="H65" s="34">
        <f t="shared" ca="1" si="16"/>
        <v>0.68173976809629322</v>
      </c>
      <c r="I65" s="35"/>
      <c r="J65" s="34">
        <f t="shared" ca="1" si="17"/>
        <v>0.74873211762609293</v>
      </c>
      <c r="K65" s="34"/>
      <c r="L65" s="34"/>
      <c r="M65" s="46">
        <f t="shared" ca="1" si="18"/>
        <v>1.0198981489609396</v>
      </c>
      <c r="N65" s="60"/>
      <c r="O65" s="34">
        <f t="shared" ca="1" si="19"/>
        <v>0.96441628741680063</v>
      </c>
      <c r="P65" s="60"/>
      <c r="Q65" s="48">
        <f ca="1">[1]!S_STM07_IS($D$4,"W34070043",C65,1,1)</f>
        <v>52876217064.120003</v>
      </c>
      <c r="R65" s="35"/>
      <c r="S65" s="61">
        <f t="shared" ref="S65:S83" ca="1" si="20">M91</f>
        <v>54827171371.970001</v>
      </c>
      <c r="T65" s="35"/>
      <c r="U65" s="62">
        <f t="shared" ref="U65:U83" ca="1" si="21">(W65+X65)/2</f>
        <v>258220614883.35999</v>
      </c>
      <c r="V65" s="35"/>
      <c r="W65" s="62">
        <f ca="1">[1]!s_stm07_bs($D$4,"W28160527",D65,1,1)</f>
        <v>254364804995.25</v>
      </c>
      <c r="X65" s="49">
        <f ca="1">[1]!s_stm07_bs($D$4,"W28160527",C65,1,1)</f>
        <v>262076424771.47</v>
      </c>
      <c r="Y65" s="48">
        <f t="shared" ref="Y65:Y83" ca="1" si="22">(AA65+AB65)/2</f>
        <v>207657648621.64999</v>
      </c>
      <c r="Z65" s="35"/>
      <c r="AA65" s="48">
        <f ca="1">[1]!s_stm07_bs($D$4,"W22016741",D65,1,1)</f>
        <v>197506672396</v>
      </c>
      <c r="AB65" s="62">
        <f ca="1">[1]!s_stm07_bs($D$4,"W22016741",C65,1,1)</f>
        <v>217808624847.29999</v>
      </c>
      <c r="AC65" s="5"/>
      <c r="AD65" s="7"/>
    </row>
    <row r="66" spans="1:30">
      <c r="A66" s="7"/>
      <c r="B66" s="5"/>
      <c r="C66" s="37">
        <f t="shared" ref="C66:C83" ca="1" si="23">EOMONTH(C65,-3)</f>
        <v>45107</v>
      </c>
      <c r="D66" s="37">
        <f ca="1">[1]!s_stm_rpt_s($D$4,C66,0)-1</f>
        <v>44926</v>
      </c>
      <c r="E66" s="31"/>
      <c r="F66" s="30">
        <f t="shared" ca="1" si="15"/>
        <v>0.52589717559978244</v>
      </c>
      <c r="G66" s="31"/>
      <c r="H66" s="30">
        <f t="shared" ca="1" si="16"/>
        <v>0.69001822442900573</v>
      </c>
      <c r="I66" s="31"/>
      <c r="J66" s="30">
        <f t="shared" ca="1" si="17"/>
        <v>0.74777629075031282</v>
      </c>
      <c r="K66" s="30"/>
      <c r="L66" s="30"/>
      <c r="M66" s="41">
        <f t="shared" ca="1" si="18"/>
        <v>1.0192215226333334</v>
      </c>
      <c r="N66" s="57"/>
      <c r="O66" s="30">
        <f t="shared" ca="1" si="19"/>
        <v>0.96379628357534719</v>
      </c>
      <c r="P66" s="57"/>
      <c r="Q66" s="43">
        <f ca="1">[1]!S_STM07_IS($D$4,"W34070043",C66,1,1)</f>
        <v>35980415090.769997</v>
      </c>
      <c r="R66" s="31"/>
      <c r="S66" s="58">
        <f t="shared" ca="1" si="20"/>
        <v>37331971189.279999</v>
      </c>
      <c r="T66" s="31"/>
      <c r="U66" s="59">
        <f t="shared" ca="1" si="21"/>
        <v>247984534505.79498</v>
      </c>
      <c r="V66" s="31"/>
      <c r="W66" s="59">
        <f ca="1">[1]!s_stm07_bs($D$4,"W28160527",D66,1,1)</f>
        <v>254364804995.25</v>
      </c>
      <c r="X66" s="44">
        <f ca="1">[1]!s_stm07_bs($D$4,"W28160527",C66,1,1)</f>
        <v>241604264016.34</v>
      </c>
      <c r="Y66" s="43">
        <f t="shared" ca="1" si="22"/>
        <v>199211393182.52499</v>
      </c>
      <c r="Z66" s="31"/>
      <c r="AA66" s="43">
        <f ca="1">[1]!s_stm07_bs($D$4,"W22016741",D66,1,1)</f>
        <v>197506672396</v>
      </c>
      <c r="AB66" s="59">
        <f ca="1">[1]!s_stm07_bs($D$4,"W22016741",C66,1,1)</f>
        <v>200916113969.04999</v>
      </c>
      <c r="AC66" s="5"/>
      <c r="AD66" s="7"/>
    </row>
    <row r="67" spans="1:30">
      <c r="A67" s="7"/>
      <c r="B67" s="5"/>
      <c r="C67" s="33">
        <f t="shared" ca="1" si="23"/>
        <v>45016</v>
      </c>
      <c r="D67" s="33">
        <f ca="1">[1]!s_stm_rpt_s($D$4,C67,0)-1</f>
        <v>44926</v>
      </c>
      <c r="E67" s="35"/>
      <c r="F67" s="34">
        <f t="shared" ca="1" si="15"/>
        <v>0.54659998126030396</v>
      </c>
      <c r="G67" s="35"/>
      <c r="H67" s="34">
        <f t="shared" ca="1" si="16"/>
        <v>0.71798455024704422</v>
      </c>
      <c r="I67" s="35"/>
      <c r="J67" s="34">
        <f t="shared" ca="1" si="17"/>
        <v>0.74998667982967604</v>
      </c>
      <c r="K67" s="34"/>
      <c r="L67" s="34"/>
      <c r="M67" s="46">
        <f t="shared" ca="1" si="18"/>
        <v>1.0150816179065698</v>
      </c>
      <c r="N67" s="60"/>
      <c r="O67" s="34">
        <f t="shared" ca="1" si="19"/>
        <v>0.96609281399678515</v>
      </c>
      <c r="P67" s="60"/>
      <c r="Q67" s="48">
        <f ca="1">[1]!S_STM07_IS($D$4,"W34070043",C67,1,1)</f>
        <v>20794882754.549999</v>
      </c>
      <c r="R67" s="35"/>
      <c r="S67" s="61">
        <f t="shared" ca="1" si="20"/>
        <v>21524725630.16</v>
      </c>
      <c r="T67" s="35"/>
      <c r="U67" s="62">
        <f ca="1">(W67+X67)/2</f>
        <v>256377793908.64999</v>
      </c>
      <c r="V67" s="35"/>
      <c r="W67" s="62">
        <f ca="1">[1]!s_stm07_bs($D$4,"W28160527",D67,1,1)</f>
        <v>254364804995.25</v>
      </c>
      <c r="X67" s="49">
        <f ca="1">[1]!s_stm07_bs($D$4,"W28160527",C67,1,1)</f>
        <v>258390782822.04999</v>
      </c>
      <c r="Y67" s="48">
        <f t="shared" ca="1" si="22"/>
        <v>207891181849.31</v>
      </c>
      <c r="Z67" s="35"/>
      <c r="AA67" s="48">
        <f ca="1">[1]!s_stm07_bs($D$4,"W22016741",D67,1,1)</f>
        <v>197506672396</v>
      </c>
      <c r="AB67" s="62">
        <f ca="1">[1]!s_stm07_bs($D$4,"W22016741",C67,1,1)</f>
        <v>218275691302.62</v>
      </c>
      <c r="AC67" s="5"/>
      <c r="AD67" s="7"/>
    </row>
    <row r="68" spans="1:30">
      <c r="A68" s="7"/>
      <c r="B68" s="5"/>
      <c r="C68" s="37">
        <f t="shared" ca="1" si="23"/>
        <v>44926</v>
      </c>
      <c r="D68" s="37">
        <f ca="1">[1]!s_stm_rpt_s($D$4,C68,0)-1</f>
        <v>44561</v>
      </c>
      <c r="E68" s="31"/>
      <c r="F68" s="30">
        <f t="shared" ca="1" si="15"/>
        <v>0.51252926288477618</v>
      </c>
      <c r="G68" s="31"/>
      <c r="H68" s="30">
        <f t="shared" ca="1" si="16"/>
        <v>0.67609105263947056</v>
      </c>
      <c r="I68" s="31"/>
      <c r="J68" s="30">
        <f t="shared" ca="1" si="17"/>
        <v>0.74542789357927275</v>
      </c>
      <c r="K68" s="30"/>
      <c r="L68" s="30"/>
      <c r="M68" s="41">
        <f t="shared" ca="1" si="18"/>
        <v>1.016969289183604</v>
      </c>
      <c r="N68" s="57"/>
      <c r="O68" s="30">
        <f t="shared" ca="1" si="19"/>
        <v>0.95933174047549796</v>
      </c>
      <c r="P68" s="57"/>
      <c r="Q68" s="43">
        <f ca="1">[1]!S_STM07_IS($D$4,"W34070043",C68,1,1)</f>
        <v>62716443738.269997</v>
      </c>
      <c r="R68" s="31"/>
      <c r="S68" s="58">
        <f t="shared" ca="1" si="20"/>
        <v>65375136766.75</v>
      </c>
      <c r="T68" s="31"/>
      <c r="U68" s="59">
        <f t="shared" ca="1" si="21"/>
        <v>254766500077.57501</v>
      </c>
      <c r="V68" s="31"/>
      <c r="W68" s="59">
        <f ca="1">[1]!s_stm07_bs($D$4,"W28160527",D68,1,1)</f>
        <v>255168195159.89999</v>
      </c>
      <c r="X68" s="44">
        <f ca="1">[1]!s_stm07_bs($D$4,"W28160527",C68,1,1)</f>
        <v>254364804995.25</v>
      </c>
      <c r="Y68" s="43">
        <f t="shared" ca="1" si="22"/>
        <v>193523020596.64502</v>
      </c>
      <c r="Z68" s="31"/>
      <c r="AA68" s="43">
        <f ca="1">[1]!s_stm07_bs($D$4,"W22016741",D68,1,1)</f>
        <v>189539368797.29001</v>
      </c>
      <c r="AB68" s="59">
        <f ca="1">[1]!s_stm07_bs($D$4,"W22016741",C68,1,1)</f>
        <v>197506672396</v>
      </c>
      <c r="AC68" s="5"/>
      <c r="AD68" s="7"/>
    </row>
    <row r="69" spans="1:30">
      <c r="A69" s="7"/>
      <c r="B69" s="5"/>
      <c r="C69" s="33">
        <f t="shared" ca="1" si="23"/>
        <v>44834</v>
      </c>
      <c r="D69" s="33">
        <f ca="1">[1]!s_stm_rpt_s($D$4,C69,0)-1</f>
        <v>44561</v>
      </c>
      <c r="E69" s="35"/>
      <c r="F69" s="34">
        <f t="shared" ca="1" si="15"/>
        <v>0.51582713906898592</v>
      </c>
      <c r="G69" s="35"/>
      <c r="H69" s="34">
        <f t="shared" ca="1" si="16"/>
        <v>0.67783852768545927</v>
      </c>
      <c r="I69" s="35"/>
      <c r="J69" s="34">
        <f t="shared" ca="1" si="17"/>
        <v>0.7480082490396146</v>
      </c>
      <c r="K69" s="34"/>
      <c r="L69" s="34"/>
      <c r="M69" s="46">
        <f t="shared" ca="1" si="18"/>
        <v>1.017352719738905</v>
      </c>
      <c r="N69" s="60"/>
      <c r="O69" s="34">
        <f t="shared" ca="1" si="19"/>
        <v>0.95866955030405998</v>
      </c>
      <c r="P69" s="60"/>
      <c r="Q69" s="48">
        <f ca="1">[1]!S_STM07_IS($D$4,"W34070043",C69,1,1)</f>
        <v>44399815583.540001</v>
      </c>
      <c r="R69" s="35"/>
      <c r="S69" s="61">
        <f t="shared" ca="1" si="20"/>
        <v>46313993773.410004</v>
      </c>
      <c r="T69" s="35"/>
      <c r="U69" s="62">
        <f t="shared" ca="1" si="21"/>
        <v>251462559511.125</v>
      </c>
      <c r="V69" s="35"/>
      <c r="W69" s="62">
        <f ca="1">[1]!s_stm07_bs($D$4,"W28160527",D69,1,1)</f>
        <v>255168195159.89999</v>
      </c>
      <c r="X69" s="49">
        <f ca="1">[1]!s_stm07_bs($D$4,"W28160527",C69,1,1)</f>
        <v>247756923862.35001</v>
      </c>
      <c r="Y69" s="48">
        <f t="shared" ca="1" si="22"/>
        <v>198124071893.83502</v>
      </c>
      <c r="Z69" s="35"/>
      <c r="AA69" s="48">
        <f ca="1">[1]!s_stm07_bs($D$4,"W22016741",D69,1,1)</f>
        <v>189539368797.29001</v>
      </c>
      <c r="AB69" s="62">
        <f ca="1">[1]!s_stm07_bs($D$4,"W22016741",C69,1,1)</f>
        <v>206708774990.38</v>
      </c>
      <c r="AC69" s="5"/>
      <c r="AD69" s="7"/>
    </row>
    <row r="70" spans="1:30">
      <c r="A70" s="7"/>
      <c r="B70" s="5"/>
      <c r="C70" s="37">
        <f t="shared" ca="1" si="23"/>
        <v>44742</v>
      </c>
      <c r="D70" s="37">
        <f ca="1">[1]!s_stm_rpt_s($D$4,C70,0)-1</f>
        <v>44561</v>
      </c>
      <c r="E70" s="18"/>
      <c r="F70" s="38">
        <f t="shared" ca="1" si="15"/>
        <v>0.52327595760971612</v>
      </c>
      <c r="G70" s="18"/>
      <c r="H70" s="38">
        <f t="shared" ca="1" si="16"/>
        <v>0.68920924120841343</v>
      </c>
      <c r="I70" s="18"/>
      <c r="J70" s="38">
        <f t="shared" ca="1" si="17"/>
        <v>0.74700824911407204</v>
      </c>
      <c r="K70" s="38"/>
      <c r="L70" s="38"/>
      <c r="M70" s="51">
        <f t="shared" ca="1" si="18"/>
        <v>1.0163757426971429</v>
      </c>
      <c r="N70" s="63"/>
      <c r="O70" s="38">
        <f t="shared" ca="1" si="19"/>
        <v>0.9578382689311552</v>
      </c>
      <c r="P70" s="63"/>
      <c r="Q70" s="53">
        <f ca="1">[1]!S_STM07_IS($D$4,"W34070043",C70,1,1)</f>
        <v>29793908077.830002</v>
      </c>
      <c r="R70" s="18"/>
      <c r="S70" s="64">
        <f t="shared" ca="1" si="20"/>
        <v>31105364072.66</v>
      </c>
      <c r="T70" s="18"/>
      <c r="U70" s="65">
        <f t="shared" ca="1" si="21"/>
        <v>247508687561.66498</v>
      </c>
      <c r="V70" s="18"/>
      <c r="W70" s="65">
        <f ca="1">[1]!s_stm07_bs($D$4,"W28160527",D70,1,1)</f>
        <v>255168195159.89999</v>
      </c>
      <c r="X70" s="54">
        <f ca="1">[1]!s_stm07_bs($D$4,"W28160527",C70,1,1)</f>
        <v>239849179963.42999</v>
      </c>
      <c r="Y70" s="53">
        <f t="shared" ca="1" si="22"/>
        <v>190821214967.66</v>
      </c>
      <c r="Z70" s="18"/>
      <c r="AA70" s="53">
        <f ca="1">[1]!s_stm07_bs($D$4,"W22016741",D70,1,1)</f>
        <v>189539368797.29001</v>
      </c>
      <c r="AB70" s="65">
        <f ca="1">[1]!s_stm07_bs($D$4,"W22016741",C70,1,1)</f>
        <v>192103061138.03</v>
      </c>
      <c r="AC70" s="5"/>
      <c r="AD70" s="7"/>
    </row>
    <row r="71" spans="1:30">
      <c r="A71" s="7"/>
      <c r="B71" s="5"/>
      <c r="C71" s="33">
        <f t="shared" ca="1" si="23"/>
        <v>44651</v>
      </c>
      <c r="D71" s="33">
        <f ca="1">[1]!s_stm_rpt_s($D$4,C71,0)-1</f>
        <v>44561</v>
      </c>
      <c r="E71" s="35"/>
      <c r="F71" s="34">
        <f t="shared" ca="1" si="15"/>
        <v>0.54093559144502179</v>
      </c>
      <c r="G71" s="35"/>
      <c r="H71" s="34">
        <f t="shared" ca="1" si="16"/>
        <v>0.71343055315928183</v>
      </c>
      <c r="I71" s="35"/>
      <c r="J71" s="34">
        <f t="shared" ca="1" si="17"/>
        <v>0.74765848484919528</v>
      </c>
      <c r="K71" s="34"/>
      <c r="L71" s="34"/>
      <c r="M71" s="46">
        <f t="shared" ca="1" si="18"/>
        <v>1.0141228928369244</v>
      </c>
      <c r="N71" s="60"/>
      <c r="O71" s="34">
        <f t="shared" ca="1" si="19"/>
        <v>0.96060923666397735</v>
      </c>
      <c r="P71" s="60"/>
      <c r="Q71" s="48">
        <f ca="1">[1]!S_STM07_IS($D$4,"W34070043",C71,1,1)</f>
        <v>17244968587.32</v>
      </c>
      <c r="R71" s="35"/>
      <c r="S71" s="61">
        <f t="shared" ca="1" si="20"/>
        <v>17952116145.799999</v>
      </c>
      <c r="T71" s="35"/>
      <c r="U71" s="62">
        <f t="shared" ca="1" si="21"/>
        <v>253235043272.69</v>
      </c>
      <c r="V71" s="35"/>
      <c r="W71" s="62">
        <f ca="1">[1]!s_stm07_bs($D$4,"W28160527",D71,1,1)</f>
        <v>255168195159.89999</v>
      </c>
      <c r="X71" s="49">
        <f ca="1">[1]!s_stm07_bs($D$4,"W28160527",C71,1,1)</f>
        <v>251301891385.48001</v>
      </c>
      <c r="Y71" s="48">
        <f t="shared" ca="1" si="22"/>
        <v>198161179890.27002</v>
      </c>
      <c r="Z71" s="35"/>
      <c r="AA71" s="48">
        <f ca="1">[1]!s_stm07_bs($D$4,"W22016741",D71,1,1)</f>
        <v>189539368797.29001</v>
      </c>
      <c r="AB71" s="62">
        <f ca="1">[1]!s_stm07_bs($D$4,"W22016741",C71,1,1)</f>
        <v>206782990983.25</v>
      </c>
      <c r="AC71" s="5"/>
      <c r="AD71" s="7"/>
    </row>
    <row r="72" spans="1:30">
      <c r="A72" s="7"/>
      <c r="B72" s="5"/>
      <c r="C72" s="37">
        <f t="shared" ca="1" si="23"/>
        <v>44561</v>
      </c>
      <c r="D72" s="37">
        <f ca="1">[1]!s_stm_rpt_s($D$4,C72,0)-1</f>
        <v>44196</v>
      </c>
      <c r="E72" s="18"/>
      <c r="F72" s="38">
        <f t="shared" ca="1" si="15"/>
        <v>0.50902934443530001</v>
      </c>
      <c r="G72" s="18"/>
      <c r="H72" s="38">
        <f t="shared" ca="1" si="16"/>
        <v>0.67233790160636131</v>
      </c>
      <c r="I72" s="18"/>
      <c r="J72" s="38">
        <f t="shared" ca="1" si="17"/>
        <v>0.74764526232414386</v>
      </c>
      <c r="K72" s="38"/>
      <c r="L72" s="38"/>
      <c r="M72" s="51">
        <f t="shared" ca="1" si="18"/>
        <v>1.0126506346031323</v>
      </c>
      <c r="N72" s="63"/>
      <c r="O72" s="38">
        <f t="shared" ca="1" si="19"/>
        <v>0.94148681678283286</v>
      </c>
      <c r="P72" s="63"/>
      <c r="Q72" s="53">
        <f ca="1">[1]!S_STM07_IS($D$4,"W34070043",C72,1,1)</f>
        <v>52460144378.160004</v>
      </c>
      <c r="R72" s="18"/>
      <c r="S72" s="64">
        <f t="shared" ca="1" si="20"/>
        <v>55720529956.459999</v>
      </c>
      <c r="T72" s="18"/>
      <c r="U72" s="65">
        <f t="shared" ca="1" si="21"/>
        <v>234282002843.67999</v>
      </c>
      <c r="V72" s="18"/>
      <c r="W72" s="65">
        <f ca="1">[1]!s_stm07_bs($D$4,"W28160527",D72,1,1)</f>
        <v>213395810527.45999</v>
      </c>
      <c r="X72" s="54">
        <f ca="1">[1]!s_stm07_bs($D$4,"W28160527",C72,1,1)</f>
        <v>255168195159.89999</v>
      </c>
      <c r="Y72" s="53">
        <f t="shared" ca="1" si="22"/>
        <v>175431051942.42499</v>
      </c>
      <c r="Z72" s="18"/>
      <c r="AA72" s="53">
        <f ca="1">[1]!s_stm07_bs($D$4,"W22016741",D72,1,1)</f>
        <v>161322735087.56</v>
      </c>
      <c r="AB72" s="65">
        <f ca="1">[1]!s_stm07_bs($D$4,"W22016741",C72,1,1)</f>
        <v>189539368797.29001</v>
      </c>
      <c r="AC72" s="5"/>
      <c r="AD72" s="7"/>
    </row>
    <row r="73" spans="1:30">
      <c r="A73" s="7"/>
      <c r="B73" s="5"/>
      <c r="C73" s="33">
        <f t="shared" ca="1" si="23"/>
        <v>44469</v>
      </c>
      <c r="D73" s="33">
        <f ca="1">[1]!s_stm_rpt_s($D$4,C73,0)-1</f>
        <v>44196</v>
      </c>
      <c r="E73" s="35"/>
      <c r="F73" s="34">
        <f t="shared" ca="1" si="15"/>
        <v>0.51360598029494242</v>
      </c>
      <c r="G73" s="35"/>
      <c r="H73" s="34">
        <f t="shared" ca="1" si="16"/>
        <v>0.67810541021380244</v>
      </c>
      <c r="I73" s="35"/>
      <c r="J73" s="34">
        <f t="shared" ca="1" si="17"/>
        <v>0.74873034034788877</v>
      </c>
      <c r="K73" s="34"/>
      <c r="L73" s="34"/>
      <c r="M73" s="46">
        <f t="shared" ca="1" si="18"/>
        <v>1.0115967616215746</v>
      </c>
      <c r="N73" s="60"/>
      <c r="O73" s="34">
        <f t="shared" ca="1" si="19"/>
        <v>0.94166040946974727</v>
      </c>
      <c r="P73" s="60"/>
      <c r="Q73" s="48">
        <f ca="1">[1]!S_STM07_IS($D$4,"W34070043",C73,1,1)</f>
        <v>37266174159.970001</v>
      </c>
      <c r="R73" s="35"/>
      <c r="S73" s="61">
        <f t="shared" ca="1" si="20"/>
        <v>39574961191.110001</v>
      </c>
      <c r="T73" s="35"/>
      <c r="U73" s="62">
        <f t="shared" ca="1" si="21"/>
        <v>219049032234.29498</v>
      </c>
      <c r="V73" s="35"/>
      <c r="W73" s="62">
        <f ca="1">[1]!s_stm07_bs($D$4,"W28160527",D73,1,1)</f>
        <v>213395810527.45999</v>
      </c>
      <c r="X73" s="49">
        <f ca="1">[1]!s_stm07_bs($D$4,"W28160527",C73,1,1)</f>
        <v>224702253941.13</v>
      </c>
      <c r="Y73" s="48">
        <f t="shared" ca="1" si="22"/>
        <v>167835568040.01501</v>
      </c>
      <c r="Z73" s="35"/>
      <c r="AA73" s="48">
        <f ca="1">[1]!s_stm07_bs($D$4,"W22016741",D73,1,1)</f>
        <v>161322735087.56</v>
      </c>
      <c r="AB73" s="62">
        <f ca="1">[1]!s_stm07_bs($D$4,"W22016741",C73,1,1)</f>
        <v>174348400992.47</v>
      </c>
      <c r="AC73" s="5"/>
      <c r="AD73" s="7"/>
    </row>
    <row r="74" spans="1:30">
      <c r="A74" s="7"/>
      <c r="B74" s="5"/>
      <c r="C74" s="37">
        <f t="shared" ca="1" si="23"/>
        <v>44377</v>
      </c>
      <c r="D74" s="37">
        <f ca="1">[1]!s_stm_rpt_s($D$4,C74,0)-1</f>
        <v>44196</v>
      </c>
      <c r="E74" s="18"/>
      <c r="F74" s="38">
        <f t="shared" ca="1" si="15"/>
        <v>0.51667716865798752</v>
      </c>
      <c r="G74" s="18"/>
      <c r="H74" s="38">
        <f t="shared" ca="1" si="16"/>
        <v>0.68380027780537012</v>
      </c>
      <c r="I74" s="18"/>
      <c r="J74" s="38">
        <f t="shared" ca="1" si="17"/>
        <v>0.74767292595133805</v>
      </c>
      <c r="K74" s="38"/>
      <c r="L74" s="38"/>
      <c r="M74" s="51">
        <f t="shared" ca="1" si="18"/>
        <v>1.0105977883370136</v>
      </c>
      <c r="N74" s="63"/>
      <c r="O74" s="38">
        <f t="shared" ca="1" si="19"/>
        <v>0.94075182067701313</v>
      </c>
      <c r="P74" s="63"/>
      <c r="Q74" s="53">
        <f ca="1">[1]!S_STM07_IS($D$4,"W34070043",C74,1,1)</f>
        <v>24653985551.580002</v>
      </c>
      <c r="R74" s="18"/>
      <c r="S74" s="64">
        <f t="shared" ca="1" si="20"/>
        <v>26206683856.150002</v>
      </c>
      <c r="T74" s="18"/>
      <c r="U74" s="65">
        <f t="shared" ca="1" si="21"/>
        <v>213132173675.065</v>
      </c>
      <c r="V74" s="18"/>
      <c r="W74" s="65">
        <f ca="1">[1]!s_stm07_bs($D$4,"W28160527",D74,1,1)</f>
        <v>213395810527.45999</v>
      </c>
      <c r="X74" s="54">
        <f ca="1">[1]!s_stm07_bs($D$4,"W28160527",C74,1,1)</f>
        <v>212868536822.67001</v>
      </c>
      <c r="Y74" s="53">
        <f t="shared" ca="1" si="22"/>
        <v>161530252644.91498</v>
      </c>
      <c r="Z74" s="18"/>
      <c r="AA74" s="53">
        <f ca="1">[1]!s_stm07_bs($D$4,"W22016741",D74,1,1)</f>
        <v>161322735087.56</v>
      </c>
      <c r="AB74" s="65">
        <f ca="1">[1]!s_stm07_bs($D$4,"W22016741",C74,1,1)</f>
        <v>161737770202.26999</v>
      </c>
      <c r="AC74" s="5"/>
      <c r="AD74" s="7"/>
    </row>
    <row r="75" spans="1:30">
      <c r="A75" s="7"/>
      <c r="B75" s="5"/>
      <c r="C75" s="33">
        <f t="shared" ca="1" si="23"/>
        <v>44286</v>
      </c>
      <c r="D75" s="33">
        <f ca="1">[1]!s_stm_rpt_s($D$4,C75,0)-1</f>
        <v>44196</v>
      </c>
      <c r="E75" s="35"/>
      <c r="F75" s="34">
        <f t="shared" ca="1" si="15"/>
        <v>0.52635557223144225</v>
      </c>
      <c r="G75" s="35"/>
      <c r="H75" s="34">
        <f t="shared" ca="1" si="16"/>
        <v>0.69691677741718239</v>
      </c>
      <c r="I75" s="35"/>
      <c r="J75" s="34">
        <f t="shared" ca="1" si="17"/>
        <v>0.75004431551640161</v>
      </c>
      <c r="K75" s="34"/>
      <c r="L75" s="34"/>
      <c r="M75" s="46">
        <f t="shared" ca="1" si="18"/>
        <v>1.0069580570981798</v>
      </c>
      <c r="N75" s="60"/>
      <c r="O75" s="34">
        <f t="shared" ca="1" si="19"/>
        <v>0.94465432658621817</v>
      </c>
      <c r="P75" s="60"/>
      <c r="Q75" s="48">
        <f ca="1">[1]!S_STM07_IS($D$4,"W34070043",C75,1,1)</f>
        <v>13954462085.610001</v>
      </c>
      <c r="R75" s="35"/>
      <c r="S75" s="61">
        <f t="shared" ca="1" si="20"/>
        <v>14772030035.620001</v>
      </c>
      <c r="T75" s="35"/>
      <c r="U75" s="62">
        <f t="shared" ca="1" si="21"/>
        <v>214306998256.03497</v>
      </c>
      <c r="V75" s="35"/>
      <c r="W75" s="62">
        <f ca="1">[1]!s_stm07_bs($D$4,"W28160527",D75,1,1)</f>
        <v>213395810527.45999</v>
      </c>
      <c r="X75" s="49">
        <f ca="1">[1]!s_stm07_bs($D$4,"W28160527",C75,1,1)</f>
        <v>215218185984.60999</v>
      </c>
      <c r="Y75" s="48">
        <f t="shared" ca="1" si="22"/>
        <v>168298493444.70502</v>
      </c>
      <c r="Z75" s="35"/>
      <c r="AA75" s="48">
        <f ca="1">[1]!s_stm07_bs($D$4,"W22016741",D75,1,1)</f>
        <v>161322735087.56</v>
      </c>
      <c r="AB75" s="62">
        <f ca="1">[1]!s_stm07_bs($D$4,"W22016741",C75,1,1)</f>
        <v>175274251801.85001</v>
      </c>
      <c r="AC75" s="5"/>
      <c r="AD75" s="7"/>
    </row>
    <row r="76" spans="1:30">
      <c r="A76" s="7"/>
      <c r="B76" s="5"/>
      <c r="C76" s="37">
        <f t="shared" ca="1" si="23"/>
        <v>44196</v>
      </c>
      <c r="D76" s="37">
        <f ca="1">[1]!s_stm_rpt_s($D$4,C76,0)-1</f>
        <v>43830</v>
      </c>
      <c r="E76" s="18"/>
      <c r="F76" s="38">
        <f t="shared" ca="1" si="15"/>
        <v>0.50537495881451622</v>
      </c>
      <c r="G76" s="18"/>
      <c r="H76" s="38">
        <f t="shared" ca="1" si="16"/>
        <v>0.67268154334559482</v>
      </c>
      <c r="I76" s="18"/>
      <c r="J76" s="38">
        <f t="shared" ca="1" si="17"/>
        <v>0.7481211124382573</v>
      </c>
      <c r="K76" s="38"/>
      <c r="L76" s="38"/>
      <c r="M76" s="51">
        <f t="shared" ca="1" si="18"/>
        <v>1.0042279301649795</v>
      </c>
      <c r="N76" s="63"/>
      <c r="O76" s="38">
        <f t="shared" ca="1" si="19"/>
        <v>0.94293508818367344</v>
      </c>
      <c r="P76" s="63"/>
      <c r="Q76" s="53">
        <f ca="1">[1]!S_STM07_IS($D$4,"W34070043",C76,1,1)</f>
        <v>46697285429.809998</v>
      </c>
      <c r="R76" s="18"/>
      <c r="S76" s="64">
        <f t="shared" ca="1" si="20"/>
        <v>49523329882.400002</v>
      </c>
      <c r="T76" s="18"/>
      <c r="U76" s="65">
        <f t="shared" ca="1" si="21"/>
        <v>198219091284.97998</v>
      </c>
      <c r="V76" s="18"/>
      <c r="W76" s="65">
        <f ca="1">[1]!s_stm07_bs($D$4,"W28160527",D76,1,1)</f>
        <v>183042372042.5</v>
      </c>
      <c r="X76" s="54">
        <f ca="1">[1]!s_stm07_bs($D$4,"W28160527",C76,1,1)</f>
        <v>213395810527.45999</v>
      </c>
      <c r="Y76" s="53">
        <f t="shared" ca="1" si="22"/>
        <v>148666542481.33499</v>
      </c>
      <c r="Z76" s="18"/>
      <c r="AA76" s="53">
        <f ca="1">[1]!s_stm07_bs($D$4,"W22016741",D76,1,1)</f>
        <v>136010349875.11</v>
      </c>
      <c r="AB76" s="65">
        <f ca="1">[1]!s_stm07_bs($D$4,"W22016741",C76,1,1)</f>
        <v>161322735087.56</v>
      </c>
      <c r="AC76" s="5"/>
      <c r="AD76" s="7"/>
    </row>
    <row r="77" spans="1:30">
      <c r="A77" s="7"/>
      <c r="B77" s="5"/>
      <c r="C77" s="33">
        <f t="shared" ca="1" si="23"/>
        <v>44104</v>
      </c>
      <c r="D77" s="33">
        <f ca="1">[1]!s_stm_rpt_s($D$4,C77,0)-1</f>
        <v>43830</v>
      </c>
      <c r="E77" s="35"/>
      <c r="F77" s="34">
        <f t="shared" ca="1" si="15"/>
        <v>0.5152818798950427</v>
      </c>
      <c r="G77" s="35"/>
      <c r="H77" s="34">
        <f t="shared" ca="1" si="16"/>
        <v>0.68592842637474505</v>
      </c>
      <c r="I77" s="35"/>
      <c r="J77" s="34">
        <f t="shared" ca="1" si="17"/>
        <v>0.74878142457838281</v>
      </c>
      <c r="K77" s="34"/>
      <c r="L77" s="34"/>
      <c r="M77" s="46">
        <f t="shared" ca="1" si="18"/>
        <v>1.0032542476286224</v>
      </c>
      <c r="N77" s="60"/>
      <c r="O77" s="34">
        <f t="shared" ca="1" si="19"/>
        <v>0.94355561019378942</v>
      </c>
      <c r="P77" s="60"/>
      <c r="Q77" s="48">
        <f ca="1">[1]!S_STM07_IS($D$4,"W34070043",C77,1,1)</f>
        <v>33827103961.220001</v>
      </c>
      <c r="R77" s="35"/>
      <c r="S77" s="61">
        <f t="shared" ca="1" si="20"/>
        <v>35850673342.160004</v>
      </c>
      <c r="T77" s="35"/>
      <c r="U77" s="62">
        <f t="shared" ca="1" si="21"/>
        <v>183810784346.64999</v>
      </c>
      <c r="V77" s="35"/>
      <c r="W77" s="62">
        <f ca="1">[1]!s_stm07_bs($D$4,"W28160527",D77,1,1)</f>
        <v>183042372042.5</v>
      </c>
      <c r="X77" s="49">
        <f ca="1">[1]!s_stm07_bs($D$4,"W28160527",C77,1,1)</f>
        <v>184579196650.79999</v>
      </c>
      <c r="Y77" s="48">
        <f t="shared" ca="1" si="22"/>
        <v>142231303650.33499</v>
      </c>
      <c r="Z77" s="35"/>
      <c r="AA77" s="48">
        <f ca="1">[1]!s_stm07_bs($D$4,"W22016741",D77,1,1)</f>
        <v>136010349875.11</v>
      </c>
      <c r="AB77" s="62">
        <f ca="1">[1]!s_stm07_bs($D$4,"W22016741",C77,1,1)</f>
        <v>148452257425.56</v>
      </c>
      <c r="AC77" s="5"/>
      <c r="AD77" s="7"/>
    </row>
    <row r="78" spans="1:30">
      <c r="A78" s="7"/>
      <c r="B78" s="5"/>
      <c r="C78" s="37">
        <f t="shared" ca="1" si="23"/>
        <v>44012</v>
      </c>
      <c r="D78" s="37">
        <f ca="1">[1]!s_stm_rpt_s($D$4,C78,0)-1</f>
        <v>43830</v>
      </c>
      <c r="E78" s="18"/>
      <c r="F78" s="38">
        <f t="shared" ca="1" si="15"/>
        <v>0.52433167823732418</v>
      </c>
      <c r="G78" s="18"/>
      <c r="H78" s="38">
        <f t="shared" ca="1" si="16"/>
        <v>0.69903437672911295</v>
      </c>
      <c r="I78" s="18"/>
      <c r="J78" s="38">
        <f t="shared" ca="1" si="17"/>
        <v>0.74823891384053665</v>
      </c>
      <c r="K78" s="38"/>
      <c r="L78" s="38"/>
      <c r="M78" s="51">
        <f t="shared" ca="1" si="18"/>
        <v>1.0024605074868045</v>
      </c>
      <c r="N78" s="63"/>
      <c r="O78" s="38">
        <f t="shared" ca="1" si="19"/>
        <v>0.94458723998145144</v>
      </c>
      <c r="P78" s="63"/>
      <c r="Q78" s="53">
        <f ca="1">[1]!S_STM07_IS($D$4,"W34070043",C78,1,1)</f>
        <v>22601655085.509998</v>
      </c>
      <c r="R78" s="18"/>
      <c r="S78" s="64">
        <f t="shared" ca="1" si="20"/>
        <v>23927546476.23</v>
      </c>
      <c r="T78" s="18"/>
      <c r="U78" s="65">
        <f t="shared" ca="1" si="21"/>
        <v>177620123604.03998</v>
      </c>
      <c r="V78" s="18"/>
      <c r="W78" s="65">
        <f ca="1">[1]!s_stm07_bs($D$4,"W28160527",D78,1,1)</f>
        <v>183042372042.5</v>
      </c>
      <c r="X78" s="54">
        <f ca="1">[1]!s_stm07_bs($D$4,"W28160527",C78,1,1)</f>
        <v>172197875165.57999</v>
      </c>
      <c r="Y78" s="53">
        <f t="shared" ca="1" si="22"/>
        <v>136618441884.33</v>
      </c>
      <c r="Z78" s="18"/>
      <c r="AA78" s="53">
        <f ca="1">[1]!s_stm07_bs($D$4,"W22016741",D78,1,1)</f>
        <v>136010349875.11</v>
      </c>
      <c r="AB78" s="65">
        <f ca="1">[1]!s_stm07_bs($D$4,"W22016741",C78,1,1)</f>
        <v>137226533893.55</v>
      </c>
      <c r="AC78" s="5"/>
      <c r="AD78" s="7"/>
    </row>
    <row r="79" spans="1:30">
      <c r="A79" s="7"/>
      <c r="B79" s="5"/>
      <c r="C79" s="33">
        <f t="shared" ca="1" si="23"/>
        <v>43921</v>
      </c>
      <c r="D79" s="33">
        <f ca="1">[1]!s_stm_rpt_s($D$4,C79,0)-1</f>
        <v>43830</v>
      </c>
      <c r="E79" s="35"/>
      <c r="F79" s="34">
        <f t="shared" ca="1" si="15"/>
        <v>0.54797153415411537</v>
      </c>
      <c r="G79" s="35"/>
      <c r="H79" s="34">
        <f t="shared" ca="1" si="16"/>
        <v>0.73033470888126928</v>
      </c>
      <c r="I79" s="35"/>
      <c r="J79" s="34">
        <f t="shared" ca="1" si="17"/>
        <v>0.75009344832063574</v>
      </c>
      <c r="K79" s="34"/>
      <c r="L79" s="34"/>
      <c r="M79" s="46">
        <f t="shared" ca="1" si="18"/>
        <v>1.0002779273140174</v>
      </c>
      <c r="N79" s="60"/>
      <c r="O79" s="34">
        <f t="shared" ca="1" si="19"/>
        <v>0.94452200791215901</v>
      </c>
      <c r="P79" s="60"/>
      <c r="Q79" s="48">
        <f ca="1">[1]!S_STM07_IS($D$4,"W34070043",C79,1,1)</f>
        <v>13093770211.16</v>
      </c>
      <c r="R79" s="35"/>
      <c r="S79" s="61">
        <f t="shared" ca="1" si="20"/>
        <v>13862853487.24</v>
      </c>
      <c r="T79" s="35"/>
      <c r="U79" s="62">
        <f t="shared" ca="1" si="21"/>
        <v>182333552962.38501</v>
      </c>
      <c r="V79" s="35"/>
      <c r="W79" s="62">
        <f ca="1">[1]!s_stm07_bs($D$4,"W28160527",D79,1,1)</f>
        <v>183042372042.5</v>
      </c>
      <c r="X79" s="49">
        <f ca="1">[1]!s_stm07_bs($D$4,"W28160527",C79,1,1)</f>
        <v>181624733882.26999</v>
      </c>
      <c r="Y79" s="48">
        <f t="shared" ca="1" si="22"/>
        <v>142557206850.92499</v>
      </c>
      <c r="Z79" s="35"/>
      <c r="AA79" s="48">
        <f ca="1">[1]!s_stm07_bs($D$4,"W22016741",D79,1,1)</f>
        <v>136010349875.11</v>
      </c>
      <c r="AB79" s="62">
        <f ca="1">[1]!s_stm07_bs($D$4,"W22016741",C79,1,1)</f>
        <v>149104063826.73999</v>
      </c>
      <c r="AC79" s="5"/>
      <c r="AD79" s="7"/>
    </row>
    <row r="80" spans="1:30">
      <c r="A80" s="7"/>
      <c r="B80" s="5"/>
      <c r="C80" s="37">
        <f t="shared" ca="1" si="23"/>
        <v>43830</v>
      </c>
      <c r="D80" s="37">
        <f ca="1">[1]!s_stm_rpt_s($D$4,C80,0)-1</f>
        <v>43465</v>
      </c>
      <c r="E80" s="18"/>
      <c r="F80" s="38">
        <f t="shared" ca="1" si="15"/>
        <v>0.49485486060905215</v>
      </c>
      <c r="G80" s="18"/>
      <c r="H80" s="38">
        <f t="shared" ca="1" si="16"/>
        <v>0.66132826210553131</v>
      </c>
      <c r="I80" s="18"/>
      <c r="J80" s="38">
        <f t="shared" ca="1" si="17"/>
        <v>0.74801109254014164</v>
      </c>
      <c r="K80" s="38"/>
      <c r="L80" s="38"/>
      <c r="M80" s="51">
        <f t="shared" ca="1" si="18"/>
        <v>1.0003517110774016</v>
      </c>
      <c r="N80" s="63"/>
      <c r="O80" s="38">
        <f t="shared" ca="1" si="19"/>
        <v>0.93714965366680747</v>
      </c>
      <c r="P80" s="63"/>
      <c r="Q80" s="53">
        <f ca="1">[1]!S_STM07_IS($D$4,"W34070043",C80,1,1)</f>
        <v>41206471014.43</v>
      </c>
      <c r="R80" s="18"/>
      <c r="S80" s="64">
        <f t="shared" ca="1" si="20"/>
        <v>43970000792.510002</v>
      </c>
      <c r="T80" s="18"/>
      <c r="U80" s="65">
        <f t="shared" ca="1" si="21"/>
        <v>171444523389.255</v>
      </c>
      <c r="V80" s="18"/>
      <c r="W80" s="65">
        <f ca="1">[1]!s_stm07_bs($D$4,"W28160527",D80,1,1)</f>
        <v>159846674736.01001</v>
      </c>
      <c r="X80" s="54">
        <f ca="1">[1]!s_stm07_bs($D$4,"W28160527",C80,1,1)</f>
        <v>183042372042.5</v>
      </c>
      <c r="Y80" s="53">
        <f t="shared" ca="1" si="22"/>
        <v>124424457103.58</v>
      </c>
      <c r="Z80" s="18"/>
      <c r="AA80" s="53">
        <f ca="1">[1]!s_stm07_bs($D$4,"W22016741",D80,1,1)</f>
        <v>112838564332.05</v>
      </c>
      <c r="AB80" s="65">
        <f ca="1">[1]!s_stm07_bs($D$4,"W22016741",C80,1,1)</f>
        <v>136010349875.11</v>
      </c>
      <c r="AC80" s="5"/>
      <c r="AD80" s="7"/>
    </row>
    <row r="81" spans="1:30">
      <c r="A81" s="7"/>
      <c r="B81" s="5"/>
      <c r="C81" s="33">
        <f t="shared" ca="1" si="23"/>
        <v>43738</v>
      </c>
      <c r="D81" s="33">
        <f ca="1">[1]!s_stm_rpt_s($D$4,C81,0)-1</f>
        <v>43465</v>
      </c>
      <c r="E81" s="35"/>
      <c r="F81" s="34">
        <f t="shared" ca="1" si="15"/>
        <v>0.51036034740845004</v>
      </c>
      <c r="G81" s="35"/>
      <c r="H81" s="34">
        <f t="shared" ca="1" si="16"/>
        <v>0.68030673442644629</v>
      </c>
      <c r="I81" s="35"/>
      <c r="J81" s="34">
        <f t="shared" ca="1" si="17"/>
        <v>0.75018211575418281</v>
      </c>
      <c r="K81" s="34"/>
      <c r="L81" s="34"/>
      <c r="M81" s="46">
        <f t="shared" ca="1" si="18"/>
        <v>1.0000125442639511</v>
      </c>
      <c r="N81" s="60"/>
      <c r="O81" s="34">
        <f t="shared" ca="1" si="19"/>
        <v>0.93960787265777868</v>
      </c>
      <c r="P81" s="60"/>
      <c r="Q81" s="48">
        <f ca="1">[1]!S_STM07_IS($D$4,"W34070043",C81,1,1)</f>
        <v>30454855385.439999</v>
      </c>
      <c r="R81" s="35"/>
      <c r="S81" s="61">
        <f t="shared" ca="1" si="20"/>
        <v>32412303335.959999</v>
      </c>
      <c r="T81" s="35"/>
      <c r="U81" s="62">
        <f t="shared" ca="1" si="21"/>
        <v>161198541955.22</v>
      </c>
      <c r="V81" s="35"/>
      <c r="W81" s="62">
        <f ca="1">[1]!s_stm07_bs($D$4,"W28160527",D81,1,1)</f>
        <v>159846674736.01001</v>
      </c>
      <c r="X81" s="49">
        <f ca="1">[1]!s_stm07_bs($D$4,"W28160527",C81,1,1)</f>
        <v>162550409174.42999</v>
      </c>
      <c r="Y81" s="48">
        <f t="shared" ca="1" si="22"/>
        <v>119048390472.70001</v>
      </c>
      <c r="Z81" s="35"/>
      <c r="AA81" s="48">
        <f ca="1">[1]!s_stm07_bs($D$4,"W22016741",D81,1,1)</f>
        <v>112838564332.05</v>
      </c>
      <c r="AB81" s="62">
        <f ca="1">[1]!s_stm07_bs($D$4,"W22016741",C81,1,1)</f>
        <v>125258216613.35001</v>
      </c>
      <c r="AC81" s="5"/>
      <c r="AD81" s="7"/>
    </row>
    <row r="82" spans="1:30">
      <c r="A82" s="7"/>
      <c r="B82" s="5"/>
      <c r="C82" s="37">
        <f t="shared" ca="1" si="23"/>
        <v>43646</v>
      </c>
      <c r="D82" s="37">
        <f ca="1">[1]!s_stm_rpt_s($D$4,C82,0)-1</f>
        <v>43465</v>
      </c>
      <c r="E82" s="18"/>
      <c r="F82" s="38">
        <f t="shared" ca="1" si="15"/>
        <v>0.51482018842898847</v>
      </c>
      <c r="G82" s="18"/>
      <c r="H82" s="38">
        <f t="shared" ca="1" si="16"/>
        <v>0.68693271550429458</v>
      </c>
      <c r="I82" s="18"/>
      <c r="J82" s="38">
        <f t="shared" ca="1" si="17"/>
        <v>0.74925518397605018</v>
      </c>
      <c r="K82" s="38"/>
      <c r="L82" s="38"/>
      <c r="M82" s="51">
        <f t="shared" ca="1" si="18"/>
        <v>1.0002570301247222</v>
      </c>
      <c r="N82" s="63"/>
      <c r="O82" s="38">
        <f t="shared" ca="1" si="19"/>
        <v>0.94124028391227998</v>
      </c>
      <c r="P82" s="63"/>
      <c r="Q82" s="53">
        <f ca="1">[1]!S_STM07_IS($D$4,"W34070043",C82,1,1)</f>
        <v>19951025609.220001</v>
      </c>
      <c r="R82" s="18"/>
      <c r="S82" s="64">
        <f t="shared" ca="1" si="20"/>
        <v>21196527550.110001</v>
      </c>
      <c r="T82" s="18"/>
      <c r="U82" s="65">
        <f t="shared" ca="1" si="21"/>
        <v>162484161856.87</v>
      </c>
      <c r="V82" s="18"/>
      <c r="W82" s="65">
        <f ca="1">[1]!s_stm07_bs($D$4,"W28160527",D82,1,1)</f>
        <v>159846674736.01001</v>
      </c>
      <c r="X82" s="54">
        <f ca="1">[1]!s_stm07_bs($D$4,"W28160527",C82,1,1)</f>
        <v>165121648977.73001</v>
      </c>
      <c r="Y82" s="53">
        <f t="shared" ca="1" si="22"/>
        <v>113796728985.03</v>
      </c>
      <c r="Z82" s="18"/>
      <c r="AA82" s="53">
        <f ca="1">[1]!s_stm07_bs($D$4,"W22016741",D82,1,1)</f>
        <v>112838564332.05</v>
      </c>
      <c r="AB82" s="65">
        <f ca="1">[1]!s_stm07_bs($D$4,"W22016741",C82,1,1)</f>
        <v>114754893638.00999</v>
      </c>
      <c r="AC82" s="5"/>
      <c r="AD82" s="7"/>
    </row>
    <row r="83" spans="1:30">
      <c r="A83" s="7"/>
      <c r="B83" s="5"/>
      <c r="C83" s="33">
        <f t="shared" ca="1" si="23"/>
        <v>43555</v>
      </c>
      <c r="D83" s="33">
        <f ca="1">[1]!s_stm_rpt_s($D$4,C83,0)-1</f>
        <v>43465</v>
      </c>
      <c r="E83" s="35"/>
      <c r="F83" s="34">
        <f t="shared" ca="1" si="15"/>
        <v>0.5300463835405308</v>
      </c>
      <c r="G83" s="35"/>
      <c r="H83" s="34">
        <f t="shared" ca="1" si="16"/>
        <v>0.70676047333125791</v>
      </c>
      <c r="I83" s="35"/>
      <c r="J83" s="34">
        <f t="shared" ca="1" si="17"/>
        <v>0.74995015223450379</v>
      </c>
      <c r="K83" s="34"/>
      <c r="L83" s="34"/>
      <c r="M83" s="46">
        <f t="shared" ca="1" si="18"/>
        <v>1.000021241936434</v>
      </c>
      <c r="N83" s="60"/>
      <c r="O83" s="34">
        <f t="shared" ca="1" si="19"/>
        <v>0.94173329840698805</v>
      </c>
      <c r="P83" s="60"/>
      <c r="Q83" s="48">
        <f ca="1">[1]!S_STM07_IS($D$4,"W34070043",C83,1,1)</f>
        <v>11221431345.08</v>
      </c>
      <c r="R83" s="35"/>
      <c r="S83" s="61">
        <f t="shared" ca="1" si="20"/>
        <v>11915721111.34</v>
      </c>
      <c r="T83" s="35"/>
      <c r="U83" s="62">
        <f t="shared" ca="1" si="21"/>
        <v>159867425591.64502</v>
      </c>
      <c r="V83" s="35"/>
      <c r="W83" s="62">
        <f ca="1">[1]!s_stm07_bs($D$4,"W28160527",D83,1,1)</f>
        <v>159846674736.01001</v>
      </c>
      <c r="X83" s="49">
        <f ca="1">[1]!s_stm07_bs($D$4,"W28160527",C83,1,1)</f>
        <v>159888176447.28</v>
      </c>
      <c r="Y83" s="48">
        <f t="shared" ca="1" si="22"/>
        <v>118448206187.04001</v>
      </c>
      <c r="Z83" s="35"/>
      <c r="AA83" s="48">
        <f ca="1">[1]!s_stm07_bs($D$4,"W22016741",D83,1,1)</f>
        <v>112838564332.05</v>
      </c>
      <c r="AB83" s="62">
        <f ca="1">[1]!s_stm07_bs($D$4,"W22016741",C83,1,1)</f>
        <v>124057848042.03</v>
      </c>
      <c r="AC83" s="5"/>
      <c r="AD83" s="7"/>
    </row>
    <row r="84" spans="1:30">
      <c r="A84" s="7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16"/>
      <c r="V84" s="5"/>
      <c r="W84" s="5"/>
      <c r="X84" s="5"/>
      <c r="Y84" s="5"/>
      <c r="Z84" s="5"/>
      <c r="AA84" s="5"/>
      <c r="AB84" s="5"/>
      <c r="AC84" s="5"/>
      <c r="AD84" s="7"/>
    </row>
    <row r="85" spans="1:30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>
      <c r="A86" s="7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7"/>
      <c r="X86" s="7"/>
      <c r="Y86" s="7"/>
      <c r="Z86" s="7"/>
      <c r="AA86" s="7"/>
      <c r="AB86" s="7"/>
      <c r="AC86" s="7"/>
      <c r="AD86" s="7"/>
    </row>
    <row r="87" spans="1:30" ht="17.25">
      <c r="A87" s="7"/>
      <c r="B87" s="5"/>
      <c r="C87" s="13" t="s">
        <v>16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5"/>
      <c r="W87" s="7"/>
      <c r="X87" s="7"/>
      <c r="Y87" s="7"/>
      <c r="Z87" s="7"/>
      <c r="AA87" s="7"/>
      <c r="AB87" s="7"/>
      <c r="AC87" s="7"/>
      <c r="AD87" s="7"/>
    </row>
    <row r="88" spans="1:30">
      <c r="A88" s="7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8"/>
      <c r="P88" s="18"/>
      <c r="Q88" s="18"/>
      <c r="R88" s="18"/>
      <c r="S88" s="18"/>
      <c r="T88" s="5"/>
      <c r="U88" s="5"/>
      <c r="V88" s="5"/>
      <c r="W88" s="7"/>
      <c r="X88" s="7"/>
      <c r="Y88" s="7"/>
      <c r="Z88" s="7"/>
      <c r="AA88" s="7"/>
      <c r="AB88" s="7"/>
      <c r="AC88" s="7"/>
      <c r="AD88" s="7"/>
    </row>
    <row r="89" spans="1:30">
      <c r="A89" s="7"/>
      <c r="B89" s="5"/>
      <c r="C89" s="14" t="s">
        <v>0</v>
      </c>
      <c r="D89" s="14" t="s">
        <v>23</v>
      </c>
      <c r="E89" s="14" t="s">
        <v>2</v>
      </c>
      <c r="F89" s="15" t="s">
        <v>17</v>
      </c>
      <c r="G89" s="14" t="s">
        <v>9</v>
      </c>
      <c r="H89" s="17" t="s">
        <v>18</v>
      </c>
      <c r="I89" s="14"/>
      <c r="J89" s="14" t="s">
        <v>24</v>
      </c>
      <c r="K89" s="14" t="s">
        <v>2</v>
      </c>
      <c r="L89" s="14"/>
      <c r="M89" s="15" t="s">
        <v>19</v>
      </c>
      <c r="N89" s="14" t="s">
        <v>9</v>
      </c>
      <c r="O89" s="19" t="s">
        <v>20</v>
      </c>
      <c r="P89" s="20"/>
      <c r="Q89" s="21" t="s">
        <v>25</v>
      </c>
      <c r="R89" s="20" t="s">
        <v>2</v>
      </c>
      <c r="S89" s="21" t="s">
        <v>20</v>
      </c>
      <c r="T89" s="14" t="s">
        <v>9</v>
      </c>
      <c r="U89" s="15" t="s">
        <v>21</v>
      </c>
      <c r="V89" s="5"/>
      <c r="W89" s="7"/>
      <c r="X89" s="7"/>
      <c r="Y89" s="7"/>
      <c r="Z89" s="7"/>
      <c r="AA89" s="7"/>
      <c r="AB89" s="7"/>
      <c r="AC89" s="7"/>
      <c r="AD89" s="7"/>
    </row>
    <row r="90" spans="1:30">
      <c r="A90" s="7"/>
      <c r="B90" s="5"/>
      <c r="C90" s="40" t="str">
        <f ca="1">[1]!s_fa_latelyrd_bt($D$4,$D$5)</f>
        <v>2023-12-31</v>
      </c>
      <c r="D90" s="30">
        <f ca="1">F90/H90</f>
        <v>0.67569509301259023</v>
      </c>
      <c r="E90" s="31"/>
      <c r="F90" s="66">
        <f ca="1">[1]!s_fa_ebit($D$4,C90,1)</f>
        <v>101732876397.17999</v>
      </c>
      <c r="G90" s="31"/>
      <c r="H90" s="58">
        <f ca="1">[1]!S_STM07_IS($D$4,"W39136280",C90,1,1)</f>
        <v>150560330316.45001</v>
      </c>
      <c r="I90" s="31"/>
      <c r="J90" s="30">
        <f ca="1">M90/O90</f>
        <v>0.74782526108480718</v>
      </c>
      <c r="K90" s="31"/>
      <c r="L90" s="31"/>
      <c r="M90" s="43">
        <f ca="1">[1]!S_STM07_IS($D$4,"W33736906",C90,1,1)</f>
        <v>77521476277.800003</v>
      </c>
      <c r="N90" s="31"/>
      <c r="O90" s="44">
        <f ca="1">[1]!S_STM07_IS($D$4,"W34035646",C90,1,1)</f>
        <v>103662553689.81</v>
      </c>
      <c r="P90" s="31"/>
      <c r="Q90" s="30">
        <f ca="1">S90/U90</f>
        <v>1.0189680795527325</v>
      </c>
      <c r="R90" s="31"/>
      <c r="S90" s="66">
        <f ca="1">[1]!S_STM07_IS($D$4,"W34035646",C90,1,1)</f>
        <v>103662553689.81</v>
      </c>
      <c r="T90" s="31"/>
      <c r="U90" s="66">
        <f ca="1">[1]!s_fa_ebit($D$4,C90,1)</f>
        <v>101732876397.17999</v>
      </c>
      <c r="V90" s="5"/>
      <c r="W90" s="7"/>
      <c r="X90" s="7"/>
      <c r="Y90" s="7"/>
      <c r="Z90" s="7"/>
      <c r="AA90" s="7"/>
      <c r="AB90" s="7"/>
      <c r="AC90" s="7"/>
      <c r="AD90" s="7"/>
    </row>
    <row r="91" spans="1:30">
      <c r="A91" s="7"/>
      <c r="B91" s="5"/>
      <c r="C91" s="33">
        <f ca="1">EOMONTH(C90,-3)</f>
        <v>45199</v>
      </c>
      <c r="D91" s="34">
        <f t="shared" ref="D91:D109" ca="1" si="24">F91/H91</f>
        <v>0.68173976809629322</v>
      </c>
      <c r="E91" s="35"/>
      <c r="F91" s="67">
        <f ca="1">[1]!s_fa_ebit($D$4,C91,1)</f>
        <v>71798037548.339996</v>
      </c>
      <c r="G91" s="35"/>
      <c r="H91" s="61">
        <f ca="1">[1]!S_STM07_IS($D$4,"W39136280",C91,1,1)</f>
        <v>105315900448.10001</v>
      </c>
      <c r="I91" s="35"/>
      <c r="J91" s="34">
        <f t="shared" ref="J91:J109" ca="1" si="25">M91/O91</f>
        <v>0.74873211762609293</v>
      </c>
      <c r="K91" s="35"/>
      <c r="L91" s="35"/>
      <c r="M91" s="48">
        <f ca="1">[1]!S_STM07_IS($D$4,"W33736906",C91,1,1)</f>
        <v>54827171371.970001</v>
      </c>
      <c r="N91" s="35"/>
      <c r="O91" s="49">
        <f ca="1">[1]!S_STM07_IS($D$4,"W34035646",C91,1,1)</f>
        <v>73226685594.580002</v>
      </c>
      <c r="P91" s="35"/>
      <c r="Q91" s="34">
        <f t="shared" ref="Q91:Q109" ca="1" si="26">S91/U91</f>
        <v>1.0198981489609396</v>
      </c>
      <c r="R91" s="35"/>
      <c r="S91" s="67">
        <f ca="1">[1]!S_STM07_IS($D$4,"W34035646",C91,1,1)</f>
        <v>73226685594.580002</v>
      </c>
      <c r="T91" s="35"/>
      <c r="U91" s="67">
        <f ca="1">[1]!s_fa_ebit($D$4,C91,1)</f>
        <v>71798037548.339996</v>
      </c>
      <c r="V91" s="5"/>
      <c r="W91" s="7"/>
      <c r="X91" s="7"/>
      <c r="Y91" s="7"/>
      <c r="Z91" s="7"/>
      <c r="AA91" s="7"/>
      <c r="AB91" s="7"/>
      <c r="AC91" s="7"/>
      <c r="AD91" s="7"/>
    </row>
    <row r="92" spans="1:30">
      <c r="A92" s="7"/>
      <c r="B92" s="5"/>
      <c r="C92" s="37">
        <f t="shared" ref="C92:C109" ca="1" si="27">EOMONTH(C91,-3)</f>
        <v>45107</v>
      </c>
      <c r="D92" s="30">
        <f t="shared" ca="1" si="24"/>
        <v>0.69001822442900573</v>
      </c>
      <c r="E92" s="31"/>
      <c r="F92" s="66">
        <f ca="1">[1]!s_fa_ebit($D$4,C92,1)</f>
        <v>48982465907.110001</v>
      </c>
      <c r="G92" s="31"/>
      <c r="H92" s="58">
        <f ca="1">[1]!S_STM07_IS($D$4,"W39136280",C92,1,1)</f>
        <v>70987206095.380005</v>
      </c>
      <c r="I92" s="31"/>
      <c r="J92" s="30">
        <f t="shared" ca="1" si="25"/>
        <v>0.74777629075031282</v>
      </c>
      <c r="K92" s="31"/>
      <c r="L92" s="31"/>
      <c r="M92" s="43">
        <f ca="1">[1]!S_STM07_IS($D$4,"W33736906",C92,1,1)</f>
        <v>37331971189.279999</v>
      </c>
      <c r="N92" s="31"/>
      <c r="O92" s="44">
        <f ca="1">[1]!S_STM07_IS($D$4,"W34035646",C92,1,1)</f>
        <v>49923983484.18</v>
      </c>
      <c r="P92" s="31"/>
      <c r="Q92" s="30">
        <f t="shared" ca="1" si="26"/>
        <v>1.0192215226333334</v>
      </c>
      <c r="R92" s="31"/>
      <c r="S92" s="66">
        <f ca="1">[1]!S_STM07_IS($D$4,"W34035646",C92,1,1)</f>
        <v>49923983484.18</v>
      </c>
      <c r="T92" s="31"/>
      <c r="U92" s="66">
        <f ca="1">[1]!s_fa_ebit($D$4,C92,1)</f>
        <v>48982465907.110001</v>
      </c>
      <c r="V92" s="5"/>
      <c r="W92" s="7"/>
      <c r="X92" s="7"/>
      <c r="Y92" s="7"/>
      <c r="Z92" s="7"/>
      <c r="AA92" s="7"/>
      <c r="AB92" s="7"/>
      <c r="AC92" s="7"/>
      <c r="AD92" s="7"/>
    </row>
    <row r="93" spans="1:30">
      <c r="A93" s="7"/>
      <c r="B93" s="5"/>
      <c r="C93" s="33">
        <f t="shared" ca="1" si="27"/>
        <v>45016</v>
      </c>
      <c r="D93" s="34">
        <f t="shared" ca="1" si="24"/>
        <v>0.71798455024704422</v>
      </c>
      <c r="E93" s="35"/>
      <c r="F93" s="67">
        <f ca="1">[1]!s_fa_ebit($D$4,C93,1)</f>
        <v>28273730297.48</v>
      </c>
      <c r="G93" s="35"/>
      <c r="H93" s="61">
        <f ca="1">[1]!S_STM07_IS($D$4,"W39136280",C93,1,1)</f>
        <v>39379301807.75</v>
      </c>
      <c r="I93" s="35"/>
      <c r="J93" s="34">
        <f t="shared" ca="1" si="25"/>
        <v>0.74998667982967604</v>
      </c>
      <c r="K93" s="35"/>
      <c r="L93" s="35"/>
      <c r="M93" s="48">
        <f ca="1">[1]!S_STM07_IS($D$4,"W33736906",C93,1,1)</f>
        <v>21524725630.16</v>
      </c>
      <c r="N93" s="35"/>
      <c r="O93" s="49">
        <f ca="1">[1]!S_STM07_IS($D$4,"W34035646",C93,1,1)</f>
        <v>28700143894.619999</v>
      </c>
      <c r="P93" s="35"/>
      <c r="Q93" s="34">
        <f t="shared" ca="1" si="26"/>
        <v>1.0150816179065698</v>
      </c>
      <c r="R93" s="35"/>
      <c r="S93" s="67">
        <f ca="1">[1]!S_STM07_IS($D$4,"W34035646",C93,1,1)</f>
        <v>28700143894.619999</v>
      </c>
      <c r="T93" s="35"/>
      <c r="U93" s="67">
        <f ca="1">[1]!s_fa_ebit($D$4,C93,1)</f>
        <v>28273730297.48</v>
      </c>
      <c r="V93" s="5"/>
      <c r="W93" s="7"/>
      <c r="X93" s="7"/>
      <c r="Y93" s="7"/>
      <c r="Z93" s="7"/>
      <c r="AA93" s="7"/>
      <c r="AB93" s="7"/>
      <c r="AC93" s="7"/>
      <c r="AD93" s="7"/>
    </row>
    <row r="94" spans="1:30">
      <c r="A94" s="7"/>
      <c r="B94" s="5"/>
      <c r="C94" s="37">
        <f t="shared" ca="1" si="27"/>
        <v>44926</v>
      </c>
      <c r="D94" s="30">
        <f t="shared" ca="1" si="24"/>
        <v>0.67609105263947056</v>
      </c>
      <c r="E94" s="31"/>
      <c r="F94" s="66">
        <f ca="1">[1]!s_fa_ebit($D$4,C94,1)</f>
        <v>86238090649.309998</v>
      </c>
      <c r="G94" s="31"/>
      <c r="H94" s="58">
        <f ca="1">[1]!S_STM07_IS($D$4,"W39136280",C94,1,1)</f>
        <v>127553959355.97</v>
      </c>
      <c r="I94" s="31"/>
      <c r="J94" s="30">
        <f t="shared" ca="1" si="25"/>
        <v>0.74542789357927275</v>
      </c>
      <c r="K94" s="31"/>
      <c r="L94" s="31"/>
      <c r="M94" s="43">
        <f ca="1">[1]!S_STM07_IS($D$4,"W33736906",C94,1,1)</f>
        <v>65375136766.75</v>
      </c>
      <c r="N94" s="31"/>
      <c r="O94" s="44">
        <f ca="1">[1]!S_STM07_IS($D$4,"W34035646",C94,1,1)</f>
        <v>87701489748.179993</v>
      </c>
      <c r="P94" s="31"/>
      <c r="Q94" s="30">
        <f t="shared" ca="1" si="26"/>
        <v>1.016969289183604</v>
      </c>
      <c r="R94" s="31"/>
      <c r="S94" s="66">
        <f ca="1">[1]!S_STM07_IS($D$4,"W34035646",C94,1,1)</f>
        <v>87701489748.179993</v>
      </c>
      <c r="T94" s="31"/>
      <c r="U94" s="66">
        <f ca="1">[1]!s_fa_ebit($D$4,C94,1)</f>
        <v>86238090649.309998</v>
      </c>
      <c r="V94" s="5"/>
      <c r="W94" s="7"/>
      <c r="X94" s="7"/>
      <c r="Y94" s="7"/>
      <c r="Z94" s="7"/>
      <c r="AA94" s="7"/>
      <c r="AB94" s="7"/>
      <c r="AC94" s="7"/>
      <c r="AD94" s="7"/>
    </row>
    <row r="95" spans="1:30">
      <c r="A95" s="7"/>
      <c r="B95" s="5"/>
      <c r="C95" s="33">
        <f t="shared" ca="1" si="27"/>
        <v>44834</v>
      </c>
      <c r="D95" s="34">
        <f t="shared" ca="1" si="24"/>
        <v>0.67783852768545927</v>
      </c>
      <c r="E95" s="35"/>
      <c r="F95" s="67">
        <f ca="1">[1]!s_fa_ebit($D$4,C95,1)</f>
        <v>60860328921.940002</v>
      </c>
      <c r="G95" s="35"/>
      <c r="H95" s="61">
        <f ca="1">[1]!S_STM07_IS($D$4,"W39136280",C95,1,1)</f>
        <v>89785880318.360001</v>
      </c>
      <c r="I95" s="35"/>
      <c r="J95" s="34">
        <f t="shared" ca="1" si="25"/>
        <v>0.7480082490396146</v>
      </c>
      <c r="K95" s="35"/>
      <c r="L95" s="35"/>
      <c r="M95" s="48">
        <f ca="1">[1]!S_STM07_IS($D$4,"W33736906",C95,1,1)</f>
        <v>46313993773.410004</v>
      </c>
      <c r="N95" s="35"/>
      <c r="O95" s="49">
        <f ca="1">[1]!S_STM07_IS($D$4,"W34035646",C95,1,1)</f>
        <v>61916421152.940002</v>
      </c>
      <c r="P95" s="35"/>
      <c r="Q95" s="34">
        <f t="shared" ca="1" si="26"/>
        <v>1.017352719738905</v>
      </c>
      <c r="R95" s="35"/>
      <c r="S95" s="67">
        <f ca="1">[1]!S_STM07_IS($D$4,"W34035646",C95,1,1)</f>
        <v>61916421152.940002</v>
      </c>
      <c r="T95" s="35"/>
      <c r="U95" s="67">
        <f ca="1">[1]!s_fa_ebit($D$4,C95,1)</f>
        <v>60860328921.940002</v>
      </c>
      <c r="V95" s="5"/>
      <c r="W95" s="7"/>
      <c r="X95" s="7"/>
      <c r="Y95" s="7"/>
      <c r="Z95" s="7"/>
      <c r="AA95" s="7"/>
      <c r="AB95" s="7"/>
      <c r="AC95" s="7"/>
      <c r="AD95" s="7"/>
    </row>
    <row r="96" spans="1:30">
      <c r="A96" s="7"/>
      <c r="B96" s="5"/>
      <c r="C96" s="37">
        <f t="shared" ca="1" si="27"/>
        <v>44742</v>
      </c>
      <c r="D96" s="38">
        <f t="shared" ca="1" si="24"/>
        <v>0.68920924120841343</v>
      </c>
      <c r="E96" s="18"/>
      <c r="F96" s="68">
        <f ca="1">[1]!s_fa_ebit($D$4,C96,1)</f>
        <v>40969022287.889999</v>
      </c>
      <c r="G96" s="18"/>
      <c r="H96" s="64">
        <f ca="1">[1]!S_STM07_IS($D$4,"W39136280",C96,1,1)</f>
        <v>59443518511.239998</v>
      </c>
      <c r="I96" s="18"/>
      <c r="J96" s="38">
        <f t="shared" ca="1" si="25"/>
        <v>0.74700824911407204</v>
      </c>
      <c r="K96" s="18"/>
      <c r="L96" s="18"/>
      <c r="M96" s="53">
        <f ca="1">[1]!S_STM07_IS($D$4,"W33736906",C96,1,1)</f>
        <v>31105364072.66</v>
      </c>
      <c r="N96" s="18"/>
      <c r="O96" s="54">
        <f ca="1">[1]!S_STM07_IS($D$4,"W34035646",C96,1,1)</f>
        <v>41639920455.43</v>
      </c>
      <c r="P96" s="18"/>
      <c r="Q96" s="38">
        <f t="shared" ca="1" si="26"/>
        <v>1.0163757426971429</v>
      </c>
      <c r="R96" s="18"/>
      <c r="S96" s="68">
        <f ca="1">[1]!S_STM07_IS($D$4,"W34035646",C96,1,1)</f>
        <v>41639920455.43</v>
      </c>
      <c r="T96" s="18"/>
      <c r="U96" s="68">
        <f ca="1">[1]!s_fa_ebit($D$4,C96,1)</f>
        <v>40969022287.889999</v>
      </c>
      <c r="V96" s="5"/>
      <c r="W96" s="7"/>
      <c r="X96" s="7"/>
      <c r="Y96" s="7"/>
      <c r="Z96" s="7"/>
      <c r="AA96" s="7"/>
      <c r="AB96" s="7"/>
      <c r="AC96" s="7"/>
      <c r="AD96" s="7"/>
    </row>
    <row r="97" spans="1:30">
      <c r="A97" s="7"/>
      <c r="B97" s="5"/>
      <c r="C97" s="33">
        <f t="shared" ca="1" si="27"/>
        <v>44651</v>
      </c>
      <c r="D97" s="34">
        <f t="shared" ca="1" si="24"/>
        <v>0.71343055315928183</v>
      </c>
      <c r="E97" s="35"/>
      <c r="F97" s="67">
        <f ca="1">[1]!s_fa_ebit($D$4,C97,1)</f>
        <v>23676734078.57</v>
      </c>
      <c r="G97" s="35"/>
      <c r="H97" s="61">
        <f ca="1">[1]!S_STM07_IS($D$4,"W39136280",C97,1,1)</f>
        <v>33187160227.049999</v>
      </c>
      <c r="I97" s="35"/>
      <c r="J97" s="34">
        <f t="shared" ca="1" si="25"/>
        <v>0.74765848484919528</v>
      </c>
      <c r="K97" s="35"/>
      <c r="L97" s="35"/>
      <c r="M97" s="48">
        <f ca="1">[1]!S_STM07_IS($D$4,"W33736906",C97,1,1)</f>
        <v>17952116145.799999</v>
      </c>
      <c r="N97" s="35"/>
      <c r="O97" s="49">
        <f ca="1">[1]!S_STM07_IS($D$4,"W34035646",C97,1,1)</f>
        <v>24011118056.689999</v>
      </c>
      <c r="P97" s="35"/>
      <c r="Q97" s="34">
        <f t="shared" ca="1" si="26"/>
        <v>1.0141228928369244</v>
      </c>
      <c r="R97" s="35"/>
      <c r="S97" s="67">
        <f ca="1">[1]!S_STM07_IS($D$4,"W34035646",C97,1,1)</f>
        <v>24011118056.689999</v>
      </c>
      <c r="T97" s="35"/>
      <c r="U97" s="67">
        <f ca="1">[1]!s_fa_ebit($D$4,C97,1)</f>
        <v>23676734078.57</v>
      </c>
      <c r="V97" s="5"/>
      <c r="W97" s="7"/>
      <c r="X97" s="7"/>
      <c r="Y97" s="7"/>
      <c r="Z97" s="7"/>
      <c r="AA97" s="7"/>
      <c r="AB97" s="7"/>
      <c r="AC97" s="7"/>
      <c r="AD97" s="7"/>
    </row>
    <row r="98" spans="1:30">
      <c r="A98" s="7"/>
      <c r="B98" s="5"/>
      <c r="C98" s="37">
        <f t="shared" ca="1" si="27"/>
        <v>44561</v>
      </c>
      <c r="D98" s="38">
        <f t="shared" ca="1" si="24"/>
        <v>0.67233790160636131</v>
      </c>
      <c r="E98" s="18"/>
      <c r="F98" s="68">
        <f ca="1">[1]!s_fa_ebit($D$4,C98,1)</f>
        <v>73596983350.5</v>
      </c>
      <c r="G98" s="18"/>
      <c r="H98" s="64">
        <f ca="1">[1]!S_STM07_IS($D$4,"W39136280",C98,1,1)</f>
        <v>109464278563.89</v>
      </c>
      <c r="I98" s="18"/>
      <c r="J98" s="38">
        <f t="shared" ca="1" si="25"/>
        <v>0.74764526232414386</v>
      </c>
      <c r="K98" s="18"/>
      <c r="L98" s="18"/>
      <c r="M98" s="53">
        <f ca="1">[1]!S_STM07_IS($D$4,"W33736906",C98,1,1)</f>
        <v>55720529956.459999</v>
      </c>
      <c r="N98" s="18"/>
      <c r="O98" s="54">
        <f ca="1">[1]!S_STM07_IS($D$4,"W34035646",C98,1,1)</f>
        <v>74528031894.759995</v>
      </c>
      <c r="P98" s="18"/>
      <c r="Q98" s="38">
        <f t="shared" ca="1" si="26"/>
        <v>1.0126506346031323</v>
      </c>
      <c r="R98" s="18"/>
      <c r="S98" s="68">
        <f ca="1">[1]!S_STM07_IS($D$4,"W34035646",C98,1,1)</f>
        <v>74528031894.759995</v>
      </c>
      <c r="T98" s="18"/>
      <c r="U98" s="68">
        <f ca="1">[1]!s_fa_ebit($D$4,C98,1)</f>
        <v>73596983350.5</v>
      </c>
      <c r="V98" s="5"/>
      <c r="W98" s="7"/>
      <c r="X98" s="7"/>
      <c r="Y98" s="7"/>
      <c r="Z98" s="7"/>
      <c r="AA98" s="7"/>
      <c r="AB98" s="7"/>
      <c r="AC98" s="7"/>
      <c r="AD98" s="7"/>
    </row>
    <row r="99" spans="1:30">
      <c r="A99" s="7"/>
      <c r="B99" s="5"/>
      <c r="C99" s="33">
        <f t="shared" ca="1" si="27"/>
        <v>44469</v>
      </c>
      <c r="D99" s="34">
        <f t="shared" ca="1" si="24"/>
        <v>0.67810541021380244</v>
      </c>
      <c r="E99" s="35"/>
      <c r="F99" s="67">
        <f ca="1">[1]!s_fa_ebit($D$4,C99,1)</f>
        <v>52250161256.459999</v>
      </c>
      <c r="G99" s="35"/>
      <c r="H99" s="61">
        <f ca="1">[1]!S_STM07_IS($D$4,"W39136280",C99,1,1)</f>
        <v>77053154965.960007</v>
      </c>
      <c r="I99" s="35"/>
      <c r="J99" s="34">
        <f t="shared" ca="1" si="25"/>
        <v>0.74873034034788877</v>
      </c>
      <c r="K99" s="35"/>
      <c r="L99" s="35"/>
      <c r="M99" s="48">
        <f ca="1">[1]!S_STM07_IS($D$4,"W33736906",C99,1,1)</f>
        <v>39574961191.110001</v>
      </c>
      <c r="N99" s="35"/>
      <c r="O99" s="49">
        <f ca="1">[1]!S_STM07_IS($D$4,"W34035646",C99,1,1)</f>
        <v>52856093921.239998</v>
      </c>
      <c r="P99" s="35"/>
      <c r="Q99" s="34">
        <f t="shared" ca="1" si="26"/>
        <v>1.0115967616215746</v>
      </c>
      <c r="R99" s="35"/>
      <c r="S99" s="67">
        <f ca="1">[1]!S_STM07_IS($D$4,"W34035646",C99,1,1)</f>
        <v>52856093921.239998</v>
      </c>
      <c r="T99" s="35"/>
      <c r="U99" s="67">
        <f ca="1">[1]!s_fa_ebit($D$4,C99,1)</f>
        <v>52250161256.459999</v>
      </c>
      <c r="V99" s="5"/>
      <c r="W99" s="7"/>
      <c r="X99" s="7"/>
      <c r="Y99" s="7"/>
      <c r="Z99" s="7"/>
      <c r="AA99" s="7"/>
      <c r="AB99" s="7"/>
      <c r="AC99" s="7"/>
      <c r="AD99" s="7"/>
    </row>
    <row r="100" spans="1:30">
      <c r="A100" s="7"/>
      <c r="B100" s="5"/>
      <c r="C100" s="37">
        <f t="shared" ca="1" si="27"/>
        <v>44377</v>
      </c>
      <c r="D100" s="38">
        <f t="shared" ca="1" si="24"/>
        <v>0.68380027780537012</v>
      </c>
      <c r="E100" s="18"/>
      <c r="F100" s="68">
        <f ca="1">[1]!s_fa_ebit($D$4,C100,1)</f>
        <v>34683432495.650002</v>
      </c>
      <c r="G100" s="18"/>
      <c r="H100" s="64">
        <f ca="1">[1]!S_STM07_IS($D$4,"W39136280",C100,1,1)</f>
        <v>50721582926.18</v>
      </c>
      <c r="I100" s="18"/>
      <c r="J100" s="38">
        <f t="shared" ca="1" si="25"/>
        <v>0.74767292595133805</v>
      </c>
      <c r="K100" s="18"/>
      <c r="L100" s="18"/>
      <c r="M100" s="53">
        <f ca="1">[1]!S_STM07_IS($D$4,"W33736906",C100,1,1)</f>
        <v>26206683856.150002</v>
      </c>
      <c r="N100" s="18"/>
      <c r="O100" s="54">
        <f ca="1">[1]!S_STM07_IS($D$4,"W34035646",C100,1,1)</f>
        <v>35051000172.040001</v>
      </c>
      <c r="P100" s="18"/>
      <c r="Q100" s="38">
        <f t="shared" ca="1" si="26"/>
        <v>1.0105977883370136</v>
      </c>
      <c r="R100" s="18"/>
      <c r="S100" s="68">
        <f ca="1">[1]!S_STM07_IS($D$4,"W34035646",C100,1,1)</f>
        <v>35051000172.040001</v>
      </c>
      <c r="T100" s="18"/>
      <c r="U100" s="68">
        <f ca="1">[1]!s_fa_ebit($D$4,C100,1)</f>
        <v>34683432495.650002</v>
      </c>
      <c r="V100" s="5"/>
      <c r="W100" s="7"/>
      <c r="X100" s="7"/>
      <c r="Y100" s="7"/>
      <c r="Z100" s="7"/>
      <c r="AA100" s="7"/>
      <c r="AB100" s="7"/>
      <c r="AC100" s="7"/>
      <c r="AD100" s="7"/>
    </row>
    <row r="101" spans="1:30">
      <c r="A101" s="7"/>
      <c r="B101" s="5"/>
      <c r="C101" s="33">
        <f t="shared" ca="1" si="27"/>
        <v>44286</v>
      </c>
      <c r="D101" s="34">
        <f t="shared" ca="1" si="24"/>
        <v>0.69691677741718239</v>
      </c>
      <c r="E101" s="35"/>
      <c r="F101" s="67">
        <f ca="1">[1]!s_fa_ebit($D$4,C101,1)</f>
        <v>19558785185.25</v>
      </c>
      <c r="G101" s="35"/>
      <c r="H101" s="61">
        <f ca="1">[1]!S_STM07_IS($D$4,"W39136280",C101,1,1)</f>
        <v>28064735731.77</v>
      </c>
      <c r="I101" s="35"/>
      <c r="J101" s="34">
        <f t="shared" ca="1" si="25"/>
        <v>0.75004431551640161</v>
      </c>
      <c r="K101" s="35"/>
      <c r="L101" s="35"/>
      <c r="M101" s="48">
        <f ca="1">[1]!S_STM07_IS($D$4,"W33736906",C101,1,1)</f>
        <v>14772030035.620001</v>
      </c>
      <c r="N101" s="35"/>
      <c r="O101" s="49">
        <f ca="1">[1]!S_STM07_IS($D$4,"W34035646",C101,1,1)</f>
        <v>19694876329.34</v>
      </c>
      <c r="P101" s="35"/>
      <c r="Q101" s="34">
        <f t="shared" ca="1" si="26"/>
        <v>1.0069580570981798</v>
      </c>
      <c r="R101" s="35"/>
      <c r="S101" s="67">
        <f ca="1">[1]!S_STM07_IS($D$4,"W34035646",C101,1,1)</f>
        <v>19694876329.34</v>
      </c>
      <c r="T101" s="35"/>
      <c r="U101" s="67">
        <f ca="1">[1]!s_fa_ebit($D$4,C101,1)</f>
        <v>19558785185.25</v>
      </c>
      <c r="V101" s="5"/>
      <c r="W101" s="7"/>
      <c r="X101" s="7"/>
      <c r="Y101" s="7"/>
      <c r="Z101" s="7"/>
      <c r="AA101" s="7"/>
      <c r="AB101" s="7"/>
      <c r="AC101" s="7"/>
      <c r="AD101" s="7"/>
    </row>
    <row r="102" spans="1:30">
      <c r="A102" s="7"/>
      <c r="B102" s="5"/>
      <c r="C102" s="37">
        <f t="shared" ca="1" si="27"/>
        <v>44196</v>
      </c>
      <c r="D102" s="38">
        <f t="shared" ca="1" si="24"/>
        <v>0.67268154334559482</v>
      </c>
      <c r="E102" s="18"/>
      <c r="F102" s="68">
        <f ca="1">[1]!s_fa_ebit($D$4,C102,1)</f>
        <v>65918244257.790001</v>
      </c>
      <c r="G102" s="18"/>
      <c r="H102" s="64">
        <f ca="1">[1]!S_STM07_IS($D$4,"W39136280",C102,1,1)</f>
        <v>97993240501.210007</v>
      </c>
      <c r="I102" s="18"/>
      <c r="J102" s="38">
        <f t="shared" ca="1" si="25"/>
        <v>0.7481211124382573</v>
      </c>
      <c r="K102" s="18"/>
      <c r="L102" s="18"/>
      <c r="M102" s="53">
        <f ca="1">[1]!S_STM07_IS($D$4,"W33736906",C102,1,1)</f>
        <v>49523329882.400002</v>
      </c>
      <c r="N102" s="18"/>
      <c r="O102" s="54">
        <f ca="1">[1]!S_STM07_IS($D$4,"W34035646",C102,1,1)</f>
        <v>66196941991.110001</v>
      </c>
      <c r="P102" s="18"/>
      <c r="Q102" s="38">
        <f t="shared" ca="1" si="26"/>
        <v>1.0042279301649795</v>
      </c>
      <c r="R102" s="18"/>
      <c r="S102" s="68">
        <f ca="1">[1]!S_STM07_IS($D$4,"W34035646",C102,1,1)</f>
        <v>66196941991.110001</v>
      </c>
      <c r="T102" s="18"/>
      <c r="U102" s="68">
        <f ca="1">[1]!s_fa_ebit($D$4,C102,1)</f>
        <v>65918244257.790001</v>
      </c>
      <c r="V102" s="5"/>
      <c r="W102" s="7"/>
      <c r="X102" s="7"/>
      <c r="Y102" s="7"/>
      <c r="Z102" s="7"/>
      <c r="AA102" s="7"/>
      <c r="AB102" s="7"/>
      <c r="AC102" s="7"/>
      <c r="AD102" s="7"/>
    </row>
    <row r="103" spans="1:30">
      <c r="A103" s="7"/>
      <c r="B103" s="5"/>
      <c r="C103" s="33">
        <f t="shared" ca="1" si="27"/>
        <v>44104</v>
      </c>
      <c r="D103" s="34">
        <f t="shared" ca="1" si="24"/>
        <v>0.68592842637474505</v>
      </c>
      <c r="E103" s="35"/>
      <c r="F103" s="67">
        <f ca="1">[1]!s_fa_ebit($D$4,C103,1)</f>
        <v>47723385800.160004</v>
      </c>
      <c r="G103" s="35"/>
      <c r="H103" s="61">
        <f ca="1">[1]!S_STM07_IS($D$4,"W39136280",C103,1,1)</f>
        <v>69574876860.529999</v>
      </c>
      <c r="I103" s="35"/>
      <c r="J103" s="34">
        <f t="shared" ca="1" si="25"/>
        <v>0.74878142457838281</v>
      </c>
      <c r="K103" s="35"/>
      <c r="L103" s="35"/>
      <c r="M103" s="48">
        <f ca="1">[1]!S_STM07_IS($D$4,"W33736906",C103,1,1)</f>
        <v>35850673342.160004</v>
      </c>
      <c r="N103" s="35"/>
      <c r="O103" s="49">
        <f ca="1">[1]!S_STM07_IS($D$4,"W34035646",C103,1,1)</f>
        <v>47878689515.230003</v>
      </c>
      <c r="P103" s="35"/>
      <c r="Q103" s="34">
        <f t="shared" ca="1" si="26"/>
        <v>1.0032542476286224</v>
      </c>
      <c r="R103" s="35"/>
      <c r="S103" s="67">
        <f ca="1">[1]!S_STM07_IS($D$4,"W34035646",C103,1,1)</f>
        <v>47878689515.230003</v>
      </c>
      <c r="T103" s="35"/>
      <c r="U103" s="67">
        <f ca="1">[1]!s_fa_ebit($D$4,C103,1)</f>
        <v>47723385800.160004</v>
      </c>
      <c r="V103" s="5"/>
      <c r="W103" s="7"/>
      <c r="X103" s="7"/>
      <c r="Y103" s="7"/>
      <c r="Z103" s="7"/>
      <c r="AA103" s="7"/>
      <c r="AB103" s="7"/>
      <c r="AC103" s="7"/>
      <c r="AD103" s="7"/>
    </row>
    <row r="104" spans="1:30">
      <c r="A104" s="7"/>
      <c r="B104" s="5"/>
      <c r="C104" s="37">
        <f t="shared" ca="1" si="27"/>
        <v>44012</v>
      </c>
      <c r="D104" s="38">
        <f t="shared" ca="1" si="24"/>
        <v>0.69903437672911295</v>
      </c>
      <c r="E104" s="18"/>
      <c r="F104" s="68">
        <f ca="1">[1]!s_fa_ebit($D$4,C104,1)</f>
        <v>31899994282.049999</v>
      </c>
      <c r="G104" s="18"/>
      <c r="H104" s="64">
        <f ca="1">[1]!S_STM07_IS($D$4,"W39136280",C104,1,1)</f>
        <v>45634371275.580002</v>
      </c>
      <c r="I104" s="18"/>
      <c r="J104" s="38">
        <f t="shared" ca="1" si="25"/>
        <v>0.74823891384053665</v>
      </c>
      <c r="K104" s="18"/>
      <c r="L104" s="18"/>
      <c r="M104" s="53">
        <f ca="1">[1]!S_STM07_IS($D$4,"W33736906",C104,1,1)</f>
        <v>23927546476.23</v>
      </c>
      <c r="N104" s="18"/>
      <c r="O104" s="54">
        <f ca="1">[1]!S_STM07_IS($D$4,"W34035646",C104,1,1)</f>
        <v>31978484456.810001</v>
      </c>
      <c r="P104" s="18"/>
      <c r="Q104" s="38">
        <f t="shared" ca="1" si="26"/>
        <v>1.0024605074868045</v>
      </c>
      <c r="R104" s="18"/>
      <c r="S104" s="68">
        <f ca="1">[1]!S_STM07_IS($D$4,"W34035646",C104,1,1)</f>
        <v>31978484456.810001</v>
      </c>
      <c r="T104" s="18"/>
      <c r="U104" s="68">
        <f ca="1">[1]!s_fa_ebit($D$4,C104,1)</f>
        <v>31899994282.049999</v>
      </c>
      <c r="V104" s="5"/>
      <c r="W104" s="7"/>
      <c r="X104" s="7"/>
      <c r="Y104" s="7"/>
      <c r="Z104" s="7"/>
      <c r="AA104" s="7"/>
      <c r="AB104" s="7"/>
      <c r="AC104" s="7"/>
      <c r="AD104" s="7"/>
    </row>
    <row r="105" spans="1:30">
      <c r="A105" s="7"/>
      <c r="B105" s="5"/>
      <c r="C105" s="33">
        <f t="shared" ca="1" si="27"/>
        <v>43921</v>
      </c>
      <c r="D105" s="34">
        <f t="shared" ca="1" si="24"/>
        <v>0.73033470888126928</v>
      </c>
      <c r="E105" s="35"/>
      <c r="F105" s="67">
        <f ca="1">[1]!s_fa_ebit($D$4,C105,1)</f>
        <v>18476366808.900002</v>
      </c>
      <c r="G105" s="35"/>
      <c r="H105" s="61">
        <f ca="1">[1]!S_STM07_IS($D$4,"W39136280",C105,1,1)</f>
        <v>25298492025.939999</v>
      </c>
      <c r="I105" s="35"/>
      <c r="J105" s="34">
        <f t="shared" ca="1" si="25"/>
        <v>0.75009344832063574</v>
      </c>
      <c r="K105" s="35"/>
      <c r="L105" s="35"/>
      <c r="M105" s="48">
        <f ca="1">[1]!S_STM07_IS($D$4,"W33736906",C105,1,1)</f>
        <v>13862853487.24</v>
      </c>
      <c r="N105" s="35"/>
      <c r="O105" s="49">
        <f ca="1">[1]!S_STM07_IS($D$4,"W34035646",C105,1,1)</f>
        <v>18481501895.900002</v>
      </c>
      <c r="P105" s="35"/>
      <c r="Q105" s="34">
        <f t="shared" ca="1" si="26"/>
        <v>1.0002779273140174</v>
      </c>
      <c r="R105" s="35"/>
      <c r="S105" s="67">
        <f ca="1">[1]!S_STM07_IS($D$4,"W34035646",C105,1,1)</f>
        <v>18481501895.900002</v>
      </c>
      <c r="T105" s="35"/>
      <c r="U105" s="67">
        <f ca="1">[1]!s_fa_ebit($D$4,C105,1)</f>
        <v>18476366808.900002</v>
      </c>
      <c r="V105" s="5"/>
      <c r="W105" s="7"/>
      <c r="X105" s="7"/>
      <c r="Y105" s="7"/>
      <c r="Z105" s="7"/>
      <c r="AA105" s="7"/>
      <c r="AB105" s="7"/>
      <c r="AC105" s="7"/>
      <c r="AD105" s="7"/>
    </row>
    <row r="106" spans="1:30">
      <c r="A106" s="7"/>
      <c r="B106" s="5"/>
      <c r="C106" s="37">
        <f t="shared" ca="1" si="27"/>
        <v>43830</v>
      </c>
      <c r="D106" s="38">
        <f t="shared" ca="1" si="24"/>
        <v>0.66132826210553131</v>
      </c>
      <c r="E106" s="18"/>
      <c r="F106" s="68">
        <f ca="1">[1]!s_fa_ebit($D$4,C106,1)</f>
        <v>58761884591.980003</v>
      </c>
      <c r="G106" s="18"/>
      <c r="H106" s="64">
        <f ca="1">[1]!S_STM07_IS($D$4,"W39136280",C106,1,1)</f>
        <v>88854337488.759995</v>
      </c>
      <c r="I106" s="18"/>
      <c r="J106" s="38">
        <f t="shared" ca="1" si="25"/>
        <v>0.74801109254014164</v>
      </c>
      <c r="K106" s="18"/>
      <c r="L106" s="18"/>
      <c r="M106" s="53">
        <f ca="1">[1]!S_STM07_IS($D$4,"W33736906",C106,1,1)</f>
        <v>43970000792.510002</v>
      </c>
      <c r="N106" s="18"/>
      <c r="O106" s="54">
        <f ca="1">[1]!S_STM07_IS($D$4,"W34035646",C106,1,1)</f>
        <v>58782551797.720001</v>
      </c>
      <c r="P106" s="18"/>
      <c r="Q106" s="38">
        <f t="shared" ca="1" si="26"/>
        <v>1.0003517110774016</v>
      </c>
      <c r="R106" s="18"/>
      <c r="S106" s="68">
        <f ca="1">[1]!S_STM07_IS($D$4,"W34035646",C106,1,1)</f>
        <v>58782551797.720001</v>
      </c>
      <c r="T106" s="18"/>
      <c r="U106" s="68">
        <f ca="1">[1]!s_fa_ebit($D$4,C106,1)</f>
        <v>58761884591.980003</v>
      </c>
      <c r="V106" s="5"/>
      <c r="W106" s="7"/>
      <c r="X106" s="7"/>
      <c r="Y106" s="7"/>
      <c r="Z106" s="7"/>
      <c r="AA106" s="7"/>
      <c r="AB106" s="7"/>
      <c r="AC106" s="7"/>
      <c r="AD106" s="7"/>
    </row>
    <row r="107" spans="1:30">
      <c r="A107" s="7"/>
      <c r="B107" s="5"/>
      <c r="C107" s="33">
        <f t="shared" ca="1" si="27"/>
        <v>43738</v>
      </c>
      <c r="D107" s="34">
        <f t="shared" ca="1" si="24"/>
        <v>0.68030673442644629</v>
      </c>
      <c r="E107" s="35"/>
      <c r="F107" s="67">
        <f ca="1">[1]!s_fa_ebit($D$4,C107,1)</f>
        <v>43205371165.089996</v>
      </c>
      <c r="G107" s="35"/>
      <c r="H107" s="61">
        <f ca="1">[1]!S_STM07_IS($D$4,"W39136280",C107,1,1)</f>
        <v>63508663046.699997</v>
      </c>
      <c r="I107" s="35"/>
      <c r="J107" s="34">
        <f t="shared" ca="1" si="25"/>
        <v>0.75018211575418281</v>
      </c>
      <c r="K107" s="35"/>
      <c r="L107" s="35"/>
      <c r="M107" s="48">
        <f ca="1">[1]!S_STM07_IS($D$4,"W33736906",C107,1,1)</f>
        <v>32412303335.959999</v>
      </c>
      <c r="N107" s="35"/>
      <c r="O107" s="49">
        <f ca="1">[1]!S_STM07_IS($D$4,"W34035646",C107,1,1)</f>
        <v>43205913144.669998</v>
      </c>
      <c r="P107" s="35"/>
      <c r="Q107" s="34">
        <f t="shared" ca="1" si="26"/>
        <v>1.0000125442639511</v>
      </c>
      <c r="R107" s="35"/>
      <c r="S107" s="67">
        <f ca="1">[1]!S_STM07_IS($D$4,"W34035646",C107,1,1)</f>
        <v>43205913144.669998</v>
      </c>
      <c r="T107" s="35"/>
      <c r="U107" s="67">
        <f ca="1">[1]!s_fa_ebit($D$4,C107,1)</f>
        <v>43205371165.089996</v>
      </c>
      <c r="V107" s="5"/>
      <c r="W107" s="7"/>
      <c r="X107" s="7"/>
      <c r="Y107" s="7"/>
      <c r="Z107" s="7"/>
      <c r="AA107" s="7"/>
      <c r="AB107" s="7"/>
      <c r="AC107" s="7"/>
      <c r="AD107" s="7"/>
    </row>
    <row r="108" spans="1:30">
      <c r="A108" s="7"/>
      <c r="B108" s="5"/>
      <c r="C108" s="37">
        <f t="shared" ca="1" si="27"/>
        <v>43646</v>
      </c>
      <c r="D108" s="38">
        <f t="shared" ca="1" si="24"/>
        <v>0.68693271550429458</v>
      </c>
      <c r="E108" s="18"/>
      <c r="F108" s="68">
        <f ca="1">[1]!s_fa_ebit($D$4,C108,1)</f>
        <v>28282861776.830002</v>
      </c>
      <c r="G108" s="18"/>
      <c r="H108" s="64">
        <f ca="1">[1]!S_STM07_IS($D$4,"W39136280",C108,1,1)</f>
        <v>41172681309.940002</v>
      </c>
      <c r="I108" s="18"/>
      <c r="J108" s="38">
        <f t="shared" ca="1" si="25"/>
        <v>0.74925518397605018</v>
      </c>
      <c r="K108" s="18"/>
      <c r="L108" s="18"/>
      <c r="M108" s="53">
        <f ca="1">[1]!S_STM07_IS($D$4,"W33736906",C108,1,1)</f>
        <v>21196527550.110001</v>
      </c>
      <c r="N108" s="18"/>
      <c r="O108" s="54">
        <f ca="1">[1]!S_STM07_IS($D$4,"W34035646",C108,1,1)</f>
        <v>28290131324.32</v>
      </c>
      <c r="P108" s="18"/>
      <c r="Q108" s="38">
        <f t="shared" ca="1" si="26"/>
        <v>1.0002570301247222</v>
      </c>
      <c r="R108" s="18"/>
      <c r="S108" s="68">
        <f ca="1">[1]!S_STM07_IS($D$4,"W34035646",C108,1,1)</f>
        <v>28290131324.32</v>
      </c>
      <c r="T108" s="18"/>
      <c r="U108" s="68">
        <f ca="1">[1]!s_fa_ebit($D$4,C108,1)</f>
        <v>28282861776.830002</v>
      </c>
      <c r="V108" s="5"/>
      <c r="W108" s="7"/>
      <c r="X108" s="7"/>
      <c r="Y108" s="7"/>
      <c r="Z108" s="7"/>
      <c r="AA108" s="7"/>
      <c r="AB108" s="7"/>
      <c r="AC108" s="7"/>
      <c r="AD108" s="7"/>
    </row>
    <row r="109" spans="1:30">
      <c r="A109" s="7"/>
      <c r="B109" s="5"/>
      <c r="C109" s="33">
        <f t="shared" ca="1" si="27"/>
        <v>43555</v>
      </c>
      <c r="D109" s="34">
        <f t="shared" ca="1" si="24"/>
        <v>0.70676047333125791</v>
      </c>
      <c r="E109" s="35"/>
      <c r="F109" s="67">
        <f ca="1">[1]!s_fa_ebit($D$4,C109,1)</f>
        <v>15888346669.74</v>
      </c>
      <c r="G109" s="35"/>
      <c r="H109" s="61">
        <f ca="1">[1]!S_STM07_IS($D$4,"W39136280",C109,1,1)</f>
        <v>22480525254.689999</v>
      </c>
      <c r="I109" s="35"/>
      <c r="J109" s="34">
        <f t="shared" ca="1" si="25"/>
        <v>0.74995015223450379</v>
      </c>
      <c r="K109" s="35"/>
      <c r="L109" s="35"/>
      <c r="M109" s="48">
        <f ca="1">[1]!S_STM07_IS($D$4,"W33736906",C109,1,1)</f>
        <v>11915721111.34</v>
      </c>
      <c r="N109" s="35"/>
      <c r="O109" s="49">
        <f ca="1">[1]!S_STM07_IS($D$4,"W34035646",C109,1,1)</f>
        <v>15888684168.99</v>
      </c>
      <c r="P109" s="35"/>
      <c r="Q109" s="34">
        <f t="shared" ca="1" si="26"/>
        <v>1.000021241936434</v>
      </c>
      <c r="R109" s="35"/>
      <c r="S109" s="67">
        <f ca="1">[1]!S_STM07_IS($D$4,"W34035646",C109,1,1)</f>
        <v>15888684168.99</v>
      </c>
      <c r="T109" s="35"/>
      <c r="U109" s="67">
        <f ca="1">[1]!s_fa_ebit($D$4,C109,1)</f>
        <v>15888346669.74</v>
      </c>
      <c r="V109" s="5"/>
      <c r="W109" s="7"/>
      <c r="X109" s="7"/>
      <c r="Y109" s="7"/>
      <c r="Z109" s="7"/>
      <c r="AA109" s="7"/>
      <c r="AB109" s="7"/>
      <c r="AC109" s="7"/>
      <c r="AD109" s="7"/>
    </row>
    <row r="110" spans="1:30">
      <c r="A110" s="7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7"/>
      <c r="X110" s="7"/>
      <c r="Y110" s="7"/>
      <c r="Z110" s="7"/>
      <c r="AA110" s="7"/>
      <c r="AB110" s="7"/>
      <c r="AC110" s="7"/>
      <c r="AD110" s="7"/>
    </row>
    <row r="111" spans="1:30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>
      <c r="E112" s="11"/>
      <c r="F112" s="12"/>
    </row>
    <row r="113" spans="5:6">
      <c r="E113" s="11"/>
      <c r="F113" s="12"/>
    </row>
    <row r="114" spans="5:6">
      <c r="E114" s="11"/>
      <c r="F114" s="12"/>
    </row>
    <row r="115" spans="5:6">
      <c r="E115" s="11"/>
      <c r="F115" s="12"/>
    </row>
    <row r="116" spans="5:6">
      <c r="E116" s="11"/>
      <c r="F116" s="12"/>
    </row>
    <row r="117" spans="5:6">
      <c r="E117" s="11"/>
      <c r="F117" s="12"/>
    </row>
    <row r="118" spans="5:6">
      <c r="E118" s="11"/>
      <c r="F118" s="12"/>
    </row>
    <row r="119" spans="5:6">
      <c r="E119" s="11"/>
      <c r="F119" s="12"/>
    </row>
    <row r="120" spans="5:6">
      <c r="E120" s="11"/>
      <c r="F120" s="12"/>
    </row>
    <row r="121" spans="5:6">
      <c r="E121" s="11"/>
      <c r="F121" s="12"/>
    </row>
    <row r="122" spans="5:6">
      <c r="E122" s="11"/>
      <c r="F122" s="12"/>
    </row>
    <row r="123" spans="5:6">
      <c r="E123" s="11"/>
      <c r="F123" s="12"/>
    </row>
  </sheetData>
  <mergeCells count="1">
    <mergeCell ref="D1:S1"/>
  </mergeCells>
  <phoneticPr fontId="7" type="noConversion"/>
  <conditionalFormatting sqref="D12:D3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:F31">
    <cfRule type="dataBar" priority="8">
      <dataBar>
        <cfvo type="min"/>
        <cfvo type="max"/>
        <color rgb="FF2277A2"/>
      </dataBar>
      <extLst>
        <ext xmlns:x14="http://schemas.microsoft.com/office/spreadsheetml/2009/9/main" uri="{B025F937-C7B1-47D3-B67F-A62EFF666E3E}">
          <x14:id>{57DA3AEA-D4D5-4FE8-AD92-BBC032FC4361}</x14:id>
        </ext>
      </extLst>
    </cfRule>
    <cfRule type="dataBar" priority="10">
      <dataBar>
        <cfvo type="min"/>
        <cfvo type="max"/>
        <color rgb="FF2276A1"/>
      </dataBar>
      <extLst>
        <ext xmlns:x14="http://schemas.microsoft.com/office/spreadsheetml/2009/9/main" uri="{B025F937-C7B1-47D3-B67F-A62EFF666E3E}">
          <x14:id>{7582535D-4157-40A6-860C-C21685603BFF}</x14:id>
        </ext>
      </extLst>
    </cfRule>
    <cfRule type="dataBar" priority="11">
      <dataBar>
        <cfvo type="min"/>
        <cfvo type="max"/>
        <color rgb="FF2276A1"/>
      </dataBar>
      <extLst>
        <ext xmlns:x14="http://schemas.microsoft.com/office/spreadsheetml/2009/9/main" uri="{B025F937-C7B1-47D3-B67F-A62EFF666E3E}">
          <x14:id>{8700126A-B47E-40E1-B59A-7A231E24F922}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{C70B0A07-82E0-4E69-BD2F-404E189540F4}</x14:id>
        </ext>
      </extLst>
    </cfRule>
    <cfRule type="dataBar" priority="13">
      <dataBar>
        <cfvo type="min"/>
        <cfvo type="max"/>
        <color rgb="FF2276A1"/>
      </dataBar>
      <extLst>
        <ext xmlns:x14="http://schemas.microsoft.com/office/spreadsheetml/2009/9/main" uri="{B025F937-C7B1-47D3-B67F-A62EFF666E3E}">
          <x14:id>{B31057A0-8E1E-4CFC-B00D-D10E3BDFD83D}</x14:id>
        </ext>
      </extLst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{D73C5142-9D46-46A2-A6CA-638829F5F5B3}</x14:id>
        </ext>
      </extLst>
    </cfRule>
  </conditionalFormatting>
  <conditionalFormatting sqref="D38:D5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:H31">
    <cfRule type="dataBar" priority="7">
      <dataBar>
        <cfvo type="min"/>
        <cfvo type="max"/>
        <color rgb="FF2277A2"/>
      </dataBar>
      <extLst>
        <ext xmlns:x14="http://schemas.microsoft.com/office/spreadsheetml/2009/9/main" uri="{B025F937-C7B1-47D3-B67F-A62EFF666E3E}">
          <x14:id>{DB3C9403-B591-44BD-946D-EFB2C96C5722}</x14:id>
        </ext>
      </extLst>
    </cfRule>
  </conditionalFormatting>
  <conditionalFormatting sqref="J12:J31">
    <cfRule type="dataBar" priority="6">
      <dataBar>
        <cfvo type="min"/>
        <cfvo type="max"/>
        <color rgb="FF2277A2"/>
      </dataBar>
      <extLst>
        <ext xmlns:x14="http://schemas.microsoft.com/office/spreadsheetml/2009/9/main" uri="{B025F937-C7B1-47D3-B67F-A62EFF666E3E}">
          <x14:id>{AF089A50-BA2E-4A64-B656-B0874145BA8D}</x14:id>
        </ext>
      </extLst>
    </cfRule>
  </conditionalFormatting>
  <conditionalFormatting sqref="J38:J5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8:Q5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" verticalDpi="12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DA3AEA-D4D5-4FE8-AD92-BBC032FC436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82535D-4157-40A6-860C-C21685603BF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00126A-B47E-40E1-B59A-7A231E24F92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0B0A07-82E0-4E69-BD2F-404E189540F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1057A0-8E1E-4CFC-B00D-D10E3BDFD8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3C5142-9D46-46A2-A6CA-638829F5F5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F12:F31</xm:sqref>
        </x14:conditionalFormatting>
        <x14:conditionalFormatting xmlns:xm="http://schemas.microsoft.com/office/excel/2006/main">
          <x14:cfRule type="dataBar" id="{DB3C9403-B591-44BD-946D-EFB2C96C572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H12:H31</xm:sqref>
        </x14:conditionalFormatting>
        <x14:conditionalFormatting xmlns:xm="http://schemas.microsoft.com/office/excel/2006/main">
          <x14:cfRule type="dataBar" id="{AF089A50-BA2E-4A64-B656-B0874145BA8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J12:J31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63636D"/>
  </sheetPr>
  <dimension ref="A1:AE111"/>
  <sheetViews>
    <sheetView showGridLines="0" zoomScaleNormal="100" workbookViewId="0">
      <pane ySplit="1" topLeftCell="A2" activePane="bottomLeft" state="frozen"/>
      <selection pane="bottomLeft" activeCell="D113" sqref="D113"/>
    </sheetView>
  </sheetViews>
  <sheetFormatPr defaultColWidth="9.140625" defaultRowHeight="12.75"/>
  <cols>
    <col min="1" max="1" width="2.7109375" style="1" customWidth="1"/>
    <col min="2" max="2" width="1.5703125" style="1" customWidth="1"/>
    <col min="3" max="4" width="20.7109375" style="1" customWidth="1"/>
    <col min="5" max="5" width="2.7109375" style="1" customWidth="1"/>
    <col min="6" max="6" width="18.7109375" style="1" customWidth="1"/>
    <col min="7" max="7" width="2.7109375" style="1" customWidth="1"/>
    <col min="8" max="8" width="20.7109375" style="1" customWidth="1"/>
    <col min="9" max="9" width="2.7109375" style="1" customWidth="1"/>
    <col min="10" max="10" width="18.7109375" style="1" customWidth="1"/>
    <col min="11" max="11" width="2.7109375" style="1" customWidth="1"/>
    <col min="12" max="12" width="1.7109375" style="1" customWidth="1"/>
    <col min="13" max="13" width="20.7109375" style="1" customWidth="1"/>
    <col min="14" max="14" width="2.7109375" style="1" customWidth="1"/>
    <col min="15" max="15" width="28.7109375" style="1" customWidth="1"/>
    <col min="16" max="16" width="2.7109375" style="1" customWidth="1"/>
    <col min="17" max="17" width="20.7109375" style="1" customWidth="1"/>
    <col min="18" max="18" width="2.7109375" style="1" customWidth="1"/>
    <col min="19" max="19" width="22.7109375" style="1" customWidth="1"/>
    <col min="20" max="20" width="2.7109375" style="1" customWidth="1"/>
    <col min="21" max="21" width="20.7109375" style="1" customWidth="1"/>
    <col min="22" max="22" width="2.5703125" style="1" customWidth="1"/>
    <col min="23" max="23" width="20.140625" style="1" customWidth="1"/>
    <col min="24" max="24" width="20.7109375" style="1" customWidth="1"/>
    <col min="25" max="25" width="21" style="1" customWidth="1"/>
    <col min="26" max="26" width="3.140625" style="1" customWidth="1"/>
    <col min="27" max="27" width="21.28515625" style="1" customWidth="1"/>
    <col min="28" max="28" width="20.7109375" style="1" customWidth="1"/>
    <col min="29" max="29" width="2.28515625" style="1" customWidth="1"/>
    <col min="30" max="30" width="2.5703125" style="1" customWidth="1"/>
    <col min="31" max="16384" width="9.140625" style="1"/>
  </cols>
  <sheetData>
    <row r="1" spans="1:30" ht="27.75" customHeight="1">
      <c r="A1" s="3"/>
      <c r="B1" s="3"/>
      <c r="C1" s="3"/>
      <c r="D1" s="94" t="s">
        <v>56</v>
      </c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3"/>
      <c r="U1" s="3"/>
      <c r="V1" s="3"/>
      <c r="W1" s="3"/>
      <c r="X1" s="3"/>
      <c r="Y1" s="3"/>
      <c r="Z1" s="3"/>
      <c r="AA1" s="4"/>
      <c r="AB1" s="4" t="s">
        <v>3</v>
      </c>
      <c r="AC1" s="3"/>
      <c r="AD1" s="3"/>
    </row>
    <row r="2" spans="1:30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9.9499999999999993" customHeight="1">
      <c r="A3" s="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7"/>
      <c r="X3" s="7"/>
      <c r="Y3" s="7"/>
      <c r="Z3" s="7"/>
      <c r="AA3" s="7"/>
      <c r="AB3" s="7"/>
      <c r="AC3" s="7"/>
      <c r="AD3" s="7"/>
    </row>
    <row r="4" spans="1:30" ht="16.5">
      <c r="A4" s="7"/>
      <c r="B4" s="5"/>
      <c r="C4" s="88" t="s">
        <v>48</v>
      </c>
      <c r="D4" s="90" t="s">
        <v>54</v>
      </c>
      <c r="E4" s="5"/>
      <c r="F4" s="88" t="s">
        <v>55</v>
      </c>
      <c r="G4" s="88"/>
      <c r="H4" s="92" t="str">
        <f>[1]!s_info_name(D4)</f>
        <v>腾讯控股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7"/>
      <c r="X4" s="7"/>
      <c r="Y4" s="7"/>
      <c r="Z4" s="7"/>
      <c r="AA4" s="7"/>
      <c r="AB4" s="7"/>
      <c r="AC4" s="7"/>
      <c r="AD4" s="7"/>
    </row>
    <row r="5" spans="1:30" ht="16.5">
      <c r="A5" s="7"/>
      <c r="B5" s="5"/>
      <c r="C5" s="93" t="s">
        <v>52</v>
      </c>
      <c r="D5" s="91">
        <f ca="1">TODAY()</f>
        <v>45394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7"/>
      <c r="X5" s="7"/>
      <c r="Y5" s="7"/>
      <c r="Z5" s="7"/>
      <c r="AA5" s="7"/>
      <c r="AB5" s="7"/>
      <c r="AC5" s="7"/>
      <c r="AD5" s="7"/>
    </row>
    <row r="6" spans="1:30" ht="9.9499999999999993" customHeight="1">
      <c r="A6" s="7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7"/>
      <c r="X6" s="7"/>
      <c r="Y6" s="7"/>
      <c r="Z6" s="7"/>
      <c r="AA6" s="7"/>
      <c r="AB6" s="7"/>
      <c r="AC6" s="7"/>
      <c r="AD6" s="7"/>
    </row>
    <row r="7" spans="1:30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7.5" customHeight="1">
      <c r="A8" s="7"/>
      <c r="B8" s="5"/>
      <c r="C8" s="5"/>
      <c r="D8" s="5"/>
      <c r="E8" s="5"/>
      <c r="F8" s="5"/>
      <c r="G8" s="5"/>
      <c r="H8" s="5"/>
      <c r="I8" s="5"/>
      <c r="J8" s="5"/>
      <c r="K8" s="5"/>
      <c r="L8" s="7"/>
      <c r="M8" s="5"/>
      <c r="N8" s="5"/>
      <c r="O8" s="5"/>
      <c r="P8" s="5"/>
      <c r="Q8" s="5"/>
      <c r="R8" s="5"/>
      <c r="S8" s="5"/>
      <c r="T8" s="5"/>
      <c r="U8" s="5"/>
      <c r="V8" s="5"/>
      <c r="W8" s="7"/>
      <c r="X8" s="7"/>
      <c r="Y8" s="7"/>
      <c r="Z8" s="7"/>
      <c r="AA8" s="7"/>
      <c r="AB8" s="7"/>
      <c r="AC8" s="7"/>
      <c r="AD8" s="7"/>
    </row>
    <row r="9" spans="1:30" ht="22.5" customHeight="1">
      <c r="A9" s="7"/>
      <c r="B9" s="5"/>
      <c r="C9" s="13" t="s">
        <v>1</v>
      </c>
      <c r="D9" s="8"/>
      <c r="E9" s="8"/>
      <c r="F9" s="8"/>
      <c r="G9" s="8"/>
      <c r="H9" s="8"/>
      <c r="I9" s="8"/>
      <c r="J9" s="8"/>
      <c r="K9" s="5"/>
      <c r="L9" s="7"/>
      <c r="M9" s="13" t="s">
        <v>32</v>
      </c>
      <c r="N9" s="8"/>
      <c r="O9" s="8"/>
      <c r="P9" s="8"/>
      <c r="Q9" s="8"/>
      <c r="R9" s="8"/>
      <c r="S9" s="8"/>
      <c r="T9" s="8"/>
      <c r="U9" s="8"/>
      <c r="V9" s="5"/>
      <c r="W9" s="7"/>
      <c r="X9" s="7"/>
      <c r="Y9" s="7"/>
      <c r="Z9" s="7"/>
      <c r="AA9" s="7"/>
      <c r="AB9" s="7"/>
      <c r="AC9" s="7"/>
      <c r="AD9" s="7"/>
    </row>
    <row r="10" spans="1:30" ht="8.25" customHeight="1">
      <c r="A10" s="7"/>
      <c r="B10" s="5"/>
      <c r="C10" s="5"/>
      <c r="D10" s="5"/>
      <c r="E10" s="5"/>
      <c r="F10" s="5"/>
      <c r="G10" s="5"/>
      <c r="H10" s="5"/>
      <c r="I10" s="5"/>
      <c r="J10" s="5"/>
      <c r="K10" s="5"/>
      <c r="L10" s="7"/>
      <c r="M10" s="5"/>
      <c r="N10" s="5"/>
      <c r="O10" s="5"/>
      <c r="P10" s="5"/>
      <c r="Q10" s="5"/>
      <c r="R10" s="5"/>
      <c r="S10" s="5"/>
      <c r="T10" s="5"/>
      <c r="U10" s="5"/>
      <c r="V10" s="5"/>
      <c r="W10" s="7"/>
      <c r="X10" s="7"/>
      <c r="Y10" s="7"/>
      <c r="Z10" s="7"/>
      <c r="AA10" s="7"/>
      <c r="AB10" s="7"/>
      <c r="AC10" s="7"/>
      <c r="AD10" s="7"/>
    </row>
    <row r="11" spans="1:30" ht="18.75" customHeight="1">
      <c r="A11" s="7"/>
      <c r="B11" s="5"/>
      <c r="C11" s="22" t="s">
        <v>0</v>
      </c>
      <c r="D11" s="23" t="s">
        <v>29</v>
      </c>
      <c r="E11" s="22" t="s">
        <v>2</v>
      </c>
      <c r="F11" s="23" t="s">
        <v>27</v>
      </c>
      <c r="G11" s="22" t="s">
        <v>5</v>
      </c>
      <c r="H11" s="23" t="s">
        <v>30</v>
      </c>
      <c r="I11" s="22" t="s">
        <v>5</v>
      </c>
      <c r="J11" s="23" t="s">
        <v>6</v>
      </c>
      <c r="K11" s="5"/>
      <c r="L11" s="7"/>
      <c r="M11" s="10"/>
      <c r="N11" s="10"/>
      <c r="O11" s="10"/>
      <c r="P11" s="10"/>
      <c r="Q11" s="10"/>
      <c r="R11" s="10"/>
      <c r="S11" s="10"/>
      <c r="T11" s="10"/>
      <c r="U11" s="10"/>
      <c r="V11" s="5"/>
      <c r="W11" s="7"/>
      <c r="X11" s="7"/>
      <c r="Y11" s="7"/>
      <c r="Z11" s="7"/>
      <c r="AA11" s="7"/>
      <c r="AB11" s="7"/>
      <c r="AC11" s="7"/>
      <c r="AD11" s="7"/>
    </row>
    <row r="12" spans="1:30">
      <c r="A12" s="7"/>
      <c r="B12" s="5"/>
      <c r="C12" s="29" t="str">
        <f ca="1">[1]!s_fa_latelyrd_bt($D$4,$D$5)</f>
        <v>2023-12-31</v>
      </c>
      <c r="D12" s="30">
        <f ca="1">F12*H12*J12</f>
        <v>0.15061092221999994</v>
      </c>
      <c r="E12" s="31"/>
      <c r="F12" s="30">
        <f ca="1">D38</f>
        <v>0.18918417444562119</v>
      </c>
      <c r="G12" s="31"/>
      <c r="H12" s="32">
        <f ca="1">J38</f>
        <v>0.38601726513186857</v>
      </c>
      <c r="I12" s="31"/>
      <c r="J12" s="32">
        <f ca="1">Q38</f>
        <v>2.0623621715811034</v>
      </c>
      <c r="K12" s="5"/>
      <c r="L12" s="7"/>
      <c r="M12" s="6"/>
      <c r="N12" s="6"/>
      <c r="O12" s="6"/>
      <c r="P12" s="6"/>
      <c r="Q12" s="6"/>
      <c r="R12" s="6"/>
      <c r="S12" s="6"/>
      <c r="T12" s="6"/>
      <c r="U12" s="6"/>
      <c r="V12" s="5"/>
      <c r="W12" s="7"/>
      <c r="X12" s="7"/>
      <c r="Y12" s="7"/>
      <c r="Z12" s="7"/>
      <c r="AA12" s="7"/>
      <c r="AB12" s="7"/>
      <c r="AC12" s="7"/>
      <c r="AD12" s="7"/>
    </row>
    <row r="13" spans="1:30">
      <c r="A13" s="7"/>
      <c r="B13" s="5"/>
      <c r="C13" s="33">
        <f ca="1">EOMONTH(C12,-3)</f>
        <v>45199</v>
      </c>
      <c r="D13" s="34">
        <f t="shared" ref="D13:D31" ca="1" si="0">F13*H13*J13</f>
        <v>0.11838472922770245</v>
      </c>
      <c r="E13" s="35"/>
      <c r="F13" s="34">
        <f t="shared" ref="F13:F31" ca="1" si="1">D39</f>
        <v>0.19433077945171975</v>
      </c>
      <c r="G13" s="35"/>
      <c r="H13" s="36">
        <f t="shared" ref="H13:H31" ca="1" si="2">J39</f>
        <v>0.29096892828153431</v>
      </c>
      <c r="I13" s="35"/>
      <c r="J13" s="36">
        <f t="shared" ref="J13:J31" ca="1" si="3">Q39</f>
        <v>2.0936663747017428</v>
      </c>
      <c r="K13" s="5"/>
      <c r="L13" s="7"/>
      <c r="M13" s="9"/>
      <c r="N13" s="9"/>
      <c r="O13" s="9"/>
      <c r="P13" s="9"/>
      <c r="Q13" s="9"/>
      <c r="R13" s="9"/>
      <c r="S13" s="9"/>
      <c r="T13" s="9"/>
      <c r="U13" s="9"/>
      <c r="V13" s="5"/>
      <c r="W13" s="7"/>
      <c r="X13" s="7"/>
      <c r="Y13" s="7"/>
      <c r="Z13" s="7"/>
      <c r="AA13" s="7"/>
      <c r="AB13" s="7"/>
      <c r="AC13" s="7"/>
      <c r="AD13" s="7"/>
    </row>
    <row r="14" spans="1:30">
      <c r="A14" s="7"/>
      <c r="B14" s="5"/>
      <c r="C14" s="37">
        <f t="shared" ref="C14:C31" ca="1" si="4">EOMONTH(C13,-3)</f>
        <v>45107</v>
      </c>
      <c r="D14" s="30">
        <f t="shared" ca="1" si="0"/>
        <v>6.935980641293818E-2</v>
      </c>
      <c r="E14" s="31"/>
      <c r="F14" s="30">
        <f t="shared" ca="1" si="1"/>
        <v>0.17383035756064627</v>
      </c>
      <c r="G14" s="31"/>
      <c r="H14" s="32">
        <f t="shared" ca="1" si="2"/>
        <v>0.19205978622649517</v>
      </c>
      <c r="I14" s="31"/>
      <c r="J14" s="32">
        <f t="shared" ca="1" si="3"/>
        <v>2.0775228430999269</v>
      </c>
      <c r="K14" s="5"/>
      <c r="L14" s="7"/>
      <c r="M14" s="6"/>
      <c r="N14" s="6"/>
      <c r="O14" s="6"/>
      <c r="P14" s="6"/>
      <c r="Q14" s="6"/>
      <c r="R14" s="6"/>
      <c r="S14" s="6"/>
      <c r="T14" s="6"/>
      <c r="U14" s="6"/>
      <c r="V14" s="5"/>
      <c r="W14" s="7"/>
      <c r="X14" s="7"/>
      <c r="Y14" s="7"/>
      <c r="Z14" s="7"/>
      <c r="AA14" s="7"/>
      <c r="AB14" s="7"/>
      <c r="AC14" s="7"/>
      <c r="AD14" s="7"/>
    </row>
    <row r="15" spans="1:30">
      <c r="A15" s="7"/>
      <c r="B15" s="5"/>
      <c r="C15" s="33">
        <f t="shared" ca="1" si="4"/>
        <v>45016</v>
      </c>
      <c r="D15" s="34">
        <f t="shared" ca="1" si="0"/>
        <v>3.4453560765770989E-2</v>
      </c>
      <c r="E15" s="35"/>
      <c r="F15" s="34">
        <f t="shared" ca="1" si="1"/>
        <v>0.17226941181176908</v>
      </c>
      <c r="G15" s="35"/>
      <c r="H15" s="36">
        <f t="shared" ca="1" si="2"/>
        <v>9.6910934092152165E-2</v>
      </c>
      <c r="I15" s="35"/>
      <c r="J15" s="36">
        <f t="shared" ca="1" si="3"/>
        <v>2.0637313534336883</v>
      </c>
      <c r="K15" s="5"/>
      <c r="L15" s="7"/>
      <c r="M15" s="9"/>
      <c r="N15" s="9"/>
      <c r="O15" s="9"/>
      <c r="P15" s="9"/>
      <c r="Q15" s="9"/>
      <c r="R15" s="9"/>
      <c r="S15" s="9"/>
      <c r="T15" s="9"/>
      <c r="U15" s="9"/>
      <c r="V15" s="5"/>
      <c r="W15" s="7"/>
      <c r="X15" s="7"/>
      <c r="Y15" s="7"/>
      <c r="Z15" s="7"/>
      <c r="AA15" s="7"/>
      <c r="AB15" s="7"/>
      <c r="AC15" s="7"/>
      <c r="AD15" s="7"/>
    </row>
    <row r="16" spans="1:30">
      <c r="A16" s="7"/>
      <c r="B16" s="5"/>
      <c r="C16" s="37">
        <f t="shared" ca="1" si="4"/>
        <v>44926</v>
      </c>
      <c r="D16" s="30">
        <f t="shared" ca="1" si="0"/>
        <v>0.24644135917627261</v>
      </c>
      <c r="E16" s="31"/>
      <c r="F16" s="30">
        <f t="shared" ca="1" si="1"/>
        <v>0.33945058353409596</v>
      </c>
      <c r="G16" s="31"/>
      <c r="H16" s="32">
        <f t="shared" ca="1" si="2"/>
        <v>0.34762756249422111</v>
      </c>
      <c r="I16" s="31"/>
      <c r="J16" s="32">
        <f t="shared" ca="1" si="3"/>
        <v>2.088443990600187</v>
      </c>
      <c r="K16" s="5"/>
      <c r="L16" s="7"/>
      <c r="M16" s="9"/>
      <c r="N16" s="9"/>
      <c r="O16" s="9"/>
      <c r="P16" s="9"/>
      <c r="Q16" s="9"/>
      <c r="R16" s="9"/>
      <c r="S16" s="9"/>
      <c r="T16" s="9"/>
      <c r="U16" s="9"/>
      <c r="V16" s="5"/>
      <c r="W16" s="7"/>
      <c r="X16" s="7"/>
      <c r="Y16" s="7"/>
      <c r="Z16" s="7"/>
      <c r="AA16" s="7"/>
      <c r="AB16" s="7"/>
      <c r="AC16" s="7"/>
      <c r="AD16" s="7"/>
    </row>
    <row r="17" spans="1:31">
      <c r="A17" s="7"/>
      <c r="B17" s="5"/>
      <c r="C17" s="33">
        <f t="shared" ca="1" si="4"/>
        <v>44834</v>
      </c>
      <c r="D17" s="34">
        <f t="shared" ca="1" si="0"/>
        <v>0.10494687364575647</v>
      </c>
      <c r="E17" s="35"/>
      <c r="F17" s="34">
        <f t="shared" ca="1" si="1"/>
        <v>0.20013525456667272</v>
      </c>
      <c r="G17" s="35"/>
      <c r="H17" s="36">
        <f t="shared" ca="1" si="2"/>
        <v>0.26506848229109337</v>
      </c>
      <c r="I17" s="35"/>
      <c r="J17" s="36">
        <f t="shared" ca="1" si="3"/>
        <v>1.978280253920865</v>
      </c>
      <c r="K17" s="5"/>
      <c r="L17" s="7"/>
      <c r="M17" s="6"/>
      <c r="N17" s="6"/>
      <c r="O17" s="6"/>
      <c r="P17" s="6"/>
      <c r="Q17" s="6"/>
      <c r="R17" s="6"/>
      <c r="S17" s="6"/>
      <c r="T17" s="6"/>
      <c r="U17" s="6"/>
      <c r="V17" s="5"/>
      <c r="W17" s="7"/>
      <c r="X17" s="7"/>
      <c r="Y17" s="7"/>
      <c r="Z17" s="7"/>
      <c r="AA17" s="7"/>
      <c r="AB17" s="7"/>
      <c r="AC17" s="7"/>
      <c r="AD17" s="7"/>
      <c r="AE17" s="2"/>
    </row>
    <row r="18" spans="1:31" ht="11.25" customHeight="1">
      <c r="A18" s="7"/>
      <c r="B18" s="5"/>
      <c r="C18" s="37">
        <f t="shared" ca="1" si="4"/>
        <v>44742</v>
      </c>
      <c r="D18" s="38">
        <f t="shared" ca="1" si="0"/>
        <v>5.4488191222023967E-2</v>
      </c>
      <c r="E18" s="18"/>
      <c r="F18" s="38">
        <f t="shared" ca="1" si="1"/>
        <v>0.15596000074210128</v>
      </c>
      <c r="G18" s="18"/>
      <c r="H18" s="39">
        <f t="shared" ca="1" si="2"/>
        <v>0.17545709958193809</v>
      </c>
      <c r="I18" s="18"/>
      <c r="J18" s="39">
        <f t="shared" ca="1" si="3"/>
        <v>1.99121528293167</v>
      </c>
      <c r="K18" s="5"/>
      <c r="L18" s="7"/>
      <c r="M18" s="9"/>
      <c r="N18" s="9"/>
      <c r="O18" s="9"/>
      <c r="P18" s="9"/>
      <c r="Q18" s="9"/>
      <c r="R18" s="9"/>
      <c r="S18" s="9"/>
      <c r="T18" s="9"/>
      <c r="U18" s="9"/>
      <c r="V18" s="5"/>
      <c r="W18" s="7"/>
      <c r="X18" s="7"/>
      <c r="Y18" s="7"/>
      <c r="Z18" s="7"/>
      <c r="AA18" s="7"/>
      <c r="AB18" s="7"/>
      <c r="AC18" s="7"/>
      <c r="AD18" s="7"/>
    </row>
    <row r="19" spans="1:31" ht="11.25" customHeight="1">
      <c r="A19" s="7"/>
      <c r="B19" s="5"/>
      <c r="C19" s="33">
        <f t="shared" ca="1" si="4"/>
        <v>44651</v>
      </c>
      <c r="D19" s="34">
        <f t="shared" ca="1" si="0"/>
        <v>2.9558920259216567E-2</v>
      </c>
      <c r="E19" s="35"/>
      <c r="F19" s="34">
        <f t="shared" ca="1" si="1"/>
        <v>0.1728266566276177</v>
      </c>
      <c r="G19" s="35"/>
      <c r="H19" s="36">
        <f t="shared" ca="1" si="2"/>
        <v>8.7217151528300785E-2</v>
      </c>
      <c r="I19" s="35"/>
      <c r="J19" s="36">
        <f t="shared" ca="1" si="3"/>
        <v>1.9609925272605384</v>
      </c>
      <c r="K19" s="5"/>
      <c r="L19" s="7"/>
      <c r="M19" s="9"/>
      <c r="N19" s="9"/>
      <c r="O19" s="9"/>
      <c r="P19" s="9"/>
      <c r="Q19" s="9"/>
      <c r="R19" s="9"/>
      <c r="S19" s="9"/>
      <c r="T19" s="9"/>
      <c r="U19" s="9"/>
      <c r="V19" s="5"/>
      <c r="W19" s="7"/>
      <c r="X19" s="7"/>
      <c r="Y19" s="7"/>
      <c r="Z19" s="7"/>
      <c r="AA19" s="7"/>
      <c r="AB19" s="7"/>
      <c r="AC19" s="7"/>
      <c r="AD19" s="7"/>
    </row>
    <row r="20" spans="1:31" ht="11.25" customHeight="1">
      <c r="A20" s="7"/>
      <c r="B20" s="5"/>
      <c r="C20" s="37">
        <f t="shared" ca="1" si="4"/>
        <v>44561</v>
      </c>
      <c r="D20" s="38">
        <f t="shared" ca="1" si="0"/>
        <v>0.29772168527355469</v>
      </c>
      <c r="E20" s="18"/>
      <c r="F20" s="38">
        <f t="shared" ca="1" si="1"/>
        <v>0.40050450078115679</v>
      </c>
      <c r="G20" s="18"/>
      <c r="H20" s="39">
        <f t="shared" ca="1" si="2"/>
        <v>0.38111826746586397</v>
      </c>
      <c r="I20" s="18"/>
      <c r="J20" s="39">
        <f t="shared" ca="1" si="3"/>
        <v>1.9504880873319768</v>
      </c>
      <c r="K20" s="5"/>
      <c r="L20" s="7"/>
      <c r="M20" s="9"/>
      <c r="N20" s="9"/>
      <c r="O20" s="9"/>
      <c r="P20" s="9"/>
      <c r="Q20" s="9"/>
      <c r="R20" s="9"/>
      <c r="S20" s="9"/>
      <c r="T20" s="9"/>
      <c r="U20" s="9"/>
      <c r="V20" s="5"/>
      <c r="W20" s="7"/>
      <c r="X20" s="7"/>
      <c r="Y20" s="7"/>
      <c r="Z20" s="7"/>
      <c r="AA20" s="7"/>
      <c r="AB20" s="7"/>
      <c r="AC20" s="7"/>
      <c r="AD20" s="7"/>
    </row>
    <row r="21" spans="1:31" ht="11.25" customHeight="1">
      <c r="A21" s="7"/>
      <c r="B21" s="5"/>
      <c r="C21" s="33">
        <f t="shared" ca="1" si="4"/>
        <v>44469</v>
      </c>
      <c r="D21" s="34">
        <f t="shared" ca="1" si="0"/>
        <v>0.16643682874939125</v>
      </c>
      <c r="E21" s="35"/>
      <c r="F21" s="34">
        <f t="shared" ca="1" si="1"/>
        <v>0.31086683838103357</v>
      </c>
      <c r="G21" s="35"/>
      <c r="H21" s="36">
        <f t="shared" ca="1" si="2"/>
        <v>0.28800186417898049</v>
      </c>
      <c r="I21" s="35"/>
      <c r="J21" s="36">
        <f t="shared" ca="1" si="3"/>
        <v>1.859001486683926</v>
      </c>
      <c r="K21" s="5"/>
      <c r="L21" s="7"/>
      <c r="M21" s="5"/>
      <c r="N21" s="5"/>
      <c r="O21" s="5"/>
      <c r="P21" s="5"/>
      <c r="Q21" s="5"/>
      <c r="R21" s="5"/>
      <c r="S21" s="5"/>
      <c r="T21" s="5"/>
      <c r="U21" s="5"/>
      <c r="V21" s="5"/>
      <c r="W21" s="7"/>
      <c r="X21" s="7"/>
      <c r="Y21" s="7"/>
      <c r="Z21" s="7"/>
      <c r="AA21" s="7"/>
      <c r="AB21" s="7"/>
      <c r="AC21" s="7"/>
      <c r="AD21" s="7"/>
    </row>
    <row r="22" spans="1:31" ht="11.25" customHeight="1">
      <c r="A22" s="7"/>
      <c r="B22" s="5"/>
      <c r="C22" s="37">
        <f t="shared" ca="1" si="4"/>
        <v>44377</v>
      </c>
      <c r="D22" s="38">
        <f t="shared" ca="1" si="0"/>
        <v>0.11657144184168274</v>
      </c>
      <c r="E22" s="18"/>
      <c r="F22" s="38">
        <f t="shared" ca="1" si="1"/>
        <v>0.32875127346819966</v>
      </c>
      <c r="G22" s="18"/>
      <c r="H22" s="39">
        <f t="shared" ca="1" si="2"/>
        <v>0.19278920397292787</v>
      </c>
      <c r="I22" s="18"/>
      <c r="J22" s="39">
        <f t="shared" ca="1" si="3"/>
        <v>1.8392552917672726</v>
      </c>
      <c r="K22" s="5"/>
      <c r="L22" s="7"/>
      <c r="M22" s="5"/>
      <c r="N22" s="5"/>
      <c r="O22" s="5"/>
      <c r="P22" s="5"/>
      <c r="Q22" s="5"/>
      <c r="R22" s="5"/>
      <c r="S22" s="5"/>
      <c r="T22" s="5"/>
      <c r="U22" s="5"/>
      <c r="V22" s="5"/>
      <c r="W22" s="7"/>
      <c r="X22" s="7"/>
      <c r="Y22" s="7"/>
      <c r="Z22" s="7"/>
      <c r="AA22" s="7"/>
      <c r="AB22" s="7"/>
      <c r="AC22" s="7"/>
      <c r="AD22" s="7"/>
    </row>
    <row r="23" spans="1:31" ht="11.25" customHeight="1">
      <c r="A23" s="7"/>
      <c r="B23" s="5"/>
      <c r="C23" s="33">
        <f t="shared" ca="1" si="4"/>
        <v>44286</v>
      </c>
      <c r="D23" s="34">
        <f t="shared" ca="1" si="0"/>
        <v>6.5175508733821094E-2</v>
      </c>
      <c r="E23" s="35"/>
      <c r="F23" s="34">
        <f t="shared" ca="1" si="1"/>
        <v>0.35262547892013202</v>
      </c>
      <c r="G23" s="35"/>
      <c r="H23" s="36">
        <f t="shared" ca="1" si="2"/>
        <v>9.8282713441908351E-2</v>
      </c>
      <c r="I23" s="35"/>
      <c r="J23" s="36">
        <f t="shared" ca="1" si="3"/>
        <v>1.8805877489091252</v>
      </c>
      <c r="K23" s="5"/>
      <c r="L23" s="7"/>
      <c r="M23" s="5"/>
      <c r="N23" s="5"/>
      <c r="O23" s="5"/>
      <c r="P23" s="5"/>
      <c r="Q23" s="5"/>
      <c r="R23" s="5"/>
      <c r="S23" s="5"/>
      <c r="T23" s="5"/>
      <c r="U23" s="5"/>
      <c r="V23" s="5"/>
      <c r="W23" s="7"/>
      <c r="X23" s="7"/>
      <c r="Y23" s="7"/>
      <c r="Z23" s="7"/>
      <c r="AA23" s="7"/>
      <c r="AB23" s="7"/>
      <c r="AC23" s="7"/>
      <c r="AD23" s="7"/>
    </row>
    <row r="24" spans="1:31" ht="11.25" customHeight="1">
      <c r="A24" s="7"/>
      <c r="B24" s="5"/>
      <c r="C24" s="37">
        <f t="shared" ca="1" si="4"/>
        <v>44196</v>
      </c>
      <c r="D24" s="38">
        <f t="shared" ca="1" si="0"/>
        <v>0.28124994501579148</v>
      </c>
      <c r="E24" s="18"/>
      <c r="F24" s="38">
        <f t="shared" ca="1" si="1"/>
        <v>0.33158875170101898</v>
      </c>
      <c r="G24" s="18"/>
      <c r="H24" s="39">
        <f t="shared" ca="1" si="2"/>
        <v>0.42149312038807191</v>
      </c>
      <c r="I24" s="18"/>
      <c r="J24" s="39">
        <f t="shared" ca="1" si="3"/>
        <v>2.0123437348793427</v>
      </c>
      <c r="K24" s="5"/>
      <c r="L24" s="7"/>
      <c r="M24" s="5"/>
      <c r="N24" s="5"/>
      <c r="O24" s="5"/>
      <c r="P24" s="5"/>
      <c r="Q24" s="5"/>
      <c r="R24" s="5"/>
      <c r="S24" s="5"/>
      <c r="T24" s="5"/>
      <c r="U24" s="5"/>
      <c r="V24" s="5"/>
      <c r="W24" s="7"/>
      <c r="X24" s="7"/>
      <c r="Y24" s="7"/>
      <c r="Z24" s="7"/>
      <c r="AA24" s="7"/>
      <c r="AB24" s="7"/>
      <c r="AC24" s="7"/>
      <c r="AD24" s="7"/>
    </row>
    <row r="25" spans="1:31" ht="11.25" customHeight="1">
      <c r="A25" s="7"/>
      <c r="B25" s="5"/>
      <c r="C25" s="33">
        <f t="shared" ca="1" si="4"/>
        <v>44104</v>
      </c>
      <c r="D25" s="34">
        <f t="shared" ca="1" si="0"/>
        <v>0.19913666841947336</v>
      </c>
      <c r="E25" s="35"/>
      <c r="F25" s="34">
        <f t="shared" ca="1" si="1"/>
        <v>0.28859484206145319</v>
      </c>
      <c r="G25" s="35"/>
      <c r="H25" s="36">
        <f t="shared" ca="1" si="2"/>
        <v>0.32499306208212164</v>
      </c>
      <c r="I25" s="35"/>
      <c r="J25" s="36">
        <f t="shared" ca="1" si="3"/>
        <v>2.1231886426046906</v>
      </c>
      <c r="K25" s="5"/>
      <c r="L25" s="7"/>
      <c r="M25" s="5"/>
      <c r="N25" s="5"/>
      <c r="O25" s="5"/>
      <c r="P25" s="5"/>
      <c r="Q25" s="5"/>
      <c r="R25" s="5"/>
      <c r="S25" s="5"/>
      <c r="T25" s="5"/>
      <c r="U25" s="5"/>
      <c r="V25" s="5"/>
      <c r="W25" s="7"/>
      <c r="X25" s="7"/>
      <c r="Y25" s="7"/>
      <c r="Z25" s="7"/>
      <c r="AA25" s="7"/>
      <c r="AB25" s="7"/>
      <c r="AC25" s="7"/>
      <c r="AD25" s="7"/>
    </row>
    <row r="26" spans="1:31" ht="11.25" customHeight="1">
      <c r="A26" s="7"/>
      <c r="B26" s="5"/>
      <c r="C26" s="37">
        <f t="shared" ca="1" si="4"/>
        <v>44012</v>
      </c>
      <c r="D26" s="38">
        <f t="shared" ca="1" si="0"/>
        <v>0.12809015457874323</v>
      </c>
      <c r="E26" s="18"/>
      <c r="F26" s="38">
        <f t="shared" ca="1" si="1"/>
        <v>0.27810520838940023</v>
      </c>
      <c r="G26" s="18"/>
      <c r="H26" s="39">
        <f t="shared" ca="1" si="2"/>
        <v>0.21097216505088642</v>
      </c>
      <c r="I26" s="18"/>
      <c r="J26" s="39">
        <f t="shared" ca="1" si="3"/>
        <v>2.1831393997613922</v>
      </c>
      <c r="K26" s="5"/>
      <c r="L26" s="7"/>
      <c r="M26" s="5"/>
      <c r="N26" s="5"/>
      <c r="O26" s="5"/>
      <c r="P26" s="5"/>
      <c r="Q26" s="5"/>
      <c r="R26" s="5"/>
      <c r="S26" s="5"/>
      <c r="T26" s="5"/>
      <c r="U26" s="5"/>
      <c r="V26" s="5"/>
      <c r="W26" s="7"/>
      <c r="X26" s="7"/>
      <c r="Y26" s="7"/>
      <c r="Z26" s="7"/>
      <c r="AA26" s="7"/>
      <c r="AB26" s="7"/>
      <c r="AC26" s="7"/>
      <c r="AD26" s="7"/>
    </row>
    <row r="27" spans="1:31" ht="11.25" customHeight="1">
      <c r="A27" s="7"/>
      <c r="B27" s="5"/>
      <c r="C27" s="33">
        <f t="shared" ca="1" si="4"/>
        <v>43921</v>
      </c>
      <c r="D27" s="34">
        <f t="shared" ca="1" si="0"/>
        <v>6.48961854176726E-2</v>
      </c>
      <c r="E27" s="35"/>
      <c r="F27" s="34">
        <f t="shared" ca="1" si="1"/>
        <v>0.2673946236061629</v>
      </c>
      <c r="G27" s="35"/>
      <c r="H27" s="36">
        <f t="shared" ca="1" si="2"/>
        <v>0.10977022556910324</v>
      </c>
      <c r="I27" s="35"/>
      <c r="J27" s="36">
        <f t="shared" ca="1" si="3"/>
        <v>2.2109653801668667</v>
      </c>
      <c r="K27" s="5"/>
      <c r="L27" s="7"/>
      <c r="M27" s="5"/>
      <c r="N27" s="5"/>
      <c r="O27" s="5"/>
      <c r="P27" s="5"/>
      <c r="Q27" s="5"/>
      <c r="R27" s="5"/>
      <c r="S27" s="5"/>
      <c r="T27" s="5"/>
      <c r="U27" s="5"/>
      <c r="V27" s="5"/>
      <c r="W27" s="7"/>
      <c r="X27" s="7"/>
      <c r="Y27" s="7"/>
      <c r="Z27" s="7"/>
      <c r="AA27" s="7"/>
      <c r="AB27" s="7"/>
      <c r="AC27" s="7"/>
      <c r="AD27" s="7"/>
    </row>
    <row r="28" spans="1:31" ht="11.25" customHeight="1">
      <c r="A28" s="7"/>
      <c r="B28" s="5"/>
      <c r="C28" s="37">
        <f t="shared" ca="1" si="4"/>
        <v>43830</v>
      </c>
      <c r="D28" s="38">
        <f t="shared" ca="1" si="0"/>
        <v>0.24678134289673853</v>
      </c>
      <c r="E28" s="18"/>
      <c r="F28" s="38">
        <f t="shared" ca="1" si="1"/>
        <v>0.24731704343354829</v>
      </c>
      <c r="G28" s="18"/>
      <c r="H28" s="39">
        <f t="shared" ca="1" si="2"/>
        <v>0.44982107377197234</v>
      </c>
      <c r="I28" s="18"/>
      <c r="J28" s="39">
        <f t="shared" ca="1" si="3"/>
        <v>2.2182908058015172</v>
      </c>
      <c r="K28" s="5"/>
      <c r="L28" s="7"/>
      <c r="M28" s="5"/>
      <c r="N28" s="5"/>
      <c r="O28" s="5"/>
      <c r="P28" s="5"/>
      <c r="Q28" s="5"/>
      <c r="R28" s="5"/>
      <c r="S28" s="5"/>
      <c r="T28" s="5"/>
      <c r="U28" s="5"/>
      <c r="V28" s="5"/>
      <c r="W28" s="7"/>
      <c r="X28" s="7"/>
      <c r="Y28" s="7"/>
      <c r="Z28" s="7"/>
      <c r="AA28" s="7"/>
      <c r="AB28" s="7"/>
      <c r="AC28" s="7"/>
      <c r="AD28" s="7"/>
    </row>
    <row r="29" spans="1:31" ht="11.25" customHeight="1">
      <c r="A29" s="7"/>
      <c r="B29" s="5"/>
      <c r="C29" s="33">
        <f t="shared" ca="1" si="4"/>
        <v>43738</v>
      </c>
      <c r="D29" s="34">
        <f t="shared" ca="1" si="0"/>
        <v>0.19719254644724618</v>
      </c>
      <c r="E29" s="35"/>
      <c r="F29" s="34">
        <f t="shared" ca="1" si="1"/>
        <v>0.26417012249467819</v>
      </c>
      <c r="G29" s="35"/>
      <c r="H29" s="36">
        <f t="shared" ca="1" si="2"/>
        <v>0.34375464869918715</v>
      </c>
      <c r="I29" s="35"/>
      <c r="J29" s="36">
        <f t="shared" ca="1" si="3"/>
        <v>2.1714919201860639</v>
      </c>
      <c r="K29" s="5"/>
      <c r="L29" s="7"/>
      <c r="M29" s="5"/>
      <c r="N29" s="5"/>
      <c r="O29" s="5"/>
      <c r="P29" s="5"/>
      <c r="Q29" s="5"/>
      <c r="R29" s="5"/>
      <c r="S29" s="5"/>
      <c r="T29" s="5"/>
      <c r="U29" s="5"/>
      <c r="V29" s="5"/>
      <c r="W29" s="7"/>
      <c r="X29" s="7"/>
      <c r="Y29" s="7"/>
      <c r="Z29" s="7"/>
      <c r="AA29" s="7"/>
      <c r="AB29" s="7"/>
      <c r="AC29" s="7"/>
      <c r="AD29" s="7"/>
    </row>
    <row r="30" spans="1:31" ht="11.25" customHeight="1">
      <c r="A30" s="7"/>
      <c r="B30" s="5"/>
      <c r="C30" s="37">
        <f t="shared" ca="1" si="4"/>
        <v>43646</v>
      </c>
      <c r="D30" s="38">
        <f t="shared" ca="1" si="0"/>
        <v>0.14464354631066842</v>
      </c>
      <c r="E30" s="18"/>
      <c r="F30" s="38">
        <f t="shared" ca="1" si="1"/>
        <v>0.29428014672168734</v>
      </c>
      <c r="G30" s="18"/>
      <c r="H30" s="39">
        <f t="shared" ca="1" si="2"/>
        <v>0.22654076740555121</v>
      </c>
      <c r="I30" s="18"/>
      <c r="J30" s="39">
        <f t="shared" ca="1" si="3"/>
        <v>2.169660237250798</v>
      </c>
      <c r="K30" s="5"/>
      <c r="L30" s="7"/>
      <c r="M30" s="5"/>
      <c r="N30" s="5"/>
      <c r="O30" s="5"/>
      <c r="P30" s="5"/>
      <c r="Q30" s="5"/>
      <c r="R30" s="5"/>
      <c r="S30" s="5"/>
      <c r="T30" s="5"/>
      <c r="U30" s="5"/>
      <c r="V30" s="5"/>
      <c r="W30" s="7"/>
      <c r="X30" s="7"/>
      <c r="Y30" s="7"/>
      <c r="Z30" s="7"/>
      <c r="AA30" s="7"/>
      <c r="AB30" s="7"/>
      <c r="AC30" s="7"/>
      <c r="AD30" s="7"/>
    </row>
    <row r="31" spans="1:31" ht="11.25" customHeight="1">
      <c r="A31" s="7"/>
      <c r="B31" s="5"/>
      <c r="C31" s="33">
        <f t="shared" ca="1" si="4"/>
        <v>43555</v>
      </c>
      <c r="D31" s="34">
        <f t="shared" ca="1" si="0"/>
        <v>7.9159587590476407E-2</v>
      </c>
      <c r="E31" s="35"/>
      <c r="F31" s="34">
        <f t="shared" ca="1" si="1"/>
        <v>0.31746587329366466</v>
      </c>
      <c r="G31" s="35"/>
      <c r="H31" s="36">
        <f t="shared" ca="1" si="2"/>
        <v>0.11395575788356863</v>
      </c>
      <c r="I31" s="35"/>
      <c r="J31" s="36">
        <f t="shared" ca="1" si="3"/>
        <v>2.1881152977866734</v>
      </c>
      <c r="K31" s="5"/>
      <c r="L31" s="7"/>
      <c r="M31" s="5"/>
      <c r="N31" s="5"/>
      <c r="O31" s="5"/>
      <c r="P31" s="5"/>
      <c r="Q31" s="5"/>
      <c r="R31" s="5"/>
      <c r="S31" s="5"/>
      <c r="T31" s="5"/>
      <c r="U31" s="5"/>
      <c r="V31" s="5"/>
      <c r="W31" s="7"/>
      <c r="X31" s="7"/>
      <c r="Y31" s="7"/>
      <c r="Z31" s="7"/>
      <c r="AA31" s="7"/>
      <c r="AB31" s="7"/>
      <c r="AC31" s="7"/>
      <c r="AD31" s="7"/>
    </row>
    <row r="32" spans="1:31" ht="11.25" customHeight="1">
      <c r="A32" s="7"/>
      <c r="B32" s="5"/>
      <c r="C32" s="5"/>
      <c r="D32" s="5"/>
      <c r="E32" s="5"/>
      <c r="F32" s="5"/>
      <c r="G32" s="5"/>
      <c r="H32" s="5"/>
      <c r="I32" s="5"/>
      <c r="J32" s="5"/>
      <c r="K32" s="5"/>
      <c r="L32" s="7"/>
      <c r="M32" s="5"/>
      <c r="N32" s="5"/>
      <c r="O32" s="5"/>
      <c r="P32" s="5"/>
      <c r="Q32" s="5"/>
      <c r="R32" s="5"/>
      <c r="S32" s="5"/>
      <c r="T32" s="5"/>
      <c r="U32" s="5"/>
      <c r="V32" s="5"/>
      <c r="W32" s="7"/>
      <c r="X32" s="7"/>
      <c r="Y32" s="7"/>
      <c r="Z32" s="7"/>
      <c r="AA32" s="7"/>
      <c r="AB32" s="7"/>
      <c r="AC32" s="7"/>
      <c r="AD32" s="7"/>
    </row>
    <row r="33" spans="1:30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>
      <c r="A34" s="7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  <c r="X34" s="7"/>
      <c r="Y34" s="7"/>
      <c r="Z34" s="7"/>
      <c r="AA34" s="7"/>
      <c r="AB34" s="7"/>
      <c r="AC34" s="7"/>
      <c r="AD34" s="7"/>
    </row>
    <row r="35" spans="1:30" ht="17.25">
      <c r="A35" s="7"/>
      <c r="B35" s="5"/>
      <c r="C35" s="13" t="s">
        <v>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5"/>
      <c r="W35" s="7"/>
      <c r="X35" s="7"/>
      <c r="Y35" s="7"/>
      <c r="Z35" s="7"/>
      <c r="AA35" s="7"/>
      <c r="AB35" s="7"/>
      <c r="AC35" s="7"/>
      <c r="AD35" s="7"/>
    </row>
    <row r="36" spans="1:30">
      <c r="A36" s="7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7"/>
      <c r="X36" s="7"/>
      <c r="Y36" s="7"/>
      <c r="Z36" s="7"/>
      <c r="AA36" s="7"/>
      <c r="AB36" s="7"/>
      <c r="AC36" s="7"/>
      <c r="AD36" s="7"/>
    </row>
    <row r="37" spans="1:30" s="28" customFormat="1" ht="16.5">
      <c r="A37" s="25"/>
      <c r="B37" s="26"/>
      <c r="C37" s="22" t="s">
        <v>0</v>
      </c>
      <c r="D37" s="23" t="s">
        <v>27</v>
      </c>
      <c r="E37" s="23" t="s">
        <v>2</v>
      </c>
      <c r="F37" s="23" t="s">
        <v>26</v>
      </c>
      <c r="G37" s="23" t="s">
        <v>5</v>
      </c>
      <c r="H37" s="24" t="s">
        <v>28</v>
      </c>
      <c r="I37" s="23"/>
      <c r="J37" s="23" t="s">
        <v>7</v>
      </c>
      <c r="K37" s="23" t="s">
        <v>2</v>
      </c>
      <c r="L37" s="23"/>
      <c r="M37" s="23" t="s">
        <v>8</v>
      </c>
      <c r="N37" s="23" t="s">
        <v>9</v>
      </c>
      <c r="O37" s="24" t="s">
        <v>10</v>
      </c>
      <c r="P37" s="23"/>
      <c r="Q37" s="23" t="s">
        <v>31</v>
      </c>
      <c r="R37" s="23" t="s">
        <v>2</v>
      </c>
      <c r="S37" s="23" t="s">
        <v>11</v>
      </c>
      <c r="T37" s="23" t="s">
        <v>9</v>
      </c>
      <c r="U37" s="23" t="s">
        <v>12</v>
      </c>
      <c r="V37" s="26"/>
      <c r="W37" s="25"/>
      <c r="X37" s="25"/>
      <c r="Y37" s="25"/>
      <c r="Z37" s="25"/>
      <c r="AA37" s="25"/>
      <c r="AB37" s="25"/>
      <c r="AC37" s="25"/>
      <c r="AD37" s="25"/>
    </row>
    <row r="38" spans="1:30">
      <c r="A38" s="7"/>
      <c r="B38" s="5"/>
      <c r="C38" s="40" t="str">
        <f ca="1">[1]!s_fa_latelyrd_bt($D$4,$D$5)</f>
        <v>2023-12-31</v>
      </c>
      <c r="D38" s="30">
        <f ca="1">F38*H38</f>
        <v>0.18918417444562119</v>
      </c>
      <c r="E38" s="31"/>
      <c r="F38" s="30">
        <f t="shared" ref="F38:F57" ca="1" si="5">F64</f>
        <v>0.19383430621577463</v>
      </c>
      <c r="G38" s="31"/>
      <c r="H38" s="41">
        <f t="shared" ref="H38:H57" ca="1" si="6">O64</f>
        <v>0.97600975874220652</v>
      </c>
      <c r="I38" s="31"/>
      <c r="J38" s="42">
        <f ca="1">M38/O38</f>
        <v>0.38601726513186857</v>
      </c>
      <c r="K38" s="31"/>
      <c r="L38" s="31"/>
      <c r="M38" s="43">
        <f ca="1">H90</f>
        <v>609015000000</v>
      </c>
      <c r="N38" s="31"/>
      <c r="O38" s="44">
        <f t="shared" ref="O38:O57" ca="1" si="7">U64</f>
        <v>1577688500000</v>
      </c>
      <c r="P38" s="31"/>
      <c r="Q38" s="32">
        <f ca="1">S38/U38</f>
        <v>2.0623621715811034</v>
      </c>
      <c r="R38" s="31"/>
      <c r="S38" s="69">
        <f t="shared" ref="S38:S57" ca="1" si="8">U64</f>
        <v>1577688500000</v>
      </c>
      <c r="T38" s="31"/>
      <c r="U38" s="43">
        <f t="shared" ref="U38:U57" ca="1" si="9">Y64</f>
        <v>764991000000</v>
      </c>
      <c r="V38" s="5"/>
      <c r="W38" s="7"/>
      <c r="X38" s="7"/>
      <c r="Y38" s="7"/>
      <c r="Z38" s="7"/>
      <c r="AA38" s="7"/>
      <c r="AB38" s="7"/>
      <c r="AC38" s="7"/>
      <c r="AD38" s="7"/>
    </row>
    <row r="39" spans="1:30">
      <c r="A39" s="7"/>
      <c r="B39" s="5"/>
      <c r="C39" s="33">
        <f ca="1">EOMONTH(C38,-3)</f>
        <v>45199</v>
      </c>
      <c r="D39" s="34">
        <f t="shared" ref="D39:D57" ca="1" si="10">F39*H39</f>
        <v>0.19433077945171975</v>
      </c>
      <c r="E39" s="35"/>
      <c r="F39" s="34">
        <f t="shared" ca="1" si="5"/>
        <v>0.19875324744005871</v>
      </c>
      <c r="G39" s="35"/>
      <c r="H39" s="46">
        <f t="shared" ca="1" si="6"/>
        <v>0.9777489523049292</v>
      </c>
      <c r="I39" s="35"/>
      <c r="J39" s="47">
        <f t="shared" ref="J39:J57" ca="1" si="11">M39/O39</f>
        <v>0.29096892828153431</v>
      </c>
      <c r="K39" s="35"/>
      <c r="L39" s="35"/>
      <c r="M39" s="48">
        <f t="shared" ref="M39:M57" ca="1" si="12">H91</f>
        <v>453819000000</v>
      </c>
      <c r="N39" s="35"/>
      <c r="O39" s="49">
        <f t="shared" ca="1" si="7"/>
        <v>1559682000000</v>
      </c>
      <c r="P39" s="35"/>
      <c r="Q39" s="36">
        <f t="shared" ref="Q39:Q57" ca="1" si="13">S39/U39</f>
        <v>2.0936663747017428</v>
      </c>
      <c r="R39" s="35"/>
      <c r="S39" s="70">
        <f t="shared" ca="1" si="8"/>
        <v>1559682000000</v>
      </c>
      <c r="T39" s="35"/>
      <c r="U39" s="48">
        <f t="shared" ca="1" si="9"/>
        <v>744952500000</v>
      </c>
      <c r="V39" s="5"/>
      <c r="W39" s="7"/>
      <c r="X39" s="7"/>
      <c r="Y39" s="7"/>
      <c r="Z39" s="7"/>
      <c r="AA39" s="7"/>
      <c r="AB39" s="7"/>
      <c r="AC39" s="7"/>
      <c r="AD39" s="7"/>
    </row>
    <row r="40" spans="1:30">
      <c r="A40" s="7"/>
      <c r="B40" s="5"/>
      <c r="C40" s="37">
        <f t="shared" ref="C40:C57" ca="1" si="14">EOMONTH(C39,-3)</f>
        <v>45107</v>
      </c>
      <c r="D40" s="30">
        <f t="shared" ca="1" si="10"/>
        <v>0.17383035756064627</v>
      </c>
      <c r="E40" s="31"/>
      <c r="F40" s="30">
        <f t="shared" ca="1" si="5"/>
        <v>0.17853633428477844</v>
      </c>
      <c r="G40" s="31"/>
      <c r="H40" s="41">
        <f t="shared" ca="1" si="6"/>
        <v>0.9736413501319805</v>
      </c>
      <c r="I40" s="31"/>
      <c r="J40" s="42">
        <f t="shared" ca="1" si="11"/>
        <v>0.19205978622649517</v>
      </c>
      <c r="K40" s="31"/>
      <c r="L40" s="31"/>
      <c r="M40" s="43">
        <f t="shared" ca="1" si="12"/>
        <v>299194000000</v>
      </c>
      <c r="N40" s="31"/>
      <c r="O40" s="44">
        <f t="shared" ca="1" si="7"/>
        <v>1557817000000</v>
      </c>
      <c r="P40" s="31"/>
      <c r="Q40" s="32">
        <f t="shared" ca="1" si="13"/>
        <v>2.0775228430999269</v>
      </c>
      <c r="R40" s="31"/>
      <c r="S40" s="69">
        <f t="shared" ca="1" si="8"/>
        <v>1557817000000</v>
      </c>
      <c r="T40" s="31"/>
      <c r="U40" s="43">
        <f t="shared" ca="1" si="9"/>
        <v>749843500000</v>
      </c>
      <c r="V40" s="5"/>
      <c r="W40" s="7"/>
      <c r="X40" s="7"/>
      <c r="Y40" s="7"/>
      <c r="Z40" s="7"/>
      <c r="AA40" s="7"/>
      <c r="AB40" s="7"/>
      <c r="AC40" s="7"/>
      <c r="AD40" s="7"/>
    </row>
    <row r="41" spans="1:30">
      <c r="A41" s="7"/>
      <c r="B41" s="5"/>
      <c r="C41" s="33">
        <f t="shared" ca="1" si="14"/>
        <v>45016</v>
      </c>
      <c r="D41" s="34">
        <f t="shared" ca="1" si="10"/>
        <v>0.17226941181176908</v>
      </c>
      <c r="E41" s="35"/>
      <c r="F41" s="34">
        <f t="shared" ca="1" si="5"/>
        <v>0.1759764244662835</v>
      </c>
      <c r="G41" s="35"/>
      <c r="H41" s="46">
        <f t="shared" ca="1" si="6"/>
        <v>0.97893460634992802</v>
      </c>
      <c r="I41" s="35"/>
      <c r="J41" s="47">
        <f t="shared" ca="1" si="11"/>
        <v>9.6910934092152165E-2</v>
      </c>
      <c r="K41" s="35"/>
      <c r="L41" s="35"/>
      <c r="M41" s="48">
        <f t="shared" ca="1" si="12"/>
        <v>149986000000</v>
      </c>
      <c r="N41" s="35"/>
      <c r="O41" s="49">
        <f t="shared" ca="1" si="7"/>
        <v>1547668500000</v>
      </c>
      <c r="P41" s="35"/>
      <c r="Q41" s="36">
        <f t="shared" ca="1" si="13"/>
        <v>2.0637313534336883</v>
      </c>
      <c r="R41" s="35"/>
      <c r="S41" s="70">
        <f t="shared" ca="1" si="8"/>
        <v>1547668500000</v>
      </c>
      <c r="T41" s="35"/>
      <c r="U41" s="48">
        <f t="shared" ca="1" si="9"/>
        <v>749937000000</v>
      </c>
      <c r="V41" s="5"/>
      <c r="W41" s="7"/>
      <c r="X41" s="7"/>
      <c r="Y41" s="7"/>
      <c r="Z41" s="7"/>
      <c r="AA41" s="7"/>
      <c r="AB41" s="7"/>
      <c r="AC41" s="7"/>
      <c r="AD41" s="7"/>
    </row>
    <row r="42" spans="1:30">
      <c r="A42" s="7"/>
      <c r="B42" s="5"/>
      <c r="C42" s="37">
        <f t="shared" ca="1" si="14"/>
        <v>44926</v>
      </c>
      <c r="D42" s="30">
        <f t="shared" ca="1" si="10"/>
        <v>0.33945058353409596</v>
      </c>
      <c r="E42" s="31"/>
      <c r="F42" s="30">
        <f t="shared" ca="1" si="5"/>
        <v>0.34029090148444147</v>
      </c>
      <c r="G42" s="31"/>
      <c r="H42" s="41">
        <f t="shared" ca="1" si="6"/>
        <v>0.99753058942604755</v>
      </c>
      <c r="I42" s="31"/>
      <c r="J42" s="42">
        <f t="shared" ca="1" si="11"/>
        <v>0.34762756249422111</v>
      </c>
      <c r="K42" s="31"/>
      <c r="L42" s="31"/>
      <c r="M42" s="43">
        <f t="shared" ca="1" si="12"/>
        <v>554552000000</v>
      </c>
      <c r="N42" s="31"/>
      <c r="O42" s="44">
        <f t="shared" ca="1" si="7"/>
        <v>1595247500000</v>
      </c>
      <c r="P42" s="31"/>
      <c r="Q42" s="32">
        <f t="shared" ca="1" si="13"/>
        <v>2.088443990600187</v>
      </c>
      <c r="R42" s="31"/>
      <c r="S42" s="69">
        <f t="shared" ca="1" si="8"/>
        <v>1595247500000</v>
      </c>
      <c r="T42" s="31"/>
      <c r="U42" s="43">
        <f t="shared" ca="1" si="9"/>
        <v>763845000000</v>
      </c>
      <c r="V42" s="5"/>
      <c r="W42" s="7"/>
      <c r="X42" s="7"/>
      <c r="Y42" s="7"/>
      <c r="Z42" s="7"/>
      <c r="AA42" s="7"/>
      <c r="AB42" s="7"/>
      <c r="AC42" s="7"/>
      <c r="AD42" s="7"/>
    </row>
    <row r="43" spans="1:30">
      <c r="A43" s="7"/>
      <c r="B43" s="5"/>
      <c r="C43" s="33">
        <f t="shared" ca="1" si="14"/>
        <v>44834</v>
      </c>
      <c r="D43" s="34">
        <f t="shared" ca="1" si="10"/>
        <v>0.20013525456667272</v>
      </c>
      <c r="E43" s="35"/>
      <c r="F43" s="34">
        <f t="shared" ca="1" si="5"/>
        <v>0.19972021347760491</v>
      </c>
      <c r="G43" s="35"/>
      <c r="H43" s="46">
        <f t="shared" ca="1" si="6"/>
        <v>1.0020781125848053</v>
      </c>
      <c r="I43" s="35"/>
      <c r="J43" s="47">
        <f t="shared" ca="1" si="11"/>
        <v>0.26506848229109337</v>
      </c>
      <c r="K43" s="35"/>
      <c r="L43" s="35"/>
      <c r="M43" s="48">
        <f t="shared" ca="1" si="12"/>
        <v>409598000000</v>
      </c>
      <c r="N43" s="35"/>
      <c r="O43" s="49">
        <f t="shared" ca="1" si="7"/>
        <v>1545253500000</v>
      </c>
      <c r="P43" s="35"/>
      <c r="Q43" s="36">
        <f t="shared" ca="1" si="13"/>
        <v>1.978280253920865</v>
      </c>
      <c r="R43" s="35"/>
      <c r="S43" s="70">
        <f t="shared" ca="1" si="8"/>
        <v>1545253500000</v>
      </c>
      <c r="T43" s="35"/>
      <c r="U43" s="48">
        <f t="shared" ca="1" si="9"/>
        <v>781109500000</v>
      </c>
      <c r="V43" s="5"/>
      <c r="W43" s="7"/>
      <c r="X43" s="7"/>
      <c r="Y43" s="7"/>
      <c r="Z43" s="7"/>
      <c r="AA43" s="7"/>
      <c r="AB43" s="7"/>
      <c r="AC43" s="7"/>
      <c r="AD43" s="7"/>
    </row>
    <row r="44" spans="1:30">
      <c r="A44" s="7"/>
      <c r="B44" s="5"/>
      <c r="C44" s="37">
        <f t="shared" ca="1" si="14"/>
        <v>44742</v>
      </c>
      <c r="D44" s="38">
        <f t="shared" ca="1" si="10"/>
        <v>0.15596000074210128</v>
      </c>
      <c r="E44" s="18"/>
      <c r="F44" s="38">
        <f t="shared" ca="1" si="5"/>
        <v>0.15941448210608339</v>
      </c>
      <c r="G44" s="18"/>
      <c r="H44" s="51">
        <f t="shared" ca="1" si="6"/>
        <v>0.9783301910946629</v>
      </c>
      <c r="I44" s="18"/>
      <c r="J44" s="52">
        <f t="shared" ca="1" si="11"/>
        <v>0.17545709958193809</v>
      </c>
      <c r="K44" s="18"/>
      <c r="L44" s="18"/>
      <c r="M44" s="53">
        <f t="shared" ca="1" si="12"/>
        <v>269505000000</v>
      </c>
      <c r="N44" s="18"/>
      <c r="O44" s="54">
        <f t="shared" ca="1" si="7"/>
        <v>1536016500000</v>
      </c>
      <c r="P44" s="18"/>
      <c r="Q44" s="39">
        <f t="shared" ca="1" si="13"/>
        <v>1.99121528293167</v>
      </c>
      <c r="R44" s="18"/>
      <c r="S44" s="71">
        <f t="shared" ca="1" si="8"/>
        <v>1536016500000</v>
      </c>
      <c r="T44" s="18"/>
      <c r="U44" s="53">
        <f t="shared" ca="1" si="9"/>
        <v>771396500000</v>
      </c>
      <c r="V44" s="5"/>
      <c r="W44" s="7"/>
      <c r="X44" s="7"/>
      <c r="Y44" s="7"/>
      <c r="Z44" s="7"/>
      <c r="AA44" s="7"/>
      <c r="AB44" s="7"/>
      <c r="AC44" s="7"/>
      <c r="AD44" s="7"/>
    </row>
    <row r="45" spans="1:30">
      <c r="A45" s="7"/>
      <c r="B45" s="5"/>
      <c r="C45" s="33">
        <f t="shared" ca="1" si="14"/>
        <v>44651</v>
      </c>
      <c r="D45" s="34">
        <f t="shared" ca="1" si="10"/>
        <v>0.1728266566276177</v>
      </c>
      <c r="E45" s="35"/>
      <c r="F45" s="34">
        <f t="shared" ca="1" si="5"/>
        <v>0.17518878579179306</v>
      </c>
      <c r="G45" s="35"/>
      <c r="H45" s="46">
        <f t="shared" ca="1" si="6"/>
        <v>0.98651666455989551</v>
      </c>
      <c r="I45" s="35"/>
      <c r="J45" s="47">
        <f t="shared" ca="1" si="11"/>
        <v>8.7217151528300785E-2</v>
      </c>
      <c r="K45" s="35"/>
      <c r="L45" s="35"/>
      <c r="M45" s="48">
        <f t="shared" ca="1" si="12"/>
        <v>135471000000</v>
      </c>
      <c r="N45" s="35"/>
      <c r="O45" s="49">
        <f t="shared" ca="1" si="7"/>
        <v>1553261000000</v>
      </c>
      <c r="P45" s="35"/>
      <c r="Q45" s="36">
        <f t="shared" ca="1" si="13"/>
        <v>1.9609925272605384</v>
      </c>
      <c r="R45" s="35"/>
      <c r="S45" s="70">
        <f t="shared" ca="1" si="8"/>
        <v>1553261000000</v>
      </c>
      <c r="T45" s="35"/>
      <c r="U45" s="48">
        <f t="shared" ca="1" si="9"/>
        <v>792079000000</v>
      </c>
      <c r="V45" s="5"/>
      <c r="W45" s="7"/>
      <c r="X45" s="7"/>
      <c r="Y45" s="7"/>
      <c r="Z45" s="7"/>
      <c r="AA45" s="7"/>
      <c r="AB45" s="7"/>
      <c r="AC45" s="7"/>
      <c r="AD45" s="7"/>
    </row>
    <row r="46" spans="1:30">
      <c r="A46" s="7"/>
      <c r="B46" s="5"/>
      <c r="C46" s="37">
        <f t="shared" ca="1" si="14"/>
        <v>44561</v>
      </c>
      <c r="D46" s="38">
        <f t="shared" ca="1" si="10"/>
        <v>0.40050450078115679</v>
      </c>
      <c r="E46" s="18"/>
      <c r="F46" s="38">
        <f t="shared" ca="1" si="5"/>
        <v>0.40582741156539542</v>
      </c>
      <c r="G46" s="18"/>
      <c r="H46" s="51">
        <f t="shared" ca="1" si="6"/>
        <v>0.98688380668100606</v>
      </c>
      <c r="I46" s="18"/>
      <c r="J46" s="52">
        <f t="shared" ca="1" si="11"/>
        <v>0.38111826746586397</v>
      </c>
      <c r="K46" s="18"/>
      <c r="L46" s="18"/>
      <c r="M46" s="53">
        <f t="shared" ca="1" si="12"/>
        <v>561347000000</v>
      </c>
      <c r="N46" s="18"/>
      <c r="O46" s="54">
        <f t="shared" ca="1" si="7"/>
        <v>1472894500000</v>
      </c>
      <c r="P46" s="18"/>
      <c r="Q46" s="39">
        <f t="shared" ca="1" si="13"/>
        <v>1.9504880873319768</v>
      </c>
      <c r="R46" s="18"/>
      <c r="S46" s="71">
        <f t="shared" ca="1" si="8"/>
        <v>1472894500000</v>
      </c>
      <c r="T46" s="18"/>
      <c r="U46" s="53">
        <f t="shared" ca="1" si="9"/>
        <v>755141500000</v>
      </c>
      <c r="V46" s="5"/>
      <c r="W46" s="7"/>
      <c r="X46" s="7"/>
      <c r="Y46" s="7"/>
      <c r="Z46" s="7"/>
      <c r="AA46" s="7"/>
      <c r="AB46" s="7"/>
      <c r="AC46" s="7"/>
      <c r="AD46" s="7"/>
    </row>
    <row r="47" spans="1:30">
      <c r="A47" s="7"/>
      <c r="B47" s="5"/>
      <c r="C47" s="33">
        <f t="shared" ca="1" si="14"/>
        <v>44469</v>
      </c>
      <c r="D47" s="34">
        <f t="shared" ca="1" si="10"/>
        <v>0.31086683838103357</v>
      </c>
      <c r="E47" s="35"/>
      <c r="F47" s="34">
        <f t="shared" ca="1" si="5"/>
        <v>0.31623131648745179</v>
      </c>
      <c r="G47" s="35"/>
      <c r="H47" s="46">
        <f t="shared" ca="1" si="6"/>
        <v>0.98303622118769163</v>
      </c>
      <c r="I47" s="35"/>
      <c r="J47" s="47">
        <f t="shared" ca="1" si="11"/>
        <v>0.28800186417898049</v>
      </c>
      <c r="K47" s="35"/>
      <c r="L47" s="35"/>
      <c r="M47" s="48">
        <f t="shared" ca="1" si="12"/>
        <v>417748000000</v>
      </c>
      <c r="N47" s="35"/>
      <c r="O47" s="49">
        <f t="shared" ca="1" si="7"/>
        <v>1450504500000</v>
      </c>
      <c r="P47" s="35"/>
      <c r="Q47" s="36">
        <f t="shared" ca="1" si="13"/>
        <v>1.859001486683926</v>
      </c>
      <c r="R47" s="35"/>
      <c r="S47" s="70">
        <f t="shared" ca="1" si="8"/>
        <v>1450504500000</v>
      </c>
      <c r="T47" s="35"/>
      <c r="U47" s="48">
        <f t="shared" ca="1" si="9"/>
        <v>780260000000</v>
      </c>
      <c r="V47" s="5"/>
      <c r="W47" s="7"/>
      <c r="X47" s="7"/>
      <c r="Y47" s="7"/>
      <c r="Z47" s="7"/>
      <c r="AA47" s="7"/>
      <c r="AB47" s="7"/>
      <c r="AC47" s="7"/>
      <c r="AD47" s="7"/>
    </row>
    <row r="48" spans="1:30">
      <c r="A48" s="7"/>
      <c r="B48" s="5"/>
      <c r="C48" s="37">
        <f t="shared" ca="1" si="14"/>
        <v>44377</v>
      </c>
      <c r="D48" s="38">
        <f t="shared" ca="1" si="10"/>
        <v>0.32875127346819966</v>
      </c>
      <c r="E48" s="18"/>
      <c r="F48" s="38">
        <f t="shared" ca="1" si="5"/>
        <v>0.33484936690438072</v>
      </c>
      <c r="G48" s="18"/>
      <c r="H48" s="51">
        <f t="shared" ca="1" si="6"/>
        <v>0.98178854721286535</v>
      </c>
      <c r="I48" s="18"/>
      <c r="J48" s="52">
        <f t="shared" ca="1" si="11"/>
        <v>0.19278920397292787</v>
      </c>
      <c r="K48" s="18"/>
      <c r="L48" s="18"/>
      <c r="M48" s="53">
        <f t="shared" ca="1" si="12"/>
        <v>274840000000</v>
      </c>
      <c r="N48" s="18"/>
      <c r="O48" s="54">
        <f t="shared" ca="1" si="7"/>
        <v>1425598500000</v>
      </c>
      <c r="P48" s="18"/>
      <c r="Q48" s="39">
        <f t="shared" ca="1" si="13"/>
        <v>1.8392552917672726</v>
      </c>
      <c r="R48" s="18"/>
      <c r="S48" s="71">
        <f t="shared" ca="1" si="8"/>
        <v>1425598500000</v>
      </c>
      <c r="T48" s="18"/>
      <c r="U48" s="53">
        <f t="shared" ca="1" si="9"/>
        <v>775095500000</v>
      </c>
      <c r="V48" s="5"/>
      <c r="W48" s="7"/>
      <c r="X48" s="7"/>
      <c r="Y48" s="7"/>
      <c r="Z48" s="7"/>
      <c r="AA48" s="7"/>
      <c r="AB48" s="7"/>
      <c r="AC48" s="7"/>
      <c r="AD48" s="7"/>
    </row>
    <row r="49" spans="1:30">
      <c r="A49" s="7"/>
      <c r="B49" s="5"/>
      <c r="C49" s="33">
        <f t="shared" ca="1" si="14"/>
        <v>44286</v>
      </c>
      <c r="D49" s="34">
        <f t="shared" ca="1" si="10"/>
        <v>0.35262547892013202</v>
      </c>
      <c r="E49" s="35"/>
      <c r="F49" s="34">
        <f t="shared" ca="1" si="5"/>
        <v>0.36178678734100594</v>
      </c>
      <c r="G49" s="35"/>
      <c r="H49" s="46">
        <f t="shared" ca="1" si="6"/>
        <v>0.97467760365654588</v>
      </c>
      <c r="I49" s="35"/>
      <c r="J49" s="47">
        <f t="shared" ca="1" si="11"/>
        <v>9.8282713441908351E-2</v>
      </c>
      <c r="K49" s="35"/>
      <c r="L49" s="35"/>
      <c r="M49" s="48">
        <f t="shared" ca="1" si="12"/>
        <v>135461000000</v>
      </c>
      <c r="N49" s="35"/>
      <c r="O49" s="49">
        <f t="shared" ca="1" si="7"/>
        <v>1378279000000</v>
      </c>
      <c r="P49" s="35"/>
      <c r="Q49" s="36">
        <f t="shared" ca="1" si="13"/>
        <v>1.8805877489091252</v>
      </c>
      <c r="R49" s="35"/>
      <c r="S49" s="70">
        <f t="shared" ca="1" si="8"/>
        <v>1378279000000</v>
      </c>
      <c r="T49" s="35"/>
      <c r="U49" s="48">
        <f t="shared" ca="1" si="9"/>
        <v>732898000000</v>
      </c>
      <c r="V49" s="5"/>
      <c r="W49" s="7"/>
      <c r="X49" s="7"/>
      <c r="Y49" s="7"/>
      <c r="Z49" s="7"/>
      <c r="AA49" s="7"/>
      <c r="AB49" s="7"/>
      <c r="AC49" s="7"/>
      <c r="AD49" s="7"/>
    </row>
    <row r="50" spans="1:30">
      <c r="A50" s="7"/>
      <c r="B50" s="5"/>
      <c r="C50" s="37">
        <f t="shared" ca="1" si="14"/>
        <v>44196</v>
      </c>
      <c r="D50" s="38">
        <f t="shared" ca="1" si="10"/>
        <v>0.33158875170101898</v>
      </c>
      <c r="E50" s="18"/>
      <c r="F50" s="38">
        <f t="shared" ca="1" si="5"/>
        <v>0.33216543861395997</v>
      </c>
      <c r="G50" s="18"/>
      <c r="H50" s="51">
        <f t="shared" ca="1" si="6"/>
        <v>0.99826385636221704</v>
      </c>
      <c r="I50" s="18"/>
      <c r="J50" s="52">
        <f t="shared" ca="1" si="11"/>
        <v>0.42149312038807191</v>
      </c>
      <c r="K50" s="18"/>
      <c r="L50" s="18"/>
      <c r="M50" s="53">
        <f t="shared" ca="1" si="12"/>
        <v>482064000000</v>
      </c>
      <c r="N50" s="18"/>
      <c r="O50" s="54">
        <f t="shared" ca="1" si="7"/>
        <v>1143705500000</v>
      </c>
      <c r="P50" s="18"/>
      <c r="Q50" s="39">
        <f t="shared" ca="1" si="13"/>
        <v>2.0123437348793427</v>
      </c>
      <c r="R50" s="18"/>
      <c r="S50" s="71">
        <f t="shared" ca="1" si="8"/>
        <v>1143705500000</v>
      </c>
      <c r="T50" s="18"/>
      <c r="U50" s="53">
        <f t="shared" ca="1" si="9"/>
        <v>568345000000</v>
      </c>
      <c r="V50" s="5"/>
      <c r="W50" s="7"/>
      <c r="X50" s="7"/>
      <c r="Y50" s="7"/>
      <c r="Z50" s="7"/>
      <c r="AA50" s="7"/>
      <c r="AB50" s="7"/>
      <c r="AC50" s="7"/>
      <c r="AD50" s="7"/>
    </row>
    <row r="51" spans="1:30">
      <c r="A51" s="7"/>
      <c r="B51" s="5"/>
      <c r="C51" s="33">
        <f t="shared" ca="1" si="14"/>
        <v>44104</v>
      </c>
      <c r="D51" s="34">
        <f t="shared" ca="1" si="10"/>
        <v>0.28859484206145319</v>
      </c>
      <c r="E51" s="35"/>
      <c r="F51" s="34">
        <f t="shared" ca="1" si="5"/>
        <v>0.28920047647067265</v>
      </c>
      <c r="G51" s="35"/>
      <c r="H51" s="46">
        <f t="shared" ca="1" si="6"/>
        <v>0.99790583191075466</v>
      </c>
      <c r="I51" s="35"/>
      <c r="J51" s="47">
        <f t="shared" ca="1" si="11"/>
        <v>0.32499306208212164</v>
      </c>
      <c r="K51" s="35"/>
      <c r="L51" s="35"/>
      <c r="M51" s="48">
        <f t="shared" ca="1" si="12"/>
        <v>348395000000</v>
      </c>
      <c r="N51" s="35"/>
      <c r="O51" s="49">
        <f t="shared" ca="1" si="7"/>
        <v>1072007500000</v>
      </c>
      <c r="P51" s="35"/>
      <c r="Q51" s="36">
        <f t="shared" ca="1" si="13"/>
        <v>2.1231886426046906</v>
      </c>
      <c r="R51" s="35"/>
      <c r="S51" s="70">
        <f t="shared" ca="1" si="8"/>
        <v>1072007500000</v>
      </c>
      <c r="T51" s="35"/>
      <c r="U51" s="48">
        <f t="shared" ca="1" si="9"/>
        <v>504904500000</v>
      </c>
      <c r="V51" s="5"/>
      <c r="W51" s="7"/>
      <c r="X51" s="7"/>
      <c r="Y51" s="7"/>
      <c r="Z51" s="7"/>
      <c r="AA51" s="7"/>
      <c r="AB51" s="7"/>
      <c r="AC51" s="7"/>
      <c r="AD51" s="7"/>
    </row>
    <row r="52" spans="1:30">
      <c r="A52" s="7"/>
      <c r="B52" s="5"/>
      <c r="C52" s="37">
        <f t="shared" ca="1" si="14"/>
        <v>44012</v>
      </c>
      <c r="D52" s="38">
        <f t="shared" ca="1" si="10"/>
        <v>0.27810520838940023</v>
      </c>
      <c r="E52" s="18"/>
      <c r="F52" s="38">
        <f t="shared" ca="1" si="5"/>
        <v>0.27745034716615535</v>
      </c>
      <c r="G52" s="18"/>
      <c r="H52" s="51">
        <f t="shared" ca="1" si="6"/>
        <v>1.0023602825872577</v>
      </c>
      <c r="I52" s="18"/>
      <c r="J52" s="52">
        <f t="shared" ca="1" si="11"/>
        <v>0.21097216505088642</v>
      </c>
      <c r="K52" s="18"/>
      <c r="L52" s="18"/>
      <c r="M52" s="53">
        <f t="shared" ca="1" si="12"/>
        <v>222948000000</v>
      </c>
      <c r="N52" s="18"/>
      <c r="O52" s="54">
        <f t="shared" ca="1" si="7"/>
        <v>1056765000000</v>
      </c>
      <c r="P52" s="18"/>
      <c r="Q52" s="39">
        <f t="shared" ca="1" si="13"/>
        <v>2.1831393997613922</v>
      </c>
      <c r="R52" s="18"/>
      <c r="S52" s="71">
        <f t="shared" ca="1" si="8"/>
        <v>1056765000000</v>
      </c>
      <c r="T52" s="18"/>
      <c r="U52" s="53">
        <f t="shared" ca="1" si="9"/>
        <v>484057500000</v>
      </c>
      <c r="V52" s="5"/>
      <c r="W52" s="7"/>
      <c r="X52" s="7"/>
      <c r="Y52" s="7"/>
      <c r="Z52" s="7"/>
      <c r="AA52" s="7"/>
      <c r="AB52" s="7"/>
      <c r="AC52" s="7"/>
      <c r="AD52" s="7"/>
    </row>
    <row r="53" spans="1:30">
      <c r="A53" s="7"/>
      <c r="B53" s="5"/>
      <c r="C53" s="33">
        <f t="shared" ca="1" si="14"/>
        <v>43921</v>
      </c>
      <c r="D53" s="34">
        <f t="shared" ca="1" si="10"/>
        <v>0.2673946236061629</v>
      </c>
      <c r="E53" s="35"/>
      <c r="F53" s="34">
        <f t="shared" ca="1" si="5"/>
        <v>0.27208624438995044</v>
      </c>
      <c r="G53" s="35"/>
      <c r="H53" s="46">
        <f t="shared" ca="1" si="6"/>
        <v>0.98275686154474029</v>
      </c>
      <c r="I53" s="35"/>
      <c r="J53" s="47">
        <f t="shared" ca="1" si="11"/>
        <v>0.10977022556910324</v>
      </c>
      <c r="K53" s="35"/>
      <c r="L53" s="35"/>
      <c r="M53" s="48">
        <f t="shared" ca="1" si="12"/>
        <v>108065000000</v>
      </c>
      <c r="N53" s="35"/>
      <c r="O53" s="49">
        <f t="shared" ca="1" si="7"/>
        <v>984465500000</v>
      </c>
      <c r="P53" s="35"/>
      <c r="Q53" s="36">
        <f t="shared" ca="1" si="13"/>
        <v>2.2109653801668667</v>
      </c>
      <c r="R53" s="35"/>
      <c r="S53" s="70">
        <f t="shared" ca="1" si="8"/>
        <v>984465500000</v>
      </c>
      <c r="T53" s="35"/>
      <c r="U53" s="48">
        <f t="shared" ca="1" si="9"/>
        <v>445265000000</v>
      </c>
      <c r="V53" s="5"/>
      <c r="W53" s="7"/>
      <c r="X53" s="7"/>
      <c r="Y53" s="7"/>
      <c r="Z53" s="7"/>
      <c r="AA53" s="7"/>
      <c r="AB53" s="7"/>
      <c r="AC53" s="7"/>
      <c r="AD53" s="7"/>
    </row>
    <row r="54" spans="1:30">
      <c r="A54" s="7"/>
      <c r="B54" s="5"/>
      <c r="C54" s="37">
        <f t="shared" ca="1" si="14"/>
        <v>43830</v>
      </c>
      <c r="D54" s="38">
        <f t="shared" ca="1" si="10"/>
        <v>0.24731704343354829</v>
      </c>
      <c r="E54" s="18"/>
      <c r="F54" s="38">
        <f t="shared" ca="1" si="5"/>
        <v>0.25415000172281726</v>
      </c>
      <c r="G54" s="18"/>
      <c r="H54" s="51">
        <f t="shared" ca="1" si="6"/>
        <v>0.97311446687802439</v>
      </c>
      <c r="I54" s="18"/>
      <c r="J54" s="52">
        <f t="shared" ca="1" si="11"/>
        <v>0.44982107377197234</v>
      </c>
      <c r="K54" s="18"/>
      <c r="L54" s="18"/>
      <c r="M54" s="53">
        <f t="shared" ca="1" si="12"/>
        <v>377289000000</v>
      </c>
      <c r="N54" s="18"/>
      <c r="O54" s="54">
        <f t="shared" ca="1" si="7"/>
        <v>838753500000</v>
      </c>
      <c r="P54" s="18"/>
      <c r="Q54" s="39">
        <f t="shared" ca="1" si="13"/>
        <v>2.2182908058015172</v>
      </c>
      <c r="R54" s="18"/>
      <c r="S54" s="71">
        <f t="shared" ca="1" si="8"/>
        <v>838753500000</v>
      </c>
      <c r="T54" s="18"/>
      <c r="U54" s="53">
        <f t="shared" ca="1" si="9"/>
        <v>378108000000</v>
      </c>
      <c r="V54" s="5"/>
      <c r="W54" s="7"/>
      <c r="X54" s="7"/>
      <c r="Y54" s="7"/>
      <c r="Z54" s="7"/>
      <c r="AA54" s="7"/>
      <c r="AB54" s="7"/>
      <c r="AC54" s="7"/>
      <c r="AD54" s="7"/>
    </row>
    <row r="55" spans="1:30">
      <c r="A55" s="7"/>
      <c r="B55" s="5"/>
      <c r="C55" s="33">
        <f t="shared" ca="1" si="14"/>
        <v>43738</v>
      </c>
      <c r="D55" s="34">
        <f t="shared" ca="1" si="10"/>
        <v>0.26417012249467819</v>
      </c>
      <c r="E55" s="35"/>
      <c r="F55" s="34">
        <f t="shared" ca="1" si="5"/>
        <v>0.27075522425438825</v>
      </c>
      <c r="G55" s="35"/>
      <c r="H55" s="46">
        <f t="shared" ca="1" si="6"/>
        <v>0.9756787638065183</v>
      </c>
      <c r="I55" s="35"/>
      <c r="J55" s="47">
        <f t="shared" ca="1" si="11"/>
        <v>0.34375464869918715</v>
      </c>
      <c r="K55" s="35"/>
      <c r="L55" s="35"/>
      <c r="M55" s="48">
        <f t="shared" ca="1" si="12"/>
        <v>271522000000</v>
      </c>
      <c r="N55" s="35"/>
      <c r="O55" s="49">
        <f t="shared" ca="1" si="7"/>
        <v>789871500000</v>
      </c>
      <c r="P55" s="35"/>
      <c r="Q55" s="36">
        <f t="shared" ca="1" si="13"/>
        <v>2.1714919201860639</v>
      </c>
      <c r="R55" s="35"/>
      <c r="S55" s="70">
        <f t="shared" ca="1" si="8"/>
        <v>789871500000</v>
      </c>
      <c r="T55" s="35"/>
      <c r="U55" s="48">
        <f t="shared" ca="1" si="9"/>
        <v>363746000000</v>
      </c>
      <c r="V55" s="5"/>
      <c r="W55" s="7"/>
      <c r="X55" s="7"/>
      <c r="Y55" s="7"/>
      <c r="Z55" s="7"/>
      <c r="AA55" s="7"/>
      <c r="AB55" s="7"/>
      <c r="AC55" s="7"/>
      <c r="AD55" s="7"/>
    </row>
    <row r="56" spans="1:30">
      <c r="A56" s="7"/>
      <c r="B56" s="5"/>
      <c r="C56" s="37">
        <f t="shared" ca="1" si="14"/>
        <v>43646</v>
      </c>
      <c r="D56" s="38">
        <f t="shared" ca="1" si="10"/>
        <v>0.29428014672168734</v>
      </c>
      <c r="E56" s="18"/>
      <c r="F56" s="38">
        <f t="shared" ca="1" si="5"/>
        <v>0.30112333791838608</v>
      </c>
      <c r="G56" s="18"/>
      <c r="H56" s="51">
        <f t="shared" ca="1" si="6"/>
        <v>0.97727445755614772</v>
      </c>
      <c r="I56" s="18"/>
      <c r="J56" s="52">
        <f t="shared" ca="1" si="11"/>
        <v>0.22654076740555121</v>
      </c>
      <c r="K56" s="18"/>
      <c r="L56" s="18"/>
      <c r="M56" s="53">
        <f t="shared" ca="1" si="12"/>
        <v>174480000000</v>
      </c>
      <c r="N56" s="18"/>
      <c r="O56" s="54">
        <f t="shared" ca="1" si="7"/>
        <v>770192500000</v>
      </c>
      <c r="P56" s="18"/>
      <c r="Q56" s="39">
        <f t="shared" ca="1" si="13"/>
        <v>2.169660237250798</v>
      </c>
      <c r="R56" s="18"/>
      <c r="S56" s="71">
        <f t="shared" ca="1" si="8"/>
        <v>770192500000</v>
      </c>
      <c r="T56" s="18"/>
      <c r="U56" s="53">
        <f t="shared" ca="1" si="9"/>
        <v>354983000000</v>
      </c>
      <c r="V56" s="5"/>
      <c r="W56" s="7"/>
      <c r="X56" s="7"/>
      <c r="Y56" s="7"/>
      <c r="Z56" s="7"/>
      <c r="AA56" s="7"/>
      <c r="AB56" s="7"/>
      <c r="AC56" s="7"/>
      <c r="AD56" s="7"/>
    </row>
    <row r="57" spans="1:30">
      <c r="A57" s="7"/>
      <c r="B57" s="5"/>
      <c r="C57" s="33">
        <f t="shared" ca="1" si="14"/>
        <v>43555</v>
      </c>
      <c r="D57" s="34">
        <f t="shared" ca="1" si="10"/>
        <v>0.31746587329366466</v>
      </c>
      <c r="E57" s="35"/>
      <c r="F57" s="34">
        <f t="shared" ca="1" si="5"/>
        <v>0.32500291681250726</v>
      </c>
      <c r="G57" s="35"/>
      <c r="H57" s="46">
        <f t="shared" ca="1" si="6"/>
        <v>0.97680930499712804</v>
      </c>
      <c r="I57" s="35"/>
      <c r="J57" s="47">
        <f t="shared" ca="1" si="11"/>
        <v>0.11395575788356863</v>
      </c>
      <c r="K57" s="35"/>
      <c r="L57" s="35"/>
      <c r="M57" s="48">
        <f t="shared" ca="1" si="12"/>
        <v>85710000000</v>
      </c>
      <c r="N57" s="35"/>
      <c r="O57" s="49">
        <f t="shared" ca="1" si="7"/>
        <v>752134000000</v>
      </c>
      <c r="P57" s="35"/>
      <c r="Q57" s="36">
        <f t="shared" ca="1" si="13"/>
        <v>2.1881152977866734</v>
      </c>
      <c r="R57" s="35"/>
      <c r="S57" s="70">
        <f t="shared" ca="1" si="8"/>
        <v>752134000000</v>
      </c>
      <c r="T57" s="35"/>
      <c r="U57" s="48">
        <f t="shared" ca="1" si="9"/>
        <v>343736000000</v>
      </c>
      <c r="V57" s="5"/>
      <c r="W57" s="7"/>
      <c r="X57" s="7"/>
      <c r="Y57" s="7"/>
      <c r="Z57" s="7"/>
      <c r="AA57" s="7"/>
      <c r="AB57" s="7"/>
      <c r="AC57" s="7"/>
      <c r="AD57" s="7"/>
    </row>
    <row r="58" spans="1:30">
      <c r="A58" s="7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7"/>
      <c r="X58" s="7"/>
      <c r="Y58" s="7"/>
      <c r="Z58" s="7"/>
      <c r="AA58" s="7"/>
      <c r="AB58" s="7"/>
      <c r="AC58" s="7"/>
      <c r="AD58" s="7"/>
    </row>
    <row r="59" spans="1:30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>
      <c r="A60" s="7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7"/>
    </row>
    <row r="61" spans="1:30" ht="17.25">
      <c r="A61" s="7"/>
      <c r="B61" s="5"/>
      <c r="C61" s="13" t="s">
        <v>13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5"/>
      <c r="AD61" s="7"/>
    </row>
    <row r="62" spans="1:30">
      <c r="A62" s="7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7"/>
    </row>
    <row r="63" spans="1:30" s="28" customFormat="1" ht="16.5">
      <c r="A63" s="25"/>
      <c r="B63" s="26"/>
      <c r="C63" s="22" t="s">
        <v>47</v>
      </c>
      <c r="D63" s="23" t="s">
        <v>45</v>
      </c>
      <c r="E63" s="23"/>
      <c r="F63" s="23" t="s">
        <v>33</v>
      </c>
      <c r="G63" s="23" t="s">
        <v>2</v>
      </c>
      <c r="H63" s="27" t="s">
        <v>34</v>
      </c>
      <c r="I63" s="23" t="s">
        <v>36</v>
      </c>
      <c r="J63" s="27" t="s">
        <v>37</v>
      </c>
      <c r="K63" s="27" t="s">
        <v>36</v>
      </c>
      <c r="L63" s="27"/>
      <c r="M63" s="24" t="s">
        <v>35</v>
      </c>
      <c r="N63" s="27"/>
      <c r="O63" s="27" t="s">
        <v>38</v>
      </c>
      <c r="P63" s="23" t="s">
        <v>2</v>
      </c>
      <c r="Q63" s="27" t="s">
        <v>39</v>
      </c>
      <c r="R63" s="23" t="s">
        <v>9</v>
      </c>
      <c r="S63" s="24" t="s">
        <v>40</v>
      </c>
      <c r="T63" s="23"/>
      <c r="U63" s="27" t="s">
        <v>41</v>
      </c>
      <c r="V63" s="23" t="s">
        <v>2</v>
      </c>
      <c r="W63" s="27" t="s">
        <v>42</v>
      </c>
      <c r="X63" s="24" t="s">
        <v>43</v>
      </c>
      <c r="Y63" s="23" t="s">
        <v>44</v>
      </c>
      <c r="Z63" s="23" t="s">
        <v>2</v>
      </c>
      <c r="AA63" s="27" t="s">
        <v>14</v>
      </c>
      <c r="AB63" s="23" t="s">
        <v>15</v>
      </c>
      <c r="AC63" s="26"/>
      <c r="AD63" s="25"/>
    </row>
    <row r="64" spans="1:30">
      <c r="A64" s="7"/>
      <c r="B64" s="5"/>
      <c r="C64" s="40" t="str">
        <f ca="1">[1]!s_fa_latelyrd_bt($D$4,$D$5)</f>
        <v>2023-12-31</v>
      </c>
      <c r="D64" s="37">
        <f ca="1">[1]!s_stm_rpt_s($D$4,C64,0)-1</f>
        <v>44926</v>
      </c>
      <c r="E64" s="31"/>
      <c r="F64" s="30">
        <f t="shared" ref="F64:F83" ca="1" si="15">H64*J64*M64</f>
        <v>0.19383430621577463</v>
      </c>
      <c r="G64" s="31"/>
      <c r="H64" s="30">
        <f t="shared" ref="H64:H83" ca="1" si="16">D90</f>
        <v>0.26173575363496793</v>
      </c>
      <c r="I64" s="57"/>
      <c r="J64" s="30">
        <f t="shared" ref="J64:J83" ca="1" si="17">J90</f>
        <v>0.73174481168332051</v>
      </c>
      <c r="K64" s="30"/>
      <c r="L64" s="30"/>
      <c r="M64" s="56">
        <f t="shared" ref="M64:M83" ca="1" si="18">Q90</f>
        <v>1.0120639142790824</v>
      </c>
      <c r="N64" s="57"/>
      <c r="O64" s="30">
        <f t="shared" ref="O64:O83" ca="1" si="19">Q64/S64</f>
        <v>0.97600975874220652</v>
      </c>
      <c r="P64" s="57"/>
      <c r="Q64" s="72">
        <f ca="1">[1]!hks_stm_is($D$4,"61",C64,1,"",1)</f>
        <v>115216000000</v>
      </c>
      <c r="R64" s="31"/>
      <c r="S64" s="73">
        <f ca="1">M90</f>
        <v>118048000000</v>
      </c>
      <c r="T64" s="31"/>
      <c r="U64" s="74">
        <f t="shared" ref="U64:U83" ca="1" si="20">(W64+X64)/2</f>
        <v>1577688500000</v>
      </c>
      <c r="V64" s="31"/>
      <c r="W64" s="74">
        <f ca="1">[1]!hks_stm_bs($D$4,"74",D64,1,"",1)</f>
        <v>1578131000000</v>
      </c>
      <c r="X64" s="73">
        <f ca="1">[1]!hks_stm_bs($D$4,"74",C64,1,"",1)</f>
        <v>1577246000000</v>
      </c>
      <c r="Y64" s="43">
        <f t="shared" ref="Y64:Y83" ca="1" si="21">(AA64+AB64)/2</f>
        <v>764991000000</v>
      </c>
      <c r="Z64" s="31"/>
      <c r="AA64" s="75">
        <f ca="1">[1]!hks_stm_bs($D$4,"140",D64,1,"",1)</f>
        <v>721391000000</v>
      </c>
      <c r="AB64" s="59">
        <f ca="1">[1]!hks_stm_bs($D$4,"140",C64,1,"",1)</f>
        <v>808591000000</v>
      </c>
      <c r="AC64" s="5"/>
      <c r="AD64" s="7"/>
    </row>
    <row r="65" spans="1:30">
      <c r="A65" s="7"/>
      <c r="B65" s="5"/>
      <c r="C65" s="33">
        <f ca="1">EOMONTH(C64,-3)</f>
        <v>45199</v>
      </c>
      <c r="D65" s="33">
        <f ca="1">[1]!s_stm_rpt_s($D$4,C65,0)-1</f>
        <v>44926</v>
      </c>
      <c r="E65" s="35"/>
      <c r="F65" s="34">
        <f t="shared" ca="1" si="15"/>
        <v>0.19875324744005871</v>
      </c>
      <c r="G65" s="35"/>
      <c r="H65" s="34">
        <f t="shared" ca="1" si="16"/>
        <v>0.27026193262071441</v>
      </c>
      <c r="I65" s="60"/>
      <c r="J65" s="34">
        <f t="shared" ca="1" si="17"/>
        <v>0.72848420236479938</v>
      </c>
      <c r="K65" s="34"/>
      <c r="L65" s="34"/>
      <c r="M65" s="46">
        <f t="shared" ca="1" si="18"/>
        <v>1.0095067264573991</v>
      </c>
      <c r="N65" s="60"/>
      <c r="O65" s="34">
        <f t="shared" ca="1" si="19"/>
        <v>0.9777489523049292</v>
      </c>
      <c r="P65" s="60"/>
      <c r="Q65" s="67">
        <f ca="1">[1]!hks_stm_is($D$4,"61",C65,1,"",1)</f>
        <v>88191000000</v>
      </c>
      <c r="R65" s="35"/>
      <c r="S65" s="76">
        <f t="shared" ref="S65:S83" ca="1" si="22">M91</f>
        <v>90198000000</v>
      </c>
      <c r="T65" s="35"/>
      <c r="U65" s="77">
        <f t="shared" ca="1" si="20"/>
        <v>1559682000000</v>
      </c>
      <c r="V65" s="35"/>
      <c r="W65" s="77">
        <f ca="1">[1]!hks_stm_bs($D$4,"74",D65,1,"",1)</f>
        <v>1578131000000</v>
      </c>
      <c r="X65" s="76">
        <f ca="1">[1]!hks_stm_bs($D$4,"74",C65,1,"",1)</f>
        <v>1541233000000</v>
      </c>
      <c r="Y65" s="48">
        <f t="shared" ca="1" si="21"/>
        <v>744952500000</v>
      </c>
      <c r="Z65" s="35"/>
      <c r="AA65" s="78">
        <f ca="1">[1]!hks_stm_bs($D$4,"140",D65,1,"",1)</f>
        <v>721391000000</v>
      </c>
      <c r="AB65" s="62">
        <f ca="1">[1]!hks_stm_bs($D$4,"140",C65,1,"",1)</f>
        <v>768514000000</v>
      </c>
      <c r="AC65" s="5"/>
      <c r="AD65" s="7"/>
    </row>
    <row r="66" spans="1:30">
      <c r="A66" s="7"/>
      <c r="B66" s="5"/>
      <c r="C66" s="37">
        <f t="shared" ref="C66:C83" ca="1" si="23">EOMONTH(C65,-3)</f>
        <v>45107</v>
      </c>
      <c r="D66" s="37">
        <f ca="1">[1]!s_stm_rpt_s($D$4,C66,0)-1</f>
        <v>44926</v>
      </c>
      <c r="E66" s="31"/>
      <c r="F66" s="30">
        <f t="shared" ca="1" si="15"/>
        <v>0.17853633428477844</v>
      </c>
      <c r="G66" s="31"/>
      <c r="H66" s="30">
        <f t="shared" ca="1" si="16"/>
        <v>0.2521908861808726</v>
      </c>
      <c r="I66" s="57"/>
      <c r="J66" s="30">
        <f t="shared" ca="1" si="17"/>
        <v>0.70260565325476476</v>
      </c>
      <c r="K66" s="30"/>
      <c r="L66" s="30"/>
      <c r="M66" s="41">
        <f t="shared" ca="1" si="18"/>
        <v>1.0075940308002227</v>
      </c>
      <c r="N66" s="57"/>
      <c r="O66" s="30">
        <f t="shared" ca="1" si="19"/>
        <v>0.9736413501319805</v>
      </c>
      <c r="P66" s="57"/>
      <c r="Q66" s="66">
        <f ca="1">[1]!hks_stm_is($D$4,"61",C66,1,"",1)</f>
        <v>52009000000</v>
      </c>
      <c r="R66" s="31"/>
      <c r="S66" s="73">
        <f t="shared" ca="1" si="22"/>
        <v>53417000000</v>
      </c>
      <c r="T66" s="31"/>
      <c r="U66" s="74">
        <f t="shared" ca="1" si="20"/>
        <v>1557817000000</v>
      </c>
      <c r="V66" s="31"/>
      <c r="W66" s="74">
        <f ca="1">[1]!hks_stm_bs($D$4,"74",D66,1,"",1)</f>
        <v>1578131000000</v>
      </c>
      <c r="X66" s="73">
        <f ca="1">[1]!hks_stm_bs($D$4,"74",C66,1,"",1)</f>
        <v>1537503000000</v>
      </c>
      <c r="Y66" s="43">
        <f t="shared" ca="1" si="21"/>
        <v>749843500000</v>
      </c>
      <c r="Z66" s="31"/>
      <c r="AA66" s="75">
        <f ca="1">[1]!hks_stm_bs($D$4,"140",D66,1,"",1)</f>
        <v>721391000000</v>
      </c>
      <c r="AB66" s="59">
        <f ca="1">[1]!hks_stm_bs($D$4,"140",C66,1,"",1)</f>
        <v>778296000000</v>
      </c>
      <c r="AC66" s="5"/>
      <c r="AD66" s="7"/>
    </row>
    <row r="67" spans="1:30">
      <c r="A67" s="7"/>
      <c r="B67" s="5"/>
      <c r="C67" s="33">
        <f t="shared" ca="1" si="23"/>
        <v>45016</v>
      </c>
      <c r="D67" s="33">
        <f ca="1">[1]!s_stm_rpt_s($D$4,C67,0)-1</f>
        <v>44926</v>
      </c>
      <c r="E67" s="35"/>
      <c r="F67" s="34">
        <f t="shared" ca="1" si="15"/>
        <v>0.1759764244662835</v>
      </c>
      <c r="G67" s="35"/>
      <c r="H67" s="34">
        <f t="shared" ca="1" si="16"/>
        <v>0.25033003080287491</v>
      </c>
      <c r="I67" s="60"/>
      <c r="J67" s="34">
        <f t="shared" ca="1" si="17"/>
        <v>0.69716579941361367</v>
      </c>
      <c r="K67" s="34"/>
      <c r="L67" s="34"/>
      <c r="M67" s="46">
        <f t="shared" ca="1" si="18"/>
        <v>1.0083364406328237</v>
      </c>
      <c r="N67" s="60"/>
      <c r="O67" s="34">
        <f t="shared" ca="1" si="19"/>
        <v>0.97893460634992802</v>
      </c>
      <c r="P67" s="60"/>
      <c r="Q67" s="67">
        <f ca="1">[1]!hks_stm_is($D$4,"61",C67,1,"",1)</f>
        <v>25838000000</v>
      </c>
      <c r="R67" s="35"/>
      <c r="S67" s="76">
        <f t="shared" ca="1" si="22"/>
        <v>26394000000</v>
      </c>
      <c r="T67" s="35"/>
      <c r="U67" s="77">
        <f t="shared" ca="1" si="20"/>
        <v>1547668500000</v>
      </c>
      <c r="V67" s="35"/>
      <c r="W67" s="77">
        <f ca="1">[1]!hks_stm_bs($D$4,"74",D67,1,"",1)</f>
        <v>1578131000000</v>
      </c>
      <c r="X67" s="76">
        <f ca="1">[1]!hks_stm_bs($D$4,"74",C67,1,"",1)</f>
        <v>1517206000000</v>
      </c>
      <c r="Y67" s="48">
        <f t="shared" ca="1" si="21"/>
        <v>749937000000</v>
      </c>
      <c r="Z67" s="35"/>
      <c r="AA67" s="78">
        <f ca="1">[1]!hks_stm_bs($D$4,"140",D67,1,"",1)</f>
        <v>721391000000</v>
      </c>
      <c r="AB67" s="62">
        <f ca="1">[1]!hks_stm_bs($D$4,"140",C67,1,"",1)</f>
        <v>778483000000</v>
      </c>
      <c r="AC67" s="5"/>
      <c r="AD67" s="7"/>
    </row>
    <row r="68" spans="1:30">
      <c r="A68" s="7"/>
      <c r="B68" s="5"/>
      <c r="C68" s="37">
        <f t="shared" ca="1" si="23"/>
        <v>44926</v>
      </c>
      <c r="D68" s="37">
        <f ca="1">[1]!s_stm_rpt_s($D$4,C68,0)-1</f>
        <v>44561</v>
      </c>
      <c r="E68" s="31"/>
      <c r="F68" s="30">
        <f t="shared" ca="1" si="15"/>
        <v>0.34029090148444147</v>
      </c>
      <c r="G68" s="31"/>
      <c r="H68" s="30">
        <f t="shared" ca="1" si="16"/>
        <v>0.3816017253566843</v>
      </c>
      <c r="I68" s="57"/>
      <c r="J68" s="30">
        <f t="shared" ca="1" si="17"/>
        <v>0.89765251516232603</v>
      </c>
      <c r="K68" s="30"/>
      <c r="L68" s="30"/>
      <c r="M68" s="41">
        <f t="shared" ca="1" si="18"/>
        <v>0.99341738415446701</v>
      </c>
      <c r="N68" s="57"/>
      <c r="O68" s="30">
        <f t="shared" ca="1" si="19"/>
        <v>0.99753058942604755</v>
      </c>
      <c r="P68" s="57"/>
      <c r="Q68" s="66">
        <f ca="1">[1]!hks_stm_is($D$4,"61",C68,1,"",1)</f>
        <v>188243000000</v>
      </c>
      <c r="R68" s="31"/>
      <c r="S68" s="73">
        <f t="shared" ca="1" si="22"/>
        <v>188709000000</v>
      </c>
      <c r="T68" s="31"/>
      <c r="U68" s="74">
        <f t="shared" ca="1" si="20"/>
        <v>1595247500000</v>
      </c>
      <c r="V68" s="31"/>
      <c r="W68" s="74">
        <f ca="1">[1]!hks_stm_bs($D$4,"74",D68,1,"",1)</f>
        <v>1612364000000</v>
      </c>
      <c r="X68" s="73">
        <f ca="1">[1]!hks_stm_bs($D$4,"74",C68,1,"",1)</f>
        <v>1578131000000</v>
      </c>
      <c r="Y68" s="43">
        <f t="shared" ca="1" si="21"/>
        <v>763845000000</v>
      </c>
      <c r="Z68" s="31"/>
      <c r="AA68" s="75">
        <f ca="1">[1]!hks_stm_bs($D$4,"140",D68,1,"",1)</f>
        <v>806299000000</v>
      </c>
      <c r="AB68" s="59">
        <f ca="1">[1]!hks_stm_bs($D$4,"140",C68,1,"",1)</f>
        <v>721391000000</v>
      </c>
      <c r="AC68" s="5"/>
      <c r="AD68" s="7"/>
    </row>
    <row r="69" spans="1:30">
      <c r="A69" s="7"/>
      <c r="B69" s="5"/>
      <c r="C69" s="33">
        <f t="shared" ca="1" si="23"/>
        <v>44834</v>
      </c>
      <c r="D69" s="33">
        <f ca="1">[1]!s_stm_rpt_s($D$4,C69,0)-1</f>
        <v>44561</v>
      </c>
      <c r="E69" s="35"/>
      <c r="F69" s="34">
        <f t="shared" ca="1" si="15"/>
        <v>0.19972021347760491</v>
      </c>
      <c r="G69" s="35"/>
      <c r="H69" s="34">
        <f t="shared" ca="1" si="16"/>
        <v>0.24030879057026647</v>
      </c>
      <c r="I69" s="60"/>
      <c r="J69" s="34">
        <f t="shared" ca="1" si="17"/>
        <v>0.82843862029854376</v>
      </c>
      <c r="K69" s="34"/>
      <c r="L69" s="34"/>
      <c r="M69" s="46">
        <f t="shared" ca="1" si="18"/>
        <v>1.0032104033323175</v>
      </c>
      <c r="N69" s="60"/>
      <c r="O69" s="34">
        <f t="shared" ca="1" si="19"/>
        <v>1.0020781125848053</v>
      </c>
      <c r="P69" s="60"/>
      <c r="Q69" s="67">
        <f ca="1">[1]!hks_stm_is($D$4,"61",C69,1,"",1)</f>
        <v>81975000000</v>
      </c>
      <c r="R69" s="35"/>
      <c r="S69" s="76">
        <f t="shared" ca="1" si="22"/>
        <v>81805000000</v>
      </c>
      <c r="T69" s="35"/>
      <c r="U69" s="77">
        <f t="shared" ca="1" si="20"/>
        <v>1545253500000</v>
      </c>
      <c r="V69" s="35"/>
      <c r="W69" s="77">
        <f ca="1">[1]!hks_stm_bs($D$4,"74",D69,1,"",1)</f>
        <v>1612364000000</v>
      </c>
      <c r="X69" s="76">
        <f ca="1">[1]!hks_stm_bs($D$4,"74",C69,1,"",1)</f>
        <v>1478143000000</v>
      </c>
      <c r="Y69" s="48">
        <f t="shared" ca="1" si="21"/>
        <v>781109500000</v>
      </c>
      <c r="Z69" s="35"/>
      <c r="AA69" s="78">
        <f ca="1">[1]!hks_stm_bs($D$4,"140",D69,1,"",1)</f>
        <v>806299000000</v>
      </c>
      <c r="AB69" s="62">
        <f ca="1">[1]!hks_stm_bs($D$4,"140",C69,1,"",1)</f>
        <v>755920000000</v>
      </c>
      <c r="AC69" s="5"/>
      <c r="AD69" s="7"/>
    </row>
    <row r="70" spans="1:30">
      <c r="A70" s="7"/>
      <c r="B70" s="5"/>
      <c r="C70" s="37">
        <f t="shared" ca="1" si="23"/>
        <v>44742</v>
      </c>
      <c r="D70" s="37">
        <f ca="1">[1]!s_stm_rpt_s($D$4,C70,0)-1</f>
        <v>44561</v>
      </c>
      <c r="E70" s="18"/>
      <c r="F70" s="38">
        <f t="shared" ca="1" si="15"/>
        <v>0.15941448210608339</v>
      </c>
      <c r="G70" s="18"/>
      <c r="H70" s="38">
        <f t="shared" ca="1" si="16"/>
        <v>0.1986901912765997</v>
      </c>
      <c r="I70" s="63"/>
      <c r="J70" s="38">
        <f t="shared" ca="1" si="17"/>
        <v>0.81369318181818184</v>
      </c>
      <c r="K70" s="38"/>
      <c r="L70" s="38"/>
      <c r="M70" s="51">
        <f t="shared" ca="1" si="18"/>
        <v>0.98603122432210355</v>
      </c>
      <c r="N70" s="63"/>
      <c r="O70" s="38">
        <f t="shared" ca="1" si="19"/>
        <v>0.9783301910946629</v>
      </c>
      <c r="P70" s="63"/>
      <c r="Q70" s="68">
        <f ca="1">[1]!hks_stm_is($D$4,"61",C70,1,"",1)</f>
        <v>42032000000</v>
      </c>
      <c r="R70" s="18"/>
      <c r="S70" s="79">
        <f t="shared" ca="1" si="22"/>
        <v>42963000000</v>
      </c>
      <c r="T70" s="18"/>
      <c r="U70" s="80">
        <f t="shared" ca="1" si="20"/>
        <v>1536016500000</v>
      </c>
      <c r="V70" s="18"/>
      <c r="W70" s="80">
        <f ca="1">[1]!hks_stm_bs($D$4,"74",D70,1,"",1)</f>
        <v>1612364000000</v>
      </c>
      <c r="X70" s="79">
        <f ca="1">[1]!hks_stm_bs($D$4,"74",C70,1,"",1)</f>
        <v>1459669000000</v>
      </c>
      <c r="Y70" s="53">
        <f t="shared" ca="1" si="21"/>
        <v>771396500000</v>
      </c>
      <c r="Z70" s="18"/>
      <c r="AA70" s="81">
        <f ca="1">[1]!hks_stm_bs($D$4,"140",D70,1,"",1)</f>
        <v>806299000000</v>
      </c>
      <c r="AB70" s="65">
        <f ca="1">[1]!hks_stm_bs($D$4,"140",C70,1,"",1)</f>
        <v>736494000000</v>
      </c>
      <c r="AC70" s="5"/>
      <c r="AD70" s="7"/>
    </row>
    <row r="71" spans="1:30">
      <c r="A71" s="7"/>
      <c r="B71" s="5"/>
      <c r="C71" s="33">
        <f t="shared" ca="1" si="23"/>
        <v>44651</v>
      </c>
      <c r="D71" s="33">
        <f ca="1">[1]!s_stm_rpt_s($D$4,C71,0)-1</f>
        <v>44561</v>
      </c>
      <c r="E71" s="35"/>
      <c r="F71" s="34">
        <f t="shared" ca="1" si="15"/>
        <v>0.17518878579179306</v>
      </c>
      <c r="G71" s="35"/>
      <c r="H71" s="34">
        <f t="shared" ca="1" si="16"/>
        <v>0.21554428623100147</v>
      </c>
      <c r="I71" s="60"/>
      <c r="J71" s="34">
        <f t="shared" ca="1" si="17"/>
        <v>0.8183228742845321</v>
      </c>
      <c r="K71" s="34"/>
      <c r="L71" s="34"/>
      <c r="M71" s="46">
        <f t="shared" ca="1" si="18"/>
        <v>0.99321917808219173</v>
      </c>
      <c r="N71" s="60"/>
      <c r="O71" s="34">
        <f t="shared" ca="1" si="19"/>
        <v>0.98651666455989551</v>
      </c>
      <c r="P71" s="60"/>
      <c r="Q71" s="67">
        <f ca="1">[1]!hks_stm_is($D$4,"61",C71,1,"",1)</f>
        <v>23413000000</v>
      </c>
      <c r="R71" s="35"/>
      <c r="S71" s="76">
        <f t="shared" ca="1" si="22"/>
        <v>23733000000</v>
      </c>
      <c r="T71" s="35"/>
      <c r="U71" s="77">
        <f t="shared" ca="1" si="20"/>
        <v>1553261000000</v>
      </c>
      <c r="V71" s="35"/>
      <c r="W71" s="77">
        <f ca="1">[1]!hks_stm_bs($D$4,"74",D71,1,"",1)</f>
        <v>1612364000000</v>
      </c>
      <c r="X71" s="76">
        <f ca="1">[1]!hks_stm_bs($D$4,"74",C71,1,"",1)</f>
        <v>1494158000000</v>
      </c>
      <c r="Y71" s="48">
        <f t="shared" ca="1" si="21"/>
        <v>792079000000</v>
      </c>
      <c r="Z71" s="35"/>
      <c r="AA71" s="78">
        <f ca="1">[1]!hks_stm_bs($D$4,"140",D71,1,"",1)</f>
        <v>806299000000</v>
      </c>
      <c r="AB71" s="62">
        <f ca="1">[1]!hks_stm_bs($D$4,"140",C71,1,"",1)</f>
        <v>777859000000</v>
      </c>
      <c r="AC71" s="5"/>
      <c r="AD71" s="7"/>
    </row>
    <row r="72" spans="1:30">
      <c r="A72" s="7"/>
      <c r="B72" s="5"/>
      <c r="C72" s="37">
        <f t="shared" ca="1" si="23"/>
        <v>44561</v>
      </c>
      <c r="D72" s="37">
        <f ca="1">[1]!s_stm_rpt_s($D$4,C72,0)-1</f>
        <v>44196</v>
      </c>
      <c r="E72" s="18"/>
      <c r="F72" s="38">
        <f t="shared" ca="1" si="15"/>
        <v>0.40582741156539542</v>
      </c>
      <c r="G72" s="18"/>
      <c r="H72" s="38">
        <f t="shared" ca="1" si="16"/>
        <v>0.44416377035951027</v>
      </c>
      <c r="I72" s="63"/>
      <c r="J72" s="38">
        <f t="shared" ca="1" si="17"/>
        <v>0.91835911989744501</v>
      </c>
      <c r="K72" s="38"/>
      <c r="L72" s="38"/>
      <c r="M72" s="51">
        <f t="shared" ca="1" si="18"/>
        <v>0.99491437051297482</v>
      </c>
      <c r="N72" s="63"/>
      <c r="O72" s="38">
        <f t="shared" ca="1" si="19"/>
        <v>0.98688380668100606</v>
      </c>
      <c r="P72" s="63"/>
      <c r="Q72" s="68">
        <f ca="1">[1]!hks_stm_is($D$4,"61",C72,1,"",1)</f>
        <v>224822000000</v>
      </c>
      <c r="R72" s="18"/>
      <c r="S72" s="79">
        <f t="shared" ca="1" si="22"/>
        <v>227810000000</v>
      </c>
      <c r="T72" s="18"/>
      <c r="U72" s="80">
        <f t="shared" ca="1" si="20"/>
        <v>1472894500000</v>
      </c>
      <c r="V72" s="18"/>
      <c r="W72" s="80">
        <f ca="1">[1]!hks_stm_bs($D$4,"74",D72,1,"",1)</f>
        <v>1333425000000</v>
      </c>
      <c r="X72" s="79">
        <f ca="1">[1]!hks_stm_bs($D$4,"74",C72,1,"",1)</f>
        <v>1612364000000</v>
      </c>
      <c r="Y72" s="53">
        <f t="shared" ca="1" si="21"/>
        <v>755141500000</v>
      </c>
      <c r="Z72" s="18"/>
      <c r="AA72" s="81">
        <f ca="1">[1]!hks_stm_bs($D$4,"140",D72,1,"",1)</f>
        <v>703984000000</v>
      </c>
      <c r="AB72" s="65">
        <f ca="1">[1]!hks_stm_bs($D$4,"140",C72,1,"",1)</f>
        <v>806299000000</v>
      </c>
      <c r="AC72" s="5"/>
      <c r="AD72" s="7"/>
    </row>
    <row r="73" spans="1:30">
      <c r="A73" s="7"/>
      <c r="B73" s="5"/>
      <c r="C73" s="33">
        <f t="shared" ca="1" si="23"/>
        <v>44469</v>
      </c>
      <c r="D73" s="33">
        <f ca="1">[1]!s_stm_rpt_s($D$4,C73,0)-1</f>
        <v>44196</v>
      </c>
      <c r="E73" s="35"/>
      <c r="F73" s="34">
        <f t="shared" ca="1" si="15"/>
        <v>0.31623131648745179</v>
      </c>
      <c r="G73" s="35"/>
      <c r="H73" s="34">
        <f t="shared" ca="1" si="16"/>
        <v>0.35613096890948609</v>
      </c>
      <c r="I73" s="60"/>
      <c r="J73" s="34">
        <f t="shared" ca="1" si="17"/>
        <v>0.88978170527180755</v>
      </c>
      <c r="K73" s="34"/>
      <c r="L73" s="34"/>
      <c r="M73" s="46">
        <f t="shared" ca="1" si="18"/>
        <v>0.99795661847243788</v>
      </c>
      <c r="N73" s="60"/>
      <c r="O73" s="34">
        <f t="shared" ca="1" si="19"/>
        <v>0.98303622118769163</v>
      </c>
      <c r="P73" s="60"/>
      <c r="Q73" s="67">
        <f ca="1">[1]!hks_stm_is($D$4,"61",C73,1,"",1)</f>
        <v>129864000000</v>
      </c>
      <c r="R73" s="35"/>
      <c r="S73" s="76">
        <f t="shared" ca="1" si="22"/>
        <v>132105000000</v>
      </c>
      <c r="T73" s="35"/>
      <c r="U73" s="77">
        <f t="shared" ca="1" si="20"/>
        <v>1450504500000</v>
      </c>
      <c r="V73" s="35"/>
      <c r="W73" s="77">
        <f ca="1">[1]!hks_stm_bs($D$4,"74",D73,1,"",1)</f>
        <v>1333425000000</v>
      </c>
      <c r="X73" s="76">
        <f ca="1">[1]!hks_stm_bs($D$4,"74",C73,1,"",1)</f>
        <v>1567584000000</v>
      </c>
      <c r="Y73" s="48">
        <f t="shared" ca="1" si="21"/>
        <v>780260000000</v>
      </c>
      <c r="Z73" s="35"/>
      <c r="AA73" s="78">
        <f ca="1">[1]!hks_stm_bs($D$4,"140",D73,1,"",1)</f>
        <v>703984000000</v>
      </c>
      <c r="AB73" s="62">
        <f ca="1">[1]!hks_stm_bs($D$4,"140",C73,1,"",1)</f>
        <v>856536000000</v>
      </c>
      <c r="AC73" s="5"/>
      <c r="AD73" s="7"/>
    </row>
    <row r="74" spans="1:30">
      <c r="A74" s="7"/>
      <c r="B74" s="5"/>
      <c r="C74" s="37">
        <f t="shared" ca="1" si="23"/>
        <v>44377</v>
      </c>
      <c r="D74" s="37">
        <f ca="1">[1]!s_stm_rpt_s($D$4,C74,0)-1</f>
        <v>44196</v>
      </c>
      <c r="E74" s="18"/>
      <c r="F74" s="38">
        <f t="shared" ca="1" si="15"/>
        <v>0.33484936690438072</v>
      </c>
      <c r="G74" s="18"/>
      <c r="H74" s="38">
        <f t="shared" ca="1" si="16"/>
        <v>0.37598602823460925</v>
      </c>
      <c r="I74" s="63"/>
      <c r="J74" s="38">
        <f t="shared" ca="1" si="17"/>
        <v>0.89399856229721586</v>
      </c>
      <c r="K74" s="38"/>
      <c r="L74" s="38"/>
      <c r="M74" s="51">
        <f t="shared" ca="1" si="18"/>
        <v>0.99618719516915688</v>
      </c>
      <c r="N74" s="63"/>
      <c r="O74" s="38">
        <f t="shared" ca="1" si="19"/>
        <v>0.98178854721286535</v>
      </c>
      <c r="P74" s="63"/>
      <c r="Q74" s="68">
        <f ca="1">[1]!hks_stm_is($D$4,"61",C74,1,"",1)</f>
        <v>90354000000</v>
      </c>
      <c r="R74" s="18"/>
      <c r="S74" s="79">
        <f t="shared" ca="1" si="22"/>
        <v>92030000000</v>
      </c>
      <c r="T74" s="18"/>
      <c r="U74" s="80">
        <f t="shared" ca="1" si="20"/>
        <v>1425598500000</v>
      </c>
      <c r="V74" s="18"/>
      <c r="W74" s="80">
        <f ca="1">[1]!hks_stm_bs($D$4,"74",D74,1,"",1)</f>
        <v>1333425000000</v>
      </c>
      <c r="X74" s="79">
        <f ca="1">[1]!hks_stm_bs($D$4,"74",C74,1,"",1)</f>
        <v>1517772000000</v>
      </c>
      <c r="Y74" s="53">
        <f t="shared" ca="1" si="21"/>
        <v>775095500000</v>
      </c>
      <c r="Z74" s="18"/>
      <c r="AA74" s="81">
        <f ca="1">[1]!hks_stm_bs($D$4,"140",D74,1,"",1)</f>
        <v>703984000000</v>
      </c>
      <c r="AB74" s="65">
        <f ca="1">[1]!hks_stm_bs($D$4,"140",C74,1,"",1)</f>
        <v>846207000000</v>
      </c>
      <c r="AC74" s="5"/>
      <c r="AD74" s="7"/>
    </row>
    <row r="75" spans="1:30">
      <c r="A75" s="7"/>
      <c r="B75" s="5"/>
      <c r="C75" s="33">
        <f t="shared" ca="1" si="23"/>
        <v>44286</v>
      </c>
      <c r="D75" s="33">
        <f ca="1">[1]!s_stm_rpt_s($D$4,C75,0)-1</f>
        <v>44196</v>
      </c>
      <c r="E75" s="35"/>
      <c r="F75" s="34">
        <f t="shared" ca="1" si="15"/>
        <v>0.36178678734100594</v>
      </c>
      <c r="G75" s="35"/>
      <c r="H75" s="34">
        <f t="shared" ca="1" si="16"/>
        <v>0.41345479510707878</v>
      </c>
      <c r="I75" s="60"/>
      <c r="J75" s="34">
        <f t="shared" ca="1" si="17"/>
        <v>0.87119138194617274</v>
      </c>
      <c r="K75" s="34"/>
      <c r="L75" s="34"/>
      <c r="M75" s="46">
        <f t="shared" ca="1" si="18"/>
        <v>1.0044101630153375</v>
      </c>
      <c r="N75" s="60"/>
      <c r="O75" s="34">
        <f t="shared" ca="1" si="19"/>
        <v>0.97467760365654588</v>
      </c>
      <c r="P75" s="60"/>
      <c r="Q75" s="67">
        <f ca="1">[1]!hks_stm_is($D$4,"61",C75,1,"",1)</f>
        <v>47767000000</v>
      </c>
      <c r="R75" s="35"/>
      <c r="S75" s="76">
        <f t="shared" ca="1" si="22"/>
        <v>49008000000</v>
      </c>
      <c r="T75" s="35"/>
      <c r="U75" s="77">
        <f t="shared" ca="1" si="20"/>
        <v>1378279000000</v>
      </c>
      <c r="V75" s="35"/>
      <c r="W75" s="77">
        <f ca="1">[1]!hks_stm_bs($D$4,"74",D75,1,"",1)</f>
        <v>1333425000000</v>
      </c>
      <c r="X75" s="76">
        <f ca="1">[1]!hks_stm_bs($D$4,"74",C75,1,"",1)</f>
        <v>1423133000000</v>
      </c>
      <c r="Y75" s="48">
        <f t="shared" ca="1" si="21"/>
        <v>732898000000</v>
      </c>
      <c r="Z75" s="35"/>
      <c r="AA75" s="78">
        <f ca="1">[1]!hks_stm_bs($D$4,"140",D75,1,"",1)</f>
        <v>703984000000</v>
      </c>
      <c r="AB75" s="62">
        <f ca="1">[1]!hks_stm_bs($D$4,"140",C75,1,"",1)</f>
        <v>761812000000</v>
      </c>
      <c r="AC75" s="5"/>
      <c r="AD75" s="7"/>
    </row>
    <row r="76" spans="1:30">
      <c r="A76" s="7"/>
      <c r="B76" s="5"/>
      <c r="C76" s="37">
        <f t="shared" ca="1" si="23"/>
        <v>44196</v>
      </c>
      <c r="D76" s="37">
        <f ca="1">[1]!s_stm_rpt_s($D$4,C76,0)-1</f>
        <v>43830</v>
      </c>
      <c r="E76" s="18"/>
      <c r="F76" s="38">
        <f t="shared" ca="1" si="15"/>
        <v>0.33216543861395997</v>
      </c>
      <c r="G76" s="18"/>
      <c r="H76" s="38">
        <f t="shared" ca="1" si="16"/>
        <v>0.37446065252746524</v>
      </c>
      <c r="I76" s="63"/>
      <c r="J76" s="38">
        <f t="shared" ca="1" si="17"/>
        <v>0.88947461976869491</v>
      </c>
      <c r="K76" s="38"/>
      <c r="L76" s="38"/>
      <c r="M76" s="51">
        <f t="shared" ca="1" si="18"/>
        <v>0.99727444962717571</v>
      </c>
      <c r="N76" s="63"/>
      <c r="O76" s="38">
        <f t="shared" ca="1" si="19"/>
        <v>0.99826385636221704</v>
      </c>
      <c r="P76" s="63"/>
      <c r="Q76" s="68">
        <f ca="1">[1]!hks_stm_is($D$4,"61",C76,1,"",1)</f>
        <v>159847000000</v>
      </c>
      <c r="R76" s="18"/>
      <c r="S76" s="79">
        <f t="shared" ca="1" si="22"/>
        <v>160125000000</v>
      </c>
      <c r="T76" s="18"/>
      <c r="U76" s="80">
        <f t="shared" ca="1" si="20"/>
        <v>1143705500000</v>
      </c>
      <c r="V76" s="18"/>
      <c r="W76" s="80">
        <f ca="1">[1]!hks_stm_bs($D$4,"74",D76,1,"",1)</f>
        <v>953986000000</v>
      </c>
      <c r="X76" s="79">
        <f ca="1">[1]!hks_stm_bs($D$4,"74",C76,1,"",1)</f>
        <v>1333425000000</v>
      </c>
      <c r="Y76" s="53">
        <f t="shared" ca="1" si="21"/>
        <v>568345000000</v>
      </c>
      <c r="Z76" s="18"/>
      <c r="AA76" s="81">
        <f ca="1">[1]!hks_stm_bs($D$4,"140",D76,1,"",1)</f>
        <v>432706000000</v>
      </c>
      <c r="AB76" s="65">
        <f ca="1">[1]!hks_stm_bs($D$4,"140",C76,1,"",1)</f>
        <v>703984000000</v>
      </c>
      <c r="AC76" s="5"/>
      <c r="AD76" s="7"/>
    </row>
    <row r="77" spans="1:30">
      <c r="A77" s="7"/>
      <c r="B77" s="5"/>
      <c r="C77" s="33">
        <f t="shared" ca="1" si="23"/>
        <v>44104</v>
      </c>
      <c r="D77" s="33">
        <f ca="1">[1]!s_stm_rpt_s($D$4,C77,0)-1</f>
        <v>43830</v>
      </c>
      <c r="E77" s="35"/>
      <c r="F77" s="34">
        <f t="shared" ca="1" si="15"/>
        <v>0.28920047647067265</v>
      </c>
      <c r="G77" s="35"/>
      <c r="H77" s="34">
        <f t="shared" ca="1" si="16"/>
        <v>0.33677004549433831</v>
      </c>
      <c r="I77" s="60"/>
      <c r="J77" s="34">
        <f t="shared" ca="1" si="17"/>
        <v>0.86157477083048295</v>
      </c>
      <c r="K77" s="34"/>
      <c r="L77" s="34"/>
      <c r="M77" s="46">
        <f t="shared" ca="1" si="18"/>
        <v>0.99671862881299589</v>
      </c>
      <c r="N77" s="60"/>
      <c r="O77" s="34">
        <f t="shared" ca="1" si="19"/>
        <v>0.99790583191075466</v>
      </c>
      <c r="P77" s="60"/>
      <c r="Q77" s="67">
        <f ca="1">[1]!hks_stm_is($D$4,"61",C77,1,"",1)</f>
        <v>100545000000</v>
      </c>
      <c r="R77" s="35"/>
      <c r="S77" s="76">
        <f t="shared" ca="1" si="22"/>
        <v>100756000000</v>
      </c>
      <c r="T77" s="35"/>
      <c r="U77" s="77">
        <f t="shared" ca="1" si="20"/>
        <v>1072007500000</v>
      </c>
      <c r="V77" s="35"/>
      <c r="W77" s="77">
        <f ca="1">[1]!hks_stm_bs($D$4,"74",D77,1,"",1)</f>
        <v>953986000000</v>
      </c>
      <c r="X77" s="76">
        <f ca="1">[1]!hks_stm_bs($D$4,"74",C77,1,"",1)</f>
        <v>1190029000000</v>
      </c>
      <c r="Y77" s="48">
        <f t="shared" ca="1" si="21"/>
        <v>504904500000</v>
      </c>
      <c r="Z77" s="35"/>
      <c r="AA77" s="78">
        <f ca="1">[1]!hks_stm_bs($D$4,"140",D77,1,"",1)</f>
        <v>432706000000</v>
      </c>
      <c r="AB77" s="62">
        <f ca="1">[1]!hks_stm_bs($D$4,"140",C77,1,"",1)</f>
        <v>577103000000</v>
      </c>
      <c r="AC77" s="5"/>
      <c r="AD77" s="7"/>
    </row>
    <row r="78" spans="1:30">
      <c r="A78" s="7"/>
      <c r="B78" s="5"/>
      <c r="C78" s="37">
        <f t="shared" ca="1" si="23"/>
        <v>44012</v>
      </c>
      <c r="D78" s="37">
        <f ca="1">[1]!s_stm_rpt_s($D$4,C78,0)-1</f>
        <v>43830</v>
      </c>
      <c r="E78" s="18"/>
      <c r="F78" s="38">
        <f t="shared" ca="1" si="15"/>
        <v>0.27745034716615535</v>
      </c>
      <c r="G78" s="18"/>
      <c r="H78" s="38">
        <f t="shared" ca="1" si="16"/>
        <v>0.32630478856056122</v>
      </c>
      <c r="I78" s="63"/>
      <c r="J78" s="38">
        <f t="shared" ca="1" si="17"/>
        <v>0.85548917102315158</v>
      </c>
      <c r="K78" s="38"/>
      <c r="L78" s="38"/>
      <c r="M78" s="51">
        <f t="shared" ca="1" si="18"/>
        <v>0.99391056921744625</v>
      </c>
      <c r="N78" s="63"/>
      <c r="O78" s="38">
        <f t="shared" ca="1" si="19"/>
        <v>1.0023602825872577</v>
      </c>
      <c r="P78" s="63"/>
      <c r="Q78" s="68">
        <f ca="1">[1]!hks_stm_is($D$4,"61",C78,1,"",1)</f>
        <v>62003000000</v>
      </c>
      <c r="R78" s="18"/>
      <c r="S78" s="79">
        <f t="shared" ca="1" si="22"/>
        <v>61857000000</v>
      </c>
      <c r="T78" s="18"/>
      <c r="U78" s="80">
        <f t="shared" ca="1" si="20"/>
        <v>1056765000000</v>
      </c>
      <c r="V78" s="18"/>
      <c r="W78" s="80">
        <f ca="1">[1]!hks_stm_bs($D$4,"74",D78,1,"",1)</f>
        <v>953986000000</v>
      </c>
      <c r="X78" s="79">
        <f ca="1">[1]!hks_stm_bs($D$4,"74",C78,1,"",1)</f>
        <v>1159544000000</v>
      </c>
      <c r="Y78" s="53">
        <f t="shared" ca="1" si="21"/>
        <v>484057500000</v>
      </c>
      <c r="Z78" s="18"/>
      <c r="AA78" s="81">
        <f ca="1">[1]!hks_stm_bs($D$4,"140",D78,1,"",1)</f>
        <v>432706000000</v>
      </c>
      <c r="AB78" s="65">
        <f ca="1">[1]!hks_stm_bs($D$4,"140",C78,1,"",1)</f>
        <v>535409000000</v>
      </c>
      <c r="AC78" s="5"/>
      <c r="AD78" s="7"/>
    </row>
    <row r="79" spans="1:30">
      <c r="A79" s="7"/>
      <c r="B79" s="5"/>
      <c r="C79" s="33">
        <f t="shared" ca="1" si="23"/>
        <v>43921</v>
      </c>
      <c r="D79" s="33">
        <f ca="1">[1]!s_stm_rpt_s($D$4,C79,0)-1</f>
        <v>43830</v>
      </c>
      <c r="E79" s="35"/>
      <c r="F79" s="34">
        <f t="shared" ca="1" si="15"/>
        <v>0.27208624438995044</v>
      </c>
      <c r="G79" s="35"/>
      <c r="H79" s="34">
        <f t="shared" ca="1" si="16"/>
        <v>0.32705316244852634</v>
      </c>
      <c r="I79" s="60"/>
      <c r="J79" s="34">
        <f t="shared" ca="1" si="17"/>
        <v>0.83306417339566508</v>
      </c>
      <c r="K79" s="34"/>
      <c r="L79" s="34"/>
      <c r="M79" s="46">
        <f t="shared" ca="1" si="18"/>
        <v>0.99864188099482221</v>
      </c>
      <c r="N79" s="60"/>
      <c r="O79" s="34">
        <f t="shared" ca="1" si="19"/>
        <v>0.98275686154474029</v>
      </c>
      <c r="P79" s="60"/>
      <c r="Q79" s="67">
        <f ca="1">[1]!hks_stm_is($D$4,"61",C79,1,"",1)</f>
        <v>28896000000</v>
      </c>
      <c r="R79" s="35"/>
      <c r="S79" s="76">
        <f t="shared" ca="1" si="22"/>
        <v>29403000000</v>
      </c>
      <c r="T79" s="35"/>
      <c r="U79" s="77">
        <f t="shared" ca="1" si="20"/>
        <v>984465500000</v>
      </c>
      <c r="V79" s="35"/>
      <c r="W79" s="77">
        <f ca="1">[1]!hks_stm_bs($D$4,"74",D79,1,"",1)</f>
        <v>953986000000</v>
      </c>
      <c r="X79" s="76">
        <f ca="1">[1]!hks_stm_bs($D$4,"74",C79,1,"",1)</f>
        <v>1014945000000</v>
      </c>
      <c r="Y79" s="48">
        <f t="shared" ca="1" si="21"/>
        <v>445265000000</v>
      </c>
      <c r="Z79" s="35"/>
      <c r="AA79" s="78">
        <f ca="1">[1]!hks_stm_bs($D$4,"140",D79,1,"",1)</f>
        <v>432706000000</v>
      </c>
      <c r="AB79" s="62">
        <f ca="1">[1]!hks_stm_bs($D$4,"140",C79,1,"",1)</f>
        <v>457824000000</v>
      </c>
      <c r="AC79" s="5"/>
      <c r="AD79" s="7"/>
    </row>
    <row r="80" spans="1:30">
      <c r="A80" s="7"/>
      <c r="B80" s="5"/>
      <c r="C80" s="37">
        <f t="shared" ca="1" si="23"/>
        <v>43830</v>
      </c>
      <c r="D80" s="37">
        <f ca="1">[1]!s_stm_rpt_s($D$4,C80,0)-1</f>
        <v>43465</v>
      </c>
      <c r="E80" s="18"/>
      <c r="F80" s="38">
        <f t="shared" ca="1" si="15"/>
        <v>0.25415000172281726</v>
      </c>
      <c r="G80" s="18"/>
      <c r="H80" s="38">
        <f t="shared" ca="1" si="16"/>
        <v>0.2936104683677499</v>
      </c>
      <c r="I80" s="63"/>
      <c r="J80" s="38">
        <f t="shared" ca="1" si="17"/>
        <v>0.87648994515539302</v>
      </c>
      <c r="K80" s="38"/>
      <c r="L80" s="38"/>
      <c r="M80" s="51">
        <f t="shared" ca="1" si="18"/>
        <v>0.98757853686719144</v>
      </c>
      <c r="N80" s="63"/>
      <c r="O80" s="38">
        <f t="shared" ca="1" si="19"/>
        <v>0.97311446687802439</v>
      </c>
      <c r="P80" s="63"/>
      <c r="Q80" s="68">
        <f ca="1">[1]!hks_stm_is($D$4,"61",C80,1,"",1)</f>
        <v>93310000000</v>
      </c>
      <c r="R80" s="18"/>
      <c r="S80" s="79">
        <f t="shared" ca="1" si="22"/>
        <v>95888000000</v>
      </c>
      <c r="T80" s="18"/>
      <c r="U80" s="80">
        <f t="shared" ca="1" si="20"/>
        <v>838753500000</v>
      </c>
      <c r="V80" s="18"/>
      <c r="W80" s="80">
        <f ca="1">[1]!hks_stm_bs($D$4,"74",D80,1,"",1)</f>
        <v>723521000000</v>
      </c>
      <c r="X80" s="79">
        <f ca="1">[1]!hks_stm_bs($D$4,"74",C80,1,"",1)</f>
        <v>953986000000</v>
      </c>
      <c r="Y80" s="53">
        <f t="shared" ca="1" si="21"/>
        <v>378108000000</v>
      </c>
      <c r="Z80" s="18"/>
      <c r="AA80" s="81">
        <f ca="1">[1]!hks_stm_bs($D$4,"140",D80,1,"",1)</f>
        <v>323510000000</v>
      </c>
      <c r="AB80" s="65">
        <f ca="1">[1]!hks_stm_bs($D$4,"140",C80,1,"",1)</f>
        <v>432706000000</v>
      </c>
      <c r="AC80" s="5"/>
      <c r="AD80" s="7"/>
    </row>
    <row r="81" spans="1:30">
      <c r="A81" s="7"/>
      <c r="B81" s="5"/>
      <c r="C81" s="33">
        <f t="shared" ca="1" si="23"/>
        <v>43738</v>
      </c>
      <c r="D81" s="33">
        <f ca="1">[1]!s_stm_rpt_s($D$4,C81,0)-1</f>
        <v>43465</v>
      </c>
      <c r="E81" s="35"/>
      <c r="F81" s="34">
        <f t="shared" ca="1" si="15"/>
        <v>0.27075522425438825</v>
      </c>
      <c r="G81" s="35"/>
      <c r="H81" s="34">
        <f t="shared" ca="1" si="16"/>
        <v>0.31306118841198871</v>
      </c>
      <c r="I81" s="60"/>
      <c r="J81" s="34">
        <f t="shared" ca="1" si="17"/>
        <v>0.86600464124583287</v>
      </c>
      <c r="K81" s="34"/>
      <c r="L81" s="34"/>
      <c r="M81" s="46">
        <f t="shared" ca="1" si="18"/>
        <v>0.99868239944472548</v>
      </c>
      <c r="N81" s="60"/>
      <c r="O81" s="34">
        <f t="shared" ca="1" si="19"/>
        <v>0.9756787638065183</v>
      </c>
      <c r="P81" s="60"/>
      <c r="Q81" s="67">
        <f ca="1">[1]!hks_stm_is($D$4,"61",C81,1,"",1)</f>
        <v>71728000000</v>
      </c>
      <c r="R81" s="35"/>
      <c r="S81" s="76">
        <f t="shared" ca="1" si="22"/>
        <v>73516000000</v>
      </c>
      <c r="T81" s="35"/>
      <c r="U81" s="77">
        <f t="shared" ca="1" si="20"/>
        <v>789871500000</v>
      </c>
      <c r="V81" s="35"/>
      <c r="W81" s="77">
        <f ca="1">[1]!hks_stm_bs($D$4,"74",D81,1,"",1)</f>
        <v>723521000000</v>
      </c>
      <c r="X81" s="76">
        <f ca="1">[1]!hks_stm_bs($D$4,"74",C81,1,"",1)</f>
        <v>856222000000</v>
      </c>
      <c r="Y81" s="48">
        <f t="shared" ca="1" si="21"/>
        <v>363746000000</v>
      </c>
      <c r="Z81" s="35"/>
      <c r="AA81" s="78">
        <f ca="1">[1]!hks_stm_bs($D$4,"140",D81,1,"",1)</f>
        <v>323510000000</v>
      </c>
      <c r="AB81" s="62">
        <f ca="1">[1]!hks_stm_bs($D$4,"140",C81,1,"",1)</f>
        <v>403982000000</v>
      </c>
      <c r="AC81" s="5"/>
      <c r="AD81" s="7"/>
    </row>
    <row r="82" spans="1:30">
      <c r="A82" s="7"/>
      <c r="B82" s="5"/>
      <c r="C82" s="37">
        <f t="shared" ca="1" si="23"/>
        <v>43646</v>
      </c>
      <c r="D82" s="37">
        <f ca="1">[1]!s_stm_rpt_s($D$4,C82,0)-1</f>
        <v>43465</v>
      </c>
      <c r="E82" s="18"/>
      <c r="F82" s="38">
        <f t="shared" ca="1" si="15"/>
        <v>0.30112333791838608</v>
      </c>
      <c r="G82" s="18"/>
      <c r="H82" s="38">
        <f t="shared" ca="1" si="16"/>
        <v>0.34830926180651078</v>
      </c>
      <c r="I82" s="63"/>
      <c r="J82" s="38">
        <f t="shared" ca="1" si="17"/>
        <v>0.86732588276078382</v>
      </c>
      <c r="K82" s="38"/>
      <c r="L82" s="38"/>
      <c r="M82" s="51">
        <f t="shared" ca="1" si="18"/>
        <v>0.99677488358317012</v>
      </c>
      <c r="N82" s="63"/>
      <c r="O82" s="38">
        <f t="shared" ca="1" si="19"/>
        <v>0.97727445755614772</v>
      </c>
      <c r="P82" s="63"/>
      <c r="Q82" s="68">
        <f ca="1">[1]!hks_stm_is($D$4,"61",C82,1,"",1)</f>
        <v>51346000000</v>
      </c>
      <c r="R82" s="18"/>
      <c r="S82" s="79">
        <f t="shared" ca="1" si="22"/>
        <v>52540000000</v>
      </c>
      <c r="T82" s="18"/>
      <c r="U82" s="80">
        <f t="shared" ca="1" si="20"/>
        <v>770192500000</v>
      </c>
      <c r="V82" s="18"/>
      <c r="W82" s="80">
        <f ca="1">[1]!hks_stm_bs($D$4,"74",D82,1,"",1)</f>
        <v>723521000000</v>
      </c>
      <c r="X82" s="79">
        <f ca="1">[1]!hks_stm_bs($D$4,"74",C82,1,"",1)</f>
        <v>816864000000</v>
      </c>
      <c r="Y82" s="53">
        <f t="shared" ca="1" si="21"/>
        <v>354983000000</v>
      </c>
      <c r="Z82" s="18"/>
      <c r="AA82" s="81">
        <f ca="1">[1]!hks_stm_bs($D$4,"140",D82,1,"",1)</f>
        <v>323510000000</v>
      </c>
      <c r="AB82" s="65">
        <f ca="1">[1]!hks_stm_bs($D$4,"140",C82,1,"",1)</f>
        <v>386456000000</v>
      </c>
      <c r="AC82" s="5"/>
      <c r="AD82" s="7"/>
    </row>
    <row r="83" spans="1:30">
      <c r="A83" s="7"/>
      <c r="B83" s="5"/>
      <c r="C83" s="33">
        <f t="shared" ca="1" si="23"/>
        <v>43555</v>
      </c>
      <c r="D83" s="33">
        <f ca="1">[1]!s_stm_rpt_s($D$4,C83,0)-1</f>
        <v>43465</v>
      </c>
      <c r="E83" s="35"/>
      <c r="F83" s="34">
        <f t="shared" ca="1" si="15"/>
        <v>0.32500291681250726</v>
      </c>
      <c r="G83" s="35"/>
      <c r="H83" s="34">
        <f t="shared" ca="1" si="16"/>
        <v>0.37775055419437636</v>
      </c>
      <c r="I83" s="60"/>
      <c r="J83" s="34">
        <f t="shared" ca="1" si="17"/>
        <v>0.85269988980041633</v>
      </c>
      <c r="K83" s="34"/>
      <c r="L83" s="34"/>
      <c r="M83" s="46">
        <f t="shared" ca="1" si="18"/>
        <v>1.008987861753714</v>
      </c>
      <c r="N83" s="60"/>
      <c r="O83" s="34">
        <f t="shared" ca="1" si="19"/>
        <v>0.97680930499712804</v>
      </c>
      <c r="P83" s="60"/>
      <c r="Q83" s="67">
        <f ca="1">[1]!hks_stm_is($D$4,"61",C83,1,"",1)</f>
        <v>27210000000</v>
      </c>
      <c r="R83" s="35"/>
      <c r="S83" s="76">
        <f t="shared" ca="1" si="22"/>
        <v>27856000000</v>
      </c>
      <c r="T83" s="35"/>
      <c r="U83" s="77">
        <f t="shared" ca="1" si="20"/>
        <v>752134000000</v>
      </c>
      <c r="V83" s="35"/>
      <c r="W83" s="77">
        <f ca="1">[1]!hks_stm_bs($D$4,"74",D83,1,"",1)</f>
        <v>723521000000</v>
      </c>
      <c r="X83" s="76">
        <f ca="1">[1]!hks_stm_bs($D$4,"74",C83,1,"",1)</f>
        <v>780747000000</v>
      </c>
      <c r="Y83" s="48">
        <f t="shared" ca="1" si="21"/>
        <v>343736000000</v>
      </c>
      <c r="Z83" s="35"/>
      <c r="AA83" s="78">
        <f ca="1">[1]!hks_stm_bs($D$4,"140",D83,1,"",1)</f>
        <v>323510000000</v>
      </c>
      <c r="AB83" s="62">
        <f ca="1">[1]!hks_stm_bs($D$4,"140",C83,1,"",1)</f>
        <v>363962000000</v>
      </c>
      <c r="AC83" s="5"/>
      <c r="AD83" s="7"/>
    </row>
    <row r="84" spans="1:30">
      <c r="A84" s="7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16"/>
      <c r="V84" s="5"/>
      <c r="W84" s="5"/>
      <c r="X84" s="5"/>
      <c r="Y84" s="5"/>
      <c r="Z84" s="5"/>
      <c r="AA84" s="5"/>
      <c r="AB84" s="5"/>
      <c r="AC84" s="5"/>
      <c r="AD84" s="7"/>
    </row>
    <row r="85" spans="1:30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>
      <c r="A86" s="7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7"/>
      <c r="X86" s="7"/>
      <c r="Y86" s="7"/>
      <c r="Z86" s="7"/>
      <c r="AA86" s="7"/>
      <c r="AB86" s="7"/>
      <c r="AC86" s="7"/>
      <c r="AD86" s="7"/>
    </row>
    <row r="87" spans="1:30" ht="17.25">
      <c r="A87" s="7"/>
      <c r="B87" s="5"/>
      <c r="C87" s="13" t="s">
        <v>16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5"/>
      <c r="W87" s="7"/>
      <c r="X87" s="7"/>
      <c r="Y87" s="7"/>
      <c r="Z87" s="7"/>
      <c r="AA87" s="7"/>
      <c r="AB87" s="7"/>
      <c r="AC87" s="7"/>
      <c r="AD87" s="7"/>
    </row>
    <row r="88" spans="1:30">
      <c r="A88" s="7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7"/>
      <c r="X88" s="7"/>
      <c r="Y88" s="7"/>
      <c r="Z88" s="7"/>
      <c r="AA88" s="7"/>
      <c r="AB88" s="7"/>
      <c r="AC88" s="7"/>
      <c r="AD88" s="7"/>
    </row>
    <row r="89" spans="1:30" s="28" customFormat="1" ht="16.5">
      <c r="A89" s="25"/>
      <c r="B89" s="26"/>
      <c r="C89" s="22" t="s">
        <v>0</v>
      </c>
      <c r="D89" s="22" t="s">
        <v>23</v>
      </c>
      <c r="E89" s="22" t="s">
        <v>2</v>
      </c>
      <c r="F89" s="23" t="s">
        <v>17</v>
      </c>
      <c r="G89" s="22" t="s">
        <v>9</v>
      </c>
      <c r="H89" s="24" t="s">
        <v>18</v>
      </c>
      <c r="I89" s="22"/>
      <c r="J89" s="22" t="s">
        <v>24</v>
      </c>
      <c r="K89" s="22" t="s">
        <v>2</v>
      </c>
      <c r="L89" s="22"/>
      <c r="M89" s="23" t="s">
        <v>19</v>
      </c>
      <c r="N89" s="22" t="s">
        <v>9</v>
      </c>
      <c r="O89" s="24" t="s">
        <v>20</v>
      </c>
      <c r="P89" s="22"/>
      <c r="Q89" s="23" t="s">
        <v>25</v>
      </c>
      <c r="R89" s="22" t="s">
        <v>2</v>
      </c>
      <c r="S89" s="23" t="s">
        <v>20</v>
      </c>
      <c r="T89" s="22" t="s">
        <v>9</v>
      </c>
      <c r="U89" s="23" t="s">
        <v>21</v>
      </c>
      <c r="V89" s="26"/>
      <c r="W89" s="25"/>
      <c r="X89" s="25"/>
      <c r="Y89" s="25"/>
      <c r="Z89" s="25"/>
      <c r="AA89" s="25"/>
      <c r="AB89" s="25"/>
      <c r="AC89" s="25"/>
      <c r="AD89" s="25"/>
    </row>
    <row r="90" spans="1:30">
      <c r="A90" s="7"/>
      <c r="B90" s="5"/>
      <c r="C90" s="40" t="str">
        <f ca="1">[1]!s_fa_latelyrd_bt($D$4,$D$5)</f>
        <v>2023-12-31</v>
      </c>
      <c r="D90" s="30">
        <f ca="1">F90/H90</f>
        <v>0.26173575363496793</v>
      </c>
      <c r="E90" s="31"/>
      <c r="F90" s="82">
        <f ca="1">[1]!hks_fa_ebit($D$4,C90,1,"",1)</f>
        <v>159401000000</v>
      </c>
      <c r="G90" s="31"/>
      <c r="H90" s="73">
        <f ca="1">[1]!hks_stm_is($D$4,"83",C90,1,"",1)</f>
        <v>609015000000</v>
      </c>
      <c r="I90" s="31"/>
      <c r="J90" s="30">
        <f ca="1">M90/O90</f>
        <v>0.73174481168332051</v>
      </c>
      <c r="K90" s="31"/>
      <c r="L90" s="31"/>
      <c r="M90" s="83">
        <f ca="1">[1]!hks_stm_is($D$4,"60",C90,1,"",1)</f>
        <v>118048000000</v>
      </c>
      <c r="N90" s="31"/>
      <c r="O90" s="73">
        <f ca="1">[1]!hks_stm_is($D$4,"1016",C90,1,"",1)</f>
        <v>161324000000</v>
      </c>
      <c r="P90" s="31"/>
      <c r="Q90" s="30">
        <f ca="1">S90/U90</f>
        <v>1.0120639142790824</v>
      </c>
      <c r="R90" s="31"/>
      <c r="S90" s="75">
        <f ca="1">[1]!hks_stm_is($D$4,"1016",C90,1,"",1)</f>
        <v>161324000000</v>
      </c>
      <c r="T90" s="31"/>
      <c r="U90" s="66">
        <f ca="1">[1]!hks_fa_ebit($D$4,C90,1,"",1)</f>
        <v>159401000000</v>
      </c>
      <c r="V90" s="5"/>
      <c r="W90" s="7"/>
      <c r="X90" s="7"/>
      <c r="Y90" s="7"/>
      <c r="Z90" s="7"/>
      <c r="AA90" s="7"/>
      <c r="AB90" s="7"/>
      <c r="AC90" s="7"/>
      <c r="AD90" s="7"/>
    </row>
    <row r="91" spans="1:30">
      <c r="A91" s="7"/>
      <c r="B91" s="5"/>
      <c r="C91" s="33">
        <f ca="1">EOMONTH(C90,-3)</f>
        <v>45199</v>
      </c>
      <c r="D91" s="34">
        <f t="shared" ref="D91:D109" ca="1" si="24">F91/H91</f>
        <v>0.27026193262071441</v>
      </c>
      <c r="E91" s="35"/>
      <c r="F91" s="84">
        <f ca="1">[1]!hks_fa_ebit($D$4,C91,1,"",1)</f>
        <v>122650000000</v>
      </c>
      <c r="G91" s="35"/>
      <c r="H91" s="76">
        <f ca="1">[1]!hks_stm_is($D$4,"83",C91,1,"",1)</f>
        <v>453819000000</v>
      </c>
      <c r="I91" s="35"/>
      <c r="J91" s="34">
        <f t="shared" ref="J91:J109" ca="1" si="25">M91/O91</f>
        <v>0.72848420236479938</v>
      </c>
      <c r="K91" s="35"/>
      <c r="L91" s="35"/>
      <c r="M91" s="85">
        <f ca="1">[1]!hks_stm_is($D$4,"60",C91,1,"",1)</f>
        <v>90198000000</v>
      </c>
      <c r="N91" s="35"/>
      <c r="O91" s="76">
        <f ca="1">[1]!hks_stm_is($D$4,"1016",C91,1,"",1)</f>
        <v>123816000000</v>
      </c>
      <c r="P91" s="35"/>
      <c r="Q91" s="34">
        <f t="shared" ref="Q91:Q109" ca="1" si="26">S91/U91</f>
        <v>1.0095067264573991</v>
      </c>
      <c r="R91" s="35"/>
      <c r="S91" s="78">
        <f ca="1">[1]!hks_stm_is($D$4,"1016",C91,1,"",1)</f>
        <v>123816000000</v>
      </c>
      <c r="T91" s="35"/>
      <c r="U91" s="67">
        <f ca="1">[1]!hks_fa_ebit($D$4,C91,1,"",1)</f>
        <v>122650000000</v>
      </c>
      <c r="V91" s="5"/>
      <c r="W91" s="7"/>
      <c r="X91" s="7"/>
      <c r="Y91" s="7"/>
      <c r="Z91" s="7"/>
      <c r="AA91" s="7"/>
      <c r="AB91" s="7"/>
      <c r="AC91" s="7"/>
      <c r="AD91" s="7"/>
    </row>
    <row r="92" spans="1:30">
      <c r="A92" s="7"/>
      <c r="B92" s="5"/>
      <c r="C92" s="37">
        <f t="shared" ref="C92:C109" ca="1" si="27">EOMONTH(C91,-3)</f>
        <v>45107</v>
      </c>
      <c r="D92" s="30">
        <f t="shared" ca="1" si="24"/>
        <v>0.2521908861808726</v>
      </c>
      <c r="E92" s="31"/>
      <c r="F92" s="82">
        <f ca="1">[1]!hks_fa_ebit($D$4,C92,1,"",1)</f>
        <v>75454000000</v>
      </c>
      <c r="G92" s="31"/>
      <c r="H92" s="73">
        <f ca="1">[1]!hks_stm_is($D$4,"83",C92,1,"",1)</f>
        <v>299194000000</v>
      </c>
      <c r="I92" s="31"/>
      <c r="J92" s="30">
        <f t="shared" ca="1" si="25"/>
        <v>0.70260565325476476</v>
      </c>
      <c r="K92" s="31"/>
      <c r="L92" s="31"/>
      <c r="M92" s="83">
        <f ca="1">[1]!hks_stm_is($D$4,"60",C92,1,"",1)</f>
        <v>53417000000</v>
      </c>
      <c r="N92" s="31"/>
      <c r="O92" s="73">
        <f ca="1">[1]!hks_stm_is($D$4,"1016",C92,1,"",1)</f>
        <v>76027000000</v>
      </c>
      <c r="P92" s="31"/>
      <c r="Q92" s="30">
        <f t="shared" ca="1" si="26"/>
        <v>1.0075940308002227</v>
      </c>
      <c r="R92" s="31"/>
      <c r="S92" s="75">
        <f ca="1">[1]!hks_stm_is($D$4,"1016",C92,1,"",1)</f>
        <v>76027000000</v>
      </c>
      <c r="T92" s="31"/>
      <c r="U92" s="66">
        <f ca="1">[1]!hks_fa_ebit($D$4,C92,1,"",1)</f>
        <v>75454000000</v>
      </c>
      <c r="V92" s="5"/>
      <c r="W92" s="7"/>
      <c r="X92" s="7"/>
      <c r="Y92" s="7"/>
      <c r="Z92" s="7"/>
      <c r="AA92" s="7"/>
      <c r="AB92" s="7"/>
      <c r="AC92" s="7"/>
      <c r="AD92" s="7"/>
    </row>
    <row r="93" spans="1:30">
      <c r="A93" s="7"/>
      <c r="B93" s="5"/>
      <c r="C93" s="33">
        <f t="shared" ca="1" si="27"/>
        <v>45016</v>
      </c>
      <c r="D93" s="34">
        <f t="shared" ca="1" si="24"/>
        <v>0.25033003080287491</v>
      </c>
      <c r="E93" s="35"/>
      <c r="F93" s="84">
        <f ca="1">[1]!hks_fa_ebit($D$4,C93,1,"",1)</f>
        <v>37546000000</v>
      </c>
      <c r="G93" s="35"/>
      <c r="H93" s="76">
        <f ca="1">[1]!hks_stm_is($D$4,"83",C93,1,"",1)</f>
        <v>149986000000</v>
      </c>
      <c r="I93" s="35"/>
      <c r="J93" s="34">
        <f t="shared" ca="1" si="25"/>
        <v>0.69716579941361367</v>
      </c>
      <c r="K93" s="35"/>
      <c r="L93" s="35"/>
      <c r="M93" s="85">
        <f ca="1">[1]!hks_stm_is($D$4,"60",C93,1,"",1)</f>
        <v>26394000000</v>
      </c>
      <c r="N93" s="35"/>
      <c r="O93" s="76">
        <f ca="1">[1]!hks_stm_is($D$4,"1016",C93,1,"",1)</f>
        <v>37859000000</v>
      </c>
      <c r="P93" s="35"/>
      <c r="Q93" s="34">
        <f t="shared" ca="1" si="26"/>
        <v>1.0083364406328237</v>
      </c>
      <c r="R93" s="35"/>
      <c r="S93" s="78">
        <f ca="1">[1]!hks_stm_is($D$4,"1016",C93,1,"",1)</f>
        <v>37859000000</v>
      </c>
      <c r="T93" s="35"/>
      <c r="U93" s="67">
        <f ca="1">[1]!hks_fa_ebit($D$4,C93,1,"",1)</f>
        <v>37546000000</v>
      </c>
      <c r="V93" s="5"/>
      <c r="W93" s="7"/>
      <c r="X93" s="7"/>
      <c r="Y93" s="7"/>
      <c r="Z93" s="7"/>
      <c r="AA93" s="7"/>
      <c r="AB93" s="7"/>
      <c r="AC93" s="7"/>
      <c r="AD93" s="7"/>
    </row>
    <row r="94" spans="1:30">
      <c r="A94" s="7"/>
      <c r="B94" s="5"/>
      <c r="C94" s="37">
        <f t="shared" ca="1" si="27"/>
        <v>44926</v>
      </c>
      <c r="D94" s="30">
        <f t="shared" ca="1" si="24"/>
        <v>0.3816017253566843</v>
      </c>
      <c r="E94" s="31"/>
      <c r="F94" s="82">
        <f ca="1">[1]!hks_fa_ebit($D$4,C94,1,"",1)</f>
        <v>211618000000</v>
      </c>
      <c r="G94" s="31"/>
      <c r="H94" s="73">
        <f ca="1">[1]!hks_stm_is($D$4,"83",C94,1,"",1)</f>
        <v>554552000000</v>
      </c>
      <c r="I94" s="31"/>
      <c r="J94" s="30">
        <f t="shared" ca="1" si="25"/>
        <v>0.89765251516232603</v>
      </c>
      <c r="K94" s="31"/>
      <c r="L94" s="31"/>
      <c r="M94" s="83">
        <f ca="1">[1]!hks_stm_is($D$4,"60",C94,1,"",1)</f>
        <v>188709000000</v>
      </c>
      <c r="N94" s="31"/>
      <c r="O94" s="73">
        <f ca="1">[1]!hks_stm_is($D$4,"1016",C94,1,"",1)</f>
        <v>210225000000</v>
      </c>
      <c r="P94" s="31"/>
      <c r="Q94" s="30">
        <f t="shared" ca="1" si="26"/>
        <v>0.99341738415446701</v>
      </c>
      <c r="R94" s="31"/>
      <c r="S94" s="75">
        <f ca="1">[1]!hks_stm_is($D$4,"1016",C94,1,"",1)</f>
        <v>210225000000</v>
      </c>
      <c r="T94" s="31"/>
      <c r="U94" s="66">
        <f ca="1">[1]!hks_fa_ebit($D$4,C94,1,"",1)</f>
        <v>211618000000</v>
      </c>
      <c r="V94" s="5"/>
      <c r="W94" s="7"/>
      <c r="X94" s="7"/>
      <c r="Y94" s="7"/>
      <c r="Z94" s="7"/>
      <c r="AA94" s="7"/>
      <c r="AB94" s="7"/>
      <c r="AC94" s="7"/>
      <c r="AD94" s="7"/>
    </row>
    <row r="95" spans="1:30">
      <c r="A95" s="7"/>
      <c r="B95" s="5"/>
      <c r="C95" s="33">
        <f t="shared" ca="1" si="27"/>
        <v>44834</v>
      </c>
      <c r="D95" s="34">
        <f t="shared" ca="1" si="24"/>
        <v>0.24030879057026647</v>
      </c>
      <c r="E95" s="35"/>
      <c r="F95" s="84">
        <f ca="1">[1]!hks_fa_ebit($D$4,C95,1,"",1)</f>
        <v>98430000000</v>
      </c>
      <c r="G95" s="35"/>
      <c r="H95" s="76">
        <f ca="1">[1]!hks_stm_is($D$4,"83",C95,1,"",1)</f>
        <v>409598000000</v>
      </c>
      <c r="I95" s="35"/>
      <c r="J95" s="34">
        <f t="shared" ca="1" si="25"/>
        <v>0.82843862029854376</v>
      </c>
      <c r="K95" s="35"/>
      <c r="L95" s="35"/>
      <c r="M95" s="85">
        <f ca="1">[1]!hks_stm_is($D$4,"60",C95,1,"",1)</f>
        <v>81805000000</v>
      </c>
      <c r="N95" s="35"/>
      <c r="O95" s="76">
        <f ca="1">[1]!hks_stm_is($D$4,"1016",C95,1,"",1)</f>
        <v>98746000000</v>
      </c>
      <c r="P95" s="35"/>
      <c r="Q95" s="34">
        <f t="shared" ca="1" si="26"/>
        <v>1.0032104033323175</v>
      </c>
      <c r="R95" s="35"/>
      <c r="S95" s="78">
        <f ca="1">[1]!hks_stm_is($D$4,"1016",C95,1,"",1)</f>
        <v>98746000000</v>
      </c>
      <c r="T95" s="35"/>
      <c r="U95" s="67">
        <f ca="1">[1]!hks_fa_ebit($D$4,C95,1,"",1)</f>
        <v>98430000000</v>
      </c>
      <c r="V95" s="5"/>
      <c r="W95" s="7"/>
      <c r="X95" s="7"/>
      <c r="Y95" s="7"/>
      <c r="Z95" s="7"/>
      <c r="AA95" s="7"/>
      <c r="AB95" s="7"/>
      <c r="AC95" s="7"/>
      <c r="AD95" s="7"/>
    </row>
    <row r="96" spans="1:30">
      <c r="A96" s="7"/>
      <c r="B96" s="5"/>
      <c r="C96" s="37">
        <f t="shared" ca="1" si="27"/>
        <v>44742</v>
      </c>
      <c r="D96" s="38">
        <f t="shared" ca="1" si="24"/>
        <v>0.1986901912765997</v>
      </c>
      <c r="E96" s="18"/>
      <c r="F96" s="86">
        <f ca="1">[1]!hks_fa_ebit($D$4,C96,1,"",1)</f>
        <v>53548000000</v>
      </c>
      <c r="G96" s="18"/>
      <c r="H96" s="79">
        <f ca="1">[1]!hks_stm_is($D$4,"83",C96,1,"",1)</f>
        <v>269505000000</v>
      </c>
      <c r="I96" s="18"/>
      <c r="J96" s="38">
        <f t="shared" ca="1" si="25"/>
        <v>0.81369318181818184</v>
      </c>
      <c r="K96" s="18"/>
      <c r="L96" s="18"/>
      <c r="M96" s="87">
        <f ca="1">[1]!hks_stm_is($D$4,"60",C96,1,"",1)</f>
        <v>42963000000</v>
      </c>
      <c r="N96" s="18"/>
      <c r="O96" s="79">
        <f ca="1">[1]!hks_stm_is($D$4,"1016",C96,1,"",1)</f>
        <v>52800000000</v>
      </c>
      <c r="P96" s="18"/>
      <c r="Q96" s="38">
        <f t="shared" ca="1" si="26"/>
        <v>0.98603122432210355</v>
      </c>
      <c r="R96" s="18"/>
      <c r="S96" s="81">
        <f ca="1">[1]!hks_stm_is($D$4,"1016",C96,1,"",1)</f>
        <v>52800000000</v>
      </c>
      <c r="T96" s="18"/>
      <c r="U96" s="68">
        <f ca="1">[1]!hks_fa_ebit($D$4,C96,1,"",1)</f>
        <v>53548000000</v>
      </c>
      <c r="V96" s="5"/>
      <c r="W96" s="7"/>
      <c r="X96" s="7"/>
      <c r="Y96" s="7"/>
      <c r="Z96" s="7"/>
      <c r="AA96" s="7"/>
      <c r="AB96" s="7"/>
      <c r="AC96" s="7"/>
      <c r="AD96" s="7"/>
    </row>
    <row r="97" spans="1:30">
      <c r="A97" s="7"/>
      <c r="B97" s="5"/>
      <c r="C97" s="33">
        <f t="shared" ca="1" si="27"/>
        <v>44651</v>
      </c>
      <c r="D97" s="34">
        <f t="shared" ca="1" si="24"/>
        <v>0.21554428623100147</v>
      </c>
      <c r="E97" s="35"/>
      <c r="F97" s="84">
        <f ca="1">[1]!hks_fa_ebit($D$4,C97,1,"",1)</f>
        <v>29200000000</v>
      </c>
      <c r="G97" s="35"/>
      <c r="H97" s="76">
        <f ca="1">[1]!hks_stm_is($D$4,"83",C97,1,"",1)</f>
        <v>135471000000</v>
      </c>
      <c r="I97" s="35"/>
      <c r="J97" s="34">
        <f t="shared" ca="1" si="25"/>
        <v>0.8183228742845321</v>
      </c>
      <c r="K97" s="35"/>
      <c r="L97" s="35"/>
      <c r="M97" s="85">
        <f ca="1">[1]!hks_stm_is($D$4,"60",C97,1,"",1)</f>
        <v>23733000000</v>
      </c>
      <c r="N97" s="35"/>
      <c r="O97" s="76">
        <f ca="1">[1]!hks_stm_is($D$4,"1016",C97,1,"",1)</f>
        <v>29002000000</v>
      </c>
      <c r="P97" s="35"/>
      <c r="Q97" s="34">
        <f t="shared" ca="1" si="26"/>
        <v>0.99321917808219173</v>
      </c>
      <c r="R97" s="35"/>
      <c r="S97" s="78">
        <f ca="1">[1]!hks_stm_is($D$4,"1016",C97,1,"",1)</f>
        <v>29002000000</v>
      </c>
      <c r="T97" s="35"/>
      <c r="U97" s="67">
        <f ca="1">[1]!hks_fa_ebit($D$4,C97,1,"",1)</f>
        <v>29200000000</v>
      </c>
      <c r="V97" s="5"/>
      <c r="W97" s="7"/>
      <c r="X97" s="7"/>
      <c r="Y97" s="7"/>
      <c r="Z97" s="7"/>
      <c r="AA97" s="7"/>
      <c r="AB97" s="7"/>
      <c r="AC97" s="7"/>
      <c r="AD97" s="7"/>
    </row>
    <row r="98" spans="1:30">
      <c r="A98" s="7"/>
      <c r="B98" s="5"/>
      <c r="C98" s="37">
        <f t="shared" ca="1" si="27"/>
        <v>44561</v>
      </c>
      <c r="D98" s="38">
        <f t="shared" ca="1" si="24"/>
        <v>0.44416377035951027</v>
      </c>
      <c r="E98" s="18"/>
      <c r="F98" s="86">
        <f ca="1">[1]!hks_fa_ebit($D$4,C98,1,"",1)</f>
        <v>249330000000</v>
      </c>
      <c r="G98" s="18"/>
      <c r="H98" s="79">
        <f ca="1">[1]!hks_stm_is($D$4,"83",C98,1,"",1)</f>
        <v>561347000000</v>
      </c>
      <c r="I98" s="18"/>
      <c r="J98" s="38">
        <f t="shared" ca="1" si="25"/>
        <v>0.91835911989744501</v>
      </c>
      <c r="K98" s="18"/>
      <c r="L98" s="18"/>
      <c r="M98" s="87">
        <f ca="1">[1]!hks_stm_is($D$4,"60",C98,1,"",1)</f>
        <v>227810000000</v>
      </c>
      <c r="N98" s="18"/>
      <c r="O98" s="79">
        <f ca="1">[1]!hks_stm_is($D$4,"1016",C98,1,"",1)</f>
        <v>248062000000</v>
      </c>
      <c r="P98" s="18"/>
      <c r="Q98" s="38">
        <f t="shared" ca="1" si="26"/>
        <v>0.99491437051297482</v>
      </c>
      <c r="R98" s="18"/>
      <c r="S98" s="81">
        <f ca="1">[1]!hks_stm_is($D$4,"1016",C98,1,"",1)</f>
        <v>248062000000</v>
      </c>
      <c r="T98" s="18"/>
      <c r="U98" s="68">
        <f ca="1">[1]!hks_fa_ebit($D$4,C98,1,"",1)</f>
        <v>249330000000</v>
      </c>
      <c r="V98" s="5"/>
      <c r="W98" s="7"/>
      <c r="X98" s="7"/>
      <c r="Y98" s="7"/>
      <c r="Z98" s="7"/>
      <c r="AA98" s="7"/>
      <c r="AB98" s="7"/>
      <c r="AC98" s="7"/>
      <c r="AD98" s="7"/>
    </row>
    <row r="99" spans="1:30">
      <c r="A99" s="7"/>
      <c r="B99" s="5"/>
      <c r="C99" s="33">
        <f t="shared" ca="1" si="27"/>
        <v>44469</v>
      </c>
      <c r="D99" s="34">
        <f t="shared" ca="1" si="24"/>
        <v>0.35613096890948609</v>
      </c>
      <c r="E99" s="35"/>
      <c r="F99" s="84">
        <f ca="1">[1]!hks_fa_ebit($D$4,C99,1,"",1)</f>
        <v>148773000000</v>
      </c>
      <c r="G99" s="35"/>
      <c r="H99" s="76">
        <f ca="1">[1]!hks_stm_is($D$4,"83",C99,1,"",1)</f>
        <v>417748000000</v>
      </c>
      <c r="I99" s="35"/>
      <c r="J99" s="34">
        <f t="shared" ca="1" si="25"/>
        <v>0.88978170527180755</v>
      </c>
      <c r="K99" s="35"/>
      <c r="L99" s="35"/>
      <c r="M99" s="85">
        <f ca="1">[1]!hks_stm_is($D$4,"60",C99,1,"",1)</f>
        <v>132105000000</v>
      </c>
      <c r="N99" s="35"/>
      <c r="O99" s="76">
        <f ca="1">[1]!hks_stm_is($D$4,"1016",C99,1,"",1)</f>
        <v>148469000000</v>
      </c>
      <c r="P99" s="35"/>
      <c r="Q99" s="34">
        <f t="shared" ca="1" si="26"/>
        <v>0.99795661847243788</v>
      </c>
      <c r="R99" s="35"/>
      <c r="S99" s="78">
        <f ca="1">[1]!hks_stm_is($D$4,"1016",C99,1,"",1)</f>
        <v>148469000000</v>
      </c>
      <c r="T99" s="35"/>
      <c r="U99" s="67">
        <f ca="1">[1]!hks_fa_ebit($D$4,C99,1,"",1)</f>
        <v>148773000000</v>
      </c>
      <c r="V99" s="5"/>
      <c r="W99" s="7"/>
      <c r="X99" s="7"/>
      <c r="Y99" s="7"/>
      <c r="Z99" s="7"/>
      <c r="AA99" s="7"/>
      <c r="AB99" s="7"/>
      <c r="AC99" s="7"/>
      <c r="AD99" s="7"/>
    </row>
    <row r="100" spans="1:30">
      <c r="A100" s="7"/>
      <c r="B100" s="5"/>
      <c r="C100" s="37">
        <f t="shared" ca="1" si="27"/>
        <v>44377</v>
      </c>
      <c r="D100" s="38">
        <f t="shared" ca="1" si="24"/>
        <v>0.37598602823460925</v>
      </c>
      <c r="E100" s="18"/>
      <c r="F100" s="86">
        <f ca="1">[1]!hks_fa_ebit($D$4,C100,1,"",1)</f>
        <v>103336000000</v>
      </c>
      <c r="G100" s="18"/>
      <c r="H100" s="79">
        <f ca="1">[1]!hks_stm_is($D$4,"83",C100,1,"",1)</f>
        <v>274840000000</v>
      </c>
      <c r="I100" s="18"/>
      <c r="J100" s="38">
        <f t="shared" ca="1" si="25"/>
        <v>0.89399856229721586</v>
      </c>
      <c r="K100" s="18"/>
      <c r="L100" s="18"/>
      <c r="M100" s="87">
        <f ca="1">[1]!hks_stm_is($D$4,"60",C100,1,"",1)</f>
        <v>92030000000</v>
      </c>
      <c r="N100" s="18"/>
      <c r="O100" s="79">
        <f ca="1">[1]!hks_stm_is($D$4,"1016",C100,1,"",1)</f>
        <v>102942000000</v>
      </c>
      <c r="P100" s="18"/>
      <c r="Q100" s="38">
        <f t="shared" ca="1" si="26"/>
        <v>0.99618719516915688</v>
      </c>
      <c r="R100" s="18"/>
      <c r="S100" s="81">
        <f ca="1">[1]!hks_stm_is($D$4,"1016",C100,1,"",1)</f>
        <v>102942000000</v>
      </c>
      <c r="T100" s="18"/>
      <c r="U100" s="68">
        <f ca="1">[1]!hks_fa_ebit($D$4,C100,1,"",1)</f>
        <v>103336000000</v>
      </c>
      <c r="V100" s="5"/>
      <c r="W100" s="7"/>
      <c r="X100" s="7"/>
      <c r="Y100" s="7"/>
      <c r="Z100" s="7"/>
      <c r="AA100" s="7"/>
      <c r="AB100" s="7"/>
      <c r="AC100" s="7"/>
      <c r="AD100" s="7"/>
    </row>
    <row r="101" spans="1:30">
      <c r="A101" s="7"/>
      <c r="B101" s="5"/>
      <c r="C101" s="33">
        <f t="shared" ca="1" si="27"/>
        <v>44286</v>
      </c>
      <c r="D101" s="34">
        <f t="shared" ca="1" si="24"/>
        <v>0.41345479510707878</v>
      </c>
      <c r="E101" s="35"/>
      <c r="F101" s="84">
        <f ca="1">[1]!hks_fa_ebit($D$4,C101,1,"",1)</f>
        <v>56007000000</v>
      </c>
      <c r="G101" s="35"/>
      <c r="H101" s="76">
        <f ca="1">[1]!hks_stm_is($D$4,"83",C101,1,"",1)</f>
        <v>135461000000</v>
      </c>
      <c r="I101" s="35"/>
      <c r="J101" s="34">
        <f t="shared" ca="1" si="25"/>
        <v>0.87119138194617274</v>
      </c>
      <c r="K101" s="35"/>
      <c r="L101" s="35"/>
      <c r="M101" s="85">
        <f ca="1">[1]!hks_stm_is($D$4,"60",C101,1,"",1)</f>
        <v>49008000000</v>
      </c>
      <c r="N101" s="35"/>
      <c r="O101" s="76">
        <f ca="1">[1]!hks_stm_is($D$4,"1016",C101,1,"",1)</f>
        <v>56254000000</v>
      </c>
      <c r="P101" s="35"/>
      <c r="Q101" s="34">
        <f t="shared" ca="1" si="26"/>
        <v>1.0044101630153375</v>
      </c>
      <c r="R101" s="35"/>
      <c r="S101" s="78">
        <f ca="1">[1]!hks_stm_is($D$4,"1016",C101,1,"",1)</f>
        <v>56254000000</v>
      </c>
      <c r="T101" s="35"/>
      <c r="U101" s="67">
        <f ca="1">[1]!hks_fa_ebit($D$4,C101,1,"",1)</f>
        <v>56007000000</v>
      </c>
      <c r="V101" s="5"/>
      <c r="W101" s="7"/>
      <c r="X101" s="7"/>
      <c r="Y101" s="7"/>
      <c r="Z101" s="7"/>
      <c r="AA101" s="7"/>
      <c r="AB101" s="7"/>
      <c r="AC101" s="7"/>
      <c r="AD101" s="7"/>
    </row>
    <row r="102" spans="1:30">
      <c r="A102" s="7"/>
      <c r="B102" s="5"/>
      <c r="C102" s="37">
        <f t="shared" ca="1" si="27"/>
        <v>44196</v>
      </c>
      <c r="D102" s="38">
        <f t="shared" ca="1" si="24"/>
        <v>0.37446065252746524</v>
      </c>
      <c r="E102" s="18"/>
      <c r="F102" s="86">
        <f ca="1">[1]!hks_fa_ebit($D$4,C102,1,"",1)</f>
        <v>180514000000</v>
      </c>
      <c r="G102" s="18"/>
      <c r="H102" s="79">
        <f ca="1">[1]!hks_stm_is($D$4,"83",C102,1,"",1)</f>
        <v>482064000000</v>
      </c>
      <c r="I102" s="18"/>
      <c r="J102" s="38">
        <f t="shared" ca="1" si="25"/>
        <v>0.88947461976869491</v>
      </c>
      <c r="K102" s="18"/>
      <c r="L102" s="18"/>
      <c r="M102" s="87">
        <f ca="1">[1]!hks_stm_is($D$4,"60",C102,1,"",1)</f>
        <v>160125000000</v>
      </c>
      <c r="N102" s="18"/>
      <c r="O102" s="79">
        <f ca="1">[1]!hks_stm_is($D$4,"1016",C102,1,"",1)</f>
        <v>180022000000</v>
      </c>
      <c r="P102" s="18"/>
      <c r="Q102" s="38">
        <f t="shared" ca="1" si="26"/>
        <v>0.99727444962717571</v>
      </c>
      <c r="R102" s="18"/>
      <c r="S102" s="81">
        <f ca="1">[1]!hks_stm_is($D$4,"1016",C102,1,"",1)</f>
        <v>180022000000</v>
      </c>
      <c r="T102" s="18"/>
      <c r="U102" s="68">
        <f ca="1">[1]!hks_fa_ebit($D$4,C102,1,"",1)</f>
        <v>180514000000</v>
      </c>
      <c r="V102" s="5"/>
      <c r="W102" s="7"/>
      <c r="X102" s="7"/>
      <c r="Y102" s="7"/>
      <c r="Z102" s="7"/>
      <c r="AA102" s="7"/>
      <c r="AB102" s="7"/>
      <c r="AC102" s="7"/>
      <c r="AD102" s="7"/>
    </row>
    <row r="103" spans="1:30">
      <c r="A103" s="7"/>
      <c r="B103" s="5"/>
      <c r="C103" s="33">
        <f t="shared" ca="1" si="27"/>
        <v>44104</v>
      </c>
      <c r="D103" s="34">
        <f t="shared" ca="1" si="24"/>
        <v>0.33677004549433831</v>
      </c>
      <c r="E103" s="35"/>
      <c r="F103" s="84">
        <f ca="1">[1]!hks_fa_ebit($D$4,C103,1,"",1)</f>
        <v>117329000000</v>
      </c>
      <c r="G103" s="35"/>
      <c r="H103" s="76">
        <f ca="1">[1]!hks_stm_is($D$4,"83",C103,1,"",1)</f>
        <v>348395000000</v>
      </c>
      <c r="I103" s="35"/>
      <c r="J103" s="34">
        <f t="shared" ca="1" si="25"/>
        <v>0.86157477083048295</v>
      </c>
      <c r="K103" s="35"/>
      <c r="L103" s="35"/>
      <c r="M103" s="85">
        <f ca="1">[1]!hks_stm_is($D$4,"60",C103,1,"",1)</f>
        <v>100756000000</v>
      </c>
      <c r="N103" s="35"/>
      <c r="O103" s="76">
        <f ca="1">[1]!hks_stm_is($D$4,"1016",C103,1,"",1)</f>
        <v>116944000000</v>
      </c>
      <c r="P103" s="35"/>
      <c r="Q103" s="34">
        <f t="shared" ca="1" si="26"/>
        <v>0.99671862881299589</v>
      </c>
      <c r="R103" s="35"/>
      <c r="S103" s="78">
        <f ca="1">[1]!hks_stm_is($D$4,"1016",C103,1,"",1)</f>
        <v>116944000000</v>
      </c>
      <c r="T103" s="35"/>
      <c r="U103" s="67">
        <f ca="1">[1]!hks_fa_ebit($D$4,C103,1,"",1)</f>
        <v>117329000000</v>
      </c>
      <c r="V103" s="5"/>
      <c r="W103" s="7"/>
      <c r="X103" s="7"/>
      <c r="Y103" s="7"/>
      <c r="Z103" s="7"/>
      <c r="AA103" s="7"/>
      <c r="AB103" s="7"/>
      <c r="AC103" s="7"/>
      <c r="AD103" s="7"/>
    </row>
    <row r="104" spans="1:30">
      <c r="A104" s="7"/>
      <c r="B104" s="5"/>
      <c r="C104" s="37">
        <f t="shared" ca="1" si="27"/>
        <v>44012</v>
      </c>
      <c r="D104" s="38">
        <f t="shared" ca="1" si="24"/>
        <v>0.32630478856056122</v>
      </c>
      <c r="E104" s="18"/>
      <c r="F104" s="86">
        <f ca="1">[1]!hks_fa_ebit($D$4,C104,1,"",1)</f>
        <v>72749000000</v>
      </c>
      <c r="G104" s="18"/>
      <c r="H104" s="79">
        <f ca="1">[1]!hks_stm_is($D$4,"83",C104,1,"",1)</f>
        <v>222948000000</v>
      </c>
      <c r="I104" s="18"/>
      <c r="J104" s="38">
        <f t="shared" ca="1" si="25"/>
        <v>0.85548917102315158</v>
      </c>
      <c r="K104" s="18"/>
      <c r="L104" s="18"/>
      <c r="M104" s="87">
        <f ca="1">[1]!hks_stm_is($D$4,"60",C104,1,"",1)</f>
        <v>61857000000</v>
      </c>
      <c r="N104" s="18"/>
      <c r="O104" s="79">
        <f ca="1">[1]!hks_stm_is($D$4,"1016",C104,1,"",1)</f>
        <v>72306000000</v>
      </c>
      <c r="P104" s="18"/>
      <c r="Q104" s="38">
        <f t="shared" ca="1" si="26"/>
        <v>0.99391056921744625</v>
      </c>
      <c r="R104" s="18"/>
      <c r="S104" s="81">
        <f ca="1">[1]!hks_stm_is($D$4,"1016",C104,1,"",1)</f>
        <v>72306000000</v>
      </c>
      <c r="T104" s="18"/>
      <c r="U104" s="68">
        <f ca="1">[1]!hks_fa_ebit($D$4,C104,1,"",1)</f>
        <v>72749000000</v>
      </c>
      <c r="V104" s="5"/>
      <c r="W104" s="7"/>
      <c r="X104" s="7"/>
      <c r="Y104" s="7"/>
      <c r="Z104" s="7"/>
      <c r="AA104" s="7"/>
      <c r="AB104" s="7"/>
      <c r="AC104" s="7"/>
      <c r="AD104" s="7"/>
    </row>
    <row r="105" spans="1:30">
      <c r="A105" s="7"/>
      <c r="B105" s="5"/>
      <c r="C105" s="33">
        <f t="shared" ca="1" si="27"/>
        <v>43921</v>
      </c>
      <c r="D105" s="34">
        <f t="shared" ca="1" si="24"/>
        <v>0.32705316244852634</v>
      </c>
      <c r="E105" s="35"/>
      <c r="F105" s="84">
        <f ca="1">[1]!hks_fa_ebit($D$4,C105,1,"",1)</f>
        <v>35343000000</v>
      </c>
      <c r="G105" s="35"/>
      <c r="H105" s="76">
        <f ca="1">[1]!hks_stm_is($D$4,"83",C105,1,"",1)</f>
        <v>108065000000</v>
      </c>
      <c r="I105" s="35"/>
      <c r="J105" s="34">
        <f t="shared" ca="1" si="25"/>
        <v>0.83306417339566508</v>
      </c>
      <c r="K105" s="35"/>
      <c r="L105" s="35"/>
      <c r="M105" s="85">
        <f ca="1">[1]!hks_stm_is($D$4,"60",C105,1,"",1)</f>
        <v>29403000000</v>
      </c>
      <c r="N105" s="35"/>
      <c r="O105" s="76">
        <f ca="1">[1]!hks_stm_is($D$4,"1016",C105,1,"",1)</f>
        <v>35295000000</v>
      </c>
      <c r="P105" s="35"/>
      <c r="Q105" s="34">
        <f t="shared" ca="1" si="26"/>
        <v>0.99864188099482221</v>
      </c>
      <c r="R105" s="35"/>
      <c r="S105" s="78">
        <f ca="1">[1]!hks_stm_is($D$4,"1016",C105,1,"",1)</f>
        <v>35295000000</v>
      </c>
      <c r="T105" s="35"/>
      <c r="U105" s="67">
        <f ca="1">[1]!hks_fa_ebit($D$4,C105,1,"",1)</f>
        <v>35343000000</v>
      </c>
      <c r="V105" s="5"/>
      <c r="W105" s="7"/>
      <c r="X105" s="7"/>
      <c r="Y105" s="7"/>
      <c r="Z105" s="7"/>
      <c r="AA105" s="7"/>
      <c r="AB105" s="7"/>
      <c r="AC105" s="7"/>
      <c r="AD105" s="7"/>
    </row>
    <row r="106" spans="1:30">
      <c r="A106" s="7"/>
      <c r="B106" s="5"/>
      <c r="C106" s="37">
        <f t="shared" ca="1" si="27"/>
        <v>43830</v>
      </c>
      <c r="D106" s="38">
        <f t="shared" ca="1" si="24"/>
        <v>0.2936104683677499</v>
      </c>
      <c r="E106" s="18"/>
      <c r="F106" s="86">
        <f ca="1">[1]!hks_fa_ebit($D$4,C106,1,"",1)</f>
        <v>110776000000</v>
      </c>
      <c r="G106" s="18"/>
      <c r="H106" s="79">
        <f ca="1">[1]!hks_stm_is($D$4,"83",C106,1,"",1)</f>
        <v>377289000000</v>
      </c>
      <c r="I106" s="18"/>
      <c r="J106" s="38">
        <f t="shared" ca="1" si="25"/>
        <v>0.87648994515539302</v>
      </c>
      <c r="K106" s="18"/>
      <c r="L106" s="18"/>
      <c r="M106" s="87">
        <f ca="1">[1]!hks_stm_is($D$4,"60",C106,1,"",1)</f>
        <v>95888000000</v>
      </c>
      <c r="N106" s="18"/>
      <c r="O106" s="79">
        <f ca="1">[1]!hks_stm_is($D$4,"1016",C106,1,"",1)</f>
        <v>109400000000</v>
      </c>
      <c r="P106" s="18"/>
      <c r="Q106" s="38">
        <f t="shared" ca="1" si="26"/>
        <v>0.98757853686719144</v>
      </c>
      <c r="R106" s="18"/>
      <c r="S106" s="81">
        <f ca="1">[1]!hks_stm_is($D$4,"1016",C106,1,"",1)</f>
        <v>109400000000</v>
      </c>
      <c r="T106" s="18"/>
      <c r="U106" s="68">
        <f ca="1">[1]!hks_fa_ebit($D$4,C106,1,"",1)</f>
        <v>110776000000</v>
      </c>
      <c r="V106" s="5"/>
      <c r="W106" s="7"/>
      <c r="X106" s="7"/>
      <c r="Y106" s="7"/>
      <c r="Z106" s="7"/>
      <c r="AA106" s="7"/>
      <c r="AB106" s="7"/>
      <c r="AC106" s="7"/>
      <c r="AD106" s="7"/>
    </row>
    <row r="107" spans="1:30">
      <c r="A107" s="7"/>
      <c r="B107" s="5"/>
      <c r="C107" s="33">
        <f t="shared" ca="1" si="27"/>
        <v>43738</v>
      </c>
      <c r="D107" s="34">
        <f t="shared" ca="1" si="24"/>
        <v>0.31306118841198871</v>
      </c>
      <c r="E107" s="35"/>
      <c r="F107" s="84">
        <f ca="1">[1]!hks_fa_ebit($D$4,C107,1,"",1)</f>
        <v>85003000000</v>
      </c>
      <c r="G107" s="35"/>
      <c r="H107" s="76">
        <f ca="1">[1]!hks_stm_is($D$4,"83",C107,1,"",1)</f>
        <v>271522000000</v>
      </c>
      <c r="I107" s="35"/>
      <c r="J107" s="34">
        <f t="shared" ca="1" si="25"/>
        <v>0.86600464124583287</v>
      </c>
      <c r="K107" s="35"/>
      <c r="L107" s="35"/>
      <c r="M107" s="85">
        <f ca="1">[1]!hks_stm_is($D$4,"60",C107,1,"",1)</f>
        <v>73516000000</v>
      </c>
      <c r="N107" s="35"/>
      <c r="O107" s="76">
        <f ca="1">[1]!hks_stm_is($D$4,"1016",C107,1,"",1)</f>
        <v>84891000000</v>
      </c>
      <c r="P107" s="35"/>
      <c r="Q107" s="34">
        <f t="shared" ca="1" si="26"/>
        <v>0.99868239944472548</v>
      </c>
      <c r="R107" s="35"/>
      <c r="S107" s="78">
        <f ca="1">[1]!hks_stm_is($D$4,"1016",C107,1,"",1)</f>
        <v>84891000000</v>
      </c>
      <c r="T107" s="35"/>
      <c r="U107" s="67">
        <f ca="1">[1]!hks_fa_ebit($D$4,C107,1,"",1)</f>
        <v>85003000000</v>
      </c>
      <c r="V107" s="5"/>
      <c r="W107" s="7"/>
      <c r="X107" s="7"/>
      <c r="Y107" s="7"/>
      <c r="Z107" s="7"/>
      <c r="AA107" s="7"/>
      <c r="AB107" s="7"/>
      <c r="AC107" s="7"/>
      <c r="AD107" s="7"/>
    </row>
    <row r="108" spans="1:30">
      <c r="A108" s="7"/>
      <c r="B108" s="5"/>
      <c r="C108" s="37">
        <f t="shared" ca="1" si="27"/>
        <v>43646</v>
      </c>
      <c r="D108" s="38">
        <f t="shared" ca="1" si="24"/>
        <v>0.34830926180651078</v>
      </c>
      <c r="E108" s="18"/>
      <c r="F108" s="86">
        <f ca="1">[1]!hks_fa_ebit($D$4,C108,1,"",1)</f>
        <v>60773000000</v>
      </c>
      <c r="G108" s="18"/>
      <c r="H108" s="79">
        <f ca="1">[1]!hks_stm_is($D$4,"83",C108,1,"",1)</f>
        <v>174480000000</v>
      </c>
      <c r="I108" s="18"/>
      <c r="J108" s="38">
        <f t="shared" ca="1" si="25"/>
        <v>0.86732588276078382</v>
      </c>
      <c r="K108" s="18"/>
      <c r="L108" s="18"/>
      <c r="M108" s="87">
        <f ca="1">[1]!hks_stm_is($D$4,"60",C108,1,"",1)</f>
        <v>52540000000</v>
      </c>
      <c r="N108" s="18"/>
      <c r="O108" s="79">
        <f ca="1">[1]!hks_stm_is($D$4,"1016",C108,1,"",1)</f>
        <v>60577000000</v>
      </c>
      <c r="P108" s="18"/>
      <c r="Q108" s="38">
        <f t="shared" ca="1" si="26"/>
        <v>0.99677488358317012</v>
      </c>
      <c r="R108" s="18"/>
      <c r="S108" s="81">
        <f ca="1">[1]!hks_stm_is($D$4,"1016",C108,1,"",1)</f>
        <v>60577000000</v>
      </c>
      <c r="T108" s="18"/>
      <c r="U108" s="68">
        <f ca="1">[1]!hks_fa_ebit($D$4,C108,1,"",1)</f>
        <v>60773000000</v>
      </c>
      <c r="V108" s="5"/>
      <c r="W108" s="7"/>
      <c r="X108" s="7"/>
      <c r="Y108" s="7"/>
      <c r="Z108" s="7"/>
      <c r="AA108" s="7"/>
      <c r="AB108" s="7"/>
      <c r="AC108" s="7"/>
      <c r="AD108" s="7"/>
    </row>
    <row r="109" spans="1:30">
      <c r="A109" s="7"/>
      <c r="B109" s="5"/>
      <c r="C109" s="33">
        <f t="shared" ca="1" si="27"/>
        <v>43555</v>
      </c>
      <c r="D109" s="34">
        <f t="shared" ca="1" si="24"/>
        <v>0.37775055419437636</v>
      </c>
      <c r="E109" s="35"/>
      <c r="F109" s="84">
        <f ca="1">[1]!hks_fa_ebit($D$4,C109,1,"",1)</f>
        <v>32377000000</v>
      </c>
      <c r="G109" s="35"/>
      <c r="H109" s="76">
        <f ca="1">[1]!hks_stm_is($D$4,"83",C109,1,"",1)</f>
        <v>85710000000</v>
      </c>
      <c r="I109" s="35"/>
      <c r="J109" s="34">
        <f t="shared" ca="1" si="25"/>
        <v>0.85269988980041633</v>
      </c>
      <c r="K109" s="35"/>
      <c r="L109" s="35"/>
      <c r="M109" s="85">
        <f ca="1">[1]!hks_stm_is($D$4,"60",C109,1,"",1)</f>
        <v>27856000000</v>
      </c>
      <c r="N109" s="35"/>
      <c r="O109" s="76">
        <f ca="1">[1]!hks_stm_is($D$4,"1016",C109,1,"",1)</f>
        <v>32668000000</v>
      </c>
      <c r="P109" s="35"/>
      <c r="Q109" s="34">
        <f t="shared" ca="1" si="26"/>
        <v>1.008987861753714</v>
      </c>
      <c r="R109" s="35"/>
      <c r="S109" s="78">
        <f ca="1">[1]!hks_stm_is($D$4,"1016",C109,1,"",1)</f>
        <v>32668000000</v>
      </c>
      <c r="T109" s="35"/>
      <c r="U109" s="67">
        <f ca="1">[1]!hks_fa_ebit($D$4,C109,1,"",1)</f>
        <v>32377000000</v>
      </c>
      <c r="V109" s="5"/>
      <c r="W109" s="7"/>
      <c r="X109" s="7"/>
      <c r="Y109" s="7"/>
      <c r="Z109" s="7"/>
      <c r="AA109" s="7"/>
      <c r="AB109" s="7"/>
      <c r="AC109" s="7"/>
      <c r="AD109" s="7"/>
    </row>
    <row r="110" spans="1:30">
      <c r="A110" s="7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7"/>
      <c r="X110" s="7"/>
      <c r="Y110" s="7"/>
      <c r="Z110" s="7"/>
      <c r="AA110" s="7"/>
      <c r="AB110" s="7"/>
      <c r="AC110" s="7"/>
      <c r="AD110" s="7"/>
    </row>
    <row r="111" spans="1:30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</sheetData>
  <mergeCells count="1">
    <mergeCell ref="D1:S1"/>
  </mergeCells>
  <phoneticPr fontId="7" type="noConversion"/>
  <conditionalFormatting sqref="D12:D3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:F31">
    <cfRule type="dataBar" priority="7">
      <dataBar>
        <cfvo type="min"/>
        <cfvo type="max"/>
        <color rgb="FF2277A2"/>
      </dataBar>
      <extLst>
        <ext xmlns:x14="http://schemas.microsoft.com/office/spreadsheetml/2009/9/main" uri="{B025F937-C7B1-47D3-B67F-A62EFF666E3E}">
          <x14:id>{7592E0DD-B007-4753-A041-FE009254B811}</x14:id>
        </ext>
      </extLst>
    </cfRule>
    <cfRule type="dataBar" priority="8">
      <dataBar>
        <cfvo type="min"/>
        <cfvo type="max"/>
        <color rgb="FF2276A1"/>
      </dataBar>
      <extLst>
        <ext xmlns:x14="http://schemas.microsoft.com/office/spreadsheetml/2009/9/main" uri="{B025F937-C7B1-47D3-B67F-A62EFF666E3E}">
          <x14:id>{E80FBE71-2A85-4E54-9CD0-54176DB123ED}</x14:id>
        </ext>
      </extLst>
    </cfRule>
    <cfRule type="dataBar" priority="9">
      <dataBar>
        <cfvo type="min"/>
        <cfvo type="max"/>
        <color rgb="FF2276A1"/>
      </dataBar>
      <extLst>
        <ext xmlns:x14="http://schemas.microsoft.com/office/spreadsheetml/2009/9/main" uri="{B025F937-C7B1-47D3-B67F-A62EFF666E3E}">
          <x14:id>{645D219E-ECAE-4385-AD77-43ED2986FE3D}</x14:id>
        </ext>
      </extLst>
    </cfRule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{A2EAE428-83A8-460B-8872-88C9350529C5}</x14:id>
        </ext>
      </extLst>
    </cfRule>
    <cfRule type="dataBar" priority="11">
      <dataBar>
        <cfvo type="min"/>
        <cfvo type="max"/>
        <color rgb="FF2276A1"/>
      </dataBar>
      <extLst>
        <ext xmlns:x14="http://schemas.microsoft.com/office/spreadsheetml/2009/9/main" uri="{B025F937-C7B1-47D3-B67F-A62EFF666E3E}">
          <x14:id>{C853C862-B3FC-4E65-B24F-E25378510229}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{FFB90521-0397-4160-95DC-BE492BB646D7}</x14:id>
        </ext>
      </extLst>
    </cfRule>
  </conditionalFormatting>
  <conditionalFormatting sqref="H12:H31">
    <cfRule type="dataBar" priority="6">
      <dataBar>
        <cfvo type="min"/>
        <cfvo type="max"/>
        <color rgb="FF2277A2"/>
      </dataBar>
      <extLst>
        <ext xmlns:x14="http://schemas.microsoft.com/office/spreadsheetml/2009/9/main" uri="{B025F937-C7B1-47D3-B67F-A62EFF666E3E}">
          <x14:id>{C88A6D7A-0B3B-4E64-8DF8-FAADF6BE27AF}</x14:id>
        </ext>
      </extLst>
    </cfRule>
  </conditionalFormatting>
  <conditionalFormatting sqref="J12:J31">
    <cfRule type="dataBar" priority="5">
      <dataBar>
        <cfvo type="min"/>
        <cfvo type="max"/>
        <color rgb="FF2277A2"/>
      </dataBar>
      <extLst>
        <ext xmlns:x14="http://schemas.microsoft.com/office/spreadsheetml/2009/9/main" uri="{B025F937-C7B1-47D3-B67F-A62EFF666E3E}">
          <x14:id>{88A87F2F-E93E-4A6E-82EE-561A4CCF625B}</x14:id>
        </ext>
      </extLst>
    </cfRule>
  </conditionalFormatting>
  <conditionalFormatting sqref="D38:D5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8:J5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8:Q5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" verticalDpi="12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92E0DD-B007-4753-A041-FE009254B81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0FBE71-2A85-4E54-9CD0-54176DB123E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5D219E-ECAE-4385-AD77-43ED2986FE3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EAE428-83A8-460B-8872-88C9350529C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53C862-B3FC-4E65-B24F-E253785102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B90521-0397-4160-95DC-BE492BB646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F12:F31</xm:sqref>
        </x14:conditionalFormatting>
        <x14:conditionalFormatting xmlns:xm="http://schemas.microsoft.com/office/excel/2006/main">
          <x14:cfRule type="dataBar" id="{C88A6D7A-0B3B-4E64-8DF8-FAADF6BE27A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H12:H31</xm:sqref>
        </x14:conditionalFormatting>
        <x14:conditionalFormatting xmlns:xm="http://schemas.microsoft.com/office/excel/2006/main">
          <x14:cfRule type="dataBar" id="{88A87F2F-E93E-4A6E-82EE-561A4CCF625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J12:J31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H41" sqref="H41"/>
    </sheetView>
  </sheetViews>
  <sheetFormatPr defaultRowHeight="12.75"/>
  <sheetData>
    <row r="1" spans="1:1">
      <c r="A1" s="89" t="s">
        <v>49</v>
      </c>
    </row>
  </sheetData>
  <phoneticPr fontId="7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648707636"><![CDATA[{"FDS^FG_COMPANY_NAME":"FactSet Research Systems Inc.","FDS^FG_BUS_DESC_BRIEF(\"ARRAY\")[0]":"FactSet Research Systems Inc. (the \"Company\" or \"FactSet\") is a global","FDS^FG_BUS_DESC_BRIEF(\"ARRAY\")[1]":"provider of integrated financial information, analytical applications and","FDS^FG_BUS_DESC_BRIEF(\"ARRAY\")[2]":"services for the investment and corporate communities. Since inception,","FDS^FG_BUS_DESC_BRIEF(\"ARRAY\")[3]":"global financial professionals have utilized the Company's content and","FDS^FG_BUS_DESC_BRIEF(\"ARRAY\")[4]":"multi-asset class solutions across each stage of the investment process.","FDS^FG_BUS_DESC_BRIEF(\"ARRAY\")[5]":"FactSet's goal is to provide a seamless user experience spanning idea","FDS^FG_BUS_DESC_BRIEF(\"ARRAY\")[6]":"generation, research, portfolio construction, trade execution,","FDS^FG_BUS_DESC_BRIEF(\"ARRAY\")[7]":"performance measurement, risk management, reporting, and portfolio","FDS^FG_BUS_DESC_BRIEF(\"ARRAY\")[8]":"analysis, in which the Company serves the front, middle, and back offices","FDS^FG_BUS_DESC_BRIEF(\"ARRAY\")[9]":"to drive productivity and improved performance. FactSet's flexible, open","FDS^FG_BUS_DESC_BRIEF(\"ARRAY\")[10]":"data and technology solutions can be implemented both across the","FDS^FG_BUS_DESC_BRIEF(\"ARRAY\")[11]":"investment portfolio lifecycle or as standalone components serving","FDS^FG_BUS_DESC_BRIEF(\"ARRAY\")[12]":"different workflows in the organization. FactSet is focused on growing","FDS^FG_BUS_DESC_BRIEF(\"ARRAY\")[13]":"the business throughout each of its three segments, the Americas, EMEA","FDS^FG_BUS_DESC_BRIEF(\"ARRAY\")[14]":"(formerly known as Europe), and Asia Pacific. The Company primarily","FDS^FG_ADDRESS_L1":"45 Glover Avenue","FDS^FG_ADDRESS_L2":"Norwalk, Connecticut 06850 US","FDS^PROPER(FG_COUNTRY)":"United States","JD^FG_BUS_DESC_BRIEF(\"ARRAY\")[0]":"JD.com, Inc. is a technology driven E-commerce company. It engages in the","FDS^FG_PRICE_ICS(0/0/-1,NOW,D,LOCAL,SPLIT,0,,,5)":[332.8,327.97,328.48,322.27,318.9,311.23,310.25,306.5,311.18,319.48,327.88,332.97,335.83,316.71,323.1,335.15,324.76,328.26,329.95,323.25,317.06,317.96,321.55,318.88,319.88,322.28,322.75,333.76,342.23,336.15,346.57,351.01,351.71,348.57,345.76,348.69,351.47,344.89,347.99,345.38,345.23,347.03,332.65,331.0,325.08,327.43,330.02,327.33,328.38,332.5,330.59,329.58,332.23,334.4,334.45,332.25,335.44,330.99,320.64,318.2,319.35,327.45,324.72,320.23,317.52,311.9,312.69,308.79,302.34,312.26,317.7,315.35,315.84,317.97,320.95,313.6,309.41,317.14,316.0,312.6,315.04,318.5,313.68,303.87,302.79,300.94,294.35,303.91,311.18,310.92,308.87,305.09,314.25,315.9,312.49,312.29,312.74,310.9,318.52,317.76,316.3,310.1,311.44,314.38,320.4,321.35,321.17,325.62,323.95,311.34,308.59,317.01,320.55,318.18,309.36,310.14,309.13,311.26,311.4,309.26,314.9,319.27,317.34,318.85,321.75,323.79,347.1,336.91,342.16,336.4,341.27,336.22,342.06,345.6,336.55,338.06,337.05,335.11,331.86,326.51,328.53,330.91,326.53,321.72,322.4,327.31,328.15,328.94,329.73,331.51,332.26,334.36,324.11,327.49,324.98,325.42,323.15,323.4,321.78,324.44,328.4,328.0,327.98,326.47,328.58,325.34,329.67,330.79,328.52,330.63,332.08,337.03,336.11,335.61,335.83,338.47,341.01,339.59,340.84,343.2,339.54,335.5,335.71,338.84,341.18,337.18,339.93,340.49,340.83,345.23,342.75,344.09,345.35,349.2,357.28,359.22,357.98,358.79,358.99,362.19,362.61,362.0,364.34,362.78,368.12,373.94,374.57,361.17,365.16,368.98,366.61,367.64,376.0,374.01,376.58,380.08,380.22,385.84,386.91,385.91,382.41,384.84,383.57,384.01,382.58,383.75,383.77,382.18,378.25,374.51,371.11,374.43,373.5,372.78,369.12,383.29,394.51,394.78,394.13,396.61,396.74,394.82,401.66,401.13,405.15,410.86,409.73,414.66,414.89,415.8,422.35,421.32,426.99,426.99],"FDS^FF_SALES(ANN,-4FY,0FY,,RP)":[1221.179,1350.145,1435.351,1494.111,1591.445],"FDS^FF_SALES(ANN,-5FY,,,RP)":1127.092,"FDS^FF_SGA(ANN,-4FY,0FY,,RP)":[502.781,535.951,546.776,564.949,331.004],"FDS^FF_SGA(ANN,-5FY,,,RP)":282.856,"FDS^FF_EBITDA_OPER(ANN,-4FY,0FY,,RP)":[421.412,437.783,500.292,558.515,581.363],"FDS^FF_EBITDA_OPER(ANN,-5FY,,,RP)":398.079,"FDS^FF_EBIT_OPER(ANN,-4FY,0FY,,RP)":[373.118,380.498,439.829,457.716,474.041],"FDS^FF_EBIT_OPER(ANN,-5FY,,,RP)":360.027,"FDS^FF_NET_INC(ANN,-4FY,0FY,,RP)":[258.259,267.085,352.79,372.938,399.59],"FDS^FF_NET_INC(ANN,-5FY,,,RP)":338.815,"FDS^FF_EPS_DIL(ANN,-4FY,0FY,,RP)":[6.51,6.78,9.0754,9.6501,10.3601],"FDS^FF_EPS_DIL(ANN,-5FY,,,RP)":8.19,"FDS^FF_ASSETS(ANN,-4FY,0FY,,RP)":[1413.315,1419.447,1560.13,2083.388,2222.847],"FDS^FF_ASSETS(ANN,-5FY,,,RP)":1019.161,"FDS^FF_SHLDRS_EQ(ANN,-4FY,0FY,,RP)":[559.691,525.9,672.256,896.375,1016.353],"FDS^FF_SHLDRS_EQ(ANN,-5FY,,,RP)":517.381,"FDS^FF_RECEIV_TOT(ANN,-4FY,0FY,,RP)":[148.331,156.639,146.309,155.011,151.187],"FDS^FF_RECEIV_TOT(ANN,-5FY,,,RP)":97.797,"FDS^FF_INVEN(ANN,-4FY,,,RP)":0.0,"FDS^FF_COGS(ANN,-4FY,0FY,,RP)":[345.28,433.696,448.746,471.446,786.4],"FDS^FF_INVEN(ANN,-5FY,,,RP)":0.0,"FDS^FF_PAY_ACCT(ANN,-4FY,0FY,,RP)":[59.214,70.328,76.045,80.14,85.777],"FDS^FF_PAY_ACCT(ANN,-6FY,,,RP)":33.88,"FDS^P_LOCAL_INDEX":"SP50","FDS^HOMEPAGE":"http://www.factset.com","FDS^FG_VOLUME(0/0/-1,NOW,D,SPLIT)":[0.12934,0.158712,0.141846,0.236154,0.179764,0.211497,0.220667,0.297559,0.42996,0.271764,0.204442,0.161936,0.151505,0.332956,0.224719,0.25225,0.177923,0.125519,0.156616,0.157401,0.17356,0.149292,0.187407,0.166135,0.186743,0.144828,0.08984,0.462463,0.378547,0.188139,0.297559,0.19535,0.174521,0.206993,0.216904,0.214282,0.205386,0.187981,0.21492,0.204984,0.215464,0.467208,0.358306,0.239017,0.213106,0.070314,0.166759,0.155975,0.148339,0.159939,0.295401,0.149374,0.250937,0.204853,0.165875,0.139227,0.18390599999999999,0.143995,0.194715,0.173916,0.206086,0.240578,0.224053,0.193212,0.256185,0.235838,0.348027,0.239568,0.52536,0.199688,0.23206,0.142545,0.198207,0.160618,0.124046,0.208062,0.165536,0.225372,0.115579,0.139678,0.17895,0.134708,0.188753,0.195387,0.210747,0.272831,0.208687,0.390831,0.23735,0.243974,0.252055,0.231114,0.246381,0.235918,0.30067,0.218165,0.246458,0.342246,0.240415,0.197748,0.188778,0.271164,0.603312,0.255322,0.26212,0.25761,0.194698,0.170289,0.301945,0.408824,0.367464,0.279309,0.253615,0.215969,0.247906,0.339612,0.212079,0.213007,0.237656,0.308168,0.388408,0.184512,0.223824,0.198951,0.224392,0.263725,1.450496,0.435253,0.291552,0.224687,0.144686,0.280648,0.181907,0.203959,0.347394,0.150044,0.220408,0.197322,0.162824,0.219635,0.211034,0.150355,0.159141,0.096694,0.131933,0.172348,0.125497,0.118802,0.07989,0.160788,0.265722,0.124551,0.167325,0.143405,0.159925,0.114704,0.14605,0.119425,0.105441,0.106305,0.07979,0.144345,0.151768,0.131817,0.15809,0.403927,0.182222,0.174091,0.104039,0.136946,0.326694,0.206976,0.246452,0.267319,0.218536,0.112576,0.163257,0.150439,0.146138,0.117319,0.193908,0.162576,0.123514,0.120619,0.125321,0.184437,0.253964,0.110077,0.145089,0.10369,0.125017,0.093072,0.106967,0.107177,0.280373,0.188527,0.146389,0.112973,0.153904,0.123477,0.129464,0.12281,0.162144,0.132773,0.115815,0.126182,0.155616,0.205873,0.141336,0.089977,0.157303,0.113627,0.195053,0.124169,0.148418,0.109032,0.277554,0.162729,0.175929,0.095151,0.109316,0.211341,0.098996,0.090673,0.134426,0.144606,0.139114,0.170936,0.514067,0.150352,0.131776,0.122114,0.140657,0.271185,0.29635,0.404796,0.276048,0.216048,0.199382,0.222374,0.207358,0.254844,0.2777,0.186818,0.131207,0.221446,0.135862,0.145306,0.158147,0.16586,0.133584,0.149975,0.200584,2E-06],"FDS^P_PRICE(NOW)":426.99,"FDS^P_PRICE_HIGH(-52AW,0,,,,\"PRICE\",\"INTRA\")":430.23,"FDS^P_PRICE_LOW(-52AW,0,,,,\"PRICE\",\"INTRA\")":294.21,"FDS^P_PRICE_CHANGE(0CY,NOW,RANGE)/100":0.2841804,"FDS^P_PRICE_CHANGE(-1AY,NOW,RANGE)/100":0.28302288,"FDS^BETA(\"SP50\",-60AM,0,AM)":1.0063407,"FDS^FF_FISCAL_DATE(ANN,-4FY,,,RP,\"DATEM\")":"08/2017","FDS^FF_FISCAL_DATE(ANN,-3FY,,,RP,\"DATEM\")":"08/2018","FDS^FF_FISCAL_DATE(ANN,-2FY,,,RP,\"DATEM\")":"08/2019","FDS^FF_FISCAL_DATE(ANN,-1FY,,,RP,\"DATEM\")":"08/2020","FDS^FF_FISCAL_DATE(ANN,0FY,,,RP,\"DATEM\")":"08/2021","FDS^FF_FISCAL_DATE(QTR,0,,,RP,\"DATEM\")@FF_FISCAL_DATE(SEMI,0,,,RP,\"DATEM\")":"08/2021","FDS^FF_SALES(LTM,0)@FF_SALES(LTM_SEMI,0)":1591.446,"FDS^FF_COGS(LTM,0)@FF_COGS(LTM_SEMI,0)":780.498,"FDS^FF_SGA(LTM,0)@FF_SGA(LTM_SEMI,0)":334.601,"FDS^FF_EBITDA_OPER(LTM,0)@FF_EBITDA_OPER(LTM_SEMI,0)":577.767,"FDS^FF_EBIT_OPER(LTM,0)@FF_EBIT_OPER(LTM_SEMI,0)":470.445,"FDS^FF_INT_EXP_NET(ANN,-4FY,,,RP)":8.2,"FDS^FF_INT_EXP_NET(ANN,-3FY,,,RP)":15.9,"FDS^FF_INT_EXP_NET(ANN,-2FY,,,RP)":19.8,"FDS^FF_INT_EXP_NET(ANN,-1FY,,,RP)":12.442,"FDS^FF_INT_EXP_NET(ANN,0FY,,,RP)":6.394,"FDS^FF_INT_EXP_NET(LTM,0)":6.268,"FDS^FF_PTX_INC(ANN,-4FY,0FY,,RP)":[344.312,351.838,421.965,427.134,467.617],"FDS^FF_PTX_INC(LTM,0)@FF_PTX_INC(LTM_SEMI,0)":467.617,"FDS^FF_NET_INC(LTM,0)@FF_NET_INC(LTM_SEMI,0)":399.59,"FDS^FF_EPS_DIL(LTM,0)@FF_EPS_DIL(LTM_SEMI,0)":10.3602,"FDS^FF_COM_SHS_OUT(ANN,-4FY,,,RP)":39.023032,"FDS^FF_COM_SHS_OUT(ANN,-3FY,,,RP)":38.192586,"FDS^FF_COM_SHS_OUT(ANN,-2FY,,,RP)":38.11784,"FDS^FF_COM_SHS_OUT(ANN,-1FY,,,RP)":38.030252,"FDS^FF_COM_SHS_OUT(ANN,0FY,,,RP)":null,"FDS^FF_COM_SHS_OUT(LTM,0)":null,"FDS^FF_CAPEX(ANN,-4FY,0FY,,RP)":[36.862,33.52,59.37,77.642,61.325],"FDS^FF_CAPEX(LTM,0)@FF_CAPEX(LTM_SEMI,0)":61.325,"FDS^FF_FISCAL_DATE(LTM,0,,,RP,\"DATEM\")":"08/2021","FDS^FF_CASH_ST(ANN,-4FY,0FY,,RP)":[227.175,237.882,385.612,605.177,717.849],"FDS^FF_CASH_ST(QTR,0)@FF_CASH_ST(SEMI,0)":717.849,"FDS^FF_RECEIV_TOT(QTR,0,,,RP)@FF_RECEIV_TOT(SEMI,0,,,RP)":151.187,"FDS^FF_INVEN(ANN,-3FY,,,RP)":0.0,"FDS^FF_INVEN(ANN,-2FY,,,RP)":0.0,"FDS^FF_INVEN(ANN,-1FY,,,RP)":0.0,"FDS^FF_INVEN(ANN,0FY,,,RP)":null,"FDS^FF_INVEN(QTR,0)@FF_INVEN(SEMI,0)":null,"FDS^FF_ASSETS_CURR(ANN,-4FY,0FY,,RP)":[409.376,430.916,583.812,841.93,933.578],"FDS^FF_ASSETS_CURR(QTR,0)@FF_ASSETS_CURR(SEMI,0)":933.578,"FDS^FF_PPE_NET(ANN,-4FY,0FY,,RP)":[100.454,100.545,132.524,382.031,370.441],"FDS^FF_PPE_NET(QTR,0)@FF_PPE_NET(SEMI,0)":370.441,"FDS^FF_ASSETS(QTR,0)":2222.847,"FDS^FF_DEBT_ST(ANN,-4FY,0FY,,RP)":[0.0,0.0,0.0,29.056,31.576],"FDS^FF_DEBT_ST(QTR,0)@FF_DEBT_ST(SEMI,0)":31.576,"FDS^FF_PAY_ACCT(QTR,0)@FF_PAY_ACCT(SEMI,0)":85.777,"FDS^FF_LIABS_CURR(ANN,-4FY,0FY,,RP)":[201.139,221.134,218.923,276.293,315.705],"FDS^FF_LIABS_CURR(QTR,0)@FF_LIABS_CURR(SEMI,0)":315.705,"FDS^FF_DEBT_LT(ANN,-4FY,0FY,,RP)":[575.0,574.775,574.174,846.623,834.672],"FDS^FF_DEBT_LT(QTR,0)":834.672,"FDS^FF_LIABS(ANN,-4FY,0FY,,RP)":[853.624,893.547,887.874,1187.013,1206.494],"FDS^FF_LIABS(QTR,0)@FF_LIABS(SEMI,0)":1206.494,"FDS^FF_PFD_STK(ANN,-4FY,0FY,,RP)":[0.0,0.0,0.0,0.0,0.0],"FDS^FF_PFD_STK(QTR,0)@FF_PFD_STK(SEMI,0)":0.0,"FDS^FF_SHLDRS_EQ(QTR,0)@FF_SHLDRS_EQ(SEMI,0)":1016.353,"FDS^FF_LIABS_SHLDRS_EQ(ANN,-4FY,0FY,,RP)":[1413.315,1419.447,1560.13,2083.388,2222.847],"FDS^FF_LIABS_SHLDRS_EQ(QTR,0,,,RP)@FF_LIABS_SHLDRS_EQ(SEMI,0,,,RP)":2222.847,"FDS^FG_PRICE(-4FY,,)":157.18,"FDS^FG_PRICE(-3FY,,)":229.39,"FDS^FG_PRICE(-2FY,,)":272.09,"FDS^FG_PRICE(-1FY,,)":350.4,"FDS^FG_PRICE(-0FY,,)":380.22,"FDS^FG_PRICE(0M,,)":394.78,"FDS^FG_FACTSET_SECTOR":"Technology Services","FDS^FE_ESTIMATE(EPS,MEAN,ANNUAL,+1,NOW)":12.212925,"FDS^FE_ESTIMATE(EPS,MEAN,NTMA,,NOW)":12.379853,"FDS^FE_ESTIMATE(EPS_LTG,MEAN,,,NOW,,,'')/100":0.085,"FDS^CS_EVENT_DATEJ_N(\"ER\",1)":44551,"FDS^FG_FACTSET_IND":"Data Processing Services","FDS^FF_COM_SHS_OUT(CURR,0)":37.4565,"FDS^FF_DPS(LTM,0)":3.18,"JD^FG_COMPANY_NAME":"JD.com, Inc. Sponsored ADR Class A","FDS^P(NOW)":426.99,"FDS^P_CURRENCY(\"ISO\")":"USD","FDS^P_EXCHANGE('NAME','FS')":"NYSE","FDS^FF_COGS(ANN,-5FY,,,RP)":484.209,"SP50^FG_PRICE_ICS(0/0/-1,NOW,D,LOCAL,SPLIT,0,,,5)":[3435.56,3453.49,3465.39,3400.97,3390.68,3271.03,3310.11,3269.96,3310.24,3369.1567,3443.44,3510.45,3509.44,3550.5,3545.53,3572.66,3537.01,3585.15,3626.91,3609.53,3567.79,3581.87,3557.54,3577.59,3635.41,3629.65,3638.35,3621.63,3662.45,3669.01,3666.72,3699.12,3691.96,3702.25,3672.82,3668.1,3663.46,3647.49,3694.62,3701.17,3722.48,3709.41,3694.92,3687.26,3690.01,3703.06,3735.36,3727.04,3732.04,3756.07,3700.65,3726.86,3748.14,3803.79,3824.68,3799.61,3801.19,3809.84,3795.54,3768.25,3798.91,3851.85,3853.07,3841.47,3855.36,3849.62,3750.77,3787.38,3714.24,3773.86,3826.31,3830.17,3871.74,3886.83,3915.59,3911.23,3909.88,3916.38,3934.83,3932.59,3931.33,3913.97,3906.71,3876.5,3881.37,3925.43,3829.34,3811.15,3901.82,3870.29,3819.72,3768.47,3841.94,3821.35,3875.44,3898.81,3939.34,3943.34,3968.94,3962.71,3974.12,3915.46,3913.1,3940.59,3910.52,3889.14,3909.52,3974.54,3971.09,3958.55,3972.89,4019.87,4077.91,4073.94,4079.95,4097.17,4128.8,4127.99,4141.59,4124.66,4170.42,4185.47,4163.26,4134.94,4173.42,4134.98,4180.17,4187.62,4186.72,4183.18,4211.47,4181.17,4192.66,4164.66,4167.59,4201.62,4232.6,4188.43,4152.1,4063.04,4112.5,4173.85,4163.29,4127.83,4115.68,4159.12,4155.86,4197.05,4188.13,4195.99,4200.88,4204.11,4202.04,4208.12,4192.85,4229.89,4226.52,4227.26,4219.55,4239.18,4247.44,4255.15,4246.59,4223.7,4221.86,4166.45,4224.79,4246.44,4241.84,4266.49,4280.7,4290.61,4291.8,4297.5,4319.94,4352.34,4343.54,4358.13,4320.82,4369.55,4384.63,4369.21,4374.3,4360.03,4327.16,4258.49,4323.06,4358.69,4367.48,4411.79,4422.3,4401.46,4400.64,4419.15,4395.26,4387.16,4423.15,4402.66,4429.1,4436.52,4432.35,4436.75,4447.7,4460.83,4468.0,4479.71,4448.08,4400.27,4405.8,4441.67,4479.53,4486.23,4496.19,4470.0,4509.37,4528.79,4522.68,4524.09,4536.95,4535.43,4520.03,4514.07,4493.28,4458.58,4468.73,4443.05,4480.7,4473.75,4432.99,4357.73,4354.19,4395.64,4448.98,4455.48,4443.11,4352.63,4359.461,4307.54,4357.04,4300.46,4345.72,4363.55,4399.76,4391.34,4361.19,4350.65,4363.8,4438.26,4471.37,4486.46,4519.63,4536.19,4549.78,4549.78],"FDS^REBASE(FG_PRICE_ICS(,,,LOCAL,SPLIT,0,,,5), 332.8, 0/0/-1) : 0/0/-1,NOW,D":[332.8,327.97,328.48,322.27,318.9,311.23,310.25,306.5,311.18,319.48,327.88,332.97,335.83,316.71,323.1,335.15,324.76,328.26,329.95,323.25,317.06,317.96,321.55,318.88,319.88,322.28,322.75,333.76,342.23,336.15,346.57,351.01,351.71,348.57,345.76,348.69,351.47,344.89,347.99,345.38,345.23,347.03,332.65,331.0,325.08,327.43,330.02,327.33,328.38,332.5,330.59,329.58,332.23,334.4,334.45,332.25,335.44,330.99,320.64,318.2,319.35,327.45,324.72,320.23,317.52,311.9,312.69,308.79,302.34,312.26,317.7,315.35,315.84,317.97,320.95,313.6,309.41,317.14,316.0,312.6,315.04,318.5,313.68,303.87,302.79,300.94,294.35,303.91,311.18,310.92,308.87,305.09,314.25,315.9,312.49,312.29,312.74,310.9,318.52,317.76,316.3,310.1,311.44,314.38,320.4,321.35,321.17,325.62,323.95,311.34,308.59,317.01,320.55,318.18,309.36,310.14,309.13,311.26,311.4,309.26,314.9,319.27,317.34,318.85,321.75,323.79,347.1,336.91,342.16,336.4,341.27,336.22,342.06,345.6,336.55,338.06,337.05,335.11,331.86,326.51,328.53,330.91,326.53,321.72,322.4,327.31,328.15,328.94,329.73,331.51,332.26,334.36,324.11,327.49,324.98,325.42,323.15,323.4,321.78,324.44,328.4,328.0,327.98,326.47,328.58,325.34,329.67,330.79,328.52,330.63,332.08,337.03,336.11,335.61,335.83,338.47,341.01,339.59,340.84,343.2,339.54,335.5,335.71,338.84,341.18,337.18,339.93,340.49,340.83,345.23,342.75,344.09,345.35,349.2,357.28,359.22,357.98,358.79,358.99,362.19,362.61,362.0,364.34,362.78,368.12,373.94,374.57,361.17,365.16,368.98,366.61,367.64,376.0,374.01,376.58,380.08,380.22,385.84,386.91,385.91,382.41,384.84,383.57,384.01,382.58,383.75,383.77,382.18,378.25,374.51,371.11,374.43,373.5,372.78,369.12,383.29,394.51,394.78,394.13,396.61,396.74,394.82,401.66,401.13,405.15,410.86,409.73,414.66,414.89,415.8,422.35,421.32,426.99,426.99],"SP50^REBASE(FG_PRICE_ICS(,,,LOCAL,SPLIT,0,,,5), 332.8, 0/0/-1) : 0/0/-1,NOW,D":[332.8,334.536865023461,335.689608680972,329.449293856023,328.452509634528,316.862108069718,320.647756988671,316.758458009757,320.660349986611,326.367564461107,333.563329413545,340.054535505129,339.956697598063,343.934147562552,343.452707564415,346.080769365111,342.627381853322,347.290665859423,351.335924274354,349.652337319098,345.609016288465,346.972934834496,344.616106835567,346.558334594651,352.159312601148,351.601345923227,352.444108093004,350.824454819593,354.778656172502,355.414118222357,355.192287720197,358.330850283505,357.6372667047,358.634050926195,355.78318993119,355.325967236782,354.876494079568,353.329492717344,357.894938816379,358.529432174085,360.593715143965,359.327634505001,357.923999580854,357.181981394591,357.448371735612,358.712514990278,361.841390632095,361.035438763986,361.519784838571,363.847552073024,358.479060182328,361.018002305301,363.079379198733,368.47015100886,370.493748908475,368.065237690508,368.218291050076,369.056209759108,367.670979985796,365.027419110713,367.997429240066,373.125685477768,373.243865919966,372.12018302693,373.465696422126,372.909667128503,363.334145233965,366.880527192074,359.795512813049,365.570855406397,370.65164572879,371.025560898369,375.052414162466,376.514170615562,379.300129236573,378.877779459535,378.747006019397,379.376655916357,381.163892931574,380.946905890161,380.824850679365,379.143201108407,378.43993060811,375.51351162547,375.985264702116,380.253322311355,370.945159449988,369.183108430649,377.966240147167,374.911953800836,370.013277602487,365.048730337994,372.165711557941,370.171174422802,375.410830257658,377.674663810267,381.60077309085,381.988249950518,384.468101852391,383.864606643458,384.969884385661,379.287536238634,379.05892489143,381.721859609496,378.809002316944,376.73793850202,378.712133102027,385.010569455926,384.676370664462,383.461630709404,384.850735251313,389.40165096811,395.023940201888,394.639369418668,395.221553400319,396.889641281189,399.953614549011,399.875150484928,401.192571807798,399.552575999255,403.985311273854,405.443192958353,403.291727695048,400.548391528601,404.275918918604,400.552266297198,404.929786119294,405.651461770425,405.564279476999,405.221362456194,407.961792546193,405.02665533421,406.139682613606,403.427344595932,403.711171395639,407.007630779262,410.008639057388,405.729925834507,402.210667256575,393.583494976074,398.374646345865,404.317572681019,403.294633771496,399.859651410542,398.682690449301,402.890689145292,402.574895504663,406.564938467091,405.700865070032,406.462257099279,406.935947560223,407.248835124405,407.048315849527,407.637280676222,406.15808776444,409.746123484963,409.419674230693,409.491357449732,408.744495802722,410.646038491541,411.446178206755,412.193039853765,411.363839374076,409.146503044627,408.96826368918,403.600740490633,409.252090488887,411.349308991838,410.90371060322,413.291536750923,414.668048294892,415.628022214719,415.74329658047,416.295451105497,418.469196288232,421.607758851541,420.755309760272,422.16863160591,418.554441197359,423.274878040261,424.735665801209,423.24194250719,423.735006811117,422.352683114252,419.168592019933,412.516583031587,418.771428238773,422.222878366263,423.074358765383,427.366633678352,428.384729127129,426.36597468826,426.286541932029,428.079591100141,425.765385555776,424.980744914948,428.467067959809,426.482217746161,429.043439788564,429.762209363248,429.358264737044,429.784489282679,430.845207186019,432.117099977878,432.811652248833,433.94599075551,430.882017487688,426.250700322509,426.786387081,430.26108582007,433.928554296825,434.577578036768,435.542395417341,433.005390678667,436.819131669946,438.700331823633,438.10846092049,438.245046513523,439.490784617355,439.343543410681,437.851757500961,437.274416980056,435.260506001933,431.899144244315,432.882366775722,430.394765336655,434.041891278278,433.368650234605,429.420261034591,422.129883919943,421.786966899137,425.802195857444,430.969199781113,431.598849678073,430.40057748955,421.635850923867,422.297564530964,417.268018023263,422.063044161651,416.582183981651,420.966484648791,422.69366275076,426.201297022902,425.385658233301,422.465051403556,421.444049878331,422.717880054489,429.930761797203,433.138101503103,434.599857956199,437.813009814994,439.417164014018,440.733616644739,440.733616644739],"JD^FG_BUS_DESC_BRIEF(\"ARRAY\")[1]":"sale of electronics products and general merchandise products, including","JD^FG_BUS_DESC_BRIEF(\"ARRAY\")[2]":"audio, video products, and books. The company operates through the JD","JD^FG_BUS_DESC_BRIEF(\"ARRAY\")[3]":"Retail and New Businesses segments. The JD Retail segment offers online","JD^FG_BUS_DESC_BRIEF(\"ARRAY\")[4]":"retail, online marketplace, and marketing services. The New Businesses","JD^FG_BUS_DESC_BRIEF(\"ARRAY\")[5]":"segment consists of logistic services provided to third parties, the","JD^FG_BUS_DESC_BRIEF(\"ARRAY\")[6]":"overseas business, and technology initiatives, asset management services","JD^FG_BUS_DESC_BRIEF(\"ARRAY\")[7]":"to logistics property investors, and the sale of development properties","JD^FG_BUS_DESC_BRIEF(\"ARRAY\")[8]":"by JD Property. The company was founded on June 18, 1998 by Qiang Dong","JD^FG_BUS_DESC_BRIEF(\"ARRAY\")[9]":"Liu and is headquartered in Beijing, China.","JD^FG_BUS_DESC_BRIEF(\"ARRAY\")[10]":null,"JD^FG_BUS_DESC_BRIEF(\"ARRAY\")[11]":null,"JD^FG_BUS_DESC_BRIEF(\"ARRAY\")[12]":null,"JD^FG_BUS_DESC_BRIEF(\"ARRAY\")[13]":null,"JD^FG_BUS_DESC_BRIEF(\"ARRAY\")[14]":null,"JD^FG_ADDRESS_L1":"No. 18 Kechuang 11 Street","JD^FG_ADDRESS_L2":"Beijing, Beijing 101111 China","JD^PROPER(FG_COUNTRY)":"Hong Kong","JD^FF_SALES(ANN,-4FY,0FY,,RP)":[53613.4779423297,69823.0235914103,83487.7885460179,108052.240301348,147548.346605138],"JD^FF_SALES(ANN,-5FY,,,RP)":39153.963036177,"JD^FF_SGA(ANN,-4FY,0FY,,RP)":[7379.51541425642,10086.7960876033,11302.9761033912,14070.9887397552,19258.6115083257],"JD^FF_SGA(ANN,-5FY,,,RP)":6256.85990877324,"JD^FF_EBITDA_OPER(ANN,-4FY,0FY,,RP)":[484.27461,420.44947,1590.84866,2466.47986,1489.51501],"JD^FF_EBITDA_OPER(ANN,-5FY,,,RP)":216.73942,"JD^FF_EBIT_OPER(ANN,-4FY,0FY,,RP)":[-123.62365,-392.44513,739.54826,1549.36394,523.14631],"JD^FF_EBIT_OPER(ANN,-5FY,,,RP)":-322.85363,"JD^FF_NET_INC(ANN,-4FY,0FY,,RP)":[17.285465076144,-376.549587655485,1763.30120025746,7157.85938323261,-551.923747105321],"JD^FF_NET_INC(ANN,-5FY,,,RP)":-573.004660748199,"JD^FF_EPS_DIL(ANN,-4FY,0FY,,RP)":[-0.0146,-0.2447,1.1458,4.5899,-0.3552],"JD^FF_EPS_DIL(ANN,-5FY,,,RP)":-0.3723,"JD^FF_ASSETS(ANN,-4FY,0FY,,RP)":[28263.9689803446,30465.1902937799,37286.0881174907,64571.9737606665,77903.5698651439],"JD^FF_ASSETS(ANN,-5FY,,,RP)":23076.9865457942,"JD^FF_SHLDRS_EQ(ANN,-4FY,0FY,,RP)":[7991.52549140068,8705.73619587242,11751.291327505,28677.221780483,32778.9393333186],"JD^FF_SHLDRS_EQ(ANN,-5FY,,,RP)":4877.02712425345,"JD^FF_RECEIV_TOT(ANN,-4FY,0FY,,RP)":[4958.29330466842,2470.64800384525,1719.29798871617,2211.45402000065,2730.06095695365],"JD^FF_RECEIV_TOT(ANN,-5FY,,,RP)":4543.11432477148,"JD^FF_INVEN(ANN,-4FY,,,RP)":6464.21268427534,"JD^FF_COGS(ANN,-4FY,0FY,,RP)":[46357.5861785065,60128.672635541,71445.2641803285,92431.8876255565,127766.588786365],"JD^FF_INVEN(ANN,-5FY,,,RP)":4364.79948197704,"JD^FF_PAY_ACCT(ANN,-4FY,0FY,,RP)":[11415.495700246,11649.9436328418,12981.9518497784,16333.592005872,22042.4274518117],"JD^FF_PAY_ACCT(ANN,-6FY,,,RP)":4592.11238758171,"JD^HOMEPAGE":"http://www.jd.com","^JULIAN(DATE_YYYYMMDD(0/0/-1, NOW, D))":[44285,44286,44287,44288,44292,44293,44294,44295,44298,44299,44300,44301,44302,44305,44306,44307,44308,44309,44312,44313,44314,44315,44316,44322,44323,44326,44327,44328,44329,44330,44333,44334,44335,44336,44337,44340,44341,44342,44343,44344,44347,44348,44349,44350,44351,44354,44355,44356,44357,44358,44362,44363,44364,44365,44368,44369,44370,44371,44372,44375,44376,44377,44378,44379,44382,44383,44384,44385,44386,44389,44390,44391,44392,44393,44396,44397,44398,44399,44400,44403,44404,44405,44406,44407,44410,44411,44412,44413,44414,44417,44418,44419,44420,44421,44424,44425,44426,44427,44428,44431,44432,44433,44434,44435,44438,44439,44440,44441,44442,44445,44446,44447,44448,44449,44452,44453,44454,44455,44456,44461,44462,44463,44466,44467,44468,44469,44477,44480,44481,44482,44483,44484,44487,44488,44489,44490,44491,44494,44495,44496,44497,44498,44501,44502,44503,44504,44505,44508,44509,44510,44511,44512,44515,44516,44517,44518,44519,44522,44523,44524,44525,44526,44529,44530,44531,44532,44533,44536,44537,44538,44539,44540,44543,44544,44545,44546,44547,44550,44551,44552,44553,44554,44557,44558,44559,44560,44561,44565,44566,44567,44568,44571,44572,44573,44574,44575,44578,44579,44580,44581,44582,44585,44586,44587,44588,44589,44599,44600,44601,44602,44603,44606,44607,44608,44609,44610,44613,44614,44615,44616,44617,44620,44621,44622,44623,44624,44627,44628,44629,44630,44631,44634,44635,44636,44637,44638,44641,44642,44643,44644,44645,44648,44649,44650,44651],"JD^FG_PRICE_ICS(0/0/-1,NOW,D,LOCAL,SPLIT,0,,,5)":[83.0,84.33,84.31,84.31,83.51,81.25,82.14,80.41,78.65,78.8,78.12,77.49,77.04,76.95,74.55,75.72,76.11,76.75,76.14,78.46,79.06,77.83,77.36,76.39,75.51,71.4,72.78,71.25,67.03,68.15,68.21,69.74,70.58,73.7,72.75,71.66,72.81,73.2,72.83,73.94,73.94,78.33,76.54,75.52,75.43,74.68,73.28,72.64,71.85,71.19,70.84,71.49,73.5,71.62,72.62,73.3,73.14,74.9,78.23,77.12,79.75,79.81,77.44,76.23,76.23,72.39,72.7,70.89,73.56,73.17,76.52,75.45,76.86,75.59,74.22,73.87,75.3,75.91,72.29,66.08,64.77,70.28,71.93,70.88,71.49,70.24,71.4,70.74,69.59,71.73,71.76,71.07,70.53,69.86,66.67,64.26,65.53,62.19,63.62,65.73,75.22,76.14,77.04,76.43,76.69,78.56,80.78,80.24,79.855,79.855,83.24,81.73,80.26,80.64,80.17,77.9,76.63,77.17,77.69,75.92,76.13,73.98,76.43,75.42,71.62,72.24,78.61,78.0,78.41,80.57,81.03,81.42,82.42,84.91,85.53,83.97,83.07,84.25,81.48,80.86,80.92,78.28,82.5,80.7,81.36,80.3,77.57,77.47,77.19,77.74,84.2,85.95,84.62,85.73,83.15,88.1,91.55,87.71,89.46,89.36,89.36,88.67,87.91,84.11,85.18,84.46,77.95,75.19,78.09,78.29,79.57,79.71,78.05,77.65,73.66,72.68,71.04,68.19,73.41,73.75,68.65,68.65,67.71,65.87,65.63,70.4,70.07,64.2,63.02,66.78,68.24,69.6,76.76,76.4,71.44,73.72,73.72,73.4,72.3,77.0,73.46,71.74,72.15,71.11,66.68,69.34,73.15,75.36,78.29,76.4,73.98,74.45,76.13,75.3,74.55,71.86,71.86,70.98,70.54,70.91,72.5,71.63,73.3,71.79,67.83,63.59,60.52,58.69,62.4,52.52,47.99,42.94,45.98,64.08,61.94,65.13,61.44,64.73,64.29,61.52,59.92,59.77,62.73,61.49,61.49],"JD^P_LOCAL_INDEX":"SP50","JD^FG_VOLUME(0/0/-1,NOW,D,SPLIT)":[7.102211,10.1406,11.9091,null,8.909481,9.445156,6.65182,8.313427,14.30254,12.51154,8.603738,8.614366,13.89161,9.509046,15.55075,10.83353,9.508967,9.587386,12.23862,11.83405,7.035546,7.32734,6.386928,8.142913,7.808512,16.60201,10.50722,8.704053,34.600006,19.3667,11.87467,12.59403,15.6178,18.38454,10.65772,8.579512,9.398954,6.598702,9.926226,7.876436,null,21.29213,9.419916,12.02768,8.264643,8.419478,8.902747,7.421482,9.47661,11.38708,8.45556,12.30648,12.894,27.66653,8.410114,10.25039,7.976604,9.80007,16.60447,8.378976,11.87644,11.26397,11.11665,8.016401,null,15.59127,10.45951,11.91878,11.20542,5.664117,15.41283,9.620573,9.169867,6.527675,9.476921,6.612382,6.17602,4.531898,20.29002,39.96756,44.22916,33.62872,17.06503,9.947957,8.422528,8.509517,8.074923,7.485547,6.977587,6.342002,5.195324,5.674238,5.78382,5.630593,12.50281,13.38599,9.352488,16.72476,14.98685,19.78276,35.95469,11.31188,11.58111,12.96955,7.979903,13.04441,12.06146,9.906151,8.507041,null,19.34413,7.158622,9.719349,8.229947,7.567679,11.32503,10.90163,7.989437,9.779545,7.788362,4.93146,6.085782,7.938996,11.18538,12.04524,7.134269,11.56328,10.27027,8.772753,9.579548,7.895681,8.360972,6.106603,11.38385,9.831278,6.718708,5.852466,5.129227,6.447767,5.779849,4.468662,8.080133,6.063625,6.083705,5.520253,6.799745,5.704234,6.595199,5.2502,8.36711,15.63726,9.315097,7.317918,9.06469,7.427147,19.31872,15.1839,12.30157,11.90336,6.977328,null,8.311022,9.475248,14.60836,8.963097,10.69533,20.65693,22.19176,14.54843,11.27031,7.49832,10.62483,6.05947,5.595971,14.82151,7.849844,13.13054,10.71484,9.822844,9.264729,26.52902,null,7.691903,9.263487,6.469254,13.90263,5.446238,19.98982,19.18811,12.96537,13.00826,15.80419,27.3756,12.93959,12.50423,12.7831,null,10.21382,6.318328,26.21826,14.4405,15.5034,7.291178,9.546074,13.13708,9.026547,6.135832,7.903249,7.061571,6.432184,6.673354,5.244967,6.766205,6.20116,5.944452,8.913822,null,8.539445,9.412824,10.30709,6.711319,6.469842,8.89576,4.990926,16.44839,15.96782,15.69678,11.86944,9.487275,55.34814,32.96304,47.47733,39.19454,60.08131,25.85408,46.3441,19.69858,19.03855,23.6264,20.64091,16.01403,18.14596,13.14416,10.68729,null],"JD^P_PRICE(NOW)":61.49,"JD^P_PRICE_HIGH(-52AW,0,,,,\"PRICE\",\"INTRA\")":92.69,"JD^P_PRICE_LOW(-52AW,0,,,,\"PRICE\",\"INTRA\")":41.56,"JD^P_PRICE_CHANGE(0CY,NOW,RANGE)/100":-0.12244898,"JD^P_PRICE_CHANGE(-1AY,NOW,RANGE)/100":-0.25915658,"JD^BETA(\"SP50\",-60AM,0,AM)":0.70359516,"JD^FF_FISCAL_DATE(ANN,-4FY,,,RP,\"DATEM\")":"12/2017","JD^FF_FISCAL_DATE(ANN,-3FY,,,RP,\"DATEM\")":"12/2018","JD^FF_FISCAL_DATE(ANN,-2FY,,,RP,\"DATEM\")":"12/2019","JD^FF_FISCAL_DATE(ANN,-1FY,,,RP,\"DATEM\")":"12/2020","JD^FF_FISCAL_DATE(ANN,0FY,,,RP,\"DATEM\")":"12/2021","JD^FF_FISCAL_DATE(QTR,0,,,RP,\"DATEM\")@FF_FISCAL_DATE(SEMI,0,,,RP,\"DATEM\")":"12/2021","JD^FF_SALES(LTM,0)@FF_SALES(LTM_SEMI,0)":147625.578788965,"JD^FF_COGS(LTM,0)@FF_COGS(LTM_SEMI,0)":127835.032106131,"JD^FF_SGA(LTM,0)@FF_SGA(LTM_SEMI,0)":19270.0649917947,"JD^FF_EBITDA_OPER(LTM,0)@FF_EBITDA_OPER(LTM_SEMI,0)":1451.19569,"JD^FF_EBIT_OPER(LTM,0)@FF_EBIT_OPER(LTM_SEMI,0)":520.48169,"JD^FF_INT_EXP_NET(ANN,-4FY,,,RP)":142.602904351289,"JD^FF_INT_EXP_NET(ANN,-3FY,,,RP)":129.142587024631,"JD^FF_INT_EXP_NET(ANN,-2FY,,,RP)":104.924059419686,"JD^FF_INT_EXP_NET(ANN,-1FY,,,RP)":163.016921888705,"JD^FF_INT_EXP_NET(ANN,0FY,,,RP)":188.151276970004,"JD^FF_INT_EXP_NET(LTM,0)":188.398800021067,"JD^FF_PTX_INC(ANN,-4FY,0FY,,RP)":[302.990961462764,-190.504879073137,2233.15131489824,6740.92410565728,362.403961891882],"JD^FF_PTX_INC(LTM,0)@FF_PTX_INC(LTM_SEMI,0)":359.031037243975,"JD^FF_NET_INC(LTM,0)@FF_NET_INC(LTM_SEMI,0)":-560.353792169055,"JD^FF_EPS_DIL(LTM,0)@FF_EPS_DIL(LTM_SEMI,0)":-0.3732,"JD^FF_COM_SHS_OUT(ANN,-4FY,,,RP)":1329.5005,"JD^FF_COM_SHS_OUT(ANN,-3FY,,,RP)":1329.5005,"JD^FF_COM_SHS_OUT(ANN,-2FY,,,RP)":1329.5005,"JD^FF_COM_SHS_OUT(ANN,-1FY,,,RP)":1339.4565,"JD^FF_COM_SHS_OUT(ANN,0FY,,,RP)":null,"JD^FF_COM_SHS_OUT(LTM,0)":null,"JD^FF_CAPEX(ANN,-4FY,0FY,,RP)":[1680.3052647391,3229.47807887693,1302.42855375916,1804.76253702638,null],"JD^FF_CAPEX(LTM,0)@FF_CAPEX(LTM_SEMI,0)":null,"JD^FF_FISCAL_DATE(LTM,0,,,RP,\"DATEM\")":"12/2021","JD^FF_CASH_ST(ANN,-4FY,0FY,,RP)":[5894.71575552839,5758.71841181538,9261.81948691462,23104.1339184688,30008.7577176847],"JD^FF_CASH_ST(QTR,0)@FF_CASH_ST(SEMI,0)":30008.7577176847,"JD^FF_RECEIV_TOT(QTR,0,,,RP)@FF_RECEIV_TOT(SEMI,0,,,RP)":2730.06095695365,"JD^FF_INVEN(ANN,-3FY,,,RP)":6482.54263949793,"JD^FF_INVEN(ANN,-2FY,,,RP)":8401.9245732663,"JD^FF_INVEN(ANN,-1FY,,,RP)":9587.5182727302,"JD^FF_INVEN(ANN,0FY,,,RP)":12483.2394266755,"JD^FF_INVEN(QTR,0)@FF_INVEN(SEMI,0)":12483.2394266755,"JD^FF_ASSETS_CURR(ANN,-4FY,0FY,,RP)":[17664.1050368554,15272.4090770063,19968.4967770651,35903.430991774,47019.4822189287],"JD^FF_ASSETS_CURR(QTR,0)@FF_ASSETS_CURR(SEMI,0)":47019.4822189287,"JD^FF_PPE_NET(ANN,-4FY,0FY,,RP)":[2421.78961916468,4025.30696068872,5039.54749702121,7031.87528670612,9217.8785097322],"JD^FF_PPE_NET(QTR,0)@FF_PPE_NET(SEMI,0)":9217.8785097322,"JD^FF_ASSETS(QTR,0)":77903.5698651439,"JD^FF_DEBT_ST(ANN,-4FY,0FY,,RP)":[2002.00522113027,668.236742065645,516.369926927669,1382.7010000306,1731.03846485762],"JD^FF_DEBT_ST(QTR,0)@FF_DEBT_ST(SEMI,0)":1731.03846485762,"JD^FF_PAY_ACCT(QTR,0)@FF_PAY_ACCT(SEMI,0)":22042.4274518117,"JD^FF_LIABS_CURR(ANN,-4FY,0FY,,RP)":[18158.8791461921,17603.7425171508,20100.9261093648,26608.866020368,34775.361466106],"JD^FF_LIABS_CURR(QTR,0)@FF_LIABS_CURR(SEMI,0)":34775.361466106,"JD^FF_DEBT_LT(ANN,-4FY,0FY,,RP)":[1677.30267199021,1438.24853984302,2235.94843303621,3483.39673996152,3625.52754830673],"JD^FF_DEBT_LT(QTR,0)":3625.52754830673,"JD^FF_LIABS(ANN,-4FY,0FY,,RP)":[20219.0207309587,19275.0503226186,22840.4141723018,30684.2224532865,39182.3125985561],"JD^FF_LIABS(QTR,0)@FF_LIABS(SEMI,0)":39182.3125985561,"JD^FF_PFD_STK(ANN,-4FY,0FY,,RP)":[0.0,0.0,0.0,0.0,0.0],"JD^FF_PFD_STK(QTR,0)@FF_PFD_STK(SEMI,0)":0.0,"JD^FF_SHLDRS_EQ(QTR,0)@FF_SHLDRS_EQ(SEMI,0)":32778.9393333186,"JD^FF_LIABS_SHLDRS_EQ(ANN,-4FY,0FY,,RP)":[28263.9689803446,30465.1902937799,37286.0881174907,64571.9737606665,77903.5698651439],"JD^FF_LIABS_SHLDRS_EQ(QTR,0,,,RP)@FF_LIABS_SHLDRS_EQ(SEMI,0,,,RP)":77903.5698651439,"JD^FG_PRICE(-4FY,,)":41.42,"JD^FG_PRICE(-3FY,,)":21.71,"JD^FG_PRICE(-2FY,,)":35.23,"JD^FG_PRICE(-1FY,,)":87.9,"JD^FG_PRICE(-0FY,,)":70.07,"JD^FG_PRICE(0M,,)":71.63,"JD^FG_FACTSET_SECTOR":"Retail Trade","JD^FE_ESTIMATE(EPS,MEAN,ANNUAL,+1,NOW)":1.9583534,"JD^FE_ESTIMATE(EPS,MEAN,NTMA,,NOW)":2.2140288,"JD^FE_ESTIMATE(EPS_LTG,MEAN,,,NOW,,,'')/100":-0.06498662,"JD^CS_EVENT_DATEJ_N(\"ER\",1)":44692,"JD^FG_FACTSET_IND":"Internet Retail","JD^FF_COM_SHS_OUT(CURR,0)":1317.449284,"JD^FF_DPS(LTM,0)":null,"DUMMY^JULIAN(TODAY)":44651,"JD^P(NOW)":61.49,"JD^P_CURRENCY(\"ISO\")":"USD","JD^P_EXCHANGE('NAME','FS')":"NASDAQ","JD^FF_COGS(ANN,-5FY,,,RP)":33219.9567594205,"JD^REBASE(FG_PRICE_ICS(,,,LOCAL,SPLIT,0,,,5), 83, 0/0/-1) : 0/0/-1,NOW,D":[83.0,84.33,84.31,84.31,83.51,81.25,82.14,80.41,78.65,78.8,78.12,77.49,77.04,76.95,74.55,75.72,76.11,76.75,76.14,78.46,79.06,77.83,77.36,76.39,75.51,71.4,72.78,71.25,67.03,68.15,68.21,69.74,70.58,73.7,72.75,71.66,72.81,73.2,72.83,73.94,73.94,78.33,76.54,75.52,75.43,74.68,73.28,72.64,71.85,71.19,70.84,71.49,73.5,71.62,72.62,73.3,73.14,74.9,78.23,77.12,79.75,79.81,77.44,76.23,76.23,72.39,72.7,70.89,73.56,73.17,76.52,75.45,76.86,75.59,74.22,73.87,75.3,75.91,72.29,66.08,64.77,70.28,71.93,70.88,71.49,70.24,71.4,70.74,69.59,71.73,71.76,71.07,70.53,69.86,66.67,64.26,65.53,62.19,63.62,65.73,75.22,76.14,77.04,76.43,76.69,78.56,80.78,80.24,79.855,79.855,83.24,81.73,80.26,80.64,80.17,77.9,76.63,77.17,77.69,75.92,76.13,73.98,76.43,75.42,71.62,72.24,78.61,78.0,78.41,80.57,81.03,81.42,82.42,84.91,85.53,83.97,83.07,84.25,81.48,80.86,80.92,78.28,82.5,80.7,81.36,80.3,77.57,77.47,77.19,77.74,84.2,85.95,84.62,85.73,83.15,88.1,91.55,87.71,89.46,89.36,89.36,88.67,87.91,84.11,85.18,84.46,77.95,75.19,78.09,78.29,79.57,79.71,78.05,77.65,73.66,72.68,71.04,68.19,73.41,73.75,68.65,68.65,67.71,65.87,65.63,70.4,70.07,64.2,63.02,66.78,68.24,69.6,76.76,76.4,71.44,73.72,73.72,73.4,72.3,77.0,73.46,71.74,72.15,71.11,66.68,69.34,73.15,75.36,78.29,76.4,73.98,74.45,76.13,75.3,74.55,71.86,71.86,70.98,70.54,70.91,72.5,71.63,73.3,71.79,67.83,63.59,60.52,58.69,62.4,52.52,47.99,42.94,45.98,64.08,61.94,65.13,61.44,64.73,64.29,61.52,59.92,59.77,62.73,61.49,61.49],"SP50^REBASE(FG_PRICE_ICS(,,,LOCAL,SPLIT,0,,,5), 83, 0/0/-1) : 0/0/-1,NOW,D":[83.0,83.3006707001301,84.2857132030668,84.2857132030668,85.4194136741989,85.5454269871544,85.9064834345909,86.5696782912935,86.5526947998636,86.8378497176997,86.4828737795405,87.4423362089654,87.7578936731884,87.2922105316341,86.6984173497871,87.5052380290763,86.699256040722,87.6467671243258,87.8029733109346,87.7841027649013,87.7098786171704,88.3030427808162,87.6677343976961,88.0965151381187,88.7460812671306,87.8199568023645,87.0582157608215,85.1908703944626,86.2279117353576,87.5142539566255,87.2928395498352,86.5493400361243,86.2945876646752,87.205406019881,87.1370527086938,88.0006946988165,87.8136666203534,87.978469389044,88.0809993558247,88.1487236488108,88.1487236488108,88.1053213929343,88.2328024150257,87.9126321506612,88.6892599562971,88.6186002450392,88.6341160273332,88.4724583496482,88.8840459259072,89.0572356039459,89.0394134215811,88.559472534135,88.5208927511336,87.3590961336853,88.5823268621086,89.0362683305756,88.9398188730722,89.4566621616501,89.7546071162421,89.9623927953417,89.9873438506524,90.1068573088631,90.5773629232926,91.2567025804903,91.2567025804903,91.0721905748317,91.3781030933044,90.5958141238585,91.6175493551932,91.9337358376173,91.6104204822473,91.7171439037021,91.4179409127079,90.7287466370262,89.2889239746877,90.642780816208,91.3898447663917,91.5741470993167,92.5032069823547,92.7235730254765,92.2866150484395,92.2694218842758,92.65752611436,92.1566179535436,91.9867830392442,92.7413952078413,92.3117757764838,92.8661504843946,93.0217276528022,92.934294122848,93.0265501256773,93.2561417690821,93.5314420684341,93.6817774184992,93.9273041896654,93.2641093329628,92.2616639931288,92.3776130148666,93.1297091106592,93.9235300804587,94.0640108120398,94.2728448548079,93.7237119652398,94.5491935178285,94.9563779666797,94.8282679263872,94.8578317818393,95.1274709173814,95.0956006618585,95.0956006618585,94.7727046519559,94.6477397026689,94.2118300893004,93.484265703351,93.6970835280595,93.1586439479102,93.948061790302,93.8023392403784,92.947713177805,92.1645855174243,93.2829798789961,93.419267155903,93.1599019843124,91.2627830897677,91.4060105341602,90.3173687335009,92.074426241932,91.4422629498175,91.2212678884945,91.496987533314,93.0582107084665,93.7524371297571,94.0688332849149,94.7643177426078,95.1115357896199,95.3964810347223,95.2941607406752,95.7466345000063,95.9208725417135,95.4363188541259,96.3743946647131,96.562261434111,96.7360801303508,97.0921044321784,97.7194452514178,98.128097409405,98.4943956751841,98.5818292051382,98.2369175581968,97.4288388425055,97.4825150623334,98.1865961021081,98.1855477384396,98.565055386442,98.3086256331232,98.6413762615099,98.5034116027333,98.1884831567114,98.3511891980649,98.5767970595294,98.5767970595294,96.3366535726465,97.6083187025552,95.7575374821589,94.6261434110975,95.9693069431989,95.1585024819694,96.2748001162042,98.2683684682523,98.5715552411868,97.8637000922055,98.7982114663197,97.8955703477283,97.1642318525723,98.7527124831062,97.8892801657172,96.8822220257418,95.7789241009966,97.4816763713986,98.4740574200149,99.0869308206288,99.0869308206288,100.458190499046,100.356708895934,100.497399300249,100.196938272852,99.9337989920552,100.507463591467,98.5583458589635,98.463364110596,98.0645665710929,97.9232471485771,98.8202271033585,99.0986724937161,97.6871556504275,97.7672506347021,97.7672506347021,95.9695166159326,95.0396180419598,93.9906253552437,92.212810246176,92.46840130856,91.3428780740423,91.2061714516679,90.7151179093355,92.9238104861629,94.0145280468858,94.804365234745,96.1806570587715,94.4382766416996,92.6468328049412,92.2910181758472,93.746146947746,93.828758004825,91.8421088529891,91.1839461418954,91.1839461418954,90.2590797135315,88.5972136262015,89.9223453032044,91.9341551830847,91.7095956852888,90.2905306235869,91.9737833297546,91.4904876785692,90.7646006744894,88.0854024832325,87.4482070455091,89.6954794053378,89.3105202662591,88.1529171034849,87.4987381743315,89.3719543772341,91.3724419294944,92.5006909095502,93.5794571244521,93.5387806141138,94.596160210178,93.4352022836645,94.775430397494,95.2555809576739,95.9361786512738,97.1120233418802,96.500827323136,96.500827323136]}]]></FdsFormulaCache>
</file>

<file path=customXml/itemProps1.xml><?xml version="1.0" encoding="utf-8"?>
<ds:datastoreItem xmlns:ds="http://schemas.openxmlformats.org/officeDocument/2006/customXml" ds:itemID="{527AE2B3-EEBD-447A-BD19-AB0BE27B1D92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杜邦分析-A股</vt:lpstr>
      <vt:lpstr>杜邦分析-海外股</vt:lpstr>
    </vt:vector>
  </TitlesOfParts>
  <Company>FactSet Research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at a Glance</dc:title>
  <dc:creator>Wind</dc:creator>
  <cp:lastModifiedBy>Cui YongQiang</cp:lastModifiedBy>
  <cp:lastPrinted>2012-08-17T09:22:51Z</cp:lastPrinted>
  <dcterms:created xsi:type="dcterms:W3CDTF">2002-04-02T21:37:13Z</dcterms:created>
  <dcterms:modified xsi:type="dcterms:W3CDTF">2024-04-12T05:50:10Z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SMenuDocLevelBtnStates">
    <vt:lpwstr>&lt;btnStates&gt;&lt;btn tag="1001" state="UP"/&gt;&lt;/btnStates&gt;_x000d_
</vt:lpwstr>
  </property>
  <property fmtid="{D5CDD505-2E9C-101B-9397-08002B2CF9AE}" pid="3" name="FactSetAutoResize">
    <vt:i4>1</vt:i4>
  </property>
  <property fmtid="{D5CDD505-2E9C-101B-9397-08002B2CF9AE}" pid="4" name="=fdsSearchOrder">
    <vt:i4>0</vt:i4>
  </property>
</Properties>
</file>