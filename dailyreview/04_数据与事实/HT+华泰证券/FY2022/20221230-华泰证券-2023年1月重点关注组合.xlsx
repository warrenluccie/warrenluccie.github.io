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金股、视频号、研报海报\1产品-金股\金股excel\"/>
    </mc:Choice>
  </mc:AlternateContent>
  <bookViews>
    <workbookView xWindow="0" yWindow="0" windowWidth="19200" windowHeight="7425"/>
  </bookViews>
  <sheets>
    <sheet name="Sheet1" sheetId="8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B12" i="8" l="1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</calcChain>
</file>

<file path=xl/sharedStrings.xml><?xml version="1.0" encoding="utf-8"?>
<sst xmlns="http://schemas.openxmlformats.org/spreadsheetml/2006/main" count="3" uniqueCount="3">
  <si>
    <t>重点关注组合</t>
    <phoneticPr fontId="5" type="noConversion"/>
  </si>
  <si>
    <t>*  免责声明：本材料摘编华泰证券向其客户已发布研究报告的部分内容及观点，完整的投资意见分析应以报告发布当日的完整研究报告内容为准。本材料中的信息或所表述的意见均不构成对任何人的投资建议。</t>
    <phoneticPr fontId="5" type="noConversion"/>
  </si>
  <si>
    <t>*  相关研报：代雯 | 大健康研究组负责人、医药首席 S0570516120002/BFI915《国内海外齐突破，3Q22同比高增长》2022-10-21，龚源月 | 食品饮料首席 S0570520100001/BQL737《成长空间及利润弹性兼具的酵母龙头》2022-11-14，沈晓峰 | 新经济研究组负责人、交运首席 S0570516110001/BCG366《基本面有望见底；盈利突破兑现可期》2022-12-16，谢春生 | 计算机首席 S0570519080006/BQZ938《财政IT政策助支付电子化龙头腾飞》 2022-11-03，朱　珺 | 传媒互联网首席 S0570520040004/BPX711《高铁数字媒体龙头，布局裸眼3D大屏》 2022-12-29，余　熠 | 通信研究员 S0570520090002/BNC535《行业维持高景气，营收利润稳增长》 2022-10-28，李　斌 | 有色首席 S0570517050001/BPN269《产品需求向好，业务规模持续扩张》 2022-04-15，沈　娟 | 金融研究组联席负责人 S0570514040002/BPN843《对公生态助实体，银保协同显成效》 2022-10-25，李　健 | 金融研究组联席负责人 S0570521010001/AWF297 《估值强力修复，后续动能如何？》2022-12-19《中国人寿A股全年表现亮眼》 2022-12-20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</si>
</sst>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等线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rgb="FF2E75B6"/>
      <name val="思源黑体 CN Regular"/>
      <family val="2"/>
      <charset val="134"/>
    </font>
    <font>
      <sz val="9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3" borderId="0" xfId="0" applyFill="1" applyBorder="1">
      <alignment vertical="center"/>
    </xf>
    <xf numFmtId="176" fontId="1" fillId="4" borderId="0" xfId="1" applyNumberFormat="1" applyFont="1" applyFill="1" applyBorder="1" applyAlignment="1">
      <alignment horizontal="center" vertical="center" wrapText="1"/>
    </xf>
    <xf numFmtId="176" fontId="1" fillId="4" borderId="0" xfId="1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176" fontId="6" fillId="4" borderId="0" xfId="1" applyNumberFormat="1" applyFont="1" applyFill="1" applyBorder="1" applyAlignment="1">
      <alignment horizontal="left" vertical="center" wrapText="1" indent="3"/>
    </xf>
    <xf numFmtId="57" fontId="2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57" fontId="2" fillId="2" borderId="0" xfId="0" applyNumberFormat="1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&#25991;&#20214;/1&#20135;&#21697;-&#37329;&#32929;&#12289;&#35270;&#39057;&#21495;&#12289;&#30740;&#25253;&#28023;&#25253;/1&#20135;&#21697;-&#37329;&#32929;/202301&#37329;&#32929;&#25512;&#33616;&#36923;&#36753;&#65288;A&#65289;-&#25991;&#23383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股推荐逻辑"/>
      <sheetName val="简表"/>
    </sheetNames>
    <sheetDataSet>
      <sheetData sheetId="0">
        <row r="4">
          <cell r="B4" t="str">
            <v>新产业
300832</v>
          </cell>
          <cell r="C4" t="str">
            <v>医药</v>
          </cell>
        </row>
        <row r="6">
          <cell r="B6" t="str">
            <v>安琪酵母
600298</v>
          </cell>
          <cell r="C6" t="str">
            <v>食品饮料</v>
          </cell>
        </row>
        <row r="8">
          <cell r="B8" t="str">
            <v>南方航空
600029</v>
          </cell>
          <cell r="C8" t="str">
            <v>交运</v>
          </cell>
        </row>
        <row r="10">
          <cell r="B10" t="str">
            <v>中科江南
301153</v>
          </cell>
          <cell r="C10" t="str">
            <v>计算机</v>
          </cell>
        </row>
        <row r="12">
          <cell r="B12" t="str">
            <v xml:space="preserve">兆讯传媒
301102 </v>
          </cell>
          <cell r="C12" t="str">
            <v>传媒</v>
          </cell>
        </row>
        <row r="14">
          <cell r="B14" t="str">
            <v>七一二
603712</v>
          </cell>
          <cell r="C14" t="str">
            <v>通信</v>
          </cell>
        </row>
        <row r="16">
          <cell r="B16" t="str">
            <v>贵研铂业
600459</v>
          </cell>
          <cell r="C16" t="str">
            <v>有色</v>
          </cell>
        </row>
        <row r="18">
          <cell r="B18" t="str">
            <v>平安银行
000001</v>
          </cell>
          <cell r="C18" t="str">
            <v>银行</v>
          </cell>
        </row>
        <row r="20">
          <cell r="B20" t="str">
            <v>中国平安
 601318</v>
          </cell>
          <cell r="C20" t="str">
            <v>保险</v>
          </cell>
        </row>
        <row r="22">
          <cell r="B22" t="str">
            <v>中国人寿
601628</v>
          </cell>
          <cell r="C22" t="str">
            <v>保险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workbookViewId="0">
      <selection activeCell="D15" sqref="D15"/>
    </sheetView>
  </sheetViews>
  <sheetFormatPr defaultRowHeight="14.25" x14ac:dyDescent="0.2"/>
  <cols>
    <col min="1" max="1" width="32.625" customWidth="1"/>
    <col min="2" max="2" width="28.5" customWidth="1"/>
  </cols>
  <sheetData>
    <row r="1" spans="1:37" s="1" customFormat="1" ht="53.1" customHeight="1" x14ac:dyDescent="0.7">
      <c r="A1" s="10">
        <v>44927</v>
      </c>
      <c r="B1" s="11"/>
      <c r="C1" s="3"/>
    </row>
    <row r="2" spans="1:37" s="2" customFormat="1" ht="57.6" customHeight="1" x14ac:dyDescent="0.2">
      <c r="A2" s="12" t="s">
        <v>0</v>
      </c>
      <c r="B2" s="1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44.1" customHeight="1" x14ac:dyDescent="0.2">
      <c r="A3" s="6" t="str">
        <f>[1]金股推荐逻辑!B4</f>
        <v>新产业
300832</v>
      </c>
      <c r="B3" s="6" t="str">
        <f>[1]金股推荐逻辑!C4</f>
        <v>医药</v>
      </c>
    </row>
    <row r="4" spans="1:37" ht="44.1" customHeight="1" x14ac:dyDescent="0.2">
      <c r="A4" s="6" t="str">
        <f>[1]金股推荐逻辑!B6</f>
        <v>安琪酵母
600298</v>
      </c>
      <c r="B4" s="6" t="str">
        <f>[1]金股推荐逻辑!C6</f>
        <v>食品饮料</v>
      </c>
    </row>
    <row r="5" spans="1:37" ht="44.1" customHeight="1" x14ac:dyDescent="0.2">
      <c r="A5" s="6" t="str">
        <f>[1]金股推荐逻辑!B8</f>
        <v>南方航空
600029</v>
      </c>
      <c r="B5" s="6" t="str">
        <f>[1]金股推荐逻辑!C8</f>
        <v>交运</v>
      </c>
    </row>
    <row r="6" spans="1:37" ht="44.1" customHeight="1" x14ac:dyDescent="0.2">
      <c r="A6" s="6" t="str">
        <f>[1]金股推荐逻辑!B10</f>
        <v>中科江南
301153</v>
      </c>
      <c r="B6" s="6" t="str">
        <f>[1]金股推荐逻辑!C10</f>
        <v>计算机</v>
      </c>
    </row>
    <row r="7" spans="1:37" ht="44.1" customHeight="1" x14ac:dyDescent="0.2">
      <c r="A7" s="6" t="str">
        <f>[1]金股推荐逻辑!B12</f>
        <v xml:space="preserve">兆讯传媒
301102 </v>
      </c>
      <c r="B7" s="6" t="str">
        <f>[1]金股推荐逻辑!C12</f>
        <v>传媒</v>
      </c>
    </row>
    <row r="8" spans="1:37" ht="44.1" customHeight="1" x14ac:dyDescent="0.2">
      <c r="A8" s="6" t="str">
        <f>[1]金股推荐逻辑!B14</f>
        <v>七一二
603712</v>
      </c>
      <c r="B8" s="6" t="str">
        <f>[1]金股推荐逻辑!C14</f>
        <v>通信</v>
      </c>
    </row>
    <row r="9" spans="1:37" ht="44.1" customHeight="1" x14ac:dyDescent="0.2">
      <c r="A9" s="6" t="str">
        <f>[1]金股推荐逻辑!B16</f>
        <v>贵研铂业
600459</v>
      </c>
      <c r="B9" s="6" t="str">
        <f>[1]金股推荐逻辑!C16</f>
        <v>有色</v>
      </c>
    </row>
    <row r="10" spans="1:37" ht="44.1" customHeight="1" x14ac:dyDescent="0.2">
      <c r="A10" s="6" t="str">
        <f>[1]金股推荐逻辑!B18</f>
        <v>平安银行
000001</v>
      </c>
      <c r="B10" s="6" t="str">
        <f>[1]金股推荐逻辑!C18</f>
        <v>银行</v>
      </c>
    </row>
    <row r="11" spans="1:37" ht="44.1" customHeight="1" x14ac:dyDescent="0.2">
      <c r="A11" s="6" t="str">
        <f>[1]金股推荐逻辑!B20</f>
        <v>中国平安
 601318</v>
      </c>
      <c r="B11" s="6" t="str">
        <f>[1]金股推荐逻辑!C20</f>
        <v>保险</v>
      </c>
    </row>
    <row r="12" spans="1:37" ht="44.1" customHeight="1" x14ac:dyDescent="0.2">
      <c r="A12" s="6" t="str">
        <f>[1]金股推荐逻辑!B22</f>
        <v>中国人寿
601628</v>
      </c>
      <c r="B12" s="6" t="str">
        <f>[1]金股推荐逻辑!C22</f>
        <v>保险</v>
      </c>
    </row>
    <row r="13" spans="1:37" x14ac:dyDescent="0.2">
      <c r="A13" s="9"/>
      <c r="B13" s="9"/>
    </row>
    <row r="14" spans="1:37" ht="18.75" x14ac:dyDescent="0.2">
      <c r="A14" s="4"/>
      <c r="B14" s="5"/>
    </row>
    <row r="15" spans="1:37" ht="156" customHeight="1" x14ac:dyDescent="0.2">
      <c r="A15" s="7" t="s">
        <v>2</v>
      </c>
      <c r="B15" s="7"/>
    </row>
    <row r="16" spans="1:37" ht="43.5" customHeight="1" x14ac:dyDescent="0.2">
      <c r="A16" s="7" t="s">
        <v>1</v>
      </c>
      <c r="B16" s="8"/>
    </row>
  </sheetData>
  <mergeCells count="5">
    <mergeCell ref="A15:B15"/>
    <mergeCell ref="A16:B16"/>
    <mergeCell ref="A13:B13"/>
    <mergeCell ref="A1:B1"/>
    <mergeCell ref="A2:B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2022-12-30T05:45:41Z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