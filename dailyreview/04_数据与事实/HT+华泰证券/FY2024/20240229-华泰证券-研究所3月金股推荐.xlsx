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工作文件\1产品-金股、本周精选 等\1产品-金股\"/>
    </mc:Choice>
  </mc:AlternateContent>
  <bookViews>
    <workbookView xWindow="8136" yWindow="0" windowWidth="11088" windowHeight="7548"/>
  </bookViews>
  <sheets>
    <sheet name="金股推荐逻辑" sheetId="8" r:id="rId1"/>
    <sheet name="简表" sheetId="7" r:id="rId2"/>
  </sheets>
  <definedNames>
    <definedName name="_xlnm._FilterDatabase" localSheetId="0" hidden="1">金股推荐逻辑!$B$1:$B$24</definedName>
  </definedNames>
  <calcPr calcId="152511"/>
</workbook>
</file>

<file path=xl/calcChain.xml><?xml version="1.0" encoding="utf-8"?>
<calcChain xmlns="http://schemas.openxmlformats.org/spreadsheetml/2006/main">
  <c r="B1" i="7" l="1"/>
  <c r="B2" i="7"/>
  <c r="B3" i="7"/>
  <c r="B4" i="7"/>
  <c r="B5" i="7"/>
  <c r="B6" i="7"/>
  <c r="B7" i="7"/>
  <c r="B8" i="7"/>
  <c r="B9" i="7"/>
  <c r="B10" i="7"/>
  <c r="A10" i="7"/>
  <c r="A9" i="7"/>
  <c r="A8" i="7"/>
  <c r="A7" i="7"/>
  <c r="A6" i="7"/>
  <c r="A5" i="7"/>
  <c r="A4" i="7"/>
  <c r="A3" i="7"/>
  <c r="A2" i="7"/>
  <c r="A1" i="7"/>
</calcChain>
</file>

<file path=xl/sharedStrings.xml><?xml version="1.0" encoding="utf-8"?>
<sst xmlns="http://schemas.openxmlformats.org/spreadsheetml/2006/main" count="64" uniqueCount="61">
  <si>
    <t>序号</t>
  </si>
  <si>
    <t>股票名称</t>
  </si>
  <si>
    <t>行业</t>
  </si>
  <si>
    <t>注：以上信息以华泰研究所最新发布的研报为准。</t>
  </si>
  <si>
    <t>4</t>
    <phoneticPr fontId="5" type="noConversion"/>
  </si>
  <si>
    <t>6</t>
    <phoneticPr fontId="5" type="noConversion"/>
  </si>
  <si>
    <t>9</t>
    <phoneticPr fontId="5" type="noConversion"/>
  </si>
  <si>
    <t>2023E</t>
    <phoneticPr fontId="5" type="noConversion"/>
  </si>
  <si>
    <t>深度咨询</t>
    <phoneticPr fontId="5" type="noConversion"/>
  </si>
  <si>
    <t>EPS</t>
    <phoneticPr fontId="5" type="noConversion"/>
  </si>
  <si>
    <t>PE</t>
    <phoneticPr fontId="5" type="noConversion"/>
  </si>
  <si>
    <t>5</t>
    <phoneticPr fontId="5" type="noConversion"/>
  </si>
  <si>
    <t>2024E</t>
  </si>
  <si>
    <t>2</t>
    <phoneticPr fontId="5" type="noConversion"/>
  </si>
  <si>
    <t>2025E</t>
  </si>
  <si>
    <t>1</t>
    <phoneticPr fontId="5" type="noConversion"/>
  </si>
  <si>
    <t>银行</t>
    <phoneticPr fontId="5" type="noConversion"/>
  </si>
  <si>
    <t>有色</t>
    <phoneticPr fontId="5" type="noConversion"/>
  </si>
  <si>
    <t>建材</t>
    <phoneticPr fontId="5" type="noConversion"/>
  </si>
  <si>
    <t>计算机</t>
    <phoneticPr fontId="5" type="noConversion"/>
  </si>
  <si>
    <t>沈晓峰 | 交运首席 S0570516110001/BCG366
18616578663
shenxiaofeng@htsc.com</t>
    <phoneticPr fontId="5" type="noConversion"/>
  </si>
  <si>
    <t>沈　娟 | 银行与证券首席 S0570514040002/BPN843
18688799197
shenjuan@htsc.com</t>
    <phoneticPr fontId="5" type="noConversion"/>
  </si>
  <si>
    <t>方晏荷 | 建筑建材首席 S0570517080007/BPW811
13918124864
fangyanhe@htsc.com</t>
    <phoneticPr fontId="5" type="noConversion"/>
  </si>
  <si>
    <t>王　帅 | 基本原材料首席 S0570520110001/AOH868
13917651838
bruce.wang@htsc.com</t>
    <phoneticPr fontId="5" type="noConversion"/>
  </si>
  <si>
    <t>华泰研究所3月金股推荐</t>
    <phoneticPr fontId="5" type="noConversion"/>
  </si>
  <si>
    <t>柳药集团 
603368.SH</t>
    <phoneticPr fontId="5" type="noConversion"/>
  </si>
  <si>
    <t xml:space="preserve">推荐逻辑：
净利润保持稳健增长，盈利能力改善，新兴中药工业业务快速发展，贡献增长新驱动
催化剂：24年工业业务对公司利润贡献占比将提高至近30%，成为公司增长新动能
相关研报：3Q利润稳健增长，工业业务持续拓展 2023-10-25 </t>
    <phoneticPr fontId="5" type="noConversion"/>
  </si>
  <si>
    <t>熊承慧 | 农林牧渔首席 S0570522120004/BPK020  
13811823824
xiongchenghui@htsc.com</t>
    <phoneticPr fontId="5" type="noConversion"/>
  </si>
  <si>
    <t xml:space="preserve">推荐逻辑：
中蒙业务优势地位稳固并持续实现突破；在非洲市场以节点打通市场，增量空间广阔；培育期的中亚、南美市场，有望逐步兑现。
催化剂：中蒙长协签订，非洲、中亚新项目落地
相关研报：中蒙+非洲双轮驱动，业绩再创新高 2023-10-27 </t>
    <phoneticPr fontId="5" type="noConversion"/>
  </si>
  <si>
    <t>推荐逻辑：
受益于公司半导体设备业务的市占率稳步提升，营业收入持续增长。2023年公司新签订单超过300亿元，其中集成电路领域占比超过70%。看好2024年中国本土晶圆制造厂商资本开支维持高强度及半导体设备国产化进程加速。目前估值处于低位，有望迎来业绩估值共振。
催化剂：下游持续扩产，新签订单超预期
相关研报：2023年收入维持高增，新签订单充足 2024-01-16</t>
    <phoneticPr fontId="5" type="noConversion"/>
  </si>
  <si>
    <t>推荐逻辑：
1创新业务不断升级：MSP服务+液冷技术 2边缘算力+短剧出海有望为公司带来新的增长动能
催化剂：1海外流量持续高增 2利润逐季兑现
相关研报：单季度还原后扣非净利环比有望持续改善 2024-01-30</t>
    <phoneticPr fontId="5" type="noConversion"/>
  </si>
  <si>
    <t>谢春生 | 计算机首席 S0570519080006/BQZ938
13774410126
xiechunsheng@htsc.com</t>
    <phoneticPr fontId="5" type="noConversion"/>
  </si>
  <si>
    <t>捷成股份
300182.SZ</t>
    <phoneticPr fontId="5" type="noConversion"/>
  </si>
  <si>
    <t>推荐逻辑：
1、国内集新媒体版权运营、影视内容制作与发行、数字技术和数字教育于一体的文化产业集团。公司主营为版权业务、影视内容制作、音视频技术解决方案和创新业务。在影视版权运营方面，公司具行业龙头优势；在创新业务领域，战略布局AI+虚拟人，积极探索AI赋能；
2、AI视频软件有望推出，提高生产效率，形成第二增长曲线。
催化剂：AI视频软件有望近日推出
相关研报：版权运营龙头，战略布局AI+虚拟人 2023-11-06</t>
    <phoneticPr fontId="5" type="noConversion"/>
  </si>
  <si>
    <t>招商银行
600036.SH</t>
    <phoneticPr fontId="5" type="noConversion"/>
  </si>
  <si>
    <t>推荐逻辑：
机制领先+基本面韧性强+受益于地产政策放松+市场情绪改善利好
催化剂：此前市场担心地产风险压制招行估值，地产政策边际放松提振信心，政策组合拳改善市场情绪
相关研报：营收增速提升，非息边际改善 2024-01-20</t>
    <phoneticPr fontId="5" type="noConversion"/>
  </si>
  <si>
    <t>机械</t>
    <phoneticPr fontId="5" type="noConversion"/>
  </si>
  <si>
    <t>北新建材
000786.SZ</t>
    <phoneticPr fontId="5" type="noConversion"/>
  </si>
  <si>
    <t>洛阳钼业
603993.SH</t>
    <phoneticPr fontId="5" type="noConversion"/>
  </si>
  <si>
    <t>推荐逻辑：
公司KFM项目已达产，且TMF混合矿项目预计2024年投产，铜钴产量有望跨域式提升。叠加铜价上升趋势，业绩弹性较大。
催化剂：看好在供应端面临增量瓶颈以及新能源用铜拉动下的铜价表现
相关研报：TFM/KFM顺利推进，2024年可期  2023-10-28</t>
    <phoneticPr fontId="5" type="noConversion"/>
  </si>
  <si>
    <t>8</t>
    <phoneticPr fontId="5" type="noConversion"/>
  </si>
  <si>
    <t>7</t>
    <phoneticPr fontId="5" type="noConversion"/>
  </si>
  <si>
    <t>3</t>
    <phoneticPr fontId="5" type="noConversion"/>
  </si>
  <si>
    <t>10</t>
    <phoneticPr fontId="5" type="noConversion"/>
  </si>
  <si>
    <t>交运</t>
    <phoneticPr fontId="5" type="noConversion"/>
  </si>
  <si>
    <t>北方华创
002371.SZ</t>
    <phoneticPr fontId="5" type="noConversion"/>
  </si>
  <si>
    <t>网宿科技
300017.SZ</t>
    <phoneticPr fontId="5" type="noConversion"/>
  </si>
  <si>
    <t>推荐逻辑：
我们认为公司正逐步推动石膏板从工业品转向消费品，通过产品矩阵的丰富拓宽价格带、全销售渠道的拓展以及品牌建设的深化，有望淡化对行业周期的依赖，实现源远流长的增长。
相关研报：激励及并购落地，涂料版图布局深化 2023-12-30</t>
    <phoneticPr fontId="5" type="noConversion"/>
  </si>
  <si>
    <t>电子</t>
    <phoneticPr fontId="5" type="noConversion"/>
  </si>
  <si>
    <t>黄乐平 | 科技与电子首席 S0570521050001/AUZ066
14715372496
leping.huang@htsc.com</t>
    <phoneticPr fontId="5" type="noConversion"/>
  </si>
  <si>
    <t>传媒</t>
    <phoneticPr fontId="5" type="noConversion"/>
  </si>
  <si>
    <t>朱　珺 | 传媒首席 S0570520040004/BPX711
18603077109
zhujun016731@htsc.com</t>
    <phoneticPr fontId="5" type="noConversion"/>
  </si>
  <si>
    <t>中集集团
000039.SZ</t>
    <phoneticPr fontId="5" type="noConversion"/>
  </si>
  <si>
    <t>倪正洋 | 机械首席 S0570522100004/BTM566
18321162658
nizhengyang@htsc.com</t>
    <phoneticPr fontId="5" type="noConversion"/>
  </si>
  <si>
    <t>推荐逻辑：
1:集装箱行业触底反弹；2:海工行业经过十余年亏损，困境反转；3:国企改革促进提质增效诉求。
催化剂：1:集装箱行业量价数据；2:海工钻井平台和pfso相关订单落地。
相关研报：发布回购方案，彰显长期发展信心 2023-11-17</t>
    <phoneticPr fontId="5" type="noConversion"/>
  </si>
  <si>
    <t>医药</t>
    <phoneticPr fontId="5" type="noConversion"/>
  </si>
  <si>
    <t xml:space="preserve">代　雯 | 医药首席 S0570516120002/BFI915
18817874390
daiwen@htsc.com </t>
    <phoneticPr fontId="5" type="noConversion"/>
  </si>
  <si>
    <t>牧原股份
002714.SZ</t>
    <phoneticPr fontId="5" type="noConversion"/>
  </si>
  <si>
    <t>农林牧渔</t>
    <phoneticPr fontId="5" type="noConversion"/>
  </si>
  <si>
    <t xml:space="preserve">推荐逻辑：
生猪养殖龙头，成本优势明显、财务指标健康。公司出栏规模稳健扩张并逐步释放，后续有望伴随周期反转实现盈利增长。
催化剂：春节后猪价如期回落。行业母猪产能加速去化趋势不改 
相关研报：猪价拖累致亏损，降本拓潜信心足 2024-01-31 </t>
    <phoneticPr fontId="5" type="noConversion"/>
  </si>
  <si>
    <t>嘉友国际
603871.SH</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</si>
</sst>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00_);[Red]\(0.00\)"/>
  </numFmts>
  <fonts count="9" x14ac:knownFonts="1">
    <font>
      <sz val="11"/>
      <color theme="1"/>
      <name val="等线"/>
      <charset val="134"/>
    </font>
    <font>
      <b/>
      <sz val="18"/>
      <color rgb="FFFFFFFF"/>
      <name val="微软雅黑"/>
      <family val="2"/>
      <charset val="134"/>
    </font>
    <font>
      <b/>
      <sz val="11"/>
      <color rgb="FFC00000"/>
      <name val="微软雅黑"/>
      <family val="2"/>
      <charset val="134"/>
    </font>
    <font>
      <b/>
      <sz val="11"/>
      <color rgb="FF000000"/>
      <name val="微软雅黑"/>
      <family val="2"/>
      <charset val="134"/>
    </font>
    <font>
      <sz val="10"/>
      <color theme="1"/>
      <name val="微软雅黑"/>
      <family val="2"/>
      <charset val="134"/>
    </font>
    <font>
      <sz val="9"/>
      <name val="等线"/>
      <family val="3"/>
      <charset val="134"/>
    </font>
    <font>
      <sz val="11"/>
      <color rgb="FF000000"/>
      <name val="思源黑体 CN Bold"/>
      <family val="2"/>
      <charset val="134"/>
    </font>
    <font>
      <sz val="11"/>
      <color theme="1"/>
      <name val="等线"/>
      <family val="3"/>
      <charset val="134"/>
    </font>
    <font>
      <sz val="10"/>
      <name val="微软雅黑"/>
      <family val="2"/>
      <charset val="134"/>
    </font>
  </fonts>
  <fills count="7">
    <fill>
      <patternFill patternType="none"/>
    </fill>
    <fill>
      <patternFill patternType="gray125"/>
    </fill>
    <fill>
      <patternFill patternType="solid">
        <fgColor rgb="FFC00000"/>
        <bgColor indexed="64"/>
      </patternFill>
    </fill>
    <fill>
      <patternFill patternType="solid">
        <fgColor rgb="FFEEECE1"/>
        <bgColor indexed="64"/>
      </patternFill>
    </fill>
    <fill>
      <patternFill patternType="solid">
        <fgColor rgb="FFFFFFFF"/>
        <bgColor indexed="64"/>
      </patternFill>
    </fill>
    <fill>
      <patternFill patternType="solid">
        <fgColor rgb="FFE8F3FE"/>
        <bgColor indexed="64"/>
      </patternFill>
    </fill>
    <fill>
      <patternFill patternType="solid">
        <fgColor theme="0"/>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49" fontId="0" fillId="0" borderId="0" xfId="0" applyNumberFormat="1">
      <alignment vertical="center"/>
    </xf>
    <xf numFmtId="49" fontId="3"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176" fontId="6" fillId="5" borderId="0" xfId="0" applyNumberFormat="1" applyFont="1" applyFill="1" applyBorder="1" applyAlignment="1">
      <alignment horizontal="center" vertical="center" wrapText="1"/>
    </xf>
    <xf numFmtId="0" fontId="0" fillId="0" borderId="0" xfId="0" applyBorder="1">
      <alignment vertical="center"/>
    </xf>
    <xf numFmtId="0" fontId="0" fillId="5" borderId="0" xfId="0" applyFill="1" applyBorder="1">
      <alignment vertical="center"/>
    </xf>
    <xf numFmtId="0" fontId="0" fillId="6" borderId="0" xfId="0" applyFill="1" applyBorder="1">
      <alignment vertical="center"/>
    </xf>
    <xf numFmtId="176" fontId="0" fillId="6" borderId="0" xfId="0" applyNumberFormat="1" applyFill="1" applyBorder="1">
      <alignment vertical="center"/>
    </xf>
    <xf numFmtId="177"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xf>
    <xf numFmtId="177" fontId="0" fillId="0" borderId="0" xfId="0" applyNumberFormat="1">
      <alignment vertical="center"/>
    </xf>
    <xf numFmtId="49" fontId="7" fillId="0" borderId="0" xfId="0" applyNumberFormat="1" applyFont="1">
      <alignment vertical="center"/>
    </xf>
    <xf numFmtId="0"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wrapText="1"/>
    </xf>
    <xf numFmtId="49" fontId="8" fillId="4" borderId="5" xfId="0" applyNumberFormat="1" applyFont="1" applyFill="1" applyBorder="1" applyAlignment="1">
      <alignment horizontal="left" vertical="center" wrapText="1"/>
    </xf>
    <xf numFmtId="49" fontId="8" fillId="4" borderId="0" xfId="0" applyNumberFormat="1" applyFont="1" applyFill="1" applyBorder="1" applyAlignment="1">
      <alignment horizontal="left" vertical="center" wrapText="1"/>
    </xf>
    <xf numFmtId="49" fontId="8" fillId="4" borderId="6" xfId="0" applyNumberFormat="1" applyFont="1" applyFill="1" applyBorder="1" applyAlignment="1">
      <alignment horizontal="left"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9" xfId="0" applyNumberFormat="1" applyFont="1" applyBorder="1" applyAlignment="1">
      <alignment horizontal="left" vertical="center"/>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2" fillId="0" borderId="4" xfId="0" applyNumberFormat="1" applyFont="1" applyBorder="1" applyAlignment="1">
      <alignment horizontal="center" vertical="center"/>
    </xf>
    <xf numFmtId="177" fontId="2" fillId="0" borderId="7" xfId="0" applyNumberFormat="1" applyFont="1" applyBorder="1" applyAlignment="1">
      <alignment horizontal="center" vertical="center" wrapText="1"/>
    </xf>
    <xf numFmtId="177" fontId="2" fillId="0" borderId="8" xfId="0" applyNumberFormat="1" applyFont="1" applyBorder="1" applyAlignment="1">
      <alignment horizontal="center" vertical="center" wrapText="1"/>
    </xf>
    <xf numFmtId="177" fontId="2" fillId="0" borderId="9"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E8F3FE"/>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tabSelected="1" zoomScale="90" zoomScaleNormal="90" workbookViewId="0">
      <pane ySplit="3" topLeftCell="A6" activePane="bottomLeft" state="frozen"/>
      <selection pane="bottomLeft" sqref="A1:L1"/>
    </sheetView>
  </sheetViews>
  <sheetFormatPr defaultColWidth="9" defaultRowHeight="13.8" x14ac:dyDescent="0.25"/>
  <cols>
    <col min="1" max="1" width="5.44140625" style="1" customWidth="1"/>
    <col min="2" max="2" width="12.6640625" style="1" customWidth="1"/>
    <col min="3" max="3" width="9.33203125" style="1" customWidth="1"/>
    <col min="4" max="7" width="8.77734375" style="12" customWidth="1"/>
    <col min="8" max="8" width="9.44140625" style="12" customWidth="1"/>
    <col min="9" max="9" width="9.88671875" style="12" customWidth="1"/>
    <col min="10" max="10" width="8.77734375" style="12" customWidth="1"/>
    <col min="11" max="11" width="9.77734375" style="12" customWidth="1"/>
    <col min="12" max="12" width="52.88671875" style="1" customWidth="1"/>
    <col min="13" max="16384" width="9" style="1"/>
  </cols>
  <sheetData>
    <row r="1" spans="1:12" ht="33.75" customHeight="1" x14ac:dyDescent="0.25">
      <c r="A1" s="22" t="s">
        <v>24</v>
      </c>
      <c r="B1" s="23"/>
      <c r="C1" s="23"/>
      <c r="D1" s="23"/>
      <c r="E1" s="23"/>
      <c r="F1" s="23"/>
      <c r="G1" s="23"/>
      <c r="H1" s="23"/>
      <c r="I1" s="23"/>
      <c r="J1" s="23"/>
      <c r="K1" s="23"/>
      <c r="L1" s="24"/>
    </row>
    <row r="2" spans="1:12" ht="18" customHeight="1" x14ac:dyDescent="0.25">
      <c r="A2" s="25" t="s">
        <v>0</v>
      </c>
      <c r="B2" s="25" t="s">
        <v>1</v>
      </c>
      <c r="C2" s="25" t="s">
        <v>2</v>
      </c>
      <c r="D2" s="26" t="s">
        <v>9</v>
      </c>
      <c r="E2" s="27"/>
      <c r="F2" s="27"/>
      <c r="G2" s="28"/>
      <c r="H2" s="26" t="s">
        <v>10</v>
      </c>
      <c r="I2" s="27"/>
      <c r="J2" s="27"/>
      <c r="K2" s="28"/>
      <c r="L2" s="29" t="s">
        <v>8</v>
      </c>
    </row>
    <row r="3" spans="1:12" ht="18" customHeight="1" x14ac:dyDescent="0.25">
      <c r="A3" s="25"/>
      <c r="B3" s="25"/>
      <c r="C3" s="25"/>
      <c r="D3" s="14">
        <v>2022</v>
      </c>
      <c r="E3" s="10" t="s">
        <v>7</v>
      </c>
      <c r="F3" s="10" t="s">
        <v>12</v>
      </c>
      <c r="G3" s="10" t="s">
        <v>14</v>
      </c>
      <c r="H3" s="14">
        <v>2022</v>
      </c>
      <c r="I3" s="10" t="s">
        <v>7</v>
      </c>
      <c r="J3" s="10" t="s">
        <v>12</v>
      </c>
      <c r="K3" s="10" t="s">
        <v>14</v>
      </c>
      <c r="L3" s="29"/>
    </row>
    <row r="4" spans="1:12" ht="52.2" customHeight="1" x14ac:dyDescent="0.25">
      <c r="A4" s="2" t="s">
        <v>15</v>
      </c>
      <c r="B4" s="3" t="s">
        <v>34</v>
      </c>
      <c r="C4" s="4" t="s">
        <v>16</v>
      </c>
      <c r="D4" s="11">
        <v>5.26</v>
      </c>
      <c r="E4" s="11">
        <v>5.61</v>
      </c>
      <c r="F4" s="11">
        <v>6.02</v>
      </c>
      <c r="G4" s="11">
        <v>6.44</v>
      </c>
      <c r="H4" s="11">
        <v>5.65</v>
      </c>
      <c r="I4" s="11">
        <v>5.3</v>
      </c>
      <c r="J4" s="11">
        <v>4.9400000000000004</v>
      </c>
      <c r="K4" s="11">
        <v>4.6100000000000003</v>
      </c>
      <c r="L4" s="2" t="s">
        <v>21</v>
      </c>
    </row>
    <row r="5" spans="1:12" s="13" customFormat="1" ht="112.2" customHeight="1" x14ac:dyDescent="0.25">
      <c r="A5" s="16" t="s">
        <v>35</v>
      </c>
      <c r="B5" s="17"/>
      <c r="C5" s="17"/>
      <c r="D5" s="17"/>
      <c r="E5" s="17"/>
      <c r="F5" s="17"/>
      <c r="G5" s="17"/>
      <c r="H5" s="17"/>
      <c r="I5" s="17"/>
      <c r="J5" s="17"/>
      <c r="K5" s="17"/>
      <c r="L5" s="18"/>
    </row>
    <row r="6" spans="1:12" ht="52.2" customHeight="1" x14ac:dyDescent="0.25">
      <c r="A6" s="2" t="s">
        <v>13</v>
      </c>
      <c r="B6" s="3" t="s">
        <v>37</v>
      </c>
      <c r="C6" s="4" t="s">
        <v>18</v>
      </c>
      <c r="D6" s="11">
        <v>1.86</v>
      </c>
      <c r="E6" s="11">
        <v>2.11</v>
      </c>
      <c r="F6" s="11">
        <v>2.4500000000000002</v>
      </c>
      <c r="G6" s="11">
        <v>2.78</v>
      </c>
      <c r="H6" s="11">
        <v>12.58</v>
      </c>
      <c r="I6" s="11">
        <v>11.08</v>
      </c>
      <c r="J6" s="11">
        <v>9.5399999999999991</v>
      </c>
      <c r="K6" s="11">
        <v>8.4</v>
      </c>
      <c r="L6" s="2" t="s">
        <v>22</v>
      </c>
    </row>
    <row r="7" spans="1:12" s="13" customFormat="1" ht="112.2" customHeight="1" x14ac:dyDescent="0.25">
      <c r="A7" s="16" t="s">
        <v>47</v>
      </c>
      <c r="B7" s="17"/>
      <c r="C7" s="17"/>
      <c r="D7" s="17"/>
      <c r="E7" s="17"/>
      <c r="F7" s="17"/>
      <c r="G7" s="17"/>
      <c r="H7" s="17"/>
      <c r="I7" s="17"/>
      <c r="J7" s="17"/>
      <c r="K7" s="17"/>
      <c r="L7" s="18"/>
    </row>
    <row r="8" spans="1:12" ht="52.2" customHeight="1" x14ac:dyDescent="0.25">
      <c r="A8" s="2" t="s">
        <v>42</v>
      </c>
      <c r="B8" s="3" t="s">
        <v>38</v>
      </c>
      <c r="C8" s="4" t="s">
        <v>17</v>
      </c>
      <c r="D8" s="11">
        <v>0.28000000000000003</v>
      </c>
      <c r="E8" s="11">
        <v>0.39</v>
      </c>
      <c r="F8" s="11">
        <v>0.52</v>
      </c>
      <c r="G8" s="11">
        <v>0.67</v>
      </c>
      <c r="H8" s="11">
        <v>19.329999999999998</v>
      </c>
      <c r="I8" s="11">
        <v>13.83</v>
      </c>
      <c r="J8" s="11">
        <v>10.44</v>
      </c>
      <c r="K8" s="11">
        <v>8.06</v>
      </c>
      <c r="L8" s="2" t="s">
        <v>23</v>
      </c>
    </row>
    <row r="9" spans="1:12" ht="112.2" customHeight="1" x14ac:dyDescent="0.25">
      <c r="A9" s="16" t="s">
        <v>39</v>
      </c>
      <c r="B9" s="17"/>
      <c r="C9" s="17"/>
      <c r="D9" s="17"/>
      <c r="E9" s="17"/>
      <c r="F9" s="17"/>
      <c r="G9" s="17"/>
      <c r="H9" s="17"/>
      <c r="I9" s="17"/>
      <c r="J9" s="17"/>
      <c r="K9" s="17"/>
      <c r="L9" s="18"/>
    </row>
    <row r="10" spans="1:12" ht="52.2" customHeight="1" x14ac:dyDescent="0.25">
      <c r="A10" s="2" t="s">
        <v>4</v>
      </c>
      <c r="B10" s="3" t="s">
        <v>45</v>
      </c>
      <c r="C10" s="4" t="s">
        <v>48</v>
      </c>
      <c r="D10" s="11">
        <v>4.4400000000000004</v>
      </c>
      <c r="E10" s="11">
        <v>7.72</v>
      </c>
      <c r="F10" s="11">
        <v>11.26</v>
      </c>
      <c r="G10" s="11">
        <v>15.27</v>
      </c>
      <c r="H10" s="11">
        <v>52.27</v>
      </c>
      <c r="I10" s="11">
        <v>30.04</v>
      </c>
      <c r="J10" s="11">
        <v>20.59</v>
      </c>
      <c r="K10" s="11">
        <v>15.2</v>
      </c>
      <c r="L10" s="15" t="s">
        <v>49</v>
      </c>
    </row>
    <row r="11" spans="1:12" ht="108.75" customHeight="1" x14ac:dyDescent="0.25">
      <c r="A11" s="16" t="s">
        <v>29</v>
      </c>
      <c r="B11" s="17"/>
      <c r="C11" s="17"/>
      <c r="D11" s="17"/>
      <c r="E11" s="17"/>
      <c r="F11" s="17"/>
      <c r="G11" s="17"/>
      <c r="H11" s="17"/>
      <c r="I11" s="17"/>
      <c r="J11" s="17"/>
      <c r="K11" s="17"/>
      <c r="L11" s="18"/>
    </row>
    <row r="12" spans="1:12" ht="52.2" customHeight="1" x14ac:dyDescent="0.25">
      <c r="A12" s="2" t="s">
        <v>11</v>
      </c>
      <c r="B12" s="3" t="s">
        <v>46</v>
      </c>
      <c r="C12" s="11" t="s">
        <v>19</v>
      </c>
      <c r="D12" s="11">
        <v>0.08</v>
      </c>
      <c r="E12" s="11">
        <v>0.24</v>
      </c>
      <c r="F12" s="11">
        <v>0.26</v>
      </c>
      <c r="G12" s="11">
        <v>0.32</v>
      </c>
      <c r="H12" s="11">
        <v>92.71</v>
      </c>
      <c r="I12" s="11">
        <v>30.81</v>
      </c>
      <c r="J12" s="11">
        <v>28.21</v>
      </c>
      <c r="K12" s="11">
        <v>22.64</v>
      </c>
      <c r="L12" s="2" t="s">
        <v>31</v>
      </c>
    </row>
    <row r="13" spans="1:12" ht="107.7" customHeight="1" x14ac:dyDescent="0.25">
      <c r="A13" s="16" t="s">
        <v>30</v>
      </c>
      <c r="B13" s="17"/>
      <c r="C13" s="17"/>
      <c r="D13" s="17"/>
      <c r="E13" s="17"/>
      <c r="F13" s="17"/>
      <c r="G13" s="17"/>
      <c r="H13" s="17"/>
      <c r="I13" s="17"/>
      <c r="J13" s="17"/>
      <c r="K13" s="17"/>
      <c r="L13" s="18"/>
    </row>
    <row r="14" spans="1:12" ht="52.2" customHeight="1" x14ac:dyDescent="0.25">
      <c r="A14" s="2" t="s">
        <v>5</v>
      </c>
      <c r="B14" s="3" t="s">
        <v>32</v>
      </c>
      <c r="C14" s="4" t="s">
        <v>50</v>
      </c>
      <c r="D14" s="11">
        <v>0.2</v>
      </c>
      <c r="E14" s="11">
        <v>0.26</v>
      </c>
      <c r="F14" s="11">
        <v>0.31</v>
      </c>
      <c r="G14" s="11">
        <v>0.35</v>
      </c>
      <c r="H14" s="11">
        <v>25.99</v>
      </c>
      <c r="I14" s="11">
        <v>19.48</v>
      </c>
      <c r="J14" s="11">
        <v>16.37</v>
      </c>
      <c r="K14" s="11">
        <v>14.53</v>
      </c>
      <c r="L14" s="2" t="s">
        <v>51</v>
      </c>
    </row>
    <row r="15" spans="1:12" ht="102.75" customHeight="1" x14ac:dyDescent="0.25">
      <c r="A15" s="16" t="s">
        <v>33</v>
      </c>
      <c r="B15" s="17"/>
      <c r="C15" s="17"/>
      <c r="D15" s="17"/>
      <c r="E15" s="17"/>
      <c r="F15" s="17"/>
      <c r="G15" s="17"/>
      <c r="H15" s="17"/>
      <c r="I15" s="17"/>
      <c r="J15" s="17"/>
      <c r="K15" s="17"/>
      <c r="L15" s="18"/>
    </row>
    <row r="16" spans="1:12" ht="58.8" customHeight="1" x14ac:dyDescent="0.25">
      <c r="A16" s="2" t="s">
        <v>41</v>
      </c>
      <c r="B16" s="3" t="s">
        <v>52</v>
      </c>
      <c r="C16" s="4" t="s">
        <v>36</v>
      </c>
      <c r="D16" s="11">
        <v>0.6</v>
      </c>
      <c r="E16" s="11">
        <v>0.12</v>
      </c>
      <c r="F16" s="11">
        <v>0.39</v>
      </c>
      <c r="G16" s="11">
        <v>0.55000000000000004</v>
      </c>
      <c r="H16" s="11">
        <v>11.06</v>
      </c>
      <c r="I16" s="11">
        <v>55.83</v>
      </c>
      <c r="J16" s="11">
        <v>16.850000000000001</v>
      </c>
      <c r="K16" s="11">
        <v>12.1</v>
      </c>
      <c r="L16" s="2" t="s">
        <v>53</v>
      </c>
    </row>
    <row r="17" spans="1:12" ht="102.75" customHeight="1" x14ac:dyDescent="0.25">
      <c r="A17" s="16" t="s">
        <v>54</v>
      </c>
      <c r="B17" s="17"/>
      <c r="C17" s="17"/>
      <c r="D17" s="17"/>
      <c r="E17" s="17"/>
      <c r="F17" s="17"/>
      <c r="G17" s="17"/>
      <c r="H17" s="17"/>
      <c r="I17" s="17"/>
      <c r="J17" s="17"/>
      <c r="K17" s="17"/>
      <c r="L17" s="18"/>
    </row>
    <row r="18" spans="1:12" ht="52.2" customHeight="1" x14ac:dyDescent="0.25">
      <c r="A18" s="2" t="s">
        <v>40</v>
      </c>
      <c r="B18" s="3" t="s">
        <v>25</v>
      </c>
      <c r="C18" s="4" t="s">
        <v>55</v>
      </c>
      <c r="D18" s="11">
        <v>1.94</v>
      </c>
      <c r="E18" s="11">
        <v>2.33</v>
      </c>
      <c r="F18" s="11">
        <v>2.79</v>
      </c>
      <c r="G18" s="11">
        <v>3.34</v>
      </c>
      <c r="H18" s="11">
        <v>9.76</v>
      </c>
      <c r="I18" s="11">
        <v>8.1199999999999992</v>
      </c>
      <c r="J18" s="11">
        <v>6.77</v>
      </c>
      <c r="K18" s="11">
        <v>5.65</v>
      </c>
      <c r="L18" s="2" t="s">
        <v>56</v>
      </c>
    </row>
    <row r="19" spans="1:12" ht="92.25" customHeight="1" x14ac:dyDescent="0.25">
      <c r="A19" s="16" t="s">
        <v>26</v>
      </c>
      <c r="B19" s="17"/>
      <c r="C19" s="17"/>
      <c r="D19" s="17"/>
      <c r="E19" s="17"/>
      <c r="F19" s="17"/>
      <c r="G19" s="17"/>
      <c r="H19" s="17"/>
      <c r="I19" s="17"/>
      <c r="J19" s="17"/>
      <c r="K19" s="17"/>
      <c r="L19" s="18"/>
    </row>
    <row r="20" spans="1:12" ht="52.2" customHeight="1" x14ac:dyDescent="0.25">
      <c r="A20" s="2" t="s">
        <v>6</v>
      </c>
      <c r="B20" s="3" t="s">
        <v>57</v>
      </c>
      <c r="C20" s="4" t="s">
        <v>58</v>
      </c>
      <c r="D20" s="11">
        <v>2.4300000000000002</v>
      </c>
      <c r="E20" s="11">
        <v>-0.81</v>
      </c>
      <c r="F20" s="11">
        <v>3.27</v>
      </c>
      <c r="G20" s="11">
        <v>7.3</v>
      </c>
      <c r="H20" s="11">
        <v>14.67</v>
      </c>
      <c r="I20" s="11">
        <v>-43.86</v>
      </c>
      <c r="J20" s="11">
        <v>10.9</v>
      </c>
      <c r="K20" s="11">
        <v>4.88</v>
      </c>
      <c r="L20" s="2" t="s">
        <v>27</v>
      </c>
    </row>
    <row r="21" spans="1:12" ht="92.25" customHeight="1" x14ac:dyDescent="0.25">
      <c r="A21" s="16" t="s">
        <v>59</v>
      </c>
      <c r="B21" s="17"/>
      <c r="C21" s="17"/>
      <c r="D21" s="17"/>
      <c r="E21" s="17"/>
      <c r="F21" s="17"/>
      <c r="G21" s="17"/>
      <c r="H21" s="17"/>
      <c r="I21" s="17"/>
      <c r="J21" s="17"/>
      <c r="K21" s="17"/>
      <c r="L21" s="18"/>
    </row>
    <row r="22" spans="1:12" ht="52.2" customHeight="1" x14ac:dyDescent="0.25">
      <c r="A22" s="2" t="s">
        <v>43</v>
      </c>
      <c r="B22" s="3" t="s">
        <v>60</v>
      </c>
      <c r="C22" s="4" t="s">
        <v>44</v>
      </c>
      <c r="D22" s="11">
        <v>0.97</v>
      </c>
      <c r="E22" s="11">
        <v>1.39</v>
      </c>
      <c r="F22" s="11">
        <v>1.69</v>
      </c>
      <c r="G22" s="11">
        <v>2.12</v>
      </c>
      <c r="H22" s="11">
        <v>16.29</v>
      </c>
      <c r="I22" s="11">
        <v>11.38</v>
      </c>
      <c r="J22" s="11">
        <v>9.3800000000000008</v>
      </c>
      <c r="K22" s="11">
        <v>7.5</v>
      </c>
      <c r="L22" s="2" t="s">
        <v>20</v>
      </c>
    </row>
    <row r="23" spans="1:12" ht="108" customHeight="1" x14ac:dyDescent="0.25">
      <c r="A23" s="16" t="s">
        <v>28</v>
      </c>
      <c r="B23" s="17"/>
      <c r="C23" s="17"/>
      <c r="D23" s="17"/>
      <c r="E23" s="17"/>
      <c r="F23" s="17"/>
      <c r="G23" s="17"/>
      <c r="H23" s="17"/>
      <c r="I23" s="17"/>
      <c r="J23" s="17"/>
      <c r="K23" s="17"/>
      <c r="L23" s="18"/>
    </row>
    <row r="24" spans="1:12" ht="21" customHeight="1" x14ac:dyDescent="0.25">
      <c r="A24" s="19" t="s">
        <v>3</v>
      </c>
      <c r="B24" s="20"/>
      <c r="C24" s="20"/>
      <c r="D24" s="20"/>
      <c r="E24" s="20"/>
      <c r="F24" s="20"/>
      <c r="G24" s="20"/>
      <c r="H24" s="20"/>
      <c r="I24" s="20"/>
      <c r="J24" s="20"/>
      <c r="K24" s="20"/>
      <c r="L24" s="21"/>
    </row>
  </sheetData>
  <mergeCells count="18">
    <mergeCell ref="A17:L17"/>
    <mergeCell ref="A15:L15"/>
    <mergeCell ref="A1:L1"/>
    <mergeCell ref="A2:A3"/>
    <mergeCell ref="B2:B3"/>
    <mergeCell ref="C2:C3"/>
    <mergeCell ref="D2:G2"/>
    <mergeCell ref="H2:K2"/>
    <mergeCell ref="L2:L3"/>
    <mergeCell ref="A21:L21"/>
    <mergeCell ref="A23:L23"/>
    <mergeCell ref="A11:L11"/>
    <mergeCell ref="A13:L13"/>
    <mergeCell ref="A5:L5"/>
    <mergeCell ref="A19:L19"/>
    <mergeCell ref="A7:L7"/>
    <mergeCell ref="A9:L9"/>
    <mergeCell ref="A24:L24"/>
  </mergeCells>
  <phoneticPr fontId="5" type="noConversion"/>
  <pageMargins left="0.7" right="0.7" top="0.75" bottom="0.75" header="0.3" footer="0.3"/>
  <pageSetup paperSize="9"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zoomScale="150" zoomScaleNormal="150" workbookViewId="0">
      <selection activeCell="A7" sqref="A1:A1048576"/>
    </sheetView>
  </sheetViews>
  <sheetFormatPr defaultColWidth="9" defaultRowHeight="13.8" x14ac:dyDescent="0.25"/>
  <cols>
    <col min="1" max="2" width="25.44140625" style="6" customWidth="1"/>
    <col min="3" max="3" width="9" style="8"/>
    <col min="4" max="16384" width="9" style="6"/>
  </cols>
  <sheetData>
    <row r="1" spans="1:3" ht="44.7" customHeight="1" x14ac:dyDescent="0.25">
      <c r="A1" s="5" t="str">
        <f>金股推荐逻辑!B4</f>
        <v>招商银行
600036.SH</v>
      </c>
      <c r="B1" s="5" t="str">
        <f>金股推荐逻辑!C4</f>
        <v>银行</v>
      </c>
      <c r="C1" s="9"/>
    </row>
    <row r="2" spans="1:3" ht="44.7" customHeight="1" x14ac:dyDescent="0.25">
      <c r="A2" s="5" t="str">
        <f>金股推荐逻辑!B6</f>
        <v>北新建材
000786.SZ</v>
      </c>
      <c r="B2" s="5" t="str">
        <f>金股推荐逻辑!C6</f>
        <v>建材</v>
      </c>
      <c r="C2" s="9"/>
    </row>
    <row r="3" spans="1:3" ht="44.7" customHeight="1" x14ac:dyDescent="0.25">
      <c r="A3" s="5" t="str">
        <f>金股推荐逻辑!B8</f>
        <v>洛阳钼业
603993.SH</v>
      </c>
      <c r="B3" s="5" t="str">
        <f>金股推荐逻辑!C8</f>
        <v>有色</v>
      </c>
      <c r="C3" s="9"/>
    </row>
    <row r="4" spans="1:3" ht="44.7" customHeight="1" x14ac:dyDescent="0.25">
      <c r="A4" s="5" t="str">
        <f>金股推荐逻辑!B10</f>
        <v>北方华创
002371.SZ</v>
      </c>
      <c r="B4" s="5" t="str">
        <f>金股推荐逻辑!C10</f>
        <v>电子</v>
      </c>
      <c r="C4" s="9"/>
    </row>
    <row r="5" spans="1:3" ht="44.7" customHeight="1" x14ac:dyDescent="0.25">
      <c r="A5" s="5" t="str">
        <f>金股推荐逻辑!B12</f>
        <v>网宿科技
300017.SZ</v>
      </c>
      <c r="B5" s="5" t="str">
        <f>金股推荐逻辑!C12</f>
        <v>计算机</v>
      </c>
      <c r="C5" s="9"/>
    </row>
    <row r="6" spans="1:3" ht="44.7" customHeight="1" x14ac:dyDescent="0.25">
      <c r="A6" s="5" t="str">
        <f>金股推荐逻辑!B14</f>
        <v>捷成股份
300182.SZ</v>
      </c>
      <c r="B6" s="5" t="str">
        <f>金股推荐逻辑!C14</f>
        <v>传媒</v>
      </c>
      <c r="C6" s="9"/>
    </row>
    <row r="7" spans="1:3" ht="44.7" customHeight="1" x14ac:dyDescent="0.25">
      <c r="A7" s="5" t="str">
        <f>金股推荐逻辑!B16</f>
        <v>中集集团
000039.SZ</v>
      </c>
      <c r="B7" s="5" t="str">
        <f>金股推荐逻辑!C16</f>
        <v>机械</v>
      </c>
      <c r="C7" s="9"/>
    </row>
    <row r="8" spans="1:3" ht="44.7" customHeight="1" x14ac:dyDescent="0.25">
      <c r="A8" s="5" t="str">
        <f>金股推荐逻辑!B18</f>
        <v>柳药集团 
603368.SH</v>
      </c>
      <c r="B8" s="5" t="str">
        <f>金股推荐逻辑!C18</f>
        <v>医药</v>
      </c>
      <c r="C8" s="9"/>
    </row>
    <row r="9" spans="1:3" ht="44.7" customHeight="1" x14ac:dyDescent="0.25">
      <c r="A9" s="5" t="str">
        <f>金股推荐逻辑!B20</f>
        <v>牧原股份
002714.SZ</v>
      </c>
      <c r="B9" s="5" t="str">
        <f>金股推荐逻辑!C20</f>
        <v>农林牧渔</v>
      </c>
      <c r="C9" s="9"/>
    </row>
    <row r="10" spans="1:3" ht="44.7" customHeight="1" x14ac:dyDescent="0.25">
      <c r="A10" s="5" t="str">
        <f>金股推荐逻辑!B22</f>
        <v>嘉友国际
603871.SH</v>
      </c>
      <c r="B10" s="5" t="str">
        <f>金股推荐逻辑!C22</f>
        <v>交运</v>
      </c>
      <c r="C10" s="9"/>
    </row>
    <row r="11" spans="1:3" s="8" customFormat="1" x14ac:dyDescent="0.25">
      <c r="A11" s="7"/>
      <c r="B11" s="7"/>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金股推荐逻辑</vt:lpstr>
      <vt:lpstr>简表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dc:creator>
  <cp:lastModifiedBy>荆子钰</cp:lastModifiedBy>
  <cp:lastPrinted>2020-09-30T02:20:00Z</cp:lastPrinted>
  <dcterms:created xsi:type="dcterms:W3CDTF">2019-03-27T09:02:00Z</dcterms:created>
  <dcterms:modified xsi:type="dcterms:W3CDTF">2024-02-29T00:58:24Z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2052-10.8.2.7119</vt:lpwstr>
  </property>
</Properties>
</file>