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工作文件\1产品-金股、本周精选 等\1产品-金股\"/>
    </mc:Choice>
  </mc:AlternateContent>
  <bookViews>
    <workbookView xWindow="8136" yWindow="0" windowWidth="11088" windowHeight="7548"/>
  </bookViews>
  <sheets>
    <sheet name="金股推荐逻辑" sheetId="8" r:id="rId1"/>
    <sheet name="简表" sheetId="7" r:id="rId2"/>
  </sheets>
  <definedNames>
    <definedName name="_xlnm._FilterDatabase" localSheetId="0" hidden="1">金股推荐逻辑!$B$1:$B$33</definedName>
  </definedNames>
  <calcPr calcId="152511"/>
</workbook>
</file>

<file path=xl/calcChain.xml><?xml version="1.0" encoding="utf-8"?>
<calcChain xmlns="http://schemas.openxmlformats.org/spreadsheetml/2006/main">
  <c r="B1" i="7" l="1"/>
  <c r="B2" i="7"/>
  <c r="B3" i="7"/>
  <c r="B4" i="7"/>
  <c r="B5" i="7"/>
  <c r="B6" i="7"/>
  <c r="B7" i="7"/>
  <c r="B8" i="7"/>
  <c r="B9" i="7"/>
  <c r="B10" i="7"/>
  <c r="A10" i="7"/>
  <c r="A9" i="7"/>
  <c r="A8" i="7"/>
  <c r="A7" i="7"/>
  <c r="A6" i="7"/>
  <c r="A5" i="7"/>
  <c r="A4" i="7"/>
  <c r="A3" i="7"/>
  <c r="A2" i="7"/>
  <c r="A1" i="7"/>
</calcChain>
</file>

<file path=xl/sharedStrings.xml><?xml version="1.0" encoding="utf-8"?>
<sst xmlns="http://schemas.openxmlformats.org/spreadsheetml/2006/main" count="118" uniqueCount="62">
  <si>
    <t>序号</t>
  </si>
  <si>
    <t>股票名称</t>
  </si>
  <si>
    <t>行业</t>
  </si>
  <si>
    <t>注：以上信息以华泰研究所最新发布的研报为准。</t>
  </si>
  <si>
    <t>4</t>
    <phoneticPr fontId="5" type="noConversion"/>
  </si>
  <si>
    <t>6</t>
    <phoneticPr fontId="5" type="noConversion"/>
  </si>
  <si>
    <t>9</t>
    <phoneticPr fontId="5" type="noConversion"/>
  </si>
  <si>
    <t>2023E</t>
    <phoneticPr fontId="5" type="noConversion"/>
  </si>
  <si>
    <t>深度咨询</t>
    <phoneticPr fontId="5" type="noConversion"/>
  </si>
  <si>
    <t>EPS</t>
    <phoneticPr fontId="5" type="noConversion"/>
  </si>
  <si>
    <t>PE</t>
    <phoneticPr fontId="5" type="noConversion"/>
  </si>
  <si>
    <t>5</t>
    <phoneticPr fontId="5" type="noConversion"/>
  </si>
  <si>
    <t>2024E</t>
  </si>
  <si>
    <t>2</t>
    <phoneticPr fontId="5" type="noConversion"/>
  </si>
  <si>
    <t>2025E</t>
  </si>
  <si>
    <t>1</t>
    <phoneticPr fontId="5" type="noConversion"/>
  </si>
  <si>
    <t>银行</t>
    <phoneticPr fontId="5" type="noConversion"/>
  </si>
  <si>
    <t>沈　娟 | 银行与证券首席 S0570514040002/BPN843
18688799197
shenjuan@htsc.com</t>
    <phoneticPr fontId="5" type="noConversion"/>
  </si>
  <si>
    <t>机械</t>
    <phoneticPr fontId="5" type="noConversion"/>
  </si>
  <si>
    <t>8</t>
    <phoneticPr fontId="5" type="noConversion"/>
  </si>
  <si>
    <t>7</t>
    <phoneticPr fontId="5" type="noConversion"/>
  </si>
  <si>
    <t>3</t>
    <phoneticPr fontId="5" type="noConversion"/>
  </si>
  <si>
    <t>10</t>
    <phoneticPr fontId="5" type="noConversion"/>
  </si>
  <si>
    <t>黄乐平 | 科技与电子首席 S0570521050001/AUZ066
14715372496
leping.huang@htsc.com</t>
    <phoneticPr fontId="5" type="noConversion"/>
  </si>
  <si>
    <t>倪正洋 | 机械首席 S0570522100004/BTM566
18321162658
nizhengyang@htsc.com</t>
    <phoneticPr fontId="5" type="noConversion"/>
  </si>
  <si>
    <t xml:space="preserve">代　雯 | 医药首席 S0570516120002/BFI915
18817874390
daiwen@htsc.com </t>
    <phoneticPr fontId="5" type="noConversion"/>
  </si>
  <si>
    <t>华泰研究所4月金股推荐</t>
    <phoneticPr fontId="5" type="noConversion"/>
  </si>
  <si>
    <t>厦门钨业
600549.SH</t>
    <phoneticPr fontId="9" type="noConversion"/>
  </si>
  <si>
    <t>有色</t>
    <phoneticPr fontId="5" type="noConversion"/>
  </si>
  <si>
    <t>化工</t>
    <phoneticPr fontId="5" type="noConversion"/>
  </si>
  <si>
    <t>医药</t>
    <phoneticPr fontId="5" type="noConversion"/>
  </si>
  <si>
    <t>食品饮料</t>
    <phoneticPr fontId="5" type="noConversion"/>
  </si>
  <si>
    <t>房地产</t>
    <phoneticPr fontId="5" type="noConversion"/>
  </si>
  <si>
    <t>电新</t>
    <phoneticPr fontId="5" type="noConversion"/>
  </si>
  <si>
    <t>电子</t>
    <phoneticPr fontId="5" type="noConversion"/>
  </si>
  <si>
    <t>通信</t>
    <phoneticPr fontId="5" type="noConversion"/>
  </si>
  <si>
    <t>陈　慎 | 房地产与轻工首席 S0570519010002/BIO834
13817345646
chenshen@htsc.com</t>
    <phoneticPr fontId="5" type="noConversion"/>
  </si>
  <si>
    <t>庄汀洲 | 化工首席 S0570519040002/BQZ933
18800108341
zhuangtingzhou@htsc.com</t>
    <phoneticPr fontId="5" type="noConversion"/>
  </si>
  <si>
    <t>中国石油
601857.SH</t>
    <phoneticPr fontId="5" type="noConversion"/>
  </si>
  <si>
    <t>2026E</t>
  </si>
  <si>
    <t>城建发展
600266.SH</t>
    <phoneticPr fontId="5" type="noConversion"/>
  </si>
  <si>
    <t>中集集团
000039.SZ</t>
    <phoneticPr fontId="5" type="noConversion"/>
  </si>
  <si>
    <t>招商银行
600036.SH</t>
    <phoneticPr fontId="5" type="noConversion"/>
  </si>
  <si>
    <t>北方华创
002371.SZ</t>
    <phoneticPr fontId="5" type="noConversion"/>
  </si>
  <si>
    <t>推荐逻辑：
受益于公司半导体设备业务的市占率稳步提升，营收持续增长，2023年公司新签订单超过300亿元，其中集成电路领域占比超过70%，看好2024年中国本土晶圆制造厂商资本开支维持高强度及半导体设备国产化进程加速。
催化剂：下游持续扩产，新签订单超预期
相关研报：2023年收入维持高增，新签订单充足 2024-01-16</t>
    <phoneticPr fontId="5" type="noConversion"/>
  </si>
  <si>
    <t>李　斌 | 有色与钢铁首席 S0570517050001/BPN269
13681137607
libin@htsc.com</t>
    <phoneticPr fontId="5" type="noConversion"/>
  </si>
  <si>
    <t>推荐逻辑：
钨龙头，受益于钨价上涨；且光伏钨丝放量、切削工具提质。公司24-25年业绩增长确定性较高。
催化剂：钨价快速上涨。
相关研报：钨钼显著增长，稀土正极静候回暖 2024-03-06</t>
    <phoneticPr fontId="5" type="noConversion"/>
  </si>
  <si>
    <t>推荐逻辑：
油价高位利好业绩、高股息稳健配置标的
催化剂：油价高位
相关研报：实现油价回落，23年净利创新高 2024-03-26</t>
    <phoneticPr fontId="5" type="noConversion"/>
  </si>
  <si>
    <t>恩华药业
002262.SZ</t>
    <phoneticPr fontId="5" type="noConversion"/>
  </si>
  <si>
    <t>推荐逻辑：
一季度业绩有望超预期，公司首款创新药已获批上市并纳入医保，24年进入放量周期，目前市值低估。
催化剂：24年1季度业绩超预期
相关研报：3Q23收入利润同比环比正增长 2023-10-25</t>
    <phoneticPr fontId="5" type="noConversion"/>
  </si>
  <si>
    <t>泸州老窖
000568.SZ</t>
    <phoneticPr fontId="5" type="noConversion"/>
  </si>
  <si>
    <t>龚源月 | 食品饮料首席 S0570520100001/BQL737
15021256686
gongyuanyue@htsc.com</t>
    <phoneticPr fontId="5" type="noConversion"/>
  </si>
  <si>
    <t>推荐逻辑：
1）业绩确定性较高，国窖继续保持稳健增长，中档酒老字号特曲+特曲60版继续汇量增长。
2）目前对应24年PE约17-18x，估值性价比高。
3）分红率进一步提升。
催化剂1）一季报反馈；2）宏观需求恢复；3）分红率提升
相关研报：业绩亮眼，势能延续 2023-10-30</t>
    <phoneticPr fontId="5" type="noConversion"/>
  </si>
  <si>
    <t>推荐逻辑：
1、销售高增长，业绩强反转，拿地保持力度；
2、短期具备北京城中村改造、北京地产政策放松、回购股份注销催化；
3、长期具备集团资产注入预期。
催化剂1、北京需求端政策进一步宽松； 2、城中村改造细则落地进度； 3、其他行业利好政策。
相关研报：23年扭亏为盈，回购注销即将落地 2024-01-30</t>
    <phoneticPr fontId="5" type="noConversion"/>
  </si>
  <si>
    <t>推荐逻辑：
1、拟以自有资金2-3亿元回购公司股份，彰显公司长期发展信心 2、海工业务持续困境反转，盈利恢复弹性大 3、深耕特种集装箱领域，抢抓未来产业新机遇
催化剂：集装箱景气度持续兑现；海工订单持续落地
相关研报：双主业共振复苏；上调至“买入” 2024-03-28</t>
    <phoneticPr fontId="5" type="noConversion"/>
  </si>
  <si>
    <t>宁德时代
300750.SZ</t>
    <phoneticPr fontId="5" type="noConversion"/>
  </si>
  <si>
    <t>边文姣 | 电新组长 S0570518110004/BSJ399
13246620386
bianwenjiao@htsc.com</t>
    <phoneticPr fontId="5" type="noConversion"/>
  </si>
  <si>
    <t>推荐逻辑：
1）盈利表现有韧性，分红、现金流超预期；
2）全球市场竞争力强劲，持续巩固全球市场龙头地位，加速出海；
3）新能源创新全球领先，新技术助力保持溢价能力。
催化剂：盈利表现超预期，出海与新技术持续赋能增长
相关研报：主推开放式创新，出海步伐加速 2024-03-27</t>
    <phoneticPr fontId="5" type="noConversion"/>
  </si>
  <si>
    <t>推荐逻辑：
机制领先+基本面韧性强+受益于地产政策放松+市场情绪改善利好
催化剂：此前市场担心地产风险压制招行估值，近期地产政策边际放松，提振市场信心
相关研报：分红再提升，深耕高质量 2024-03-26</t>
    <phoneticPr fontId="5" type="noConversion"/>
  </si>
  <si>
    <t>润泽科技
300442.SZ</t>
    <phoneticPr fontId="5" type="noConversion"/>
  </si>
  <si>
    <t>王　兴 | 通信首席 S0570523070003
13951666824
wangxing@htsc.com</t>
    <phoneticPr fontId="5" type="noConversion"/>
  </si>
  <si>
    <t>推荐逻辑：
公司是国内领先的园区级数据中心服务提供商，自2018年起迈上规模及业绩高速增长的快车道，未来受益于字节跳动等互联网大厂的智算需求及公司自身在AIDC领域的拓展，公司发展有望再上新台阶。
催化剂：KIMI等国产AI应用取得新突破，国内智算需求有望提升
相关研报：园区级数据中心龙头，扬帆智算时代 2024-03-18</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</si>
</sst>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_ "/>
    <numFmt numFmtId="177" formatCode="0.00_);[Red]\(0.00\)"/>
  </numFmts>
  <fonts count="10" x14ac:knownFonts="1">
    <font>
      <sz val="11"/>
      <color theme="1"/>
      <name val="等线"/>
      <charset val="134"/>
    </font>
    <font>
      <b/>
      <sz val="18"/>
      <color rgb="FFFFFFFF"/>
      <name val="微软雅黑"/>
      <family val="2"/>
      <charset val="134"/>
    </font>
    <font>
      <b/>
      <sz val="11"/>
      <color rgb="FFC00000"/>
      <name val="微软雅黑"/>
      <family val="2"/>
      <charset val="134"/>
    </font>
    <font>
      <b/>
      <sz val="11"/>
      <color rgb="FF000000"/>
      <name val="微软雅黑"/>
      <family val="2"/>
      <charset val="134"/>
    </font>
    <font>
      <sz val="10"/>
      <color theme="1"/>
      <name val="微软雅黑"/>
      <family val="2"/>
      <charset val="134"/>
    </font>
    <font>
      <sz val="9"/>
      <name val="等线"/>
      <family val="3"/>
      <charset val="134"/>
    </font>
    <font>
      <sz val="11"/>
      <color rgb="FF000000"/>
      <name val="思源黑体 CN Bold"/>
      <family val="2"/>
      <charset val="134"/>
    </font>
    <font>
      <sz val="11"/>
      <color theme="1"/>
      <name val="等线"/>
      <family val="3"/>
      <charset val="134"/>
    </font>
    <font>
      <sz val="10"/>
      <name val="微软雅黑"/>
      <family val="2"/>
      <charset val="134"/>
    </font>
    <font>
      <sz val="9"/>
      <name val="宋体"/>
      <family val="3"/>
      <charset val="134"/>
      <scheme val="minor"/>
    </font>
  </fonts>
  <fills count="7">
    <fill>
      <patternFill patternType="none"/>
    </fill>
    <fill>
      <patternFill patternType="gray125"/>
    </fill>
    <fill>
      <patternFill patternType="solid">
        <fgColor rgb="FFC00000"/>
        <bgColor indexed="64"/>
      </patternFill>
    </fill>
    <fill>
      <patternFill patternType="solid">
        <fgColor rgb="FFEEECE1"/>
        <bgColor indexed="64"/>
      </patternFill>
    </fill>
    <fill>
      <patternFill patternType="solid">
        <fgColor rgb="FFFFFFFF"/>
        <bgColor indexed="64"/>
      </patternFill>
    </fill>
    <fill>
      <patternFill patternType="solid">
        <fgColor rgb="FFE8F3FE"/>
        <bgColor indexed="64"/>
      </patternFill>
    </fill>
    <fill>
      <patternFill patternType="solid">
        <fgColor theme="0"/>
        <bgColor indexed="64"/>
      </patternFill>
    </fill>
  </fills>
  <borders count="1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49" fontId="0" fillId="0" borderId="0" xfId="0" applyNumberFormat="1">
      <alignment vertical="center"/>
    </xf>
    <xf numFmtId="49" fontId="3" fillId="3" borderId="4"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 xfId="0" applyFont="1" applyFill="1" applyBorder="1" applyAlignment="1">
      <alignment horizontal="center" vertical="center"/>
    </xf>
    <xf numFmtId="176" fontId="6" fillId="5" borderId="0" xfId="0" applyNumberFormat="1" applyFont="1" applyFill="1" applyBorder="1" applyAlignment="1">
      <alignment horizontal="center" vertical="center" wrapText="1"/>
    </xf>
    <xf numFmtId="0" fontId="0" fillId="0" borderId="0" xfId="0" applyBorder="1">
      <alignment vertical="center"/>
    </xf>
    <xf numFmtId="0" fontId="0" fillId="5" borderId="0" xfId="0" applyFill="1" applyBorder="1">
      <alignment vertical="center"/>
    </xf>
    <xf numFmtId="0" fontId="0" fillId="6" borderId="0" xfId="0" applyFill="1" applyBorder="1">
      <alignment vertical="center"/>
    </xf>
    <xf numFmtId="176" fontId="0" fillId="6" borderId="0" xfId="0" applyNumberFormat="1" applyFill="1" applyBorder="1">
      <alignment vertical="center"/>
    </xf>
    <xf numFmtId="177" fontId="2" fillId="0" borderId="4" xfId="0" applyNumberFormat="1" applyFont="1" applyBorder="1" applyAlignment="1">
      <alignment horizontal="center" vertical="center" wrapText="1"/>
    </xf>
    <xf numFmtId="177" fontId="3" fillId="3" borderId="4" xfId="0" applyNumberFormat="1" applyFont="1" applyFill="1" applyBorder="1" applyAlignment="1">
      <alignment horizontal="center" vertical="center"/>
    </xf>
    <xf numFmtId="177" fontId="0" fillId="0" borderId="0" xfId="0" applyNumberFormat="1">
      <alignment vertical="center"/>
    </xf>
    <xf numFmtId="49" fontId="7" fillId="0" borderId="0" xfId="0" applyNumberFormat="1" applyFont="1">
      <alignment vertical="center"/>
    </xf>
    <xf numFmtId="0" fontId="2" fillId="0" borderId="4" xfId="0" applyNumberFormat="1" applyFont="1" applyBorder="1" applyAlignment="1">
      <alignment horizontal="center" vertical="center" wrapText="1"/>
    </xf>
    <xf numFmtId="177" fontId="3" fillId="3" borderId="4" xfId="0" applyNumberFormat="1" applyFont="1" applyFill="1" applyBorder="1" applyAlignment="1">
      <alignment horizontal="center" vertical="center" wrapText="1"/>
    </xf>
    <xf numFmtId="49" fontId="8" fillId="4" borderId="5" xfId="0" applyNumberFormat="1" applyFont="1" applyFill="1" applyBorder="1" applyAlignment="1">
      <alignment horizontal="left" vertical="center" wrapText="1"/>
    </xf>
    <xf numFmtId="49" fontId="8" fillId="4" borderId="0" xfId="0" applyNumberFormat="1" applyFont="1" applyFill="1" applyBorder="1" applyAlignment="1">
      <alignment horizontal="left" vertical="center" wrapText="1"/>
    </xf>
    <xf numFmtId="49" fontId="8" fillId="4" borderId="6" xfId="0" applyNumberFormat="1" applyFont="1" applyFill="1" applyBorder="1" applyAlignment="1">
      <alignment horizontal="left" vertical="center" wrapText="1"/>
    </xf>
    <xf numFmtId="49" fontId="8" fillId="4" borderId="5" xfId="0" applyNumberFormat="1" applyFont="1" applyFill="1" applyBorder="1" applyAlignment="1">
      <alignment horizontal="left" vertical="center" wrapText="1"/>
    </xf>
    <xf numFmtId="49" fontId="8" fillId="4" borderId="0" xfId="0" applyNumberFormat="1" applyFont="1" applyFill="1" applyBorder="1" applyAlignment="1">
      <alignment horizontal="left" vertical="center" wrapText="1"/>
    </xf>
    <xf numFmtId="49" fontId="8" fillId="4" borderId="6" xfId="0" applyNumberFormat="1" applyFont="1" applyFill="1" applyBorder="1" applyAlignment="1">
      <alignment horizontal="left" vertical="center" wrapText="1"/>
    </xf>
    <xf numFmtId="49" fontId="1" fillId="2" borderId="1"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49" fontId="2" fillId="0" borderId="4" xfId="0" applyNumberFormat="1" applyFont="1" applyBorder="1" applyAlignment="1">
      <alignment horizontal="center" vertical="center"/>
    </xf>
    <xf numFmtId="177" fontId="2" fillId="0" borderId="7" xfId="0" applyNumberFormat="1" applyFont="1" applyBorder="1" applyAlignment="1">
      <alignment horizontal="center" vertical="center" wrapText="1"/>
    </xf>
    <xf numFmtId="177" fontId="2" fillId="0" borderId="8" xfId="0" applyNumberFormat="1" applyFont="1" applyBorder="1" applyAlignment="1">
      <alignment horizontal="center" vertical="center" wrapText="1"/>
    </xf>
    <xf numFmtId="177" fontId="2" fillId="0" borderId="9"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4" fillId="0" borderId="7" xfId="0" applyNumberFormat="1" applyFont="1" applyBorder="1" applyAlignment="1">
      <alignment horizontal="left" vertical="center"/>
    </xf>
    <xf numFmtId="49" fontId="4" fillId="0" borderId="8" xfId="0" applyNumberFormat="1" applyFont="1" applyBorder="1" applyAlignment="1">
      <alignment horizontal="left" vertical="center"/>
    </xf>
    <xf numFmtId="49" fontId="4" fillId="0" borderId="9" xfId="0" applyNumberFormat="1" applyFont="1" applyBorder="1" applyAlignment="1">
      <alignment horizontal="left" vertical="center"/>
    </xf>
  </cellXfs>
  <cellStyles count="1">
    <cellStyle name="常规" xfId="0" builtinId="0"/>
  </cellStyles>
  <dxfs count="0"/>
  <tableStyles count="0" defaultTableStyle="TableStyleMedium2" defaultPivotStyle="PivotStyleLight16"/>
  <colors>
    <mruColors>
      <color rgb="FFE8F3FE"/>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3"/>
  <sheetViews>
    <sheetView tabSelected="1" zoomScale="90" zoomScaleNormal="90" workbookViewId="0">
      <pane ySplit="3" topLeftCell="A4" activePane="bottomLeft" state="frozen"/>
      <selection pane="bottomLeft" sqref="A1:L1"/>
    </sheetView>
  </sheetViews>
  <sheetFormatPr defaultColWidth="9" defaultRowHeight="13.8" x14ac:dyDescent="0.25"/>
  <cols>
    <col min="1" max="1" width="5.44140625" style="1" customWidth="1"/>
    <col min="2" max="2" width="12.6640625" style="1" customWidth="1"/>
    <col min="3" max="3" width="9.33203125" style="1" customWidth="1"/>
    <col min="4" max="7" width="8.77734375" style="12" customWidth="1"/>
    <col min="8" max="8" width="9.44140625" style="12" customWidth="1"/>
    <col min="9" max="9" width="9.88671875" style="12" customWidth="1"/>
    <col min="10" max="10" width="8.77734375" style="12" customWidth="1"/>
    <col min="11" max="11" width="9.77734375" style="12" customWidth="1"/>
    <col min="12" max="12" width="52.88671875" style="1" customWidth="1"/>
    <col min="13" max="16384" width="9" style="1"/>
  </cols>
  <sheetData>
    <row r="1" spans="1:12" ht="33.75" customHeight="1" x14ac:dyDescent="0.25">
      <c r="A1" s="22" t="s">
        <v>26</v>
      </c>
      <c r="B1" s="23"/>
      <c r="C1" s="23"/>
      <c r="D1" s="23"/>
      <c r="E1" s="23"/>
      <c r="F1" s="23"/>
      <c r="G1" s="23"/>
      <c r="H1" s="23"/>
      <c r="I1" s="23"/>
      <c r="J1" s="23"/>
      <c r="K1" s="23"/>
      <c r="L1" s="24"/>
    </row>
    <row r="2" spans="1:12" ht="18" customHeight="1" x14ac:dyDescent="0.25">
      <c r="A2" s="25" t="s">
        <v>0</v>
      </c>
      <c r="B2" s="25" t="s">
        <v>1</v>
      </c>
      <c r="C2" s="25" t="s">
        <v>2</v>
      </c>
      <c r="D2" s="26" t="s">
        <v>9</v>
      </c>
      <c r="E2" s="27"/>
      <c r="F2" s="27"/>
      <c r="G2" s="28"/>
      <c r="H2" s="26" t="s">
        <v>10</v>
      </c>
      <c r="I2" s="27"/>
      <c r="J2" s="27"/>
      <c r="K2" s="28"/>
      <c r="L2" s="29" t="s">
        <v>8</v>
      </c>
    </row>
    <row r="3" spans="1:12" ht="18" customHeight="1" x14ac:dyDescent="0.25">
      <c r="A3" s="25"/>
      <c r="B3" s="25"/>
      <c r="C3" s="25"/>
      <c r="D3" s="14">
        <v>2022</v>
      </c>
      <c r="E3" s="10" t="s">
        <v>7</v>
      </c>
      <c r="F3" s="10" t="s">
        <v>12</v>
      </c>
      <c r="G3" s="10" t="s">
        <v>14</v>
      </c>
      <c r="H3" s="14">
        <v>2022</v>
      </c>
      <c r="I3" s="10" t="s">
        <v>7</v>
      </c>
      <c r="J3" s="10" t="s">
        <v>12</v>
      </c>
      <c r="K3" s="10" t="s">
        <v>14</v>
      </c>
      <c r="L3" s="29"/>
    </row>
    <row r="4" spans="1:12" ht="52.2" customHeight="1" x14ac:dyDescent="0.25">
      <c r="A4" s="2" t="s">
        <v>15</v>
      </c>
      <c r="B4" s="3" t="s">
        <v>27</v>
      </c>
      <c r="C4" s="4" t="s">
        <v>28</v>
      </c>
      <c r="D4" s="11">
        <v>1.02</v>
      </c>
      <c r="E4" s="11">
        <v>1.1299999999999999</v>
      </c>
      <c r="F4" s="11">
        <v>1.28</v>
      </c>
      <c r="G4" s="11">
        <v>1.62</v>
      </c>
      <c r="H4" s="11">
        <v>16.350000000000001</v>
      </c>
      <c r="I4" s="11">
        <v>14.79</v>
      </c>
      <c r="J4" s="11">
        <v>13</v>
      </c>
      <c r="K4" s="11">
        <v>10.31</v>
      </c>
      <c r="L4" s="2" t="s">
        <v>45</v>
      </c>
    </row>
    <row r="5" spans="1:12" s="13" customFormat="1" ht="112.2" customHeight="1" x14ac:dyDescent="0.25">
      <c r="A5" s="19" t="s">
        <v>46</v>
      </c>
      <c r="B5" s="20"/>
      <c r="C5" s="20"/>
      <c r="D5" s="20"/>
      <c r="E5" s="20"/>
      <c r="F5" s="20"/>
      <c r="G5" s="20"/>
      <c r="H5" s="20"/>
      <c r="I5" s="20"/>
      <c r="J5" s="20"/>
      <c r="K5" s="20"/>
      <c r="L5" s="21"/>
    </row>
    <row r="6" spans="1:12" ht="16.2" x14ac:dyDescent="0.25">
      <c r="A6" s="16"/>
      <c r="B6" s="17"/>
      <c r="C6" s="17"/>
      <c r="D6" s="14">
        <v>2023</v>
      </c>
      <c r="E6" s="10" t="s">
        <v>12</v>
      </c>
      <c r="F6" s="10" t="s">
        <v>14</v>
      </c>
      <c r="G6" s="10" t="s">
        <v>39</v>
      </c>
      <c r="H6" s="14">
        <v>2023</v>
      </c>
      <c r="I6" s="10" t="s">
        <v>12</v>
      </c>
      <c r="J6" s="10" t="s">
        <v>14</v>
      </c>
      <c r="K6" s="10" t="s">
        <v>39</v>
      </c>
      <c r="L6" s="18"/>
    </row>
    <row r="7" spans="1:12" ht="52.2" customHeight="1" x14ac:dyDescent="0.25">
      <c r="A7" s="2" t="s">
        <v>13</v>
      </c>
      <c r="B7" s="3" t="s">
        <v>38</v>
      </c>
      <c r="C7" s="4" t="s">
        <v>29</v>
      </c>
      <c r="D7" s="11">
        <v>0.88</v>
      </c>
      <c r="E7" s="11">
        <v>0.94</v>
      </c>
      <c r="F7" s="11">
        <v>0.97</v>
      </c>
      <c r="G7" s="11">
        <v>0.99</v>
      </c>
      <c r="H7" s="11">
        <v>10.54</v>
      </c>
      <c r="I7" s="11">
        <v>9.84</v>
      </c>
      <c r="J7" s="11">
        <v>9.5299999999999994</v>
      </c>
      <c r="K7" s="11">
        <v>9.41</v>
      </c>
      <c r="L7" s="2" t="s">
        <v>37</v>
      </c>
    </row>
    <row r="8" spans="1:12" s="13" customFormat="1" ht="112.2" customHeight="1" x14ac:dyDescent="0.25">
      <c r="A8" s="19" t="s">
        <v>47</v>
      </c>
      <c r="B8" s="20"/>
      <c r="C8" s="20"/>
      <c r="D8" s="20"/>
      <c r="E8" s="20"/>
      <c r="F8" s="20"/>
      <c r="G8" s="20"/>
      <c r="H8" s="20"/>
      <c r="I8" s="20"/>
      <c r="J8" s="20"/>
      <c r="K8" s="20"/>
      <c r="L8" s="21"/>
    </row>
    <row r="9" spans="1:12" ht="16.2" x14ac:dyDescent="0.25">
      <c r="A9" s="16"/>
      <c r="B9" s="17"/>
      <c r="C9" s="17"/>
      <c r="D9" s="14">
        <v>2022</v>
      </c>
      <c r="E9" s="10" t="s">
        <v>7</v>
      </c>
      <c r="F9" s="10" t="s">
        <v>12</v>
      </c>
      <c r="G9" s="10" t="s">
        <v>14</v>
      </c>
      <c r="H9" s="14">
        <v>2022</v>
      </c>
      <c r="I9" s="10" t="s">
        <v>7</v>
      </c>
      <c r="J9" s="10" t="s">
        <v>12</v>
      </c>
      <c r="K9" s="10" t="s">
        <v>14</v>
      </c>
      <c r="L9" s="18"/>
    </row>
    <row r="10" spans="1:12" ht="52.2" customHeight="1" x14ac:dyDescent="0.25">
      <c r="A10" s="2" t="s">
        <v>21</v>
      </c>
      <c r="B10" s="3" t="s">
        <v>48</v>
      </c>
      <c r="C10" s="4" t="s">
        <v>30</v>
      </c>
      <c r="D10" s="11">
        <v>0.89</v>
      </c>
      <c r="E10" s="11">
        <v>1.0900000000000001</v>
      </c>
      <c r="F10" s="11">
        <v>1.35</v>
      </c>
      <c r="G10" s="11">
        <v>1.73</v>
      </c>
      <c r="H10" s="11">
        <v>26.07</v>
      </c>
      <c r="I10" s="11">
        <v>21.44</v>
      </c>
      <c r="J10" s="11">
        <v>17.3</v>
      </c>
      <c r="K10" s="11">
        <v>13.51</v>
      </c>
      <c r="L10" s="2" t="s">
        <v>25</v>
      </c>
    </row>
    <row r="11" spans="1:12" ht="112.2" customHeight="1" x14ac:dyDescent="0.25">
      <c r="A11" s="19" t="s">
        <v>49</v>
      </c>
      <c r="B11" s="20"/>
      <c r="C11" s="20"/>
      <c r="D11" s="20"/>
      <c r="E11" s="20"/>
      <c r="F11" s="20"/>
      <c r="G11" s="20"/>
      <c r="H11" s="20"/>
      <c r="I11" s="20"/>
      <c r="J11" s="20"/>
      <c r="K11" s="20"/>
      <c r="L11" s="21"/>
    </row>
    <row r="12" spans="1:12" ht="16.2" x14ac:dyDescent="0.25">
      <c r="A12" s="16"/>
      <c r="B12" s="17"/>
      <c r="C12" s="17"/>
      <c r="D12" s="14">
        <v>2022</v>
      </c>
      <c r="E12" s="10" t="s">
        <v>7</v>
      </c>
      <c r="F12" s="10" t="s">
        <v>12</v>
      </c>
      <c r="G12" s="10" t="s">
        <v>14</v>
      </c>
      <c r="H12" s="14">
        <v>2022</v>
      </c>
      <c r="I12" s="10" t="s">
        <v>7</v>
      </c>
      <c r="J12" s="10" t="s">
        <v>12</v>
      </c>
      <c r="K12" s="10" t="s">
        <v>14</v>
      </c>
      <c r="L12" s="18"/>
    </row>
    <row r="13" spans="1:12" ht="52.2" customHeight="1" x14ac:dyDescent="0.25">
      <c r="A13" s="2" t="s">
        <v>4</v>
      </c>
      <c r="B13" s="3" t="s">
        <v>50</v>
      </c>
      <c r="C13" s="4" t="s">
        <v>31</v>
      </c>
      <c r="D13" s="11">
        <v>7.04</v>
      </c>
      <c r="E13" s="11">
        <v>8.9</v>
      </c>
      <c r="F13" s="11">
        <v>11.13</v>
      </c>
      <c r="G13" s="11">
        <v>13.79</v>
      </c>
      <c r="H13" s="11">
        <v>29.99</v>
      </c>
      <c r="I13" s="11">
        <v>23.72</v>
      </c>
      <c r="J13" s="11">
        <v>18.98</v>
      </c>
      <c r="K13" s="11">
        <v>15.31</v>
      </c>
      <c r="L13" s="15" t="s">
        <v>51</v>
      </c>
    </row>
    <row r="14" spans="1:12" ht="108.75" customHeight="1" x14ac:dyDescent="0.25">
      <c r="A14" s="19" t="s">
        <v>52</v>
      </c>
      <c r="B14" s="20"/>
      <c r="C14" s="20"/>
      <c r="D14" s="20"/>
      <c r="E14" s="20"/>
      <c r="F14" s="20"/>
      <c r="G14" s="20"/>
      <c r="H14" s="20"/>
      <c r="I14" s="20"/>
      <c r="J14" s="20"/>
      <c r="K14" s="20"/>
      <c r="L14" s="21"/>
    </row>
    <row r="15" spans="1:12" ht="16.2" x14ac:dyDescent="0.25">
      <c r="A15" s="16"/>
      <c r="B15" s="17"/>
      <c r="C15" s="17"/>
      <c r="D15" s="14">
        <v>2022</v>
      </c>
      <c r="E15" s="10" t="s">
        <v>7</v>
      </c>
      <c r="F15" s="10" t="s">
        <v>12</v>
      </c>
      <c r="G15" s="10" t="s">
        <v>14</v>
      </c>
      <c r="H15" s="14">
        <v>2022</v>
      </c>
      <c r="I15" s="10" t="s">
        <v>7</v>
      </c>
      <c r="J15" s="10" t="s">
        <v>12</v>
      </c>
      <c r="K15" s="10" t="s">
        <v>14</v>
      </c>
      <c r="L15" s="18"/>
    </row>
    <row r="16" spans="1:12" ht="52.2" customHeight="1" x14ac:dyDescent="0.25">
      <c r="A16" s="2" t="s">
        <v>11</v>
      </c>
      <c r="B16" s="3" t="s">
        <v>40</v>
      </c>
      <c r="C16" s="11" t="s">
        <v>32</v>
      </c>
      <c r="D16" s="11">
        <v>-0.41</v>
      </c>
      <c r="E16" s="11">
        <v>0.3</v>
      </c>
      <c r="F16" s="11">
        <v>0.62</v>
      </c>
      <c r="G16" s="11">
        <v>0.75</v>
      </c>
      <c r="H16" s="11">
        <v>-10.82</v>
      </c>
      <c r="I16" s="11">
        <v>14.66</v>
      </c>
      <c r="J16" s="11">
        <v>7.13</v>
      </c>
      <c r="K16" s="11">
        <v>5.93</v>
      </c>
      <c r="L16" s="2" t="s">
        <v>36</v>
      </c>
    </row>
    <row r="17" spans="1:12" ht="107.7" customHeight="1" x14ac:dyDescent="0.25">
      <c r="A17" s="19" t="s">
        <v>53</v>
      </c>
      <c r="B17" s="20"/>
      <c r="C17" s="20"/>
      <c r="D17" s="20"/>
      <c r="E17" s="20"/>
      <c r="F17" s="20"/>
      <c r="G17" s="20"/>
      <c r="H17" s="20"/>
      <c r="I17" s="20"/>
      <c r="J17" s="20"/>
      <c r="K17" s="20"/>
      <c r="L17" s="21"/>
    </row>
    <row r="18" spans="1:12" ht="16.2" x14ac:dyDescent="0.25">
      <c r="A18" s="16"/>
      <c r="B18" s="17"/>
      <c r="C18" s="17"/>
      <c r="D18" s="14">
        <v>2023</v>
      </c>
      <c r="E18" s="10" t="s">
        <v>12</v>
      </c>
      <c r="F18" s="10" t="s">
        <v>14</v>
      </c>
      <c r="G18" s="10" t="s">
        <v>39</v>
      </c>
      <c r="H18" s="14">
        <v>2023</v>
      </c>
      <c r="I18" s="10" t="s">
        <v>12</v>
      </c>
      <c r="J18" s="10" t="s">
        <v>14</v>
      </c>
      <c r="K18" s="10" t="s">
        <v>39</v>
      </c>
      <c r="L18" s="18"/>
    </row>
    <row r="19" spans="1:12" ht="52.2" customHeight="1" x14ac:dyDescent="0.25">
      <c r="A19" s="2" t="s">
        <v>5</v>
      </c>
      <c r="B19" s="3" t="s">
        <v>41</v>
      </c>
      <c r="C19" s="4" t="s">
        <v>18</v>
      </c>
      <c r="D19" s="11">
        <v>0.08</v>
      </c>
      <c r="E19" s="11">
        <v>0.49</v>
      </c>
      <c r="F19" s="11">
        <v>0.66</v>
      </c>
      <c r="G19" s="11">
        <v>0.82</v>
      </c>
      <c r="H19" s="11">
        <v>116.75</v>
      </c>
      <c r="I19" s="11">
        <v>18.63</v>
      </c>
      <c r="J19" s="11">
        <v>13.72</v>
      </c>
      <c r="K19" s="11">
        <v>11.18</v>
      </c>
      <c r="L19" s="2" t="s">
        <v>24</v>
      </c>
    </row>
    <row r="20" spans="1:12" ht="102.75" customHeight="1" x14ac:dyDescent="0.25">
      <c r="A20" s="19" t="s">
        <v>54</v>
      </c>
      <c r="B20" s="20"/>
      <c r="C20" s="20"/>
      <c r="D20" s="20"/>
      <c r="E20" s="20"/>
      <c r="F20" s="20"/>
      <c r="G20" s="20"/>
      <c r="H20" s="20"/>
      <c r="I20" s="20"/>
      <c r="J20" s="20"/>
      <c r="K20" s="20"/>
      <c r="L20" s="21"/>
    </row>
    <row r="21" spans="1:12" ht="16.2" x14ac:dyDescent="0.25">
      <c r="A21" s="16"/>
      <c r="B21" s="17"/>
      <c r="C21" s="17"/>
      <c r="D21" s="14">
        <v>2023</v>
      </c>
      <c r="E21" s="10" t="s">
        <v>12</v>
      </c>
      <c r="F21" s="10" t="s">
        <v>14</v>
      </c>
      <c r="G21" s="10" t="s">
        <v>39</v>
      </c>
      <c r="H21" s="14">
        <v>2023</v>
      </c>
      <c r="I21" s="10" t="s">
        <v>12</v>
      </c>
      <c r="J21" s="10" t="s">
        <v>14</v>
      </c>
      <c r="K21" s="10" t="s">
        <v>39</v>
      </c>
      <c r="L21" s="18"/>
    </row>
    <row r="22" spans="1:12" ht="58.8" customHeight="1" x14ac:dyDescent="0.25">
      <c r="A22" s="2" t="s">
        <v>20</v>
      </c>
      <c r="B22" s="3" t="s">
        <v>55</v>
      </c>
      <c r="C22" s="4" t="s">
        <v>33</v>
      </c>
      <c r="D22" s="11">
        <v>10.029999999999999</v>
      </c>
      <c r="E22" s="11">
        <v>10.29</v>
      </c>
      <c r="F22" s="11">
        <v>12.33</v>
      </c>
      <c r="G22" s="11">
        <v>13.74</v>
      </c>
      <c r="H22" s="11">
        <v>18.739999999999998</v>
      </c>
      <c r="I22" s="11">
        <v>18.27</v>
      </c>
      <c r="J22" s="11">
        <v>15.24</v>
      </c>
      <c r="K22" s="11">
        <v>13.68</v>
      </c>
      <c r="L22" s="2" t="s">
        <v>56</v>
      </c>
    </row>
    <row r="23" spans="1:12" ht="102.75" customHeight="1" x14ac:dyDescent="0.25">
      <c r="A23" s="19" t="s">
        <v>57</v>
      </c>
      <c r="B23" s="20"/>
      <c r="C23" s="20"/>
      <c r="D23" s="20"/>
      <c r="E23" s="20"/>
      <c r="F23" s="20"/>
      <c r="G23" s="20"/>
      <c r="H23" s="20"/>
      <c r="I23" s="20"/>
      <c r="J23" s="20"/>
      <c r="K23" s="20"/>
      <c r="L23" s="21"/>
    </row>
    <row r="24" spans="1:12" ht="16.2" x14ac:dyDescent="0.25">
      <c r="A24" s="16"/>
      <c r="B24" s="17"/>
      <c r="C24" s="17"/>
      <c r="D24" s="14">
        <v>2023</v>
      </c>
      <c r="E24" s="10" t="s">
        <v>12</v>
      </c>
      <c r="F24" s="10" t="s">
        <v>14</v>
      </c>
      <c r="G24" s="10" t="s">
        <v>39</v>
      </c>
      <c r="H24" s="14">
        <v>2023</v>
      </c>
      <c r="I24" s="10" t="s">
        <v>12</v>
      </c>
      <c r="J24" s="10" t="s">
        <v>14</v>
      </c>
      <c r="K24" s="10" t="s">
        <v>39</v>
      </c>
      <c r="L24" s="18"/>
    </row>
    <row r="25" spans="1:12" ht="52.2" customHeight="1" x14ac:dyDescent="0.25">
      <c r="A25" s="2" t="s">
        <v>19</v>
      </c>
      <c r="B25" s="3" t="s">
        <v>42</v>
      </c>
      <c r="C25" s="4" t="s">
        <v>16</v>
      </c>
      <c r="D25" s="11">
        <v>5.63</v>
      </c>
      <c r="E25" s="11">
        <v>5.91</v>
      </c>
      <c r="F25" s="11">
        <v>6.15</v>
      </c>
      <c r="G25" s="11">
        <v>6.54</v>
      </c>
      <c r="H25" s="11">
        <v>5.57</v>
      </c>
      <c r="I25" s="11">
        <v>5.31</v>
      </c>
      <c r="J25" s="11">
        <v>5.0999999999999996</v>
      </c>
      <c r="K25" s="11">
        <v>4.79</v>
      </c>
      <c r="L25" s="2" t="s">
        <v>17</v>
      </c>
    </row>
    <row r="26" spans="1:12" ht="92.25" customHeight="1" x14ac:dyDescent="0.25">
      <c r="A26" s="19" t="s">
        <v>58</v>
      </c>
      <c r="B26" s="20"/>
      <c r="C26" s="20"/>
      <c r="D26" s="20"/>
      <c r="E26" s="20"/>
      <c r="F26" s="20"/>
      <c r="G26" s="20"/>
      <c r="H26" s="20"/>
      <c r="I26" s="20"/>
      <c r="J26" s="20"/>
      <c r="K26" s="20"/>
      <c r="L26" s="21"/>
    </row>
    <row r="27" spans="1:12" ht="16.2" x14ac:dyDescent="0.25">
      <c r="A27" s="16"/>
      <c r="B27" s="17"/>
      <c r="C27" s="17"/>
      <c r="D27" s="14">
        <v>2022</v>
      </c>
      <c r="E27" s="10" t="s">
        <v>7</v>
      </c>
      <c r="F27" s="10" t="s">
        <v>12</v>
      </c>
      <c r="G27" s="10" t="s">
        <v>14</v>
      </c>
      <c r="H27" s="14">
        <v>2022</v>
      </c>
      <c r="I27" s="10" t="s">
        <v>7</v>
      </c>
      <c r="J27" s="10" t="s">
        <v>12</v>
      </c>
      <c r="K27" s="10" t="s">
        <v>14</v>
      </c>
      <c r="L27" s="18"/>
    </row>
    <row r="28" spans="1:12" ht="52.2" customHeight="1" x14ac:dyDescent="0.25">
      <c r="A28" s="2" t="s">
        <v>6</v>
      </c>
      <c r="B28" s="3" t="s">
        <v>43</v>
      </c>
      <c r="C28" s="4" t="s">
        <v>34</v>
      </c>
      <c r="D28" s="11">
        <v>4.4400000000000004</v>
      </c>
      <c r="E28" s="11">
        <v>7.72</v>
      </c>
      <c r="F28" s="11">
        <v>11.26</v>
      </c>
      <c r="G28" s="11">
        <v>15.27</v>
      </c>
      <c r="H28" s="11">
        <v>52.27</v>
      </c>
      <c r="I28" s="11">
        <v>30.04</v>
      </c>
      <c r="J28" s="11">
        <v>20.59</v>
      </c>
      <c r="K28" s="11">
        <v>15.2</v>
      </c>
      <c r="L28" s="15" t="s">
        <v>23</v>
      </c>
    </row>
    <row r="29" spans="1:12" ht="92.25" customHeight="1" x14ac:dyDescent="0.25">
      <c r="A29" s="19" t="s">
        <v>44</v>
      </c>
      <c r="B29" s="20"/>
      <c r="C29" s="20"/>
      <c r="D29" s="20"/>
      <c r="E29" s="20"/>
      <c r="F29" s="20"/>
      <c r="G29" s="20"/>
      <c r="H29" s="20"/>
      <c r="I29" s="20"/>
      <c r="J29" s="20"/>
      <c r="K29" s="20"/>
      <c r="L29" s="21"/>
    </row>
    <row r="30" spans="1:12" ht="16.2" x14ac:dyDescent="0.25">
      <c r="A30" s="16"/>
      <c r="B30" s="17"/>
      <c r="C30" s="17"/>
      <c r="D30" s="14">
        <v>2022</v>
      </c>
      <c r="E30" s="10" t="s">
        <v>7</v>
      </c>
      <c r="F30" s="10" t="s">
        <v>12</v>
      </c>
      <c r="G30" s="10" t="s">
        <v>14</v>
      </c>
      <c r="H30" s="14">
        <v>2022</v>
      </c>
      <c r="I30" s="10" t="s">
        <v>7</v>
      </c>
      <c r="J30" s="10" t="s">
        <v>12</v>
      </c>
      <c r="K30" s="10" t="s">
        <v>14</v>
      </c>
      <c r="L30" s="18"/>
    </row>
    <row r="31" spans="1:12" ht="52.2" customHeight="1" x14ac:dyDescent="0.25">
      <c r="A31" s="2" t="s">
        <v>22</v>
      </c>
      <c r="B31" s="3" t="s">
        <v>59</v>
      </c>
      <c r="C31" s="4" t="s">
        <v>35</v>
      </c>
      <c r="D31" s="11">
        <v>0.7</v>
      </c>
      <c r="E31" s="11">
        <v>1.05</v>
      </c>
      <c r="F31" s="11">
        <v>1.29</v>
      </c>
      <c r="G31" s="11">
        <v>1.86</v>
      </c>
      <c r="H31" s="11">
        <v>35.9</v>
      </c>
      <c r="I31" s="11">
        <v>23.91</v>
      </c>
      <c r="J31" s="11">
        <v>19.37</v>
      </c>
      <c r="K31" s="11">
        <v>13.47</v>
      </c>
      <c r="L31" s="2" t="s">
        <v>60</v>
      </c>
    </row>
    <row r="32" spans="1:12" ht="108" customHeight="1" x14ac:dyDescent="0.25">
      <c r="A32" s="19" t="s">
        <v>61</v>
      </c>
      <c r="B32" s="20"/>
      <c r="C32" s="20"/>
      <c r="D32" s="20"/>
      <c r="E32" s="20"/>
      <c r="F32" s="20"/>
      <c r="G32" s="20"/>
      <c r="H32" s="20"/>
      <c r="I32" s="20"/>
      <c r="J32" s="20"/>
      <c r="K32" s="20"/>
      <c r="L32" s="21"/>
    </row>
    <row r="33" spans="1:12" ht="21" customHeight="1" x14ac:dyDescent="0.25">
      <c r="A33" s="30" t="s">
        <v>3</v>
      </c>
      <c r="B33" s="31"/>
      <c r="C33" s="31"/>
      <c r="D33" s="31"/>
      <c r="E33" s="31"/>
      <c r="F33" s="31"/>
      <c r="G33" s="31"/>
      <c r="H33" s="31"/>
      <c r="I33" s="31"/>
      <c r="J33" s="31"/>
      <c r="K33" s="31"/>
      <c r="L33" s="32"/>
    </row>
  </sheetData>
  <mergeCells count="18">
    <mergeCell ref="A33:L33"/>
    <mergeCell ref="A29:L29"/>
    <mergeCell ref="A32:L32"/>
    <mergeCell ref="A14:L14"/>
    <mergeCell ref="A17:L17"/>
    <mergeCell ref="A5:L5"/>
    <mergeCell ref="A26:L26"/>
    <mergeCell ref="A8:L8"/>
    <mergeCell ref="A11:L11"/>
    <mergeCell ref="A23:L23"/>
    <mergeCell ref="A20:L20"/>
    <mergeCell ref="A1:L1"/>
    <mergeCell ref="A2:A3"/>
    <mergeCell ref="B2:B3"/>
    <mergeCell ref="C2:C3"/>
    <mergeCell ref="D2:G2"/>
    <mergeCell ref="H2:K2"/>
    <mergeCell ref="L2:L3"/>
  </mergeCells>
  <phoneticPr fontId="5" type="noConversion"/>
  <pageMargins left="0.7" right="0.7" top="0.75" bottom="0.75" header="0.3" footer="0.3"/>
  <pageSetup paperSize="9" scale="5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topLeftCell="A2" zoomScale="150" zoomScaleNormal="150" workbookViewId="0">
      <selection sqref="A1:B10"/>
    </sheetView>
  </sheetViews>
  <sheetFormatPr defaultColWidth="9" defaultRowHeight="13.8" x14ac:dyDescent="0.25"/>
  <cols>
    <col min="1" max="2" width="25.44140625" style="6" customWidth="1"/>
    <col min="3" max="3" width="9" style="8"/>
    <col min="4" max="16384" width="9" style="6"/>
  </cols>
  <sheetData>
    <row r="1" spans="1:3" ht="44.7" customHeight="1" x14ac:dyDescent="0.25">
      <c r="A1" s="5" t="str">
        <f>金股推荐逻辑!B4</f>
        <v>厦门钨业
600549.SH</v>
      </c>
      <c r="B1" s="5" t="str">
        <f>金股推荐逻辑!C4</f>
        <v>有色</v>
      </c>
      <c r="C1" s="9"/>
    </row>
    <row r="2" spans="1:3" ht="44.7" customHeight="1" x14ac:dyDescent="0.25">
      <c r="A2" s="5" t="str">
        <f>金股推荐逻辑!B7</f>
        <v>中国石油
601857.SH</v>
      </c>
      <c r="B2" s="5" t="str">
        <f>金股推荐逻辑!C7</f>
        <v>化工</v>
      </c>
      <c r="C2" s="9"/>
    </row>
    <row r="3" spans="1:3" ht="44.7" customHeight="1" x14ac:dyDescent="0.25">
      <c r="A3" s="5" t="str">
        <f>金股推荐逻辑!B10</f>
        <v>恩华药业
002262.SZ</v>
      </c>
      <c r="B3" s="5" t="str">
        <f>金股推荐逻辑!C10</f>
        <v>医药</v>
      </c>
      <c r="C3" s="9"/>
    </row>
    <row r="4" spans="1:3" ht="44.7" customHeight="1" x14ac:dyDescent="0.25">
      <c r="A4" s="5" t="str">
        <f>金股推荐逻辑!B13</f>
        <v>泸州老窖
000568.SZ</v>
      </c>
      <c r="B4" s="5" t="str">
        <f>金股推荐逻辑!C13</f>
        <v>食品饮料</v>
      </c>
      <c r="C4" s="9"/>
    </row>
    <row r="5" spans="1:3" ht="44.7" customHeight="1" x14ac:dyDescent="0.25">
      <c r="A5" s="5" t="str">
        <f>金股推荐逻辑!B16</f>
        <v>城建发展
600266.SH</v>
      </c>
      <c r="B5" s="5" t="str">
        <f>金股推荐逻辑!C16</f>
        <v>房地产</v>
      </c>
      <c r="C5" s="9"/>
    </row>
    <row r="6" spans="1:3" ht="44.7" customHeight="1" x14ac:dyDescent="0.25">
      <c r="A6" s="5" t="str">
        <f>金股推荐逻辑!B19</f>
        <v>中集集团
000039.SZ</v>
      </c>
      <c r="B6" s="5" t="str">
        <f>金股推荐逻辑!C19</f>
        <v>机械</v>
      </c>
      <c r="C6" s="9"/>
    </row>
    <row r="7" spans="1:3" ht="44.7" customHeight="1" x14ac:dyDescent="0.25">
      <c r="A7" s="5" t="str">
        <f>金股推荐逻辑!B22</f>
        <v>宁德时代
300750.SZ</v>
      </c>
      <c r="B7" s="5" t="str">
        <f>金股推荐逻辑!C22</f>
        <v>电新</v>
      </c>
      <c r="C7" s="9"/>
    </row>
    <row r="8" spans="1:3" ht="44.7" customHeight="1" x14ac:dyDescent="0.25">
      <c r="A8" s="5" t="str">
        <f>金股推荐逻辑!B25</f>
        <v>招商银行
600036.SH</v>
      </c>
      <c r="B8" s="5" t="str">
        <f>金股推荐逻辑!C25</f>
        <v>银行</v>
      </c>
      <c r="C8" s="9"/>
    </row>
    <row r="9" spans="1:3" ht="44.7" customHeight="1" x14ac:dyDescent="0.25">
      <c r="A9" s="5" t="str">
        <f>金股推荐逻辑!B28</f>
        <v>北方华创
002371.SZ</v>
      </c>
      <c r="B9" s="5" t="str">
        <f>金股推荐逻辑!C28</f>
        <v>电子</v>
      </c>
      <c r="C9" s="9"/>
    </row>
    <row r="10" spans="1:3" ht="44.7" customHeight="1" x14ac:dyDescent="0.25">
      <c r="A10" s="5" t="str">
        <f>金股推荐逻辑!B31</f>
        <v>润泽科技
300442.SZ</v>
      </c>
      <c r="B10" s="5" t="str">
        <f>金股推荐逻辑!C31</f>
        <v>通信</v>
      </c>
      <c r="C10" s="9"/>
    </row>
    <row r="11" spans="1:3" s="8" customFormat="1" x14ac:dyDescent="0.25">
      <c r="A11" s="7"/>
      <c r="B11" s="7"/>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金股推荐逻辑</vt:lpstr>
      <vt:lpstr>简表</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Kang</dc:creator>
  <cp:lastModifiedBy>荆子钰</cp:lastModifiedBy>
  <cp:lastPrinted>2020-09-30T02:20:00Z</cp:lastPrinted>
  <dcterms:created xsi:type="dcterms:W3CDTF">2019-03-27T09:02:00Z</dcterms:created>
  <dcterms:modified xsi:type="dcterms:W3CDTF">2024-03-29T01:54:01Z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2052-10.8.2.7119</vt:lpwstr>
  </property>
</Properties>
</file>